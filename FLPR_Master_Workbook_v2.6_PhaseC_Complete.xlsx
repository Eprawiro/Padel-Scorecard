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6.xml" ContentType="application/vnd.openxmlformats-officedocument.drawing+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6e1c820ef147c9" /></Relationships>
</file>

<file path=xl/workbook.xml><?xml version="1.0" encoding="utf-8"?>
<x:workbook xmlns:x="http://schemas.openxmlformats.org/spreadsheetml/2006/main">
  <x:sheets>
    <x:sheet xmlns:r="http://schemas.openxmlformats.org/officeDocument/2006/relationships" name="Stage 4 Dashboard" sheetId="1" r:id="Re995ab2ecb6c4bc3"/>
    <x:sheet xmlns:r="http://schemas.openxmlformats.org/officeDocument/2006/relationships" name="Schedule &amp; Expectation" sheetId="2" r:id="R0d5e428b0ce14459"/>
    <x:sheet xmlns:r="http://schemas.openxmlformats.org/officeDocument/2006/relationships" name="Clutch &amp; Dominance" sheetId="3" r:id="Rce27694b94d14382"/>
    <x:sheet xmlns:r="http://schemas.openxmlformats.org/officeDocument/2006/relationships" name="Partner-Adjusted Pairs" sheetId="4" r:id="Rae4de546a9904b2a"/>
    <x:sheet xmlns:r="http://schemas.openxmlformats.org/officeDocument/2006/relationships" name="Methodology" sheetId="5" r:id="R9a7d71bb501d4df8"/>
    <x:sheet xmlns:r="http://schemas.openxmlformats.org/officeDocument/2006/relationships" name="Advanced Analytics" sheetId="6" r:id="R647ce4eed4324927"/>
    <x:sheet xmlns:r="http://schemas.openxmlformats.org/officeDocument/2006/relationships" name="Partner Chemistry" sheetId="7" r:id="Re3dc9ff3d5384981"/>
    <x:sheet xmlns:r="http://schemas.openxmlformats.org/officeDocument/2006/relationships" name="Opponent Difficulty" sheetId="8" r:id="R9f19ae6207d2491e"/>
    <x:sheet xmlns:r="http://schemas.openxmlformats.org/officeDocument/2006/relationships" name="H2H Matrix" sheetId="9" r:id="Ra7c3e9dc7e8d43a9"/>
    <x:sheet xmlns:r="http://schemas.openxmlformats.org/officeDocument/2006/relationships" name="Stage 4 Methodology" sheetId="10" r:id="R6be892528be246d4"/>
    <x:sheet xmlns:r="http://schemas.openxmlformats.org/officeDocument/2006/relationships" name="Rating Settings" sheetId="11" r:id="R9780211a63cf497c"/>
    <x:sheet xmlns:r="http://schemas.openxmlformats.org/officeDocument/2006/relationships" name="FLPR Rating" sheetId="12" r:id="R28143915c6df45e1"/>
    <x:sheet xmlns:r="http://schemas.openxmlformats.org/officeDocument/2006/relationships" name="Stage 5 Methodology" sheetId="13" r:id="R826b4a4cc029464c"/>
    <x:sheet xmlns:r="http://schemas.openxmlformats.org/officeDocument/2006/relationships" name="Stage 5 Dashboard" sheetId="14" r:id="R61a34896f6d54452"/>
    <x:sheet xmlns:r="http://schemas.openxmlformats.org/officeDocument/2006/relationships" name="Handicap Settings" sheetId="15" r:id="R2661a5d4ea3d4b22"/>
    <x:sheet xmlns:r="http://schemas.openxmlformats.org/officeDocument/2006/relationships" name="Player Handicap" sheetId="16" r:id="Rda0872528599426c"/>
    <x:sheet xmlns:r="http://schemas.openxmlformats.org/officeDocument/2006/relationships" name="Team Balancer" sheetId="17" r:id="R63102acda78b4f7d"/>
    <x:sheet xmlns:r="http://schemas.openxmlformats.org/officeDocument/2006/relationships" name="Match Predictor" sheetId="18" r:id="R29f937765b844290"/>
    <x:sheet xmlns:r="http://schemas.openxmlformats.org/officeDocument/2006/relationships" name="Tournament Builder" sheetId="19" r:id="R992cf3ae216e4e3d"/>
    <x:sheet xmlns:r="http://schemas.openxmlformats.org/officeDocument/2006/relationships" name="Stage 6 Dashboard" sheetId="20" r:id="Reb8986ff072741a9"/>
    <x:sheet xmlns:r="http://schemas.openxmlformats.org/officeDocument/2006/relationships" name="Stage 6 Methodology" sheetId="21" r:id="R305aa16ad72e4c1c"/>
    <x:sheet xmlns:r="http://schemas.openxmlformats.org/officeDocument/2006/relationships" name="FLPR Visual Dashboard" sheetId="22" r:id="R37c7225be31d4c62"/>
    <x:sheet xmlns:r="http://schemas.openxmlformats.org/officeDocument/2006/relationships" name="Master Index" sheetId="23" r:id="Red1f9835b8674be9"/>
    <x:sheet xmlns:r="http://schemas.openxmlformats.org/officeDocument/2006/relationships" name="Official Ranking v2" sheetId="24" r:id="R2887321b952e4490"/>
    <x:sheet xmlns:r="http://schemas.openxmlformats.org/officeDocument/2006/relationships" name="Official Handicap v2" sheetId="25" r:id="R9073c64e2b4d46e8"/>
    <x:sheet xmlns:r="http://schemas.openxmlformats.org/officeDocument/2006/relationships" name="Report Data" sheetId="26" r:id="Rdb5ad0731aae405e"/>
    <x:sheet xmlns:r="http://schemas.openxmlformats.org/officeDocument/2006/relationships" name="Executive Dashboard v2" sheetId="27" r:id="R8c8afebc3bef4b24"/>
    <x:sheet xmlns:r="http://schemas.openxmlformats.org/officeDocument/2006/relationships" name="Revision History" sheetId="28" r:id="R55676c8ec82f481a"/>
    <x:sheet xmlns:r="http://schemas.openxmlformats.org/officeDocument/2006/relationships" name="Settings" sheetId="29" r:id="R37fa164a2fe7469c"/>
    <x:sheet xmlns:r="http://schemas.openxmlformats.org/officeDocument/2006/relationships" name="Player Registry" sheetId="30" r:id="R2698dfaea9854167"/>
    <x:sheet xmlns:r="http://schemas.openxmlformats.org/officeDocument/2006/relationships" name="Workbook Audit" sheetId="31" r:id="Rda0903fe7f2b4341"/>
    <x:sheet xmlns:r="http://schemas.openxmlformats.org/officeDocument/2006/relationships" name="Report Generator" sheetId="32" r:id="R089abc732a6c450c"/>
    <x:sheet xmlns:r="http://schemas.openxmlformats.org/officeDocument/2006/relationships" name="Chapter Data" sheetId="33" r:id="R1a95eb72b2af44e4"/>
    <x:sheet xmlns:r="http://schemas.openxmlformats.org/officeDocument/2006/relationships" name="Figure Registry" sheetId="34" r:id="R77ad5102dcfd407d"/>
    <x:sheet xmlns:r="http://schemas.openxmlformats.org/officeDocument/2006/relationships" name="Report Figures" sheetId="35" r:id="Rac797cd2921f49fc"/>
    <x:sheet xmlns:r="http://schemas.openxmlformats.org/officeDocument/2006/relationships" name="Report QA" sheetId="36" r:id="R4db6a5d139184ede"/>
    <x:sheet xmlns:r="http://schemas.openxmlformats.org/officeDocument/2006/relationships" name="Individual Player Report" sheetId="37" r:id="Rfb7e46881d4044fa"/>
    <x:sheet xmlns:r="http://schemas.openxmlformats.org/officeDocument/2006/relationships" name="Tournament Statistics" sheetId="38" r:id="Rfe37b516c4994526"/>
    <x:sheet xmlns:r="http://schemas.openxmlformats.org/officeDocument/2006/relationships" name="Awards" sheetId="39" r:id="R3c2379add853449b"/>
    <x:sheet xmlns:r="http://schemas.openxmlformats.org/officeDocument/2006/relationships" name="Executive Summary" sheetId="40" r:id="R8d66e463a8974ddd"/>
    <x:sheet xmlns:r="http://schemas.openxmlformats.org/officeDocument/2006/relationships" name="Import Control" sheetId="41" r:id="R12d5549f3774466c"/>
    <x:sheet xmlns:r="http://schemas.openxmlformats.org/officeDocument/2006/relationships" name="Player Report Index" sheetId="42" r:id="R4b73baf41b8847e4"/>
    <x:sheet xmlns:r="http://schemas.openxmlformats.org/officeDocument/2006/relationships" name="Web Export Data" sheetId="43" r:id="R58e66787206440d3"/>
    <x:sheet xmlns:r="http://schemas.openxmlformats.org/officeDocument/2006/relationships" name="Publication Dashboard" sheetId="44" r:id="Ra96415b552194013"/>
    <x:sheet xmlns:r="http://schemas.openxmlformats.org/officeDocument/2006/relationships" name="Release Checklist" sheetId="45" r:id="R0c10ab233ba3439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
    <x:numFmt numFmtId="165" formatCode="0.000"/>
    <x:numFmt numFmtId="166" formatCode="0.0"/>
    <x:numFmt numFmtId="200" formatCode="0.00"/>
    <x:numFmt numFmtId="201" formatCode="0.0000"/>
  </x:numFmts>
  <x:fonts count="17">
    <x:font>
      <x:sz val="11"/>
      <x:name val="Carlito"/>
    </x:font>
    <x:font>
      <x:b/>
      <x:sz val="16"/>
      <x:color rgb="FFFFFFFF"/>
      <x:name val="Carlito"/>
    </x:font>
    <x:font>
      <x:b/>
      <x:sz val="11"/>
      <x:color rgb="FFFFFFFF"/>
      <x:name val="Carlito"/>
    </x:font>
    <x:font>
      <x:b/>
      <x:sz val="20"/>
      <x:color rgb="FFFFFFFF"/>
      <x:name val="Carlito"/>
    </x:font>
    <x:font>
      <x:b/>
      <x:sz val="12"/>
      <x:color rgb="FFFFFFFF"/>
      <x:name val="Carlito"/>
    </x:font>
    <x:font>
      <x:sz val="11"/>
      <x:color rgb="FF1F2937"/>
      <x:name val="Carlito"/>
    </x:font>
    <x:font>
      <x:i/>
      <x:sz val="11"/>
      <x:color rgb="FF1F2937"/>
      <x:name val="Carlito"/>
    </x:font>
    <x:font>
      <x:b/>
      <x:sz val="18"/>
      <x:color rgb="FFFFFFFF"/>
      <x:name val="Carlito"/>
    </x:font>
    <x:font>
      <x:b/>
      <x:sz val="11"/>
      <x:name val="Carlito"/>
    </x:font>
    <x:font>
      <x:b/>
      <x:sz val="13"/>
      <x:color rgb="FF1F2937"/>
      <x:name val="Carlito"/>
    </x:font>
    <x:font>
      <x:b/>
      <x:sz val="18"/>
    </x:font>
    <x:font>
      <x:b/>
    </x:font>
    <x:font>
      <x:b/>
      <x:sz val="16"/>
    </x:font>
    <x:font>
      <x:i/>
      <x:sz val="11"/>
      <x:color rgb="FF1F4E78"/>
      <x:name val="Carlito"/>
    </x:font>
    <x:font>
      <x:b/>
      <x:sz val="11"/>
      <x:color rgb="FF375623"/>
      <x:name val="Carlito"/>
    </x:font>
    <x:font>
      <x:b/>
      <x:sz val="16"/>
      <x:color rgb="FFFFFFFF"/>
    </x:font>
    <x:font>
      <x:i/>
      <x:sz val="11"/>
      <x:color rgb="FF17365D"/>
      <x:name val="Carlito"/>
    </x:font>
  </x:fonts>
  <x:fills count="2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294C7A"/>
      </x:patternFill>
    </x:fill>
    <x:fill>
      <x:patternFill patternType="solid">
        <x:fgColor rgb="FFC9A227"/>
      </x:patternFill>
    </x:fill>
    <x:fill>
      <x:patternFill patternType="solid">
        <x:fgColor rgb="FFF4F7FB"/>
      </x:patternFill>
    </x:fill>
    <x:fill>
      <x:patternFill patternType="solid">
        <x:fgColor rgb="FFDCE6F1"/>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F4F7FA"/>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4F81BD"/>
      </x:patternFill>
    </x:fill>
    <x:fill>
      <x:patternFill patternType="solid">
        <x:fgColor rgb="FF17365D"/>
      </x:patternFill>
    </x:fill>
    <x:fill>
      <x:patternFill patternType="solid">
        <x:fgColor rgb="FFD9EAF7"/>
      </x:patternFill>
    </x:fill>
    <x:fill>
      <x:patternFill patternType="solid">
        <x:fgColor rgb="FF4F81BD"/>
      </x:patternFill>
    </x:fill>
    <x:fill>
      <x:patternFill patternType="solid">
        <x:fgColor rgb="FF17365D"/>
      </x:patternFill>
    </x:fill>
    <x:fill>
      <x:patternFill patternType="solid">
        <x:fgColor rgb="FF4F81BD"/>
      </x:patternFill>
    </x:fill>
  </x:fills>
  <x:borders count="2">
    <x:border/>
    <x:border/>
  </x:borders>
  <x:cellStyleXfs count="1">
    <x:xf numFmtId="0" fontId="0" fillId="0" borderId="1"/>
  </x:cellStyleXfs>
  <x:cellXfs count="304">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horizontal="center"/>
    </x:xf>
    <x:xf numFmtId="0" fontId="2" fillId="3" borderId="0" xfId="0" applyAlignment="1">
      <x:alignment horizontal="center" vertical="center"/>
    </x:xf>
    <x:xf numFmtId="0" fontId="0" fillId="3" borderId="1" xfId="0"/>
    <x:xf numFmtId="0" fontId="2" fillId="3" borderId="1" xfId="0"/>
    <x:xf numFmtId="0" fontId="2" fillId="3" borderId="1" xfId="0" applyAlignment="1">
      <x:alignment horizontal="center"/>
    </x:xf>
    <x:xf numFmtId="0" fontId="2" fillId="3" borderId="1" xfId="0" applyAlignment="1">
      <x:alignment horizontal="center" vertical="center"/>
    </x:xf>
    <x:xf numFmtId="164" fontId="0" fillId="0" borderId="0" xfId="0"/>
    <x:xf numFmtId="164" fontId="0" fillId="0" borderId="1" xfId="0"/>
    <x:xf numFmtId="165" fontId="0" fillId="0" borderId="0" xfId="0"/>
    <x:xf numFmtId="165" fontId="0" fillId="0" borderId="1" xfId="0"/>
    <x:xf numFmtId="166" fontId="0" fillId="0" borderId="0" xfId="0"/>
    <x:xf numFmtId="166" fontId="0" fillId="0" borderId="1" xfId="0"/>
    <x:xf numFmtId="2" fontId="0" fillId="0" borderId="0" xfId="0"/>
    <x:xf numFmtId="2" fontId="0" fillId="0" borderId="1" xfId="0"/>
    <x:xf numFmtId="0" fontId="1" fillId="2" borderId="0" xfId="0" applyAlignment="1">
      <x:alignment horizontal="center" vertical="center" wrapText="1"/>
    </x:xf>
    <x:xf numFmtId="0" fontId="0" fillId="0" borderId="0" xfId="0" applyAlignment="1">
      <x:alignment wrapText="1"/>
    </x:xf>
    <x:xf numFmtId="0" fontId="2" fillId="3" borderId="0" xfId="0" applyAlignment="1">
      <x:alignment horizontal="center" vertical="center" wrapText="1"/>
    </x:xf>
    <x:xf numFmtId="164" fontId="0" fillId="0" borderId="0" xfId="0" applyAlignment="1">
      <x:alignment wrapText="1"/>
    </x:xf>
    <x:xf numFmtId="165" fontId="0" fillId="0" borderId="0" xfId="0" applyAlignment="1">
      <x:alignment wrapText="1"/>
    </x:xf>
    <x:xf numFmtId="166" fontId="0" fillId="0" borderId="0" xfId="0" applyAlignment="1">
      <x:alignment wrapText="1"/>
    </x:xf>
    <x:xf numFmtId="0" fontId="1" fillId="2" borderId="1" xfId="0" applyAlignment="1">
      <x:alignment horizontal="center" vertical="center" wrapText="1"/>
    </x:xf>
    <x:xf numFmtId="0" fontId="0" fillId="0" borderId="1" xfId="0" applyAlignment="1">
      <x:alignment wrapText="1"/>
    </x:xf>
    <x:xf numFmtId="0" fontId="2" fillId="3" borderId="1" xfId="0" applyAlignment="1">
      <x:alignment horizontal="center" vertical="center" wrapText="1"/>
    </x:xf>
    <x:xf numFmtId="164" fontId="0" fillId="0" borderId="1" xfId="0" applyAlignment="1">
      <x:alignment wrapText="1"/>
    </x:xf>
    <x:xf numFmtId="165" fontId="0" fillId="0" borderId="1" xfId="0" applyAlignment="1">
      <x:alignment wrapText="1"/>
    </x:xf>
    <x:xf numFmtId="166" fontId="0" fillId="0" borderId="1" xfId="0" applyAlignment="1">
      <x:alignment wrapText="1"/>
    </x:xf>
    <x:xf numFmtId="2" fontId="0" fillId="0" borderId="0" xfId="0" applyAlignment="1">
      <x:alignment wrapText="1"/>
    </x:xf>
    <x:xf numFmtId="2" fontId="0" fillId="0" borderId="1" xfId="0" applyAlignment="1">
      <x:alignment wrapText="1"/>
    </x:xf>
    <x:xf numFmtId="9" fontId="0" fillId="0" borderId="0" xfId="0" applyAlignment="1">
      <x:alignment wrapText="1"/>
    </x:xf>
    <x:xf numFmtId="0" fontId="0" fillId="0" borderId="0" xfId="0"/>
    <x:xf numFmtId="0" fontId="0" fillId="4" borderId="0" xfId="0"/>
    <x:xf numFmtId="0" fontId="1" fillId="4" borderId="0" xfId="0"/>
    <x:xf numFmtId="0" fontId="1" fillId="4" borderId="0" xfId="0" applyAlignment="1">
      <x:alignment horizontal="center"/>
    </x:xf>
    <x:xf numFmtId="0" fontId="1" fillId="4" borderId="0" xfId="0" applyAlignment="1">
      <x:alignment horizontal="center" vertical="center"/>
    </x:xf>
    <x:xf numFmtId="0" fontId="0" fillId="5" borderId="0" xfId="0"/>
    <x:xf numFmtId="0" fontId="2" fillId="5" borderId="0" xfId="0"/>
    <x:xf numFmtId="0" fontId="2" fillId="5" borderId="0" xfId="0" applyAlignment="1">
      <x:alignment horizontal="center"/>
    </x:xf>
    <x:xf numFmtId="0" fontId="2" fillId="5" borderId="0" xfId="0" applyAlignment="1">
      <x:alignment horizontal="center" vertical="center"/>
    </x:xf>
    <x:xf numFmtId="9" fontId="0" fillId="0" borderId="0" xfId="0"/>
    <x:xf numFmtId="0" fontId="1" fillId="4" borderId="0" xfId="0" applyAlignment="1">
      <x:alignment horizontal="center" vertical="center" wrapText="1"/>
    </x:xf>
    <x:xf numFmtId="0" fontId="2" fillId="5" borderId="0" xfId="0" applyAlignment="1">
      <x:alignment horizontal="center" vertical="center" wrapText="1"/>
    </x:xf>
    <x:xf numFmtId="0" fontId="0" fillId="6" borderId="0" xfId="0"/>
    <x:xf numFmtId="0" fontId="1" fillId="6" borderId="0" xfId="0"/>
    <x:xf numFmtId="0" fontId="1" fillId="6" borderId="0" xfId="0" applyAlignment="1">
      <x:alignment horizontal="center"/>
    </x:xf>
    <x:xf numFmtId="0" fontId="1" fillId="6" borderId="0" xfId="0" applyAlignment="1">
      <x:alignment horizontal="center" vertical="center"/>
    </x:xf>
    <x:xf numFmtId="0" fontId="0" fillId="7" borderId="0" xfId="0"/>
    <x:xf numFmtId="0" fontId="2" fillId="7" borderId="0" xfId="0"/>
    <x:xf numFmtId="0" fontId="2" fillId="7" borderId="0" xfId="0" applyAlignment="1">
      <x:alignment horizontal="center"/>
    </x:xf>
    <x:xf numFmtId="0" fontId="2" fillId="7" borderId="0" xfId="0" applyAlignment="1">
      <x:alignment horizontal="center" vertical="center"/>
    </x:xf>
    <x:xf numFmtId="0" fontId="1" fillId="6" borderId="0" xfId="0" applyAlignment="1">
      <x:alignment horizontal="center" vertical="center" wrapText="1"/>
    </x:xf>
    <x:xf numFmtId="0" fontId="2" fillId="7" borderId="0" xfId="0" applyAlignment="1">
      <x:alignment horizontal="center" vertical="center" wrapText="1"/>
    </x:xf>
    <x:xf numFmtId="1" fontId="0" fillId="0" borderId="0" xfId="0" applyAlignment="1">
      <x:alignment wrapText="1"/>
    </x:xf>
    <x:xf numFmtId="1" fontId="0" fillId="0" borderId="0" xfId="0"/>
    <x:xf numFmtId="164" fontId="0" fillId="0" borderId="0" xfId="0" applyAlignment="1">
      <x:alignment wrapText="1"/>
    </x:xf>
    <x:xf numFmtId="165" fontId="0" fillId="0" borderId="0" xfId="0" applyAlignment="1">
      <x:alignment wrapText="1"/>
    </x:xf>
    <x:xf numFmtId="166" fontId="0" fillId="0" borderId="0" xfId="0" applyAlignment="1">
      <x:alignment wrapText="1"/>
    </x:xf>
    <x:xf numFmtId="2" fontId="0" fillId="0" borderId="0" xfId="0" applyAlignment="1">
      <x:alignment wrapText="1"/>
    </x:xf>
    <x:xf numFmtId="9" fontId="0" fillId="0" borderId="0" xfId="0" applyAlignment="1">
      <x:alignment wrapText="1"/>
    </x:xf>
    <x:xf numFmtId="0" fontId="1" fillId="4" borderId="1" xfId="0" applyAlignment="1">
      <x:alignment horizontal="center" vertical="center" wrapText="1"/>
    </x:xf>
    <x:xf numFmtId="0" fontId="1" fillId="6" borderId="1" xfId="0" applyAlignment="1">
      <x:alignment horizontal="center" vertical="center" wrapText="1"/>
    </x:xf>
    <x:xf numFmtId="1" fontId="0" fillId="0" borderId="0" xfId="0" applyAlignment="1">
      <x:alignment wrapText="1"/>
    </x:xf>
    <x:xf numFmtId="166" fontId="0" fillId="0" borderId="0" xfId="0"/>
    <x:xf numFmtId="164" fontId="0" fillId="0" borderId="0" xfId="0"/>
    <x:xf numFmtId="1" fontId="0" fillId="0" borderId="0" xfId="0"/>
    <x:xf numFmtId="0" fontId="1" fillId="6" borderId="1" xfId="0" applyAlignment="1">
      <x:alignment horizontal="center" vertical="center"/>
    </x:xf>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2" fillId="3" borderId="0" xfId="0" applyAlignment="1">
      <x:alignment horizontal="center"/>
    </x:xf>
    <x:xf numFmtId="0" fontId="2" fillId="3" borderId="0" xfId="0" applyAlignment="1">
      <x:alignment horizontal="center" vertical="center"/>
    </x:xf>
    <x:xf numFmtId="164" fontId="0" fillId="0" borderId="0" xfId="0"/>
    <x:xf numFmtId="165" fontId="0" fillId="0" borderId="0" xfId="0"/>
    <x:xf numFmtId="166" fontId="0" fillId="0" borderId="0" xfId="0"/>
    <x:xf numFmtId="2" fontId="0" fillId="0" borderId="0" xfId="0"/>
    <x:xf numFmtId="0" fontId="1" fillId="2" borderId="0" xfId="0" applyAlignment="1">
      <x:alignment horizontal="center" vertical="center" wrapText="1"/>
    </x:xf>
    <x:xf numFmtId="0" fontId="0" fillId="0" borderId="0" xfId="0" applyAlignment="1">
      <x:alignment wrapText="1"/>
    </x:xf>
    <x:xf numFmtId="0" fontId="2" fillId="3" borderId="0" xfId="0" applyAlignment="1">
      <x:alignment horizontal="center" vertical="center" wrapText="1"/>
    </x:xf>
    <x:xf numFmtId="164" fontId="0" fillId="0" borderId="0" xfId="0" applyAlignment="1">
      <x:alignment wrapText="1"/>
    </x:xf>
    <x:xf numFmtId="165" fontId="0" fillId="0" borderId="0" xfId="0" applyAlignment="1">
      <x:alignment wrapText="1"/>
    </x:xf>
    <x:xf numFmtId="166" fontId="0" fillId="0" borderId="0" xfId="0" applyAlignment="1">
      <x:alignment wrapText="1"/>
    </x:xf>
    <x:xf numFmtId="2" fontId="0" fillId="0" borderId="0" xfId="0" applyAlignment="1">
      <x:alignment wrapText="1"/>
    </x:xf>
    <x:xf numFmtId="9" fontId="0" fillId="0" borderId="0" xfId="0" applyAlignment="1">
      <x:alignment wrapText="1"/>
    </x:xf>
    <x:xf numFmtId="9" fontId="0" fillId="0" borderId="0" xfId="0"/>
    <x:xf numFmtId="1" fontId="0" fillId="0" borderId="0" xfId="0" applyAlignment="1">
      <x:alignment wrapText="1"/>
    </x:xf>
    <x:xf numFmtId="1" fontId="0" fillId="0" borderId="0" xfId="0"/>
    <x:xf numFmtId="0" fontId="0" fillId="8" borderId="0" xfId="0"/>
    <x:xf numFmtId="0" fontId="3" fillId="8" borderId="0" xfId="0"/>
    <x:xf numFmtId="0" fontId="3" fillId="8" borderId="0" xfId="0" applyAlignment="1">
      <x:alignment horizontal="center"/>
    </x:xf>
    <x:xf numFmtId="0" fontId="3" fillId="8" borderId="0" xfId="0" applyAlignment="1">
      <x:alignment horizontal="center" vertical="center"/>
    </x:xf>
    <x:xf numFmtId="0" fontId="0" fillId="9" borderId="0" xfId="0"/>
    <x:xf numFmtId="0" fontId="4" fillId="9" borderId="0" xfId="0"/>
    <x:xf numFmtId="0" fontId="4" fillId="9" borderId="0" xfId="0" applyAlignment="1">
      <x:alignment horizontal="center"/>
    </x:xf>
    <x:xf numFmtId="0" fontId="2" fillId="8" borderId="0" xfId="0"/>
    <x:xf numFmtId="0" fontId="2" fillId="8" borderId="0" xfId="0" applyAlignment="1">
      <x:alignment horizontal="center"/>
    </x:xf>
    <x:xf numFmtId="0" fontId="0" fillId="10" borderId="0" xfId="0"/>
    <x:xf numFmtId="0" fontId="5" fillId="10" borderId="0" xfId="0"/>
    <x:xf numFmtId="0" fontId="5" fillId="10" borderId="0" xfId="0"/>
    <x:xf numFmtId="0" fontId="5" fillId="10" borderId="0" xfId="0" applyAlignment="1">
      <x:alignment wrapText="1"/>
    </x:xf>
    <x:xf numFmtId="0" fontId="0" fillId="11" borderId="0" xfId="0"/>
    <x:xf numFmtId="0" fontId="6" fillId="11" borderId="0" xfId="0"/>
    <x:xf numFmtId="0" fontId="6" fillId="11" borderId="0" xfId="0" applyAlignment="1">
      <x:alignment horizontal="center"/>
    </x:xf>
    <x:xf numFmtId="0" fontId="6" fillId="11" borderId="0" xfId="0" applyAlignment="1">
      <x:alignment horizontal="center" vertical="center"/>
    </x:xf>
    <x:xf numFmtId="0" fontId="7" fillId="8" borderId="0" xfId="0"/>
    <x:xf numFmtId="0" fontId="7" fillId="8" borderId="0" xfId="0" applyAlignment="1">
      <x:alignment horizontal="center"/>
    </x:xf>
    <x:xf numFmtId="0" fontId="7" fillId="8" borderId="0" xfId="0" applyAlignment="1">
      <x:alignment horizontal="center" vertical="center"/>
    </x:xf>
    <x:xf numFmtId="0" fontId="2" fillId="9" borderId="0" xfId="0"/>
    <x:xf numFmtId="0" fontId="2" fillId="9" borderId="0" xfId="0" applyAlignment="1">
      <x:alignment horizontal="center"/>
    </x:xf>
    <x:xf numFmtId="0" fontId="2" fillId="8" borderId="0" xfId="0" applyAlignment="1">
      <x:alignment wrapText="1"/>
    </x:xf>
    <x:xf numFmtId="0" fontId="2" fillId="8" borderId="0" xfId="0" applyAlignment="1">
      <x:alignment horizontal="center" wrapText="1"/>
    </x:xf>
    <x:xf numFmtId="0" fontId="0" fillId="0" borderId="0" xfId="0"/>
    <x:xf numFmtId="164" fontId="0" fillId="0" borderId="0" xfId="0"/>
    <x:xf numFmtId="2" fontId="0" fillId="0" borderId="0" xfId="0"/>
    <x:xf numFmtId="0" fontId="0" fillId="12" borderId="0" xfId="0"/>
    <x:xf numFmtId="0" fontId="8" fillId="12" borderId="0" xfId="0"/>
    <x:xf numFmtId="0" fontId="9" fillId="11" borderId="0" xfId="0"/>
    <x:xf numFmtId="0" fontId="9" fillId="11" borderId="0" xfId="0"/>
    <x:xf numFmtId="0" fontId="9" fillId="11" borderId="0" xfId="0" applyAlignment="1">
      <x:alignment wrapText="1"/>
    </x:xf>
    <x:xf numFmtId="0" fontId="9" fillId="11" borderId="0" xfId="0" applyAlignment="1">
      <x:alignment horizontal="center" wrapText="1"/>
    </x:xf>
    <x:xf numFmtId="0" fontId="9" fillId="11" borderId="0" xfId="0" applyAlignment="1">
      <x:alignment horizontal="center" vertical="center" wrapText="1"/>
    </x:xf>
    <x:xf numFmtId="2" fontId="0" fillId="0" borderId="0" xfId="0"/>
    <x:xf numFmtId="0" fontId="6" fillId="10" borderId="0" xfId="0"/>
    <x:xf numFmtId="0" fontId="6" fillId="10" borderId="0" xfId="0" applyAlignment="1">
      <x:alignment horizontal="center"/>
    </x:xf>
    <x:xf numFmtId="0" fontId="6" fillId="10" borderId="0" xfId="0" applyAlignment="1">
      <x:alignment horizontal="center" vertical="center"/>
    </x:xf>
    <x:xf numFmtId="0" fontId="0" fillId="0" borderId="0" xfId="0" applyAlignment="1">
      <x:alignment wrapText="1"/>
    </x:xf>
    <x:xf numFmtId="0" fontId="10" fillId="0" borderId="0" xfId="0"/>
    <x:xf numFmtId="0" fontId="11" fillId="13" borderId="0" xfId="0"/>
    <x:xf numFmtId="0" fontId="7" fillId="8" borderId="1" xfId="0" applyAlignment="1">
      <x:alignment horizontal="center" vertical="center"/>
    </x:xf>
    <x:xf numFmtId="0" fontId="2" fillId="9" borderId="1" xfId="0" applyAlignment="1">
      <x:alignment horizontal="center"/>
    </x:xf>
    <x:xf numFmtId="0" fontId="3" fillId="8" borderId="1" xfId="0" applyAlignment="1">
      <x:alignment horizontal="center" vertical="center"/>
    </x:xf>
    <x:xf numFmtId="0" fontId="9" fillId="11" borderId="1" xfId="0" applyAlignment="1">
      <x:alignment horizontal="center" vertical="center" wrapText="1"/>
    </x:xf>
    <x:xf numFmtId="0" fontId="6" fillId="10" borderId="1" xfId="0" applyAlignment="1">
      <x:alignment horizontal="center" vertical="center"/>
    </x:xf>
    <x:xf numFmtId="0" fontId="12" fillId="0" borderId="0" xfId="0"/>
    <x:xf numFmtId="0" fontId="10" fillId="0" borderId="1" xfId="0"/>
    <x:xf numFmtId="0" fontId="11" fillId="13" borderId="1" xfId="0"/>
    <x:xf numFmtId="0" fontId="11" fillId="14"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164" fontId="0" fillId="0" borderId="0" xfId="0" applyNumberFormat="1" applyFont="1" applyFill="1" applyBorder="1"/>
    <x:xf numFmtId="165" fontId="0" fillId="0" borderId="0" xfId="0" applyNumberFormat="1" applyFont="1" applyFill="1" applyBorder="1"/>
    <x:xf numFmtId="166" fontId="0" fillId="0" borderId="0" xfId="0" applyNumberFormat="1" applyFont="1" applyFill="1" applyBorder="1"/>
    <x:xf numFmtId="2"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166" fontId="0" fillId="0" borderId="0" xfId="0" applyNumberFormat="1" applyFont="1" applyFill="1" applyBorder="1" applyAlignment="1">
      <x:alignment wrapText="1"/>
    </x:xf>
    <x:xf numFmtId="2" fontId="0" fillId="0" borderId="0" xfId="0" applyNumberFormat="1" applyFont="1" applyFill="1" applyBorder="1" applyAlignment="1">
      <x:alignment wrapText="1"/>
    </x:xf>
    <x:xf numFmtId="9" fontId="0" fillId="0" borderId="0" xfId="0" applyNumberFormat="1" applyFont="1" applyFill="1" applyBorder="1" applyAlignment="1">
      <x:alignment wrapText="1"/>
    </x:xf>
    <x:xf numFmtId="9" fontId="0" fillId="0" borderId="0" xfId="0" applyNumberFormat="1" applyFont="1" applyFill="1" applyBorder="1"/>
    <x:xf numFmtId="1" fontId="0" fillId="0" borderId="0" xfId="0" applyNumberFormat="1" applyFont="1" applyFill="1" applyBorder="1" applyAlignment="1">
      <x:alignment wrapText="1"/>
    </x:xf>
    <x:xf numFmtId="1" fontId="0" fillId="0"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2" fillId="8" borderId="0" xfId="0" applyNumberFormat="1" applyFont="1" applyFill="1" applyBorder="1"/>
    <x:xf numFmtId="0" fontId="2" fillId="8" borderId="0" xfId="0" applyNumberFormat="1" applyFont="1" applyFill="1" applyBorder="1" applyAlignment="1">
      <x:alignment horizontal="center"/>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horizontal="center"/>
    </x:xf>
    <x:xf numFmtId="0" fontId="6" fillId="11" borderId="0" xfId="0" applyNumberFormat="1" applyFont="1" applyFill="1" applyBorder="1" applyAlignment="1">
      <x:alignment horizontal="center" vertical="center"/>
    </x:xf>
    <x:xf numFmtId="0" fontId="7" fillId="8" borderId="0" xfId="0" applyNumberFormat="1" applyFont="1" applyFill="1" applyBorder="1"/>
    <x:xf numFmtId="0" fontId="7" fillId="8" borderId="0" xfId="0" applyNumberFormat="1" applyFont="1" applyFill="1" applyBorder="1" applyAlignment="1">
      <x:alignment horizontal="center"/>
    </x:xf>
    <x:xf numFmtId="0" fontId="7" fillId="8" borderId="0" xfId="0" applyNumberFormat="1" applyFont="1" applyFill="1" applyBorder="1" applyAlignment="1">
      <x:alignment horizontal="center" vertical="center"/>
    </x:xf>
    <x:xf numFmtId="0" fontId="2" fillId="9" borderId="0" xfId="0" applyNumberFormat="1" applyFont="1" applyFill="1" applyBorder="1"/>
    <x:xf numFmtId="0" fontId="2" fillId="9" borderId="0" xfId="0" applyNumberFormat="1" applyFont="1" applyFill="1" applyBorder="1" applyAlignment="1">
      <x:alignment horizontal="center"/>
    </x:xf>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0" fillId="12" borderId="0" xfId="0" applyNumberFormat="1" applyFont="1" applyFill="1" applyBorder="1"/>
    <x:xf numFmtId="0" fontId="8" fillId="12"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9" fillId="11" borderId="0" xfId="0" applyNumberFormat="1" applyFont="1" applyFill="1" applyBorder="1" applyAlignment="1">
      <x:alignment horizontal="center" wrapText="1"/>
    </x:xf>
    <x:xf numFmtId="0" fontId="9" fillId="11" borderId="0" xfId="0" applyNumberFormat="1" applyFont="1" applyFill="1" applyBorder="1" applyAlignment="1">
      <x:alignment horizontal="center" vertical="center" wrapText="1"/>
    </x:xf>
    <x:xf numFmtId="0" fontId="6" fillId="10" borderId="0" xfId="0" applyNumberFormat="1" applyFont="1" applyFill="1" applyBorder="1"/>
    <x:xf numFmtId="0" fontId="6" fillId="10" borderId="0" xfId="0" applyNumberFormat="1" applyFont="1" applyFill="1" applyBorder="1" applyAlignment="1">
      <x:alignment horizontal="center"/>
    </x:xf>
    <x:xf numFmtId="0" fontId="6" fillId="10" borderId="0" xfId="0" applyNumberFormat="1" applyFont="1" applyFill="1" applyBorder="1" applyAlignment="1">
      <x:alignment horizontal="center" vertical="center"/>
    </x:xf>
    <x:xf numFmtId="0" fontId="10" fillId="0" borderId="0" xfId="0" applyNumberFormat="1" applyFont="1" applyFill="1" applyBorder="1"/>
    <x:xf numFmtId="0" fontId="11" fillId="3" borderId="0" xfId="0" applyNumberFormat="1" applyFont="1" applyFill="1" applyBorder="1"/>
    <x:xf numFmtId="0" fontId="12" fillId="0" borderId="0" xfId="0" applyNumberFormat="1" applyFont="1" applyFill="1" applyBorder="1"/>
    <x:xf numFmtId="0" fontId="11" fillId="14" borderId="0" xfId="0" applyNumberFormat="1" applyFont="1" applyFill="1" applyBorder="1"/>
    <x:xf numFmtId="0" fontId="0" fillId="15" borderId="0" xfId="0" applyNumberFormat="1" applyFont="1" applyFill="1" applyBorder="1"/>
    <x:xf numFmtId="0" fontId="7" fillId="15" borderId="0" xfId="0" applyNumberFormat="1" applyFont="1" applyFill="1" applyBorder="1"/>
    <x:xf numFmtId="0" fontId="7" fillId="15" borderId="0" xfId="0" applyNumberFormat="1" applyFont="1" applyFill="1" applyBorder="1" applyAlignment="1">
      <x:alignment horizontal="center"/>
    </x:xf>
    <x:xf numFmtId="0" fontId="7" fillId="15" borderId="0" xfId="0" applyNumberFormat="1" applyFont="1" applyFill="1" applyBorder="1" applyAlignment="1">
      <x:alignment horizontal="center" vertical="center"/>
    </x:xf>
    <x:xf numFmtId="0" fontId="0" fillId="16" borderId="0" xfId="0" applyNumberFormat="1" applyFont="1" applyFill="1" applyBorder="1"/>
    <x:xf numFmtId="0" fontId="13" fillId="16" borderId="0" xfId="0" applyNumberFormat="1" applyFont="1" applyFill="1" applyBorder="1"/>
    <x:xf numFmtId="0" fontId="13" fillId="16" borderId="0" xfId="0" applyNumberFormat="1" applyFont="1" applyFill="1" applyBorder="1" applyAlignment="1">
      <x:alignment horizontal="center"/>
    </x:xf>
    <x:xf numFmtId="0" fontId="2" fillId="15" borderId="0" xfId="0" applyNumberFormat="1" applyFont="1" applyFill="1" applyBorder="1"/>
    <x:xf numFmtId="0" fontId="0" fillId="17" borderId="0" xfId="0" applyNumberFormat="1" applyFont="1" applyFill="1" applyBorder="1"/>
    <x:xf numFmtId="0" fontId="8" fillId="17" borderId="0" xfId="0" applyNumberFormat="1" applyFont="1" applyFill="1" applyBorder="1"/>
    <x:xf numFmtId="0" fontId="0" fillId="18" borderId="0" xfId="0" applyNumberFormat="1" applyFont="1" applyFill="1" applyBorder="1"/>
    <x:xf numFmtId="0" fontId="14" fillId="18"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1" fillId="15" borderId="0" xfId="0" applyNumberFormat="1" applyFont="1" applyFill="1" applyBorder="1" applyAlignment="1">
      <x:alignment horizontal="center" vertical="center"/>
    </x:xf>
    <x:xf numFmtId="200" fontId="0" fillId="0" borderId="0" xfId="0" applyNumberFormat="1" applyFont="1" applyFill="1" applyBorder="1"/>
    <x:xf numFmtId="0" fontId="12" fillId="15" borderId="0" xfId="0" applyNumberFormat="1" applyFont="1" applyFill="1" applyBorder="1"/>
    <x:xf numFmtId="0" fontId="15" fillId="15" borderId="0" xfId="0" applyNumberFormat="1" applyFont="1" applyFill="1" applyBorder="1"/>
    <x:xf numFmtId="0" fontId="7" fillId="15" borderId="0" xfId="0" applyNumberFormat="1" applyFont="1" applyFill="1" applyBorder="1" applyAlignment="1">
      <x:alignment horizontal="center" vertical="center" wrapText="1"/>
    </x:xf>
    <x:xf numFmtId="0" fontId="1" fillId="15" borderId="0" xfId="0" applyNumberFormat="1" applyFont="1" applyFill="1" applyBorder="1" applyAlignment="1">
      <x:alignment horizontal="center" vertical="center" wrapText="1"/>
    </x:xf>
    <x:xf numFmtId="0" fontId="2" fillId="15" borderId="0" xfId="0" applyNumberFormat="1" applyFont="1" applyFill="1" applyBorder="1" applyAlignment="1">
      <x:alignment wrapText="1"/>
    </x:xf>
    <x:xf numFmtId="0" fontId="15" fillId="15" borderId="0" xfId="0" applyNumberFormat="1" applyFont="1" applyFill="1" applyBorder="1" applyAlignment="1">
      <x:alignment wrapText="1"/>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0"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horizontal="center"/>
    </x:xf>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12" fillId="3" borderId="0" xfId="0" applyNumberFormat="1" applyFont="1" applyFill="1" applyBorder="1"/>
    <x:xf numFmtId="0" fontId="15" fillId="3" borderId="0" xfId="0" applyNumberFormat="1" applyFont="1" applyFill="1" applyBorder="1"/>
    <x:xf numFmtId="0" fontId="7"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wrapText="1"/>
    </x:xf>
    <x:xf numFmtId="0" fontId="15" fillId="3"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horizontal="center"/>
    </x:xf>
    <x:xf numFmtId="0" fontId="1" fillId="19" borderId="0" xfId="0" applyNumberFormat="1" applyFont="1" applyFill="1" applyBorder="1" applyAlignment="1">
      <x:alignment horizontal="center" vertical="center"/>
    </x:xf>
    <x:xf numFmtId="0" fontId="0" fillId="20" borderId="0" xfId="0" applyNumberFormat="1" applyFont="1" applyFill="1" applyBorder="1"/>
    <x:xf numFmtId="0" fontId="16" fillId="20" borderId="0" xfId="0" applyNumberFormat="1" applyFont="1" applyFill="1" applyBorder="1"/>
    <x:xf numFmtId="0" fontId="16" fillId="20" borderId="0" xfId="0" applyNumberFormat="1" applyFont="1" applyFill="1" applyBorder="1" applyAlignment="1">
      <x:alignment horizontal="center"/>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horizontal="center"/>
    </x:xf>
    <x:xf numFmtId="0" fontId="8" fillId="0" borderId="0" xfId="0" applyNumberFormat="1" applyFont="1" applyFill="1" applyBorder="1"/>
    <x:xf numFmtId="0" fontId="0" fillId="0" borderId="0" xfId="0" applyNumberFormat="1" applyFont="1" applyFill="1" applyBorder="1" applyAlignment="1">
      <x:alignment vertical="top" wrapText="1"/>
    </x:xf>
    <x:xf numFmtId="0" fontId="1" fillId="19" xfId="0" applyNumberFormat="1" applyFont="1" applyFill="1" applyBorder="0" applyAlignment="1">
      <x:alignment horizontal="center" vertical="center"/>
    </x:xf>
    <x:xf numFmtId="0" fontId="16" fillId="20" xfId="0" applyNumberFormat="1" applyFont="1" applyFill="1" applyBorder="0" applyAlignment="1">
      <x:alignment horizontal="center"/>
    </x:xf>
    <x:xf numFmtId="0" fontId="0" fillId="0" xfId="0" applyNumberFormat="1" applyFont="1" applyFill="1" applyBorder="0"/>
    <x:xf numFmtId="0" fontId="8" fillId="0" xfId="0" applyNumberFormat="1" applyFont="1" applyFill="1" applyBorder="0"/>
    <x:xf numFmtId="0" fontId="2" fillId="21" xfId="0" applyNumberFormat="1" applyFont="1" applyFill="1" applyBorder="0" applyAlignment="1">
      <x:alignment horizontal="center"/>
    </x:xf>
    <x:xf numFmtId="0" fontId="0" fillId="0" xfId="0" applyNumberFormat="1" applyFont="1" applyFill="1" applyBorder="0" applyAlignment="1">
      <x:alignment vertical="top" wrapText="1"/>
    </x:xf>
    <x:xf numFmtId="164" fontId="0" fillId="0" xfId="0" applyNumberFormat="1" applyFont="1" applyFill="1" applyBorder="0"/>
    <x:xf numFmtId="200" fontId="0" fillId="0" xfId="0" applyNumberFormat="1" applyFont="1" applyFill="1" applyBorder="0"/>
    <x:xf numFmtId="0" fontId="16" fillId="14" borderId="0" xfId="0" applyNumberFormat="1" applyFont="1" applyFill="1" applyBorder="1"/>
    <x:xf numFmtId="0" fontId="16" fillId="14" borderId="0" xfId="0" applyNumberFormat="1" applyFont="1" applyFill="1" applyBorder="1" applyAlignment="1">
      <x:alignment horizontal="center"/>
    </x:xf>
    <x:xf numFmtId="0" fontId="1" fillId="2" xfId="0" applyNumberFormat="1" applyFont="1" applyFill="1" applyBorder="0" applyAlignment="1">
      <x:alignment horizontal="center" vertical="center"/>
    </x:xf>
    <x:xf numFmtId="0" fontId="16" fillId="14" xfId="0" applyNumberFormat="1" applyFont="1" applyFill="1" applyBorder="0" applyAlignment="1">
      <x:alignment horizontal="center"/>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horizontal="center"/>
    </x:xf>
    <x:xf numFmtId="0" fontId="1" fillId="22" borderId="0" xfId="0" applyNumberFormat="1" applyFont="1" applyFill="1" applyBorder="1" applyAlignment="1">
      <x:alignment horizontal="center" vertical="center"/>
    </x:xf>
    <x:xf numFmtId="0" fontId="0" fillId="23" borderId="0" xfId="0" applyNumberFormat="1" applyFont="1" applyFill="1" applyBorder="1"/>
    <x:xf numFmtId="0" fontId="16" fillId="23" borderId="0" xfId="0" applyNumberFormat="1" applyFont="1" applyFill="1" applyBorder="1"/>
    <x:xf numFmtId="0" fontId="16" fillId="23" borderId="0" xfId="0" applyNumberFormat="1" applyFont="1" applyFill="1" applyBorder="1" applyAlignment="1">
      <x:alignment horizontal="center"/>
    </x:xf>
    <x:xf numFmtId="0" fontId="1" fillId="22" xfId="0" applyNumberFormat="1" applyFont="1" applyFill="1" applyBorder="0" applyAlignment="1">
      <x:alignment horizontal="center" vertical="center"/>
    </x:xf>
    <x:xf numFmtId="0" fontId="16" fillId="23" xfId="0" applyNumberFormat="1" applyFont="1" applyFill="1" applyBorder="0" applyAlignment="1">
      <x:alignment horizontal="center"/>
    </x:xf>
    <x:xf numFmtId="0" fontId="0" fillId="24" xfId="0" applyNumberFormat="1" applyFont="1" applyFill="1" applyBorder="0"/>
    <x:xf numFmtId="0" fontId="2" fillId="24" xfId="0" applyNumberFormat="1" applyFont="1" applyFill="1" applyBorder="0"/>
    <x:xf numFmtId="0" fontId="2" fillId="24" xfId="0" applyNumberFormat="1" applyFont="1" applyFill="1" applyBorder="0" applyAlignment="1">
      <x:alignment horizontal="center"/>
    </x:xf>
    <x:xf numFmtId="0" fontId="2" fillId="24" xfId="0" applyNumberFormat="1" applyFont="1" applyFill="1" applyBorder="0" applyAlignment="1">
      <x:alignment horizontal="center" vertical="center"/>
    </x:xf>
    <x:xf numFmtId="0" fontId="0" fillId="0" xfId="0" applyNumberFormat="1" applyFont="1" applyFill="1" applyBorder="0" applyAlignment="1">
      <x:alignment wrapText="1"/>
    </x:xf>
    <x:xf numFmtId="166" fontId="0" fillId="0" xfId="0" applyNumberFormat="1" applyFont="1" applyFill="1" applyBorder="0"/>
    <x:xf numFmtId="0" fontId="0" fillId="21" xfId="0" applyNumberFormat="1" applyFont="1" applyFill="1" applyBorder="0"/>
    <x:xf numFmtId="0" fontId="2" fillId="21" xfId="0" applyNumberFormat="1" applyFont="1" applyFill="1" applyBorder="0"/>
    <x:xf numFmtId="0" fontId="2" fillId="21" xfId="0" applyNumberFormat="1" applyFont="1" applyFill="1" applyBorder="0" applyAlignment="1">
      <x:alignment horizontal="center" vertical="center"/>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 fillId="25" borderId="0" xfId="0" applyNumberFormat="1" applyFont="1" applyFill="1" applyBorder="1" applyAlignment="1">
      <x:alignment horizontal="center" vertical="center"/>
    </x:xf>
    <x:xf numFmtId="0" fontId="1" fillId="25" xfId="0" applyNumberFormat="1" applyFont="1" applyFill="1" applyBorder="0" applyAlignment="1">
      <x:alignment horizontal="center" vertical="center"/>
    </x:xf>
    <x:xf numFmtId="0" fontId="0" fillId="26" xfId="0" applyNumberFormat="1" applyFont="1" applyFill="1" applyBorder="0"/>
    <x:xf numFmtId="0" fontId="2" fillId="26" xfId="0" applyNumberFormat="1" applyFont="1" applyFill="1" applyBorder="0"/>
    <x:xf numFmtId="0" fontId="2" fillId="26" xfId="0" applyNumberFormat="1" applyFont="1" applyFill="1" applyBorder="0" applyAlignment="1">
      <x:alignment horizontal="center"/>
    </x:xf>
    <x:xf numFmtId="0" fontId="2" fillId="26" xfId="0" applyNumberFormat="1" applyFont="1" applyFill="1" applyBorder="0" applyAlignment="1">
      <x:alignment horizontal="center" vertical="center"/>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horizontal="center"/>
    </x:xf>
    <x:xf numFmtId="0" fontId="2" fillId="26" borderId="0" xfId="0" applyNumberFormat="1" applyFont="1" applyFill="1" applyBorder="1" applyAlignment="1">
      <x:alignment horizontal="center" vertical="center"/>
    </x:xf>
    <x:xf numFmtId="201" fontId="0" fillId="0" borderId="0" xfId="0" applyNumberFormat="1" applyFont="1" applyFill="1" applyBorder="1"/>
  </x:cellXfs>
  <x:cellStyles count="1">
    <x:cellStyle name="Normal" xfId="0"/>
  </x:cellStyles>
  <x:dxfs count="7">
    <x:dxf>
      <x:font>
        <x:b/>
        <x:color rgb="FF9C0006"/>
      </x:font>
      <x:fill>
        <x:patternFill>
          <x:bgColor rgb="FFF4CCCC"/>
        </x:patternFill>
      </x:fill>
    </x:dxf>
    <x:dxf>
      <x:font>
        <x:b/>
      </x:font>
      <x:fill>
        <x:patternFill>
          <x:bgColor rgb="FFD9EAD3"/>
        </x:patternFill>
      </x:fill>
    </x:dxf>
    <x:dxf>
      <x:fill>
        <x:patternFill>
          <x:bgColor rgb="FFD9EAF7"/>
        </x:patternFill>
      </x:fill>
    </x:dxf>
    <x:dxf>
      <x:fill>
        <x:patternFill>
          <x:bgColor rgb="FFF4CCCC"/>
        </x:patternFill>
      </x:fill>
    </x:dxf>
    <x:dxf>
      <x:fill>
        <x:patternFill>
          <x:bgColor rgb="FFFFF2CC"/>
        </x:patternFill>
      </x:fill>
    </x:dxf>
    <x:dxf>
      <x:font>
        <x:b/>
        <x:color rgb="FF375623"/>
      </x:font>
      <x:fill>
        <x:patternFill>
          <x:bgColor rgb="FFE2F0D9"/>
        </x:patternFill>
      </x:fill>
    </x:dxf>
    <x:dxf>
      <x:font>
        <x:b/>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5168cce6497405f" /><Relationship Type="http://schemas.openxmlformats.org/officeDocument/2006/relationships/theme" Target="/xl/theme/theme1.xml" Id="Reb0bee1b0b1e420d" /><Relationship Type="http://schemas.openxmlformats.org/officeDocument/2006/relationships/sharedStrings" Target="/xl/sharedStrings.xml" Id="R9c03108ae1cb4cfa" /><Relationship Type="http://schemas.openxmlformats.org/officeDocument/2006/relationships/worksheet" Target="/xl/worksheets/sheet1.xml" Id="Re995ab2ecb6c4bc3" /><Relationship Type="http://schemas.openxmlformats.org/officeDocument/2006/relationships/worksheet" Target="/xl/worksheets/sheet2.xml" Id="R0d5e428b0ce14459" /><Relationship Type="http://schemas.openxmlformats.org/officeDocument/2006/relationships/worksheet" Target="/xl/worksheets/sheet3.xml" Id="Rce27694b94d14382" /><Relationship Type="http://schemas.openxmlformats.org/officeDocument/2006/relationships/worksheet" Target="/xl/worksheets/sheet4.xml" Id="Rae4de546a9904b2a" /><Relationship Type="http://schemas.openxmlformats.org/officeDocument/2006/relationships/worksheet" Target="/xl/worksheets/sheet5.xml" Id="R9a7d71bb501d4df8" /><Relationship Type="http://schemas.openxmlformats.org/officeDocument/2006/relationships/worksheet" Target="/xl/worksheets/sheet6.xml" Id="R647ce4eed4324927" /><Relationship Type="http://schemas.openxmlformats.org/officeDocument/2006/relationships/worksheet" Target="/xl/worksheets/sheet7.xml" Id="Re3dc9ff3d5384981" /><Relationship Type="http://schemas.openxmlformats.org/officeDocument/2006/relationships/worksheet" Target="/xl/worksheets/sheet8.xml" Id="R9f19ae6207d2491e" /><Relationship Type="http://schemas.openxmlformats.org/officeDocument/2006/relationships/worksheet" Target="/xl/worksheets/sheet9.xml" Id="Ra7c3e9dc7e8d43a9" /><Relationship Type="http://schemas.openxmlformats.org/officeDocument/2006/relationships/worksheet" Target="/xl/worksheets/sheet10.xml" Id="R6be892528be246d4" /><Relationship Type="http://schemas.openxmlformats.org/officeDocument/2006/relationships/worksheet" Target="/xl/worksheets/sheet11.xml" Id="R9780211a63cf497c" /><Relationship Type="http://schemas.openxmlformats.org/officeDocument/2006/relationships/worksheet" Target="/xl/worksheets/sheet12.xml" Id="R28143915c6df45e1" /><Relationship Type="http://schemas.openxmlformats.org/officeDocument/2006/relationships/worksheet" Target="/xl/worksheets/sheet13.xml" Id="R826b4a4cc029464c" /><Relationship Type="http://schemas.openxmlformats.org/officeDocument/2006/relationships/worksheet" Target="/xl/worksheets/sheet14.xml" Id="R61a34896f6d54452" /><Relationship Type="http://schemas.openxmlformats.org/officeDocument/2006/relationships/worksheet" Target="/xl/worksheets/sheet15.xml" Id="R2661a5d4ea3d4b22" /><Relationship Type="http://schemas.openxmlformats.org/officeDocument/2006/relationships/worksheet" Target="/xl/worksheets/sheet16.xml" Id="Rda0872528599426c" /><Relationship Type="http://schemas.openxmlformats.org/officeDocument/2006/relationships/worksheet" Target="/xl/worksheets/sheet17.xml" Id="R63102acda78b4f7d" /><Relationship Type="http://schemas.openxmlformats.org/officeDocument/2006/relationships/worksheet" Target="/xl/worksheets/sheet18.xml" Id="R29f937765b844290" /><Relationship Type="http://schemas.openxmlformats.org/officeDocument/2006/relationships/worksheet" Target="/xl/worksheets/sheet19.xml" Id="R992cf3ae216e4e3d" /><Relationship Type="http://schemas.openxmlformats.org/officeDocument/2006/relationships/worksheet" Target="/xl/worksheets/sheet20.xml" Id="Reb8986ff072741a9" /><Relationship Type="http://schemas.openxmlformats.org/officeDocument/2006/relationships/worksheet" Target="/xl/worksheets/sheet21.xml" Id="R305aa16ad72e4c1c" /><Relationship Type="http://schemas.openxmlformats.org/officeDocument/2006/relationships/worksheet" Target="/xl/worksheets/sheet22.xml" Id="R37c7225be31d4c62" /><Relationship Type="http://schemas.openxmlformats.org/officeDocument/2006/relationships/worksheet" Target="/xl/worksheets/sheet23.xml" Id="Red1f9835b8674be9" /><Relationship Type="http://schemas.openxmlformats.org/officeDocument/2006/relationships/worksheet" Target="/xl/worksheets/sheet24.xml" Id="R2887321b952e4490" /><Relationship Type="http://schemas.openxmlformats.org/officeDocument/2006/relationships/worksheet" Target="/xl/worksheets/sheet25.xml" Id="R9073c64e2b4d46e8" /><Relationship Type="http://schemas.openxmlformats.org/officeDocument/2006/relationships/worksheet" Target="/xl/worksheets/sheet26.xml" Id="Rdb5ad0731aae405e" /><Relationship Type="http://schemas.openxmlformats.org/officeDocument/2006/relationships/worksheet" Target="/xl/worksheets/sheet27.xml" Id="R8c8afebc3bef4b24" /><Relationship Type="http://schemas.openxmlformats.org/officeDocument/2006/relationships/worksheet" Target="/xl/worksheets/sheet28.xml" Id="R55676c8ec82f481a" /><Relationship Type="http://schemas.openxmlformats.org/officeDocument/2006/relationships/worksheet" Target="/xl/worksheets/sheet29.xml" Id="R37fa164a2fe7469c" /><Relationship Type="http://schemas.openxmlformats.org/officeDocument/2006/relationships/worksheet" Target="/xl/worksheets/sheet30.xml" Id="R2698dfaea9854167" /><Relationship Type="http://schemas.openxmlformats.org/officeDocument/2006/relationships/worksheet" Target="/xl/worksheets/sheet31.xml" Id="Rda0903fe7f2b4341" /><Relationship Type="http://schemas.openxmlformats.org/officeDocument/2006/relationships/worksheet" Target="/xl/worksheets/sheet32.xml" Id="R089abc732a6c450c" /><Relationship Type="http://schemas.openxmlformats.org/officeDocument/2006/relationships/worksheet" Target="/xl/worksheets/sheet33.xml" Id="R1a95eb72b2af44e4" /><Relationship Type="http://schemas.openxmlformats.org/officeDocument/2006/relationships/worksheet" Target="/xl/worksheets/sheet34.xml" Id="R77ad5102dcfd407d" /><Relationship Type="http://schemas.openxmlformats.org/officeDocument/2006/relationships/worksheet" Target="/xl/worksheets/sheet35.xml" Id="Rac797cd2921f49fc" /><Relationship Type="http://schemas.openxmlformats.org/officeDocument/2006/relationships/worksheet" Target="/xl/worksheets/sheet36.xml" Id="R4db6a5d139184ede" /><Relationship Type="http://schemas.openxmlformats.org/officeDocument/2006/relationships/worksheet" Target="/xl/worksheets/sheet37.xml" Id="Rfb7e46881d4044fa" /><Relationship Type="http://schemas.openxmlformats.org/officeDocument/2006/relationships/worksheet" Target="/xl/worksheets/sheet38.xml" Id="Rfe37b516c4994526" /><Relationship Type="http://schemas.openxmlformats.org/officeDocument/2006/relationships/worksheet" Target="/xl/worksheets/sheet39.xml" Id="R3c2379add853449b" /><Relationship Type="http://schemas.openxmlformats.org/officeDocument/2006/relationships/worksheet" Target="/xl/worksheets/sheet40.xml" Id="R8d66e463a8974ddd" /><Relationship Type="http://schemas.openxmlformats.org/officeDocument/2006/relationships/worksheet" Target="/xl/worksheets/sheet41.xml" Id="R12d5549f3774466c" /><Relationship Type="http://schemas.openxmlformats.org/officeDocument/2006/relationships/worksheet" Target="/xl/worksheets/sheet42.xml" Id="R4b73baf41b8847e4" /><Relationship Type="http://schemas.openxmlformats.org/officeDocument/2006/relationships/worksheet" Target="/xl/worksheets/sheet43.xml" Id="R58e66787206440d3" /><Relationship Type="http://schemas.openxmlformats.org/officeDocument/2006/relationships/worksheet" Target="/xl/worksheets/sheet44.xml" Id="Ra96415b552194013" /><Relationship Type="http://schemas.openxmlformats.org/officeDocument/2006/relationships/worksheet" Target="/xl/worksheets/sheet45.xml" Id="R0c10ab233ba3439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64b953bd2254380" /></Relationships>
</file>

<file path=xl/drawings/_rels/drawing2.xml.rels>&#65279;<?xml version="1.0" encoding="utf-8"?><Relationships xmlns="http://schemas.openxmlformats.org/package/2006/relationships"><Relationship Type="http://schemas.openxmlformats.org/officeDocument/2006/relationships/chart" Target="/xl/drawings/charts/chart2.xml" Id="R91c38975c0be48b6" /></Relationships>
</file>

<file path=xl/drawings/_rels/drawing3.xml.rels>&#65279;<?xml version="1.0" encoding="utf-8"?><Relationships xmlns="http://schemas.openxmlformats.org/package/2006/relationships"><Relationship Type="http://schemas.openxmlformats.org/officeDocument/2006/relationships/chart" Target="/xl/drawings/charts/chart3.xml" Id="R1725f6f1899a4da4" /></Relationships>
</file>

<file path=xl/drawings/_rels/drawing4.xml.rels>&#65279;<?xml version="1.0" encoding="utf-8"?><Relationships xmlns="http://schemas.openxmlformats.org/package/2006/relationships"><Relationship Type="http://schemas.openxmlformats.org/officeDocument/2006/relationships/chart" Target="/xl/drawings/charts/chart4.xml" Id="R113d59a4570949a2" /><Relationship Type="http://schemas.openxmlformats.org/officeDocument/2006/relationships/chart" Target="/xl/drawings/charts/chart5.xml" Id="R906f64e3fcde4e97" /></Relationships>
</file>

<file path=xl/drawings/_rels/drawing5.xml.rels>&#65279;<?xml version="1.0" encoding="utf-8"?><Relationships xmlns="http://schemas.openxmlformats.org/package/2006/relationships"><Relationship Type="http://schemas.openxmlformats.org/officeDocument/2006/relationships/chart" Target="/xl/drawings/charts/chart6.xml" Id="R48cab02e5cb0438d" /><Relationship Type="http://schemas.openxmlformats.org/officeDocument/2006/relationships/chart" Target="/xl/drawings/charts/chart7.xml" Id="Ra22a34ff2b06474b" /></Relationships>
</file>

<file path=xl/drawings/_rels/drawing6.xml.rels>&#65279;<?xml version="1.0" encoding="utf-8"?><Relationships xmlns="http://schemas.openxmlformats.org/package/2006/relationships"><Relationship Type="http://schemas.openxmlformats.org/officeDocument/2006/relationships/chart" Target="/xl/drawings/charts/chart8.xml" Id="R8560b195978d4fd5" /><Relationship Type="http://schemas.openxmlformats.org/officeDocument/2006/relationships/chart" Target="/xl/drawings/charts/chart9.xml" Id="R3f0fb53554e44749" /><Relationship Type="http://schemas.openxmlformats.org/officeDocument/2006/relationships/chart" Target="/xl/drawings/charts/chart10.xml" Id="R03ecf4a6f8a742dc" /><Relationship Type="http://schemas.openxmlformats.org/officeDocument/2006/relationships/chart" Target="/xl/drawings/charts/chart11.xml" Id="R4e0c0964ec2c40bc" /><Relationship Type="http://schemas.openxmlformats.org/officeDocument/2006/relationships/chart" Target="/xl/drawings/charts/chart12.xml" Id="Rce10684440e24e9c" /><Relationship Type="http://schemas.openxmlformats.org/officeDocument/2006/relationships/chart" Target="/xl/drawings/charts/chart13.xml" Id="R4b480c5fcf5242c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10 Stage 4 Advanced Index</a:t>
            </a:r>
          </a:p>
        </c:rich>
      </c:tx>
      <c:overlay val="0"/>
    </c:title>
    <c:autoTitleDeleted val="0"/>
    <c:plotArea>
      <c:layout/>
      <c:barChart>
        <c:barDir val="col"/>
        <c:grouping val="clustered"/>
        <c:varyColors val="0"/>
        <c:ser>
          <c:idx val="0"/>
          <c:order val="0"/>
          <c:tx>
            <c:v>Series 1</c:v>
          </c:tx>
          <c:spPr>
            <a:ln xmlns:a="http://schemas.openxmlformats.org/drawingml/2006/main">
              <a:prstDash val="solid"/>
            </a:ln>
          </c:spPr>
          <c:cat>
            <c:strLit>
              <c:ptCount val="1"/>
              <c:pt idx="0">
                <c:v>Item 1</c:v>
              </c:pt>
            </c:strLit>
          </c:cat>
          <c:val>
            <c:numLit>
              <c:formatCode>General</c:formatCode>
              <c:ptCount val="1"/>
              <c:pt idx="0">
                <c:v>0</c:v>
              </c:pt>
            </c:numLit>
          </c:val>
        </c:ser>
        <c:ser>
          <c:idx val="1"/>
          <c:order val="1"/>
          <c:tx>
            <c:v>Advanced Index</c:v>
          </c:tx>
          <c:spPr>
            <a:ln xmlns:a="http://schemas.openxmlformats.org/drawingml/2006/main">
              <a:prstDash val="solid"/>
            </a:ln>
          </c:spPr>
          <c:cat>
            <c:strRef>
              <c:f>'Stage 4 Dashboard'!$B$12:$B$21</c:f>
              <c:strCache>
                <c:ptCount val="1"/>
                <c:pt idx="0">
                  <c:v>Item 1</c:v>
                </c:pt>
              </c:strCache>
            </c:strRef>
          </c:cat>
          <c:val>
            <c:numRef>
              <c:f>'Stage 4 Dashboard'!$J$12:$J$21</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10 FLPR Ratings</a:t>
            </a:r>
          </a:p>
        </c:rich>
      </c:tx>
      <c:overlay val="0"/>
    </c:title>
    <c:autoTitleDeleted val="0"/>
    <c:plotArea>
      <c:layout/>
      <c:barChart>
        <c:barDir val="col"/>
        <c:grouping val="clustered"/>
        <c:varyColors val="0"/>
        <c:ser>
          <c:idx val="0"/>
          <c:order val="0"/>
          <c:tx>
            <c:v>Series 1</c:v>
          </c:tx>
          <c:spPr>
            <a:ln xmlns:a="http://schemas.openxmlformats.org/drawingml/2006/main">
              <a:prstDash val="solid"/>
            </a:ln>
          </c:spPr>
          <c:cat>
            <c:strLit>
              <c:ptCount val="1"/>
              <c:pt idx="0">
                <c:v>Item 1</c:v>
              </c:pt>
            </c:strLit>
          </c:cat>
          <c:val>
            <c:numLit>
              <c:formatCode>General</c:formatCode>
              <c:ptCount val="1"/>
              <c:pt idx="0">
                <c:v>0</c:v>
              </c:pt>
            </c:numLit>
          </c:val>
        </c:ser>
        <c:ser>
          <c:idx val="1"/>
          <c:order val="1"/>
          <c:tx>
            <c:v>FLPR Rating</c:v>
          </c:tx>
          <c:spPr>
            <a:ln xmlns:a="http://schemas.openxmlformats.org/drawingml/2006/main">
              <a:prstDash val="solid"/>
            </a:ln>
          </c:spPr>
          <c:cat>
            <c:strRef>
              <c:f>'Stage 5 Dashboard'!$B$12:$B$21</c:f>
              <c:strCache>
                <c:ptCount val="1"/>
                <c:pt idx="0">
                  <c:v>Item 1</c:v>
                </c:pt>
              </c:strCache>
            </c:strRef>
          </c:cat>
          <c:val>
            <c:numRef>
              <c:f>'Stage 5 Dashboard'!$I$12:$I$21</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Players by Handicap Index</a:t>
            </a:r>
          </a:p>
        </c:rich>
      </c:tx>
      <c:overlay val="0"/>
    </c:title>
    <c:autoTitleDeleted val="0"/>
    <c:plotArea>
      <c:layout/>
      <c:barChart>
        <c:barDir val="col"/>
        <c:grouping val="clustered"/>
        <c:varyColors val="0"/>
        <c:ser>
          <c:idx val="0"/>
          <c:order val="0"/>
          <c:tx>
            <c:v>Series 1</c:v>
          </c:tx>
          <c:spPr>
            <a:ln xmlns:a="http://schemas.openxmlformats.org/drawingml/2006/main">
              <a:prstDash val="solid"/>
            </a:ln>
          </c:spPr>
          <c:cat>
            <c:strRef>
              <c:f>'Stage 6 Dashboard'!$D$4:$D$12</c:f>
              <c:strCache>
                <c:ptCount val="0"/>
              </c:strCache>
            </c:strRef>
          </c:cat>
          <c:val>
            <c:numRef>
              <c:f>'Stage 6 Dashboard'!$E$4:$E$12</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Handicap Distribution</a:t>
            </a:r>
          </a:p>
        </c:rich>
      </c:tx>
      <c:overlay val="0"/>
    </c:title>
    <c:autoTitleDeleted val="0"/>
    <c:plotArea>
      <c:layout/>
      <c:pieChart>
        <c:ser>
          <c:idx val="0"/>
          <c:order val="0"/>
          <c:tx>
            <c:strRef>
              <c:f>'FLPR Visual Dashboard'!B30</c:f>
              <c:strCache>
                <c:ptCount val="1"/>
                <c:pt idx="0">
                  <c:v>None</c:v>
                </c:pt>
              </c:strCache>
            </c:strRef>
          </c:tx>
          <c:spPr>
            <a:ln xmlns:a="http://schemas.openxmlformats.org/drawingml/2006/main">
              <a:prstDash val="solid"/>
            </a:ln>
          </c:spPr>
          <c:cat>
            <c:strRef>
              <c:f>'FLPR Visual Dashboard'!$A$31:$A$230</c:f>
              <c:strCache>
                <c:ptCount val="0"/>
              </c:strCache>
            </c:strRef>
          </c:cat>
          <c:val>
            <c:numRef>
              <c:f>'FLPR Visual Dashboard'!$B$31:$B$230</c:f>
              <c:numCache>
                <c:formatCode>General</c:formatCode>
                <c:ptCount val="0"/>
              </c:numCache>
            </c:numRef>
          </c:val>
        </c:ser>
        <c:dLbls>
          <c:showLegendKey val="0"/>
          <c:showVal val="0"/>
          <c:showCatName val="0"/>
          <c:showSerName val="0"/>
          <c:showPercent val="1"/>
          <c:showBubbleSize val="0"/>
          <c:showLeaderLines val="0"/>
        </c:dLbls>
        <c:firstSliceAng val="0"/>
      </c:pieChart>
    </c:plotArea>
    <c:legend>
      <c:legendPos val="r"/>
      <c:overlay val="0"/>
    </c:legend>
    <c:plotVisOnly val="1"/>
  </c:chart>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Reliability</a:t>
            </a:r>
          </a:p>
        </c:rich>
      </c:tx>
      <c:overlay val="0"/>
    </c:title>
    <c:autoTitleDeleted val="0"/>
    <c:plotArea>
      <c:layout/>
      <c:lineChart>
        <c:grouping val="standard"/>
        <c:varyColors val="0"/>
        <c:ser>
          <c:idx val="0"/>
          <c:order val="0"/>
          <c:tx>
            <c:strRef>
              <c:f>'Player Handicap'!G1</c:f>
              <c:strCache>
                <c:ptCount val="1"/>
                <c:pt idx="0">
                  <c:v>None</c:v>
                </c:pt>
              </c:strCache>
            </c:strRef>
          </c:tx>
          <c:spPr>
            <a:ln xmlns:a="http://schemas.openxmlformats.org/drawingml/2006/main">
              <a:prstDash val="solid"/>
            </a:ln>
          </c:spPr>
          <c:marker>
            <c:symbol val="none"/>
          </c:marker>
          <c:cat>
            <c:strRef>
              <c:f>'Player Handicap'!$B$2:$B$201</c:f>
              <c:strCache>
                <c:ptCount val="0"/>
              </c:strCache>
            </c:strRef>
          </c:cat>
          <c:val>
            <c:numRef>
              <c:f>'Player Handicap'!$G$2:$G$201</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l"/>
        <c:numFmt formatCode="General" sourceLinked="0"/>
        <c:majorTickMark val="none"/>
        <c:minorTickMark val="none"/>
        <c:crossAx val="48672768"/>
        <c:crosses val="autoZero"/>
        <c:lblAlgn val="ctr"/>
        <c:lblOffset val="100"/>
        <c:noMultiLvlLbl val="0"/>
      </c:catAx>
      <c:valAx>
        <c:axId val="48672768"/>
        <c:scaling>
          <c:orientation val="minMax"/>
        </c:scaling>
        <c:delete val="0"/>
        <c:axPos val="l"/>
        <c:numFmt formatCode="General" sourceLinked="0"/>
        <c:majorTickMark val="none"/>
        <c:minorTickMark val="none"/>
        <c:crossAx val="48650112"/>
        <c:crosses val="autoZero"/>
        <c:crossBetween val="between"/>
      </c:valAx>
    </c:plotArea>
    <c:legend>
      <c:legendPos val="r"/>
      <c:overlay val="0"/>
    </c:legend>
    <c:plotVisOnly val="1"/>
  </c:chart>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10 FLPR Rating</a:t>
            </a:r>
          </a:p>
        </c:rich>
      </c:tx>
      <c:overlay val="0"/>
    </c:title>
    <c:autoTitleDeleted val="0"/>
    <c:plotArea>
      <c:layout/>
      <c:barChart>
        <c:barDir val="col"/>
        <c:grouping val="clustered"/>
        <c:varyColors val="0"/>
        <c:ser>
          <c:idx val="0"/>
          <c:order val="0"/>
          <c:tx>
            <c:v>Player</c:v>
          </c:tx>
          <c:spPr>
            <a:ln xmlns:a="http://schemas.openxmlformats.org/drawingml/2006/main">
              <a:prstDash val="solid"/>
            </a:ln>
          </c:spPr>
          <c:cat>
            <c:strRef>
              <c:f>'Executive Dashboard v2'!$A$11:$A$20</c:f>
              <c:strCache>
                <c:ptCount val="0"/>
              </c:strCache>
            </c:strRef>
          </c:cat>
          <c:val>
            <c:numRef>
              <c:f>'Executive Dashboard v2'!$B$11:$B$20</c:f>
              <c:numCache>
                <c:formatCode>General</c:formatCode>
                <c:ptCount val="0"/>
              </c:numCache>
            </c:numRef>
          </c:val>
        </c:ser>
        <c:ser>
          <c:idx val="1"/>
          <c:order val="1"/>
          <c:tx>
            <c:v>Rating</c:v>
          </c:tx>
          <c:spPr>
            <a:ln xmlns:a="http://schemas.openxmlformats.org/drawingml/2006/main">
              <a:prstDash val="solid"/>
            </a:ln>
          </c:spPr>
          <c:cat>
            <c:strRef>
              <c:f>'Executive Dashboard v2'!$A$11:$A$20</c:f>
              <c:strCache>
                <c:ptCount val="0"/>
              </c:strCache>
            </c:strRef>
          </c:cat>
          <c:val>
            <c:numRef>
              <c:f>'Executive Dashboard v2'!$C$11:$C$20</c:f>
              <c:numCache>
                <c:formatCode>0.00</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Handicap Distribution</a:t>
            </a:r>
          </a:p>
        </c:rich>
      </c:tx>
      <c:overlay val="0"/>
    </c:title>
    <c:autoTitleDeleted val="0"/>
    <c:plotArea>
      <c:layout/>
      <c:barChart>
        <c:barDir val="col"/>
        <c:grouping val="clustered"/>
        <c:varyColors val="0"/>
        <c:ser>
          <c:idx val="0"/>
          <c:order val="0"/>
          <c:tx>
            <c:v>Players</c:v>
          </c:tx>
          <c:spPr>
            <a:ln xmlns:a="http://schemas.openxmlformats.org/drawingml/2006/main">
              <a:prstDash val="solid"/>
            </a:ln>
          </c:spPr>
          <c:cat>
            <c:strRef>
              <c:f>'Executive Dashboard v2'!$G$11:$G$17</c:f>
              <c:strCache>
                <c:ptCount val="0"/>
              </c:strCache>
            </c:strRef>
          </c:cat>
          <c:val>
            <c:numRef>
              <c:f>'Executive Dashboard v2'!$H$11:$H$17</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Tournament Statistics — Top 10 Rating</a:t>
            </a:r>
          </a:p>
        </c:rich>
      </c:tx>
      <c:overlay val="0"/>
    </c:title>
    <c:autoTitleDeleted val="0"/>
    <c:plotArea>
      <c:layout/>
      <c:barChart>
        <c:barDir val="col"/>
        <c:varyColors val="0"/>
        <c:ser>
          <c:idx val="0"/>
          <c:order val="0"/>
          <c:tx>
            <c:v>Series 1</c:v>
          </c:tx>
          <c:cat>
            <c:strRef>
              <c:f>'Tournament Statistics'!$E$5:$E$14</c:f>
              <c:strCache>
                <c:ptCount val="0"/>
              </c:strCache>
            </c:strRef>
          </c:cat>
          <c:val>
            <c:numRef>
              <c:f>'Tournament Statistics'!$F$5:$F$14</c:f>
              <c:numCache>
                <c:formatCode>General</c:formatCode>
                <c:ptCount val="0"/>
              </c:numCache>
            </c:numRef>
          </c:val>
        </c:ser>
        <c:ser>
          <c:idx val="1"/>
          <c:order val="1"/>
          <c:tx>
            <c:v>Series 2</c:v>
          </c:tx>
          <c:cat>
            <c:strRef>
              <c:f>'Tournament Statistics'!$E$5:$E$14</c:f>
              <c:strCache>
                <c:ptCount val="0"/>
              </c:strCache>
            </c:strRef>
          </c:cat>
          <c:val>
            <c:numRef>
              <c:f>'Tournament Statistics'!$G$5:$G$14</c:f>
              <c:numCache>
                <c:formatCode>General</c:formatCode>
                <c:ptCount val="0"/>
              </c:numCache>
            </c:numRef>
          </c:val>
        </c:ser>
        <c:ser>
          <c:idx val="2"/>
          <c:order val="2"/>
          <c:tx>
            <c:v>Series 3</c:v>
          </c:tx>
          <c:cat>
            <c:strRef>
              <c:f>'Tournament Statistics'!$E$5:$E$14</c:f>
              <c:strCache>
                <c:ptCount val="0"/>
              </c:strCache>
            </c:strRef>
          </c:cat>
          <c:val>
            <c:numRef>
              <c:f>'Tournament Statistics'!$H$5:$H$14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Tournament Statistics — Matches Played</a:t>
            </a:r>
          </a:p>
        </c:rich>
      </c:tx>
      <c:overlay val="0"/>
    </c:title>
    <c:autoTitleDeleted val="0"/>
    <c:plotArea>
      <c:layout/>
      <c:barChart>
        <c:barDir val="col"/>
        <c:grouping val="clustered"/>
        <c:varyColors val="0"/>
        <c:ser>
          <c:idx val="0"/>
          <c:order val="0"/>
          <c:tx>
            <c:v>MP</c:v>
          </c:tx>
          <c:cat>
            <c:strRef>
              <c:f>'Tournament Statistics'!$A$18:$A$37</c:f>
              <c:strCache>
                <c:ptCount val="0"/>
              </c:strCache>
            </c:strRef>
          </c:cat>
          <c:val>
            <c:numRef>
              <c:f>'Tournament Statistics'!$B$18:$B$37</c:f>
              <c:numCache>
                <c:formatCode>General</c:formatCode>
                <c:ptCount val="0"/>
              </c:numCache>
            </c:numRef>
          </c:val>
        </c:ser>
        <c:ser>
          <c:idx val="1"/>
          <c:order val="1"/>
          <c:tx>
            <c:v>Wins</c:v>
          </c:tx>
          <c:cat>
            <c:strRef>
              <c:f>'Tournament Statistics'!$A$18:$A$37</c:f>
              <c:strCache>
                <c:ptCount val="0"/>
              </c:strCache>
            </c:strRef>
          </c:cat>
          <c:val>
            <c:numRef>
              <c:f>'Tournament Statistics'!$C$18:$C$37</c:f>
              <c:numCache>
                <c:formatCode>General</c:formatCode>
                <c:ptCount val="0"/>
              </c:numCache>
            </c:numRef>
          </c:val>
        </c:ser>
        <c:ser>
          <c:idx val="2"/>
          <c:order val="2"/>
          <c:tx>
            <c:v>Losses</c:v>
          </c:tx>
          <c:cat>
            <c:strRef>
              <c:f>'Tournament Statistics'!$A$18:$A$37</c:f>
              <c:strCache>
                <c:ptCount val="0"/>
              </c:strCache>
            </c:strRef>
          </c:cat>
          <c:val>
            <c:numRef>
              <c:f>'Tournament Statistics'!$D$18:$D$37</c:f>
              <c:numCache>
                <c:formatCode>General</c:formatCode>
                <c:ptCount val="0"/>
              </c:numCache>
            </c:numRef>
          </c:val>
        </c:ser>
        <c:ser>
          <c:idx val="3"/>
          <c:order val="3"/>
          <c:tx>
            <c:v>Win %</c:v>
          </c:tx>
          <c:cat>
            <c:strRef>
              <c:f>'Tournament Statistics'!$A$18:$A$37</c:f>
              <c:strCache>
                <c:ptCount val="0"/>
              </c:strCache>
            </c:strRef>
          </c:cat>
          <c:val>
            <c:numRef>
              <c:f>'Tournament Statistics'!$E$18:$E$37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FLPR Awards — Winning Metric Values</a:t>
            </a:r>
          </a:p>
        </c:rich>
      </c:tx>
      <c:overlay val="0"/>
    </c:title>
    <c:autoTitleDeleted val="0"/>
    <c:plotArea>
      <c:layout/>
      <c:barChart>
        <c:barDir val="col"/>
        <c:varyColors val="0"/>
        <c:ser>
          <c:idx val="0"/>
          <c:order val="0"/>
          <c:tx>
            <c:v>Winner</c:v>
          </c:tx>
          <c:cat>
            <c:strRef>
              <c:f>'Awards'!$A$5:$A$15</c:f>
              <c:strCache>
                <c:ptCount val="0"/>
              </c:strCache>
            </c:strRef>
          </c:cat>
          <c:val>
            <c:numRef>
              <c:f>'Awards'!$B$5:$B$15</c:f>
              <c:numCache>
                <c:formatCode>General</c:formatCode>
                <c:ptCount val="0"/>
              </c:numCache>
            </c:numRef>
          </c:val>
        </c:ser>
        <c:ser>
          <c:idx val="1"/>
          <c:order val="1"/>
          <c:tx>
            <c:v>Primary Metric</c:v>
          </c:tx>
          <c:cat>
            <c:strRef>
              <c:f>'Awards'!$A$5:$A$15</c:f>
              <c:strCache>
                <c:ptCount val="0"/>
              </c:strCache>
            </c:strRef>
          </c:cat>
          <c:val>
            <c:numRef>
              <c:f>'Awards'!$C$5:$C$15</c:f>
              <c:numCache>
                <c:formatCode>General</c:formatCode>
                <c:ptCount val="0"/>
              </c:numCache>
            </c:numRef>
          </c:val>
        </c:ser>
        <c:ser>
          <c:idx val="2"/>
          <c:order val="2"/>
          <c:tx>
            <c:v>Value</c:v>
          </c:tx>
          <c:cat>
            <c:strRef>
              <c:f>'Awards'!$A$5:$A$15</c:f>
              <c:strCache>
                <c:ptCount val="0"/>
              </c:strCache>
            </c:strRef>
          </c:cat>
          <c:val>
            <c:numRef>
              <c:f>'Awards'!$D$5:$D$15</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Advanced Analytics — Recent Form</a:t>
            </a:r>
          </a:p>
        </c:rich>
      </c:tx>
      <c:overlay val="0"/>
    </c:title>
    <c:autoTitleDeleted val="0"/>
    <c:plotArea>
      <c:layout/>
      <c:barChart>
        <c:barDir val="col"/>
        <c:varyColors val="0"/>
        <c:ser>
          <c:idx val="0"/>
          <c:order val="0"/>
          <c:tx>
            <c:v>MP</c:v>
          </c:tx>
          <c:cat>
            <c:strRef>
              <c:f>'Official Ranking v2'!$B$6:$B$15</c:f>
              <c:strCache>
                <c:ptCount val="0"/>
              </c:strCache>
            </c:strRef>
          </c:cat>
          <c:val>
            <c:numRef>
              <c:f>'Official Ranking v2'!$C$6:$C$15</c:f>
              <c:numCache>
                <c:formatCode>General</c:formatCode>
                <c:ptCount val="0"/>
              </c:numCache>
            </c:numRef>
          </c:val>
        </c:ser>
        <c:ser>
          <c:idx val="1"/>
          <c:order val="1"/>
          <c:tx>
            <c:v>W</c:v>
          </c:tx>
          <c:cat>
            <c:strRef>
              <c:f>'Official Ranking v2'!$B$6:$B$15</c:f>
              <c:strCache>
                <c:ptCount val="0"/>
              </c:strCache>
            </c:strRef>
          </c:cat>
          <c:val>
            <c:numRef>
              <c:f>'Official Ranking v2'!$D$6:$D$15</c:f>
              <c:numCache>
                <c:formatCode>General</c:formatCode>
                <c:ptCount val="0"/>
              </c:numCache>
            </c:numRef>
          </c:val>
        </c:ser>
        <c:ser>
          <c:idx val="2"/>
          <c:order val="2"/>
          <c:tx>
            <c:v>L</c:v>
          </c:tx>
          <c:cat>
            <c:strRef>
              <c:f>'Official Ranking v2'!$B$6:$B$15</c:f>
              <c:strCache>
                <c:ptCount val="0"/>
              </c:strCache>
            </c:strRef>
          </c:cat>
          <c:val>
            <c:numRef>
              <c:f>'Official Ranking v2'!$E$6:$E$15</c:f>
              <c:numCache>
                <c:formatCode>General</c:formatCode>
                <c:ptCount val="0"/>
              </c:numCache>
            </c:numRef>
          </c:val>
        </c:ser>
        <c:ser>
          <c:idx val="3"/>
          <c:order val="3"/>
          <c:tx>
            <c:v>Raw Win %</c:v>
          </c:tx>
          <c:cat>
            <c:strRef>
              <c:f>'Official Ranking v2'!$B$6:$B$15</c:f>
              <c:strCache>
                <c:ptCount val="0"/>
              </c:strCache>
            </c:strRef>
          </c:cat>
          <c:val>
            <c:numRef>
              <c:f>'Official Ranking v2'!$F$6:$F$15</c:f>
              <c:numCache>
                <c:formatCode>0.0%</c:formatCode>
                <c:ptCount val="0"/>
              </c:numCache>
            </c:numRef>
          </c:val>
        </c:ser>
        <c:ser>
          <c:idx val="4"/>
          <c:order val="4"/>
          <c:tx>
            <c:v>Adjusted Win %</c:v>
          </c:tx>
          <c:cat>
            <c:strRef>
              <c:f>'Official Ranking v2'!$B$6:$B$15</c:f>
              <c:strCache>
                <c:ptCount val="0"/>
              </c:strCache>
            </c:strRef>
          </c:cat>
          <c:val>
            <c:numRef>
              <c:f>'Official Ranking v2'!$G$6:$G$15</c:f>
              <c:numCache>
                <c:formatCode>0.0%</c:formatCode>
                <c:ptCount val="0"/>
              </c:numCache>
            </c:numRef>
          </c:val>
        </c:ser>
        <c:ser>
          <c:idx val="5"/>
          <c:order val="5"/>
          <c:tx>
            <c:v>Dominance</c:v>
          </c:tx>
          <c:cat>
            <c:strRef>
              <c:f>'Official Ranking v2'!$B$6:$B$15</c:f>
              <c:strCache>
                <c:ptCount val="0"/>
              </c:strCache>
            </c:strRef>
          </c:cat>
          <c:val>
            <c:numRef>
              <c:f>'Official Ranking v2'!$H$6:$H$15</c:f>
              <c:numCache>
                <c:formatCode>General</c:formatCode>
                <c:ptCount val="0"/>
              </c:numCache>
            </c:numRef>
          </c:val>
        </c:ser>
        <c:ser>
          <c:idx val="6"/>
          <c:order val="6"/>
          <c:tx>
            <c:v>Vs Expectation</c:v>
          </c:tx>
          <c:cat>
            <c:strRef>
              <c:f>'Official Ranking v2'!$B$6:$B$15</c:f>
              <c:strCache>
                <c:ptCount val="0"/>
              </c:strCache>
            </c:strRef>
          </c:cat>
          <c:val>
            <c:numRef>
              <c:f>'Official Ranking v2'!$I$6:$I$15</c:f>
              <c:numCache>
                <c:formatCode>General</c:formatCode>
                <c:ptCount val="0"/>
              </c:numCache>
            </c:numRef>
          </c:val>
        </c:ser>
        <c:ser>
          <c:idx val="7"/>
          <c:order val="7"/>
          <c:tx>
            <c:v>Vs Exp Score</c:v>
          </c:tx>
          <c:cat>
            <c:strRef>
              <c:f>'Official Ranking v2'!$B$6:$B$15</c:f>
              <c:strCache>
                <c:ptCount val="0"/>
              </c:strCache>
            </c:strRef>
          </c:cat>
          <c:val>
            <c:numRef>
              <c:f>'Official Ranking v2'!$J$6:$J$15</c:f>
              <c:numCache>
                <c:formatCode>General</c:formatCode>
                <c:ptCount val="0"/>
              </c:numCache>
            </c:numRef>
          </c:val>
        </c:ser>
        <c:ser>
          <c:idx val="8"/>
          <c:order val="8"/>
          <c:tx>
            <c:v>SOS Raw</c:v>
          </c:tx>
          <c:cat>
            <c:strRef>
              <c:f>'Official Ranking v2'!$B$6:$B$15</c:f>
              <c:strCache>
                <c:ptCount val="0"/>
              </c:strCache>
            </c:strRef>
          </c:cat>
          <c:val>
            <c:numRef>
              <c:f>'Official Ranking v2'!$K$6:$K$15</c:f>
              <c:numCache>
                <c:formatCode>General</c:formatCode>
                <c:ptCount val="0"/>
              </c:numCache>
            </c:numRef>
          </c:val>
        </c:ser>
        <c:ser>
          <c:idx val="9"/>
          <c:order val="9"/>
          <c:tx>
            <c:v>SOS Score</c:v>
          </c:tx>
          <c:cat>
            <c:strRef>
              <c:f>'Official Ranking v2'!$B$6:$B$15</c:f>
              <c:strCache>
                <c:ptCount val="0"/>
              </c:strCache>
            </c:strRef>
          </c:cat>
          <c:val>
            <c:numRef>
              <c:f>'Official Ranking v2'!$L$6:$L$15</c:f>
              <c:numCache>
                <c:formatCode>General</c:formatCode>
                <c:ptCount val="0"/>
              </c:numCache>
            </c:numRef>
          </c:val>
        </c:ser>
        <c:ser>
          <c:idx val="10"/>
          <c:order val="10"/>
          <c:tx>
            <c:v>Consistency</c:v>
          </c:tx>
          <c:cat>
            <c:strRef>
              <c:f>'Official Ranking v2'!$B$6:$B$15</c:f>
              <c:strCache>
                <c:ptCount val="0"/>
              </c:strCache>
            </c:strRef>
          </c:cat>
          <c:val>
            <c:numRef>
              <c:f>'Official Ranking v2'!$M$6:$M$15</c:f>
              <c:numCache>
                <c:formatCode>General</c:formatCode>
                <c:ptCount val="0"/>
              </c:numCache>
            </c:numRef>
          </c:val>
        </c:ser>
        <c:ser>
          <c:idx val="11"/>
          <c:order val="11"/>
          <c:tx>
            <c:v>Clutch</c:v>
          </c:tx>
          <c:cat>
            <c:strRef>
              <c:f>'Official Ranking v2'!$B$6:$B$15</c:f>
              <c:strCache>
                <c:ptCount val="0"/>
              </c:strCache>
            </c:strRef>
          </c:cat>
          <c:val>
            <c:numRef>
              <c:f>'Official Ranking v2'!$N$6:$N$15</c:f>
              <c:numCache>
                <c:formatCode>General</c:formatCode>
                <c:ptCount val="0"/>
              </c:numCache>
            </c:numRef>
          </c:val>
        </c:ser>
        <c:ser>
          <c:idx val="12"/>
          <c:order val="12"/>
          <c:tx>
            <c:v>Versatility</c:v>
          </c:tx>
          <c:cat>
            <c:strRef>
              <c:f>'Official Ranking v2'!$B$6:$B$15</c:f>
              <c:strCache>
                <c:ptCount val="0"/>
              </c:strCache>
            </c:strRef>
          </c:cat>
          <c:val>
            <c:numRef>
              <c:f>'Official Ranking v2'!$O$6:$O$15</c:f>
              <c:numCache>
                <c:formatCode>General</c:formatCode>
                <c:ptCount val="0"/>
              </c:numCache>
            </c:numRef>
          </c:val>
        </c:ser>
        <c:ser>
          <c:idx val="13"/>
          <c:order val="13"/>
          <c:tx>
            <c:v>Recent Form</c:v>
          </c:tx>
          <c:cat>
            <c:strRef>
              <c:f>'Official Ranking v2'!$B$6:$B$15</c:f>
              <c:strCache>
                <c:ptCount val="0"/>
              </c:strCache>
            </c:strRef>
          </c:cat>
          <c:val>
            <c:numRef>
              <c:f>'Official Ranking v2'!$P$6:$P$15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Advanced Analytics — Consistency &amp; Clutch</a:t>
            </a:r>
          </a:p>
        </c:rich>
      </c:tx>
      <c:overlay val="0"/>
    </c:title>
    <c:autoTitleDeleted val="0"/>
    <c:plotArea>
      <c:layout/>
      <c:barChart>
        <c:barDir val="col"/>
        <c:grouping val="clustered"/>
        <c:varyColors val="0"/>
        <c:ser>
          <c:idx val="0"/>
          <c:order val="0"/>
          <c:tx>
            <c:v>MP</c:v>
          </c:tx>
          <c:cat>
            <c:strRef>
              <c:f>'Official Ranking v2'!$B$6:$B$15</c:f>
              <c:strCache>
                <c:ptCount val="0"/>
              </c:strCache>
            </c:strRef>
          </c:cat>
          <c:val>
            <c:numRef>
              <c:f>'Official Ranking v2'!$C$6:$C$15</c:f>
              <c:numCache>
                <c:formatCode>General</c:formatCode>
                <c:ptCount val="0"/>
              </c:numCache>
            </c:numRef>
          </c:val>
        </c:ser>
        <c:ser>
          <c:idx val="1"/>
          <c:order val="1"/>
          <c:tx>
            <c:v>W</c:v>
          </c:tx>
          <c:cat>
            <c:strRef>
              <c:f>'Official Ranking v2'!$B$6:$B$15</c:f>
              <c:strCache>
                <c:ptCount val="0"/>
              </c:strCache>
            </c:strRef>
          </c:cat>
          <c:val>
            <c:numRef>
              <c:f>'Official Ranking v2'!$D$6:$D$15</c:f>
              <c:numCache>
                <c:formatCode>General</c:formatCode>
                <c:ptCount val="0"/>
              </c:numCache>
            </c:numRef>
          </c:val>
        </c:ser>
        <c:ser>
          <c:idx val="2"/>
          <c:order val="2"/>
          <c:tx>
            <c:v>L</c:v>
          </c:tx>
          <c:cat>
            <c:strRef>
              <c:f>'Official Ranking v2'!$B$6:$B$15</c:f>
              <c:strCache>
                <c:ptCount val="0"/>
              </c:strCache>
            </c:strRef>
          </c:cat>
          <c:val>
            <c:numRef>
              <c:f>'Official Ranking v2'!$E$6:$E$15</c:f>
              <c:numCache>
                <c:formatCode>General</c:formatCode>
                <c:ptCount val="0"/>
              </c:numCache>
            </c:numRef>
          </c:val>
        </c:ser>
        <c:ser>
          <c:idx val="3"/>
          <c:order val="3"/>
          <c:tx>
            <c:v>Raw Win %</c:v>
          </c:tx>
          <c:cat>
            <c:strRef>
              <c:f>'Official Ranking v2'!$B$6:$B$15</c:f>
              <c:strCache>
                <c:ptCount val="0"/>
              </c:strCache>
            </c:strRef>
          </c:cat>
          <c:val>
            <c:numRef>
              <c:f>'Official Ranking v2'!$F$6:$F$15</c:f>
              <c:numCache>
                <c:formatCode>0.0%</c:formatCode>
                <c:ptCount val="0"/>
              </c:numCache>
            </c:numRef>
          </c:val>
        </c:ser>
        <c:ser>
          <c:idx val="4"/>
          <c:order val="4"/>
          <c:tx>
            <c:v>Adjusted Win %</c:v>
          </c:tx>
          <c:cat>
            <c:strRef>
              <c:f>'Official Ranking v2'!$B$6:$B$15</c:f>
              <c:strCache>
                <c:ptCount val="0"/>
              </c:strCache>
            </c:strRef>
          </c:cat>
          <c:val>
            <c:numRef>
              <c:f>'Official Ranking v2'!$G$6:$G$15</c:f>
              <c:numCache>
                <c:formatCode>0.0%</c:formatCode>
                <c:ptCount val="0"/>
              </c:numCache>
            </c:numRef>
          </c:val>
        </c:ser>
        <c:ser>
          <c:idx val="5"/>
          <c:order val="5"/>
          <c:tx>
            <c:v>Dominance</c:v>
          </c:tx>
          <c:cat>
            <c:strRef>
              <c:f>'Official Ranking v2'!$B$6:$B$15</c:f>
              <c:strCache>
                <c:ptCount val="0"/>
              </c:strCache>
            </c:strRef>
          </c:cat>
          <c:val>
            <c:numRef>
              <c:f>'Official Ranking v2'!$H$6:$H$15</c:f>
              <c:numCache>
                <c:formatCode>General</c:formatCode>
                <c:ptCount val="0"/>
              </c:numCache>
            </c:numRef>
          </c:val>
        </c:ser>
        <c:ser>
          <c:idx val="6"/>
          <c:order val="6"/>
          <c:tx>
            <c:v>Vs Expectation</c:v>
          </c:tx>
          <c:cat>
            <c:strRef>
              <c:f>'Official Ranking v2'!$B$6:$B$15</c:f>
              <c:strCache>
                <c:ptCount val="0"/>
              </c:strCache>
            </c:strRef>
          </c:cat>
          <c:val>
            <c:numRef>
              <c:f>'Official Ranking v2'!$I$6:$I$15</c:f>
              <c:numCache>
                <c:formatCode>General</c:formatCode>
                <c:ptCount val="0"/>
              </c:numCache>
            </c:numRef>
          </c:val>
        </c:ser>
        <c:ser>
          <c:idx val="7"/>
          <c:order val="7"/>
          <c:tx>
            <c:v>Vs Exp Score</c:v>
          </c:tx>
          <c:cat>
            <c:strRef>
              <c:f>'Official Ranking v2'!$B$6:$B$15</c:f>
              <c:strCache>
                <c:ptCount val="0"/>
              </c:strCache>
            </c:strRef>
          </c:cat>
          <c:val>
            <c:numRef>
              <c:f>'Official Ranking v2'!$J$6:$J$15</c:f>
              <c:numCache>
                <c:formatCode>General</c:formatCode>
                <c:ptCount val="0"/>
              </c:numCache>
            </c:numRef>
          </c:val>
        </c:ser>
        <c:ser>
          <c:idx val="8"/>
          <c:order val="8"/>
          <c:tx>
            <c:v>SOS Raw</c:v>
          </c:tx>
          <c:cat>
            <c:strRef>
              <c:f>'Official Ranking v2'!$B$6:$B$15</c:f>
              <c:strCache>
                <c:ptCount val="0"/>
              </c:strCache>
            </c:strRef>
          </c:cat>
          <c:val>
            <c:numRef>
              <c:f>'Official Ranking v2'!$K$6:$K$15</c:f>
              <c:numCache>
                <c:formatCode>General</c:formatCode>
                <c:ptCount val="0"/>
              </c:numCache>
            </c:numRef>
          </c:val>
        </c:ser>
        <c:ser>
          <c:idx val="9"/>
          <c:order val="9"/>
          <c:tx>
            <c:v>SOS Score</c:v>
          </c:tx>
          <c:cat>
            <c:strRef>
              <c:f>'Official Ranking v2'!$B$6:$B$15</c:f>
              <c:strCache>
                <c:ptCount val="0"/>
              </c:strCache>
            </c:strRef>
          </c:cat>
          <c:val>
            <c:numRef>
              <c:f>'Official Ranking v2'!$L$6:$L$15</c:f>
              <c:numCache>
                <c:formatCode>General</c:formatCode>
                <c:ptCount val="0"/>
              </c:numCache>
            </c:numRef>
          </c:val>
        </c:ser>
        <c:ser>
          <c:idx val="10"/>
          <c:order val="10"/>
          <c:tx>
            <c:v>Consistency</c:v>
          </c:tx>
          <c:cat>
            <c:strRef>
              <c:f>'Official Ranking v2'!$B$6:$B$15</c:f>
              <c:strCache>
                <c:ptCount val="0"/>
              </c:strCache>
            </c:strRef>
          </c:cat>
          <c:val>
            <c:numRef>
              <c:f>'Official Ranking v2'!$M$6:$M$15</c:f>
              <c:numCache>
                <c:formatCode>General</c:formatCode>
                <c:ptCount val="0"/>
              </c:numCache>
            </c:numRef>
          </c:val>
        </c:ser>
        <c:ser>
          <c:idx val="11"/>
          <c:order val="11"/>
          <c:tx>
            <c:v>Clutch</c:v>
          </c:tx>
          <c:cat>
            <c:strRef>
              <c:f>'Official Ranking v2'!$B$6:$B$15</c:f>
              <c:strCache>
                <c:ptCount val="0"/>
              </c:strCache>
            </c:strRef>
          </c:cat>
          <c:val>
            <c:numRef>
              <c:f>'Official Ranking v2'!$N$6:$N$15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Advanced Analytics — SOS vs Rating</a:t>
            </a:r>
          </a:p>
        </c:rich>
      </c:tx>
      <c:overlay val="0"/>
    </c:title>
    <c:autoTitleDeleted val="0"/>
    <c:plotArea>
      <c:layout/>
      <c:scatterChart>
        <c:scatterStyle val="marker"/>
        <c:ser>
          <c:idx val="0"/>
          <c:order val="0"/>
          <c:tx>
            <c:v>Consistency</c:v>
          </c:tx>
          <c:xVal>
            <c:numLit>
              <c:formatCode>General</c:formatCode>
              <c:ptCount val="0"/>
            </c:numLit>
          </c:xVal>
          <c:yVal>
            <c:numRef>
              <c:f>'Official Ranking v2'!$M$6:$M$25</c:f>
              <c:numCache>
                <c:formatCode>General</c:formatCode>
                <c:ptCount val="0"/>
              </c:numCache>
            </c:numRef>
          </c:yVal>
        </c:ser>
        <c:ser>
          <c:idx val="1"/>
          <c:order val="1"/>
          <c:tx>
            <c:v>Clutch</c:v>
          </c:tx>
          <c:xVal>
            <c:numLit>
              <c:formatCode>General</c:formatCode>
              <c:ptCount val="0"/>
            </c:numLit>
          </c:xVal>
          <c:yVal>
            <c:numRef>
              <c:f>'Official Ranking v2'!$N$6:$N$25</c:f>
              <c:numCache>
                <c:formatCode>General</c:formatCode>
                <c:ptCount val="0"/>
              </c:numCache>
            </c:numRef>
          </c:yVal>
        </c:ser>
        <c:ser>
          <c:idx val="2"/>
          <c:order val="2"/>
          <c:tx>
            <c:v>Versatility</c:v>
          </c:tx>
          <c:xVal>
            <c:numLit>
              <c:formatCode>General</c:formatCode>
              <c:ptCount val="0"/>
            </c:numLit>
          </c:xVal>
          <c:yVal>
            <c:numRef>
              <c:f>'Official Ranking v2'!$O$6:$O$25</c:f>
              <c:numCache>
                <c:formatCode>General</c:formatCode>
                <c:ptCount val="0"/>
              </c:numCache>
            </c:numRef>
          </c:yVal>
        </c:ser>
        <c:ser>
          <c:idx val="3"/>
          <c:order val="3"/>
          <c:tx>
            <c:v>Recent Form</c:v>
          </c:tx>
          <c:xVal>
            <c:numLit>
              <c:formatCode>General</c:formatCode>
              <c:ptCount val="0"/>
            </c:numLit>
          </c:xVal>
          <c:yVal>
            <c:numRef>
              <c:f>'Official Ranking v2'!$P$6:$P$25</c:f>
              <c:numCache>
                <c:formatCode>General</c:formatCode>
                <c:ptCount val="0"/>
              </c:numCache>
            </c:numRef>
          </c:yVal>
        </c:ser>
        <c:ser>
          <c:idx val="4"/>
          <c:order val="4"/>
          <c:tx>
            <c:v>Raw Composite</c:v>
          </c:tx>
          <c:xVal>
            <c:numLit>
              <c:formatCode>General</c:formatCode>
              <c:ptCount val="0"/>
            </c:numLit>
          </c:xVal>
          <c:yVal>
            <c:numRef>
              <c:f>'Official Ranking v2'!$Q$6:$Q$25</c:f>
              <c:numCache>
                <c:formatCode>General</c:formatCode>
                <c:ptCount val="0"/>
              </c:numCache>
            </c:numRef>
          </c:yVal>
        </c:ser>
        <c:ser>
          <c:idx val="5"/>
          <c:order val="5"/>
          <c:tx>
            <c:v>Reliability</c:v>
          </c:tx>
          <c:xVal>
            <c:numLit>
              <c:formatCode>General</c:formatCode>
              <c:ptCount val="0"/>
            </c:numLit>
          </c:xVal>
          <c:yVal>
            <c:numRef>
              <c:f>'Official Ranking v2'!$R$6:$R$25</c:f>
              <c:numCache>
                <c:formatCode>0.0%</c:formatCode>
                <c:ptCount val="0"/>
              </c:numCache>
            </c:numRef>
          </c:yVal>
        </c:ser>
        <c:ser>
          <c:idx val="6"/>
          <c:order val="6"/>
          <c:tx>
            <c:v>FLPR Rating</c:v>
          </c:tx>
          <c:xVal>
            <c:numLit>
              <c:formatCode>General</c:formatCode>
              <c:ptCount val="0"/>
            </c:numLit>
          </c:xVal>
          <c:yVal>
            <c:numRef>
              <c:f>'Official Ranking v2'!$S$6:$S$25</c:f>
              <c:numCache>
                <c:formatCode>General</c:formatCode>
                <c:ptCount val="0"/>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4b953bd2254380"/>
        </a:graphicData>
      </a:graphic>
    </xdr:graphicFrame>
    <xdr:clientData/>
  </xdr:twoCellAnchor>
</xdr:wsDr>
</file>

<file path=xl/drawings/drawing2.xml><?xml version="1.0" encoding="utf-8"?>
<xdr:wsDr xmlns:xdr="http://schemas.openxmlformats.org/drawingml/2006/spreadsheetDrawing">
  <xdr:twoCellAnchor>
    <xdr:from>
      <xdr:col>11</xdr:col>
      <xdr:colOff>0</xdr:colOff>
      <xdr:row>2</xdr:row>
      <xdr:rowOff>0</xdr:rowOff>
    </xdr:from>
    <xdr:to>
      <xdr:col>19</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c38975c0be48b6"/>
        </a:graphicData>
      </a:graphic>
    </xdr:graphicFrame>
    <xdr:clientData/>
  </xdr:twoCellAnchor>
</xdr:wsDr>
</file>

<file path=xl/drawings/drawing3.xml><?xml version="1.0" encoding="utf-8"?>
<xdr:wsDr xmlns:xdr="http://schemas.openxmlformats.org/drawingml/2006/spreadsheetDrawing">
  <xdr:twoCellAnchor>
    <xdr:from>
      <xdr:col>11</xdr:col>
      <xdr:colOff>0</xdr:colOff>
      <xdr:row>2</xdr:row>
      <xdr:rowOff>0</xdr:rowOff>
    </xdr:from>
    <xdr:to>
      <xdr:col>19</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25f6f1899a4da4"/>
        </a:graphicData>
      </a:graphic>
    </xdr:graphicFrame>
    <xdr:clientData/>
  </xdr:twoCellAnchor>
</xdr:wsDr>
</file>

<file path=xl/drawings/drawing4.xml><?xml version="1.0" encoding="utf-8"?>
<xdr:wsDr xmlns:xdr="http://schemas.openxmlformats.org/drawingml/2006/spreadsheetDrawing">
  <xdr:oneCellAnchor>
    <xdr:from>
      <xdr:col>6</xdr:col>
      <xdr:colOff>0</xdr:colOff>
      <xdr:row>19</xdr:row>
      <xdr:rowOff>0</xdr:rowOff>
    </xdr:from>
    <xdr:ext cx="5400000" cy="270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3d59a4570949a2"/>
        </a:graphicData>
      </a:graphic>
    </xdr:graphicFrame>
    <xdr:clientData/>
  </xdr:oneCellAnchor>
  <xdr:oneCellAnchor>
    <xdr:from>
      <xdr:col>6</xdr:col>
      <xdr:colOff>0</xdr:colOff>
      <xdr:row>37</xdr:row>
      <xdr:rowOff>0</xdr:rowOff>
    </xdr:from>
    <xdr:ext cx="6480000" cy="2880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6f64e3fcde4e97"/>
        </a:graphicData>
      </a:graphic>
    </xdr:graphicFrame>
    <xdr:clientData/>
  </xdr:oneCellAnchor>
</xdr:wsDr>
</file>

<file path=xl/drawings/drawing5.xml><?xml version="1.0" encoding="utf-8"?>
<xdr:wsDr xmlns:xdr="http://schemas.openxmlformats.org/drawingml/2006/spreadsheetDrawing">
  <xdr:twoCellAnchor>
    <xdr:from>
      <xdr:col>6</xdr:col>
      <xdr:colOff>0</xdr:colOff>
      <xdr:row>1</xdr:row>
      <xdr:rowOff>0</xdr:rowOff>
    </xdr:from>
    <xdr:to>
      <xdr:col>14</xdr:col>
      <xdr:colOff>0</xdr:colOff>
      <xdr:row>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cab02e5cb0438d"/>
        </a:graphicData>
      </a:graphic>
    </xdr:graphicFrame>
    <xdr:clientData/>
  </xdr:twoCellAnchor>
  <xdr:twoCellAnchor>
    <xdr:from>
      <xdr:col>6</xdr:col>
      <xdr:colOff>0</xdr:colOff>
      <xdr:row>15</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2a34ff2b06474b"/>
        </a:graphicData>
      </a:graphic>
    </xdr:graphicFrame>
    <xdr:clientData/>
  </xdr:twoCellAnchor>
</xdr:wsDr>
</file>

<file path=xl/drawings/drawing6.xml><?xml version="1.0" encoding="utf-8"?>
<xdr:wsDr xmlns:xdr="http://schemas.openxmlformats.org/drawingml/2006/spreadsheetDrawing">
  <xdr:twoCellAnchor>
    <xdr:from>
      <xdr:col>0</xdr:col>
      <xdr:colOff>0</xdr:colOff>
      <xdr:row>2</xdr:row>
      <xdr:rowOff>0</xdr:rowOff>
    </xdr:from>
    <xdr:to>
      <xdr:col>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60b195978d4fd5"/>
        </a:graphicData>
      </a:graphic>
    </xdr:graphicFrame>
    <xdr:clientData/>
  </xdr:twoCellAnchor>
  <xdr:twoCellAnchor>
    <xdr:from>
      <xdr:col>9</xdr:col>
      <xdr:colOff>0</xdr:colOff>
      <xdr:row>2</xdr:row>
      <xdr:rowOff>0</xdr:rowOff>
    </xdr:from>
    <xdr:to>
      <xdr:col>17</xdr:col>
      <xdr:colOff>0</xdr:colOff>
      <xdr:row>18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0fb53554e44749"/>
        </a:graphicData>
      </a:graphic>
    </xdr:graphicFrame>
    <xdr:clientData/>
  </xdr:twoCellAnchor>
  <xdr:twoCellAnchor>
    <xdr:from>
      <xdr:col>0</xdr:col>
      <xdr:colOff>0</xdr:colOff>
      <xdr:row>20</xdr:row>
      <xdr:rowOff>0</xdr:rowOff>
    </xdr:from>
    <xdr:to>
      <xdr:col>8</xdr:col>
      <xdr:colOff>0</xdr:colOff>
      <xdr:row>38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ecf4a6f8a742dc"/>
        </a:graphicData>
      </a:graphic>
    </xdr:graphicFrame>
    <xdr:clientData/>
  </xdr:twoCellAnchor>
  <xdr:twoCellAnchor>
    <xdr:from>
      <xdr:col>9</xdr:col>
      <xdr:colOff>0</xdr:colOff>
      <xdr:row>20</xdr:row>
      <xdr:rowOff>0</xdr:rowOff>
    </xdr:from>
    <xdr:to>
      <xdr:col>17</xdr:col>
      <xdr:colOff>0</xdr:colOff>
      <xdr:row>38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0c0964ec2c40bc"/>
        </a:graphicData>
      </a:graphic>
    </xdr:graphicFrame>
    <xdr:clientData/>
  </xdr:twoCellAnchor>
  <xdr:twoCellAnchor>
    <xdr:from>
      <xdr:col>0</xdr:col>
      <xdr:colOff>0</xdr:colOff>
      <xdr:row>40</xdr:row>
      <xdr:rowOff>0</xdr:rowOff>
    </xdr:from>
    <xdr:to>
      <xdr:col>8</xdr:col>
      <xdr:colOff>0</xdr:colOff>
      <xdr:row>58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10684440e24e9c"/>
        </a:graphicData>
      </a:graphic>
    </xdr:graphicFrame>
    <xdr:clientData/>
  </xdr:twoCellAnchor>
  <xdr:twoCellAnchor>
    <xdr:from>
      <xdr:col>9</xdr:col>
      <xdr:colOff>0</xdr:colOff>
      <xdr:row>40</xdr:row>
      <xdr:rowOff>0</xdr:rowOff>
    </xdr:from>
    <xdr:to>
      <xdr:col>17</xdr:col>
      <xdr:colOff>0</xdr:colOff>
      <xdr:row>58</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480c5fcf5242cc"/>
        </a:graphicData>
      </a:graphic>
    </xdr:graphicFrame>
    <xdr:clientData/>
  </xdr:twoCellAnchor>
</xdr:wsDr>
</file>

<file path=xl/tables/table1.xml><?xml version="1.0" encoding="utf-8"?>
<x:table xmlns:x="http://schemas.openxmlformats.org/spreadsheetml/2006/main" id="1" name="ScheduleExpectationTable" displayName="ScheduleExpectationTable" ref="A1:G21" headerRowCount="1">
  <x:tableColumns count="7">
    <x:tableColumn id="1" name="Player"/>
    <x:tableColumn id="2" name="MP"/>
    <x:tableColumn id="3" name="SOS"/>
    <x:tableColumn id="4" name="Partner Quality"/>
    <x:tableColumn id="5" name="Above Expectation"/>
    <x:tableColumn id="6" name="Giant Killer Wins"/>
    <x:tableColumn id="7" name="Higher-Rated Opponents Beaten"/>
  </x:tableColumns>
  <x:tableStyleInfo name="TableStyleMedium2" showRowStripes="1"/>
</x:table>
</file>

<file path=xl/tables/table2.xml><?xml version="1.0" encoding="utf-8"?>
<x:table xmlns:x="http://schemas.openxmlformats.org/spreadsheetml/2006/main" id="2" name="ClutchDominanceTable" displayName="ClutchDominanceTable" ref="A1:J21" headerRowCount="1">
  <x:tableColumns count="10">
    <x:tableColumn id="1" name="Player"/>
    <x:tableColumn id="2" name="Close MP"/>
    <x:tableColumn id="3" name="Close W"/>
    <x:tableColumn id="4" name="Close L"/>
    <x:tableColumn id="5" name="Clutch Win %"/>
    <x:tableColumn id="6" name="Avg Win Margin"/>
    <x:tableColumn id="7" name="Avg Loss Margin"/>
    <x:tableColumn id="8" name="Blowout Wins"/>
    <x:tableColumn id="9" name="Dominance Raw"/>
    <x:tableColumn id="10" name="Match Diff SD"/>
  </x:tableColumns>
  <x:tableStyleInfo name="TableStyleMedium2" showRowStripes="1"/>
</x:table>
</file>

<file path=xl/tables/table3.xml><?xml version="1.0" encoding="utf-8"?>
<x:table xmlns:x="http://schemas.openxmlformats.org/spreadsheetml/2006/main" id="3" name="PartnerAdjustedPairsTable" displayName="PartnerAdjustedPairsTable" ref="A1:H183" headerRowCount="1">
  <x:tableColumns count="8">
    <x:tableColumn id="1" name="Player"/>
    <x:tableColumn id="2" name="Partner"/>
    <x:tableColumn id="3" name="MP"/>
    <x:tableColumn id="4" name="W"/>
    <x:tableColumn id="5" name="L"/>
    <x:tableColumn id="6" name="Pair Win %"/>
    <x:tableColumn id="7" name="Partner Adjusted Win %"/>
    <x:tableColumn id="8" name="Pair Lift vs Partner"/>
  </x:tableColumns>
  <x:tableStyleInfo name="TableStyleMedium2" showRowStripes="1"/>
</x:table>
</file>

<file path=xl/tables/table4.xml><?xml version="1.0" encoding="utf-8"?>
<x:table xmlns:x="http://schemas.openxmlformats.org/spreadsheetml/2006/main" id="4" name="MethodologyTable" displayName="MethodologyTable" ref="A1:C14" headerRowCount="1">
  <x:tableColumns count="3">
    <x:tableColumn id="1" name="Metric"/>
    <x:tableColumn id="2" name="Definition / Formula"/>
    <x:tableColumn id="3" name="Weight"/>
  </x:tableColumns>
  <x:tableStyleInfo name="TableStyleMedium2" showRowStripes="1"/>
</x:table>
</file>

<file path=xl/tables/table5.xml><?xml version="1.0" encoding="utf-8"?>
<x:table xmlns:x="http://schemas.openxmlformats.org/spreadsheetml/2006/main" id="5" name="AdvancedAnalyticsTable" displayName="AdvancedAnalyticsTable" ref="A1:AC21" headerRowCount="1">
  <x:tableColumns count="29">
    <x:tableColumn id="1" name="Player"/>
    <x:tableColumn id="2" name="MP"/>
    <x:tableColumn id="3" name="Win %"/>
    <x:tableColumn id="4" name="Strength of Schedule"/>
    <x:tableColumn id="5" name="Partner Strength"/>
    <x:tableColumn id="6" name="Expected Win %"/>
    <x:tableColumn id="7" name="Performance vs Expectation"/>
    <x:tableColumn id="8" name="Close MP"/>
    <x:tableColumn id="9" name="Close W"/>
    <x:tableColumn id="10" name="Close Win %"/>
    <x:tableColumn id="11" name="Clutch Index"/>
    <x:tableColumn id="12" name="Bounce-Back Opportunities"/>
    <x:tableColumn id="13" name="Bounce-Back Wins"/>
    <x:tableColumn id="14" name="Bounce-Back Rate"/>
    <x:tableColumn id="15" name="Last 5 Wins"/>
    <x:tableColumn id="16" name="Last 5 MP"/>
    <x:tableColumn id="17" name="Last 5 Win %"/>
    <x:tableColumn id="18" name="Elite Opponent MP"/>
    <x:tableColumn id="19" name="Elite Opponent Wins"/>
    <x:tableColumn id="20" name="Elite Opponent Win %"/>
    <x:tableColumn id="21" name="Unique Partners"/>
    <x:tableColumn id="22" name="Unique Opponents"/>
    <x:tableColumn id="23" name="Tournaments Played"/>
    <x:tableColumn id="24" name="Avg Point Margin"/>
    <x:tableColumn id="25" name="Blowout Win Share"/>
    <x:tableColumn id="26" name="Dominance Index"/>
    <x:tableColumn id="27" name="Match Diff SD"/>
    <x:tableColumn id="28" name="Consistency Index"/>
    <x:tableColumn id="29" name="Versatility Index"/>
  </x:tableColumns>
  <x:tableStyleInfo name="TableStyleMedium2" showRowStripes="1"/>
</x:table>
</file>

<file path=xl/tables/table6.xml><?xml version="1.0" encoding="utf-8"?>
<x:table xmlns:x="http://schemas.openxmlformats.org/spreadsheetml/2006/main" id="6" name="PartnerChemistryTable" displayName="PartnerChemistryTable" ref="A1:L92" headerRowCount="1">
  <x:tableColumns count="12">
    <x:tableColumn id="1" name="Player 1"/>
    <x:tableColumn id="2" name="Player 2"/>
    <x:tableColumn id="3" name="MP"/>
    <x:tableColumn id="4" name="W"/>
    <x:tableColumn id="5" name="L"/>
    <x:tableColumn id="6" name="Observed Win %"/>
    <x:tableColumn id="7" name="Expected Win %"/>
    <x:tableColumn id="8" name="Chemistry Delta"/>
    <x:tableColumn id="9" name="PF"/>
    <x:tableColumn id="10" name="PA"/>
    <x:tableColumn id="11" name="Point Diff"/>
    <x:tableColumn id="12" name="Point Diff / Match"/>
  </x:tableColumns>
  <x:tableStyleInfo name="TableStyleMedium2" showRowStripes="1"/>
</x:table>
</file>

<file path=xl/tables/table7.xml><?xml version="1.0" encoding="utf-8"?>
<x:table xmlns:x="http://schemas.openxmlformats.org/spreadsheetml/2006/main" id="7" name="OpponentDifficultyTable" displayName="OpponentDifficultyTable" ref="A1:I211" headerRowCount="1">
  <x:tableColumns count="9">
    <x:tableColumn id="1" name="Player"/>
    <x:tableColumn id="2" name="Opponent"/>
    <x:tableColumn id="3" name="MP"/>
    <x:tableColumn id="4" name="W"/>
    <x:tableColumn id="5" name="L"/>
    <x:tableColumn id="6" name="Win % vs Opponent"/>
    <x:tableColumn id="7" name="Opponent Overall Win %"/>
    <x:tableColumn id="8" name="Point Diff"/>
    <x:tableColumn id="9" name="Point Diff / Match"/>
  </x:tableColumns>
  <x:tableStyleInfo name="TableStyleMedium2" showRowStripes="1"/>
</x:table>
</file>

<file path=xl/tables/table8.xml><?xml version="1.0" encoding="utf-8"?>
<x:table xmlns:x="http://schemas.openxmlformats.org/spreadsheetml/2006/main" id="8" name="Stage4MethodologyTable" displayName="Stage4MethodologyTable" ref="A1:B14" headerRowCount="1">
  <x:tableColumns count="2">
    <x:tableColumn id="1" name="Metric"/>
    <x:tableColumn id="2" name="Definition"/>
  </x:tableColumns>
  <x:tableStyleInfo name="TableStyleMedium2" showRowStripes="1"/>
</x:table>
</file>

<file path=xl/tables/table9.xml><?xml version="1.0" encoding="utf-8"?>
<x:table xmlns:x="http://schemas.openxmlformats.org/spreadsheetml/2006/main" id="9" name="FLPRRatingTable" displayName="FLPRRatingTable" ref="A1:W21" headerRowCount="1">
  <x:tableColumns count="23">
    <x:tableColumn id="1" name="Rank"/>
    <x:tableColumn id="2" name="Player"/>
    <x:tableColumn id="3" name="MP"/>
    <x:tableColumn id="4" name="W"/>
    <x:tableColumn id="5" name="L"/>
    <x:tableColumn id="6" name="Raw Win %"/>
    <x:tableColumn id="7" name="Adjusted Win %"/>
    <x:tableColumn id="8" name="Adjusted Win Score"/>
    <x:tableColumn id="9" name="Dominance"/>
    <x:tableColumn id="10" name="Vs Expectation Raw"/>
    <x:tableColumn id="11" name="Vs Expectation Score"/>
    <x:tableColumn id="12" name="SOS Raw"/>
    <x:tableColumn id="13" name="SOS Score"/>
    <x:tableColumn id="14" name="Consistency"/>
    <x:tableColumn id="15" name="Clutch"/>
    <x:tableColumn id="16" name="Versatility"/>
    <x:tableColumn id="17" name="Recent Form"/>
    <x:tableColumn id="18" name="Raw Composite"/>
    <x:tableColumn id="19" name="Reliability"/>
    <x:tableColumn id="20" name="FLPR Rating"/>
    <x:tableColumn id="21" name="Tier"/>
    <x:tableColumn id="22" name="Rating Gap"/>
    <x:tableColumn id="23" name="Status"/>
  </x:tableColumns>
  <x:tableStyleInfo name="TableStyleMedium2" showRowStripes="1"/>
</x:table>
</file>

<file path=xl/tables/table10.xml><?xml version="1.0" encoding="utf-8"?>
<x:table xmlns:x="http://schemas.openxmlformats.org/spreadsheetml/2006/main" id="10" name="PlayerHandicapTable" displayName="PlayerHandicapTable" ref="A1:P201" headerRowCount="1">
  <x:tableColumns count="16">
    <x:tableColumn id="1" name="Player ID"/>
    <x:tableColumn id="2" name="Player"/>
    <x:tableColumn id="3" name="Source"/>
    <x:tableColumn id="4" name="MP"/>
    <x:tableColumn id="5" name="FLPR Rating"/>
    <x:tableColumn id="6" name="Rating Status"/>
    <x:tableColumn id="7" name="Reliability"/>
    <x:tableColumn id="8" name="Base Handicap"/>
    <x:tableColumn id="9" name="Previous Handicap"/>
    <x:tableColumn id="10" name="Change Cap"/>
    <x:tableColumn id="11" name="Official Handicap"/>
    <x:tableColumn id="12" name="Handicap Class"/>
    <x:tableColumn id="13" name="Confidence"/>
    <x:tableColumn id="14" name="Active"/>
    <x:tableColumn id="15" name="Primary Format"/>
    <x:tableColumn id="1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2250397f5c54223" /></Relationships>
</file>

<file path=xl/worksheets/_rels/sheet2.xml.rels>&#65279;<?xml version="1.0" encoding="utf-8"?><Relationships xmlns="http://schemas.openxmlformats.org/package/2006/relationships"><Relationship Type="http://schemas.openxmlformats.org/officeDocument/2006/relationships/table" Target="/xl/tables/table1.xml" Id="R25c80a6db8bb44f8" /></Relationships>
</file>

<file path=xl/worksheets/_rels/sheet3.xml.rels>&#65279;<?xml version="1.0" encoding="utf-8"?><Relationships xmlns="http://schemas.openxmlformats.org/package/2006/relationships"><Relationship Type="http://schemas.openxmlformats.org/officeDocument/2006/relationships/table" Target="/xl/tables/table2.xml" Id="Ree1320cd96b04122" /></Relationships>
</file>

<file path=xl/worksheets/_rels/sheet4.xml.rels>&#65279;<?xml version="1.0" encoding="utf-8"?><Relationships xmlns="http://schemas.openxmlformats.org/package/2006/relationships"><Relationship Type="http://schemas.openxmlformats.org/officeDocument/2006/relationships/table" Target="/xl/tables/table3.xml" Id="Re1f2afc59e0a4ab6" /></Relationships>
</file>

<file path=xl/worksheets/_rels/sheet5.xml.rels>&#65279;<?xml version="1.0" encoding="utf-8"?><Relationships xmlns="http://schemas.openxmlformats.org/package/2006/relationships"><Relationship Type="http://schemas.openxmlformats.org/officeDocument/2006/relationships/table" Target="/xl/tables/table4.xml" Id="R31f60d9eaf4e41c7" /></Relationships>
</file>

<file path=xl/worksheets/_rels/sheet6.xml.rels>&#65279;<?xml version="1.0" encoding="utf-8"?><Relationships xmlns="http://schemas.openxmlformats.org/package/2006/relationships"><Relationship Type="http://schemas.openxmlformats.org/officeDocument/2006/relationships/table" Target="/xl/tables/table5.xml" Id="R5e9ea5e273f544ef" /></Relationships>
</file>

<file path=xl/worksheets/_rels/sheet7.xml.rels>&#65279;<?xml version="1.0" encoding="utf-8"?><Relationships xmlns="http://schemas.openxmlformats.org/package/2006/relationships"><Relationship Type="http://schemas.openxmlformats.org/officeDocument/2006/relationships/table" Target="/xl/tables/table6.xml" Id="R508b5a781b9a4f44" /></Relationships>
</file>

<file path=xl/worksheets/_rels/sheet8.xml.rels>&#65279;<?xml version="1.0" encoding="utf-8"?><Relationships xmlns="http://schemas.openxmlformats.org/package/2006/relationships"><Relationship Type="http://schemas.openxmlformats.org/officeDocument/2006/relationships/table" Target="/xl/tables/table7.xml" Id="R797b3fb1f8d64f65" /></Relationships>
</file>

<file path=xl/worksheets/_rels/sheet10.xml.rels>&#65279;<?xml version="1.0" encoding="utf-8"?><Relationships xmlns="http://schemas.openxmlformats.org/package/2006/relationships"><Relationship Type="http://schemas.openxmlformats.org/officeDocument/2006/relationships/table" Target="/xl/tables/table8.xml" Id="Ra5925208de49446e" /></Relationships>
</file>

<file path=xl/worksheets/_rels/sheet12.xml.rels>&#65279;<?xml version="1.0" encoding="utf-8"?><Relationships xmlns="http://schemas.openxmlformats.org/package/2006/relationships"><Relationship Type="http://schemas.openxmlformats.org/officeDocument/2006/relationships/table" Target="/xl/tables/table9.xml" Id="R80b1cf5cb7fc42d7" /></Relationships>
</file>

<file path=xl/worksheets/_rels/sheet14.xml.rels>&#65279;<?xml version="1.0" encoding="utf-8"?><Relationships xmlns="http://schemas.openxmlformats.org/package/2006/relationships"><Relationship Type="http://schemas.openxmlformats.org/officeDocument/2006/relationships/drawing" Target="/xl/drawings/drawing2.xml" Id="R2b3613e5a92b4239" /></Relationships>
</file>

<file path=xl/worksheets/_rels/sheet16.xml.rels>&#65279;<?xml version="1.0" encoding="utf-8"?><Relationships xmlns="http://schemas.openxmlformats.org/package/2006/relationships"><Relationship Type="http://schemas.openxmlformats.org/officeDocument/2006/relationships/table" Target="/xl/tables/table10.xml" Id="R09f8452c70bb482a" /></Relationships>
</file>

<file path=xl/worksheets/_rels/sheet20.xml.rels>&#65279;<?xml version="1.0" encoding="utf-8"?><Relationships xmlns="http://schemas.openxmlformats.org/package/2006/relationships"><Relationship Type="http://schemas.openxmlformats.org/officeDocument/2006/relationships/drawing" Target="/xl/drawings/drawing3.xml" Id="Rde751d0cddda4f6f" /></Relationships>
</file>

<file path=xl/worksheets/_rels/sheet22.xml.rels>&#65279;<?xml version="1.0" encoding="utf-8"?><Relationships xmlns="http://schemas.openxmlformats.org/package/2006/relationships"><Relationship Type="http://schemas.openxmlformats.org/officeDocument/2006/relationships/drawing" Target="/xl/drawings/drawing4.xml" Id="R4465e1efcc534296" /></Relationships>
</file>

<file path=xl/worksheets/_rels/sheet27.xml.rels>&#65279;<?xml version="1.0" encoding="utf-8"?><Relationships xmlns="http://schemas.openxmlformats.org/package/2006/relationships"><Relationship Type="http://schemas.openxmlformats.org/officeDocument/2006/relationships/drawing" Target="/xl/drawings/drawing5.xml" Id="R348fa5d219694133" /></Relationships>
</file>

<file path=xl/worksheets/_rels/sheet35.xml.rels>&#65279;<?xml version="1.0" encoding="utf-8"?><Relationships xmlns="http://schemas.openxmlformats.org/package/2006/relationships"><Relationship Type="http://schemas.openxmlformats.org/officeDocument/2006/relationships/drawing" Target="/xl/drawings/drawing6.xml" Id="R2855706b2c6e4957" /></Relationships>
</file>

<file path=xl/worksheets/sheet1.xml><?xml version="1.0" encoding="utf-8"?>
<x:worksheet xmlns:x="http://schemas.openxmlformats.org/spreadsheetml/2006/main">
  <x:sheetFormatPr baseColWidth="8" defaultRowHeight="15"/>
  <x:cols>
    <x:col min="1" max="1" width="8" style="125" customWidth="1"/>
    <x:col min="2" max="2" width="17" style="125" customWidth="1"/>
    <x:col min="3" max="3" width="10" style="125" customWidth="1"/>
    <x:col min="4" max="4" width="18" style="125" customWidth="1"/>
    <x:col min="5" max="5" width="28" style="125" customWidth="1"/>
    <x:col min="6" max="6" width="11" style="125" customWidth="1"/>
    <x:col min="7" max="7" width="12" style="125" customWidth="1"/>
    <x:col min="8" max="8" width="11" style="125" customWidth="1"/>
    <x:col min="9" max="9" width="12" style="125" customWidth="1"/>
    <x:col min="10" max="10" width="15" style="125" customWidth="1"/>
  </x:cols>
  <x:sheetData>
    <x:row r="1">
      <x:c r="A1" s="32" t="inlineStr">
        <x:is>
          <x:t xml:space="preserve">FLPR Stage 4 — Advanced Analytics</x:t>
        </x:is>
      </x:c>
      <x:c r="B1" s="1" t="n"/>
      <x:c r="C1" s="1" t="n"/>
      <x:c r="D1" s="1" t="n"/>
      <x:c r="E1" s="1" t="n"/>
      <x:c r="F1" s="1" t="n"/>
      <x:c r="G1" s="1" t="n"/>
      <x:c r="H1" s="1" t="n"/>
      <x:c r="I1" s="1" t="n"/>
      <x:c r="J1" s="1" t="n"/>
      <x:c r="K1" s="139" t="n"/>
      <x:c r="L1" s="139" t="n"/>
      <x:c r="M1" s="139" t="n"/>
      <x:c r="N1" s="139" t="n"/>
      <x:c r="O1" s="139" t="n"/>
      <x:c r="P1" s="139" t="n"/>
      <x:c r="Q1" s="139" t="n"/>
      <x:c r="R1" s="139" t="n"/>
      <x:c r="S1" s="139" t="n"/>
      <x:c r="T1" s="139" t="n"/>
      <x:c r="U1" s="139" t="n"/>
      <x:c r="V1" s="139" t="n"/>
      <x:c r="W1" s="139" t="n"/>
      <x:c r="X1" s="139" t="n"/>
      <x:c r="Y1" s="139" t="n"/>
      <x:c r="Z1" s="139" t="n"/>
      <x:c r="AA1" s="139" t="n"/>
      <x:c r="AB1" s="139" t="n"/>
      <x:c r="AC1" s="139" t="n"/>
      <x:c r="AD1" s="139" t="n"/>
      <x:c r="AE1" s="139" t="n"/>
      <x:c r="AF1" s="139" t="n"/>
      <x:c r="AG1" s="139" t="n"/>
      <x:c r="AH1" s="139" t="n"/>
      <x:c r="AI1" s="139" t="n"/>
      <x:c r="AJ1" s="139" t="n"/>
      <x:c r="AK1" s="139" t="n"/>
      <x:c r="AL1" s="139" t="n"/>
      <x:c r="AM1" s="139" t="n"/>
      <x:c r="AN1" s="139" t="n"/>
      <x:c r="AO1" s="139" t="n"/>
      <x:c r="AP1" s="139" t="n"/>
      <x:c r="AQ1" s="139" t="n"/>
      <x:c r="AR1" s="139" t="n"/>
      <x:c r="AS1" s="139" t="n"/>
      <x:c r="AT1" s="139" t="n"/>
      <x:c r="AU1" s="139" t="n"/>
      <x:c r="AV1" s="139" t="n"/>
      <x:c r="AW1" s="139" t="n"/>
      <x:c r="AX1" s="139" t="n"/>
      <x:c r="AY1" s="139" t="n"/>
      <x:c r="AZ1" s="139" t="n"/>
    </x:row>
    <x:row r="2">
      <x:c r="A2" s="139" t="n"/>
      <x:c r="B2" s="139" t="n"/>
      <x:c r="C2" s="139" t="n"/>
      <x:c r="D2" s="139" t="n"/>
      <x:c r="E2" s="139" t="n"/>
      <x:c r="F2" s="139" t="n"/>
      <x:c r="G2" s="139" t="n"/>
      <x:c r="H2" s="139" t="n"/>
      <x:c r="I2" s="139" t="n"/>
      <x:c r="J2" s="139" t="n"/>
      <x:c r="K2" s="139" t="n"/>
      <x:c r="L2" s="139" t="n"/>
      <x:c r="M2" s="139" t="n"/>
      <x:c r="N2" s="139" t="n"/>
      <x:c r="O2" s="139" t="n"/>
      <x:c r="P2" s="139" t="n"/>
      <x:c r="Q2" s="139" t="n"/>
      <x:c r="R2" s="139" t="n"/>
      <x:c r="S2" s="139" t="n"/>
      <x:c r="T2" s="139" t="n"/>
      <x:c r="U2" s="139" t="n"/>
      <x:c r="V2" s="139" t="n"/>
      <x:c r="W2" s="139" t="n"/>
      <x:c r="X2" s="139" t="n"/>
      <x:c r="Y2" s="139" t="n"/>
      <x:c r="Z2" s="139" t="n"/>
      <x:c r="AA2" s="139" t="n"/>
      <x:c r="AB2" s="139" t="n"/>
      <x:c r="AC2" s="139" t="n"/>
      <x:c r="AD2" s="139" t="n"/>
      <x:c r="AE2" s="139" t="n"/>
      <x:c r="AF2" s="139" t="n"/>
      <x:c r="AG2" s="139" t="n"/>
      <x:c r="AH2" s="139" t="n"/>
      <x:c r="AI2" s="139" t="n"/>
      <x:c r="AJ2" s="139" t="n"/>
      <x:c r="AK2" s="139" t="n"/>
      <x:c r="AL2" s="139" t="n"/>
      <x:c r="AM2" s="139" t="n"/>
      <x:c r="AN2" s="139" t="n"/>
      <x:c r="AO2" s="139" t="n"/>
      <x:c r="AP2" s="139" t="n"/>
      <x:c r="AQ2" s="139" t="n"/>
      <x:c r="AR2" s="139" t="n"/>
      <x:c r="AS2" s="139" t="n"/>
      <x:c r="AT2" s="139" t="n"/>
      <x:c r="AU2" s="139" t="n"/>
      <x:c r="AV2" s="139" t="n"/>
      <x:c r="AW2" s="139" t="n"/>
      <x:c r="AX2" s="139" t="n"/>
      <x:c r="AY2" s="139" t="n"/>
      <x:c r="AZ2" s="139" t="n"/>
    </x:row>
    <x:row r="3">
      <x:c r="A3" s="92" t="inlineStr">
        <x:is>
          <x:t xml:space="preserve">KPI</x:t>
        </x:is>
      </x:c>
      <x:c r="B3" s="92" t="inlineStr">
        <x:is>
          <x:t xml:space="preserve">Value</x:t>
        </x:is>
      </x:c>
      <x:c r="C3" s="139" t="n"/>
      <x:c r="D3" s="92" t="inlineStr">
        <x:is>
          <x:t xml:space="preserve">Advanced Metric</x:t>
        </x:is>
      </x:c>
      <x:c r="E3" s="92" t="inlineStr">
        <x:is>
          <x:t xml:space="preserve">Purpose</x:t>
        </x:is>
      </x:c>
      <x:c r="F3" s="139" t="n"/>
      <x:c r="G3" s="139" t="n"/>
      <x:c r="H3" s="139" t="n"/>
      <x:c r="I3" s="139" t="n"/>
      <x:c r="J3" s="139" t="n"/>
      <x:c r="K3" s="139" t="n"/>
      <x:c r="L3" s="139" t="n"/>
      <x:c r="M3" s="139" t="n"/>
      <x:c r="N3" s="139" t="n"/>
      <x:c r="O3" s="139" t="n"/>
      <x:c r="P3" s="139" t="n"/>
      <x:c r="Q3" s="139" t="n"/>
      <x:c r="R3" s="139" t="n"/>
      <x:c r="S3" s="139" t="n"/>
      <x:c r="T3" s="139" t="n"/>
      <x:c r="U3" s="139" t="n"/>
      <x:c r="V3" s="139" t="n"/>
      <x:c r="W3" s="139" t="n"/>
      <x:c r="X3" s="139" t="n"/>
      <x:c r="Y3" s="139" t="n"/>
      <x:c r="Z3" s="139" t="n"/>
      <x:c r="AA3" s="139" t="n"/>
      <x:c r="AB3" s="139" t="n"/>
      <x:c r="AC3" s="139" t="n"/>
      <x:c r="AD3" s="139" t="n"/>
      <x:c r="AE3" s="139" t="n"/>
      <x:c r="AF3" s="139" t="n"/>
      <x:c r="AG3" s="139" t="n"/>
      <x:c r="AH3" s="139" t="n"/>
      <x:c r="AI3" s="139" t="n"/>
      <x:c r="AJ3" s="139" t="n"/>
      <x:c r="AK3" s="139" t="n"/>
      <x:c r="AL3" s="139" t="n"/>
      <x:c r="AM3" s="139" t="n"/>
      <x:c r="AN3" s="139" t="n"/>
      <x:c r="AO3" s="139" t="n"/>
      <x:c r="AP3" s="139" t="n"/>
      <x:c r="AQ3" s="139" t="n"/>
      <x:c r="AR3" s="139" t="n"/>
      <x:c r="AS3" s="139" t="n"/>
      <x:c r="AT3" s="139" t="n"/>
      <x:c r="AU3" s="139" t="n"/>
      <x:c r="AV3" s="139" t="n"/>
      <x:c r="AW3" s="139" t="n"/>
      <x:c r="AX3" s="139" t="n"/>
      <x:c r="AY3" s="139" t="n"/>
      <x:c r="AZ3" s="139" t="n"/>
    </x:row>
    <x:row r="4">
      <x:c r="A4" s="139" t="inlineStr">
        <x:is>
          <x:t xml:space="preserve">Matches</x:t>
        </x:is>
      </x:c>
      <x:c r="B4" s="139" t="n">
        <x:v>57</x:v>
      </x:c>
      <x:c r="C4" s="139" t="n"/>
      <x:c r="D4" s="139" t="inlineStr">
        <x:is>
          <x:t xml:space="preserve">Adjusted Win %</x:t>
        </x:is>
      </x:c>
      <x:c r="E4" s="139" t="inlineStr">
        <x:is>
          <x:t xml:space="preserve">Stabilizes small samples</x:t>
        </x:is>
      </x:c>
      <x:c r="F4" s="139" t="n"/>
      <x:c r="G4" s="139" t="n"/>
      <x:c r="H4" s="139" t="n"/>
      <x:c r="I4" s="139" t="n"/>
      <x:c r="J4" s="139" t="n"/>
      <x:c r="K4" s="139" t="n"/>
      <x:c r="L4" s="139" t="n"/>
      <x:c r="M4" s="139" t="n"/>
      <x:c r="N4" s="139" t="n"/>
      <x:c r="O4" s="139" t="n"/>
      <x:c r="P4" s="139" t="n"/>
      <x:c r="Q4" s="139" t="n"/>
      <x:c r="R4" s="139" t="n"/>
      <x:c r="S4" s="139" t="n"/>
      <x:c r="T4" s="139" t="n"/>
      <x:c r="U4" s="139" t="n"/>
      <x:c r="V4" s="139" t="n"/>
      <x:c r="W4" s="139" t="n"/>
      <x:c r="X4" s="139" t="n"/>
      <x:c r="Y4" s="139" t="n"/>
      <x:c r="Z4" s="139" t="n"/>
      <x:c r="AA4" s="139" t="n"/>
      <x:c r="AB4" s="139" t="n"/>
      <x:c r="AC4" s="139" t="n"/>
      <x:c r="AD4" s="139" t="n"/>
      <x:c r="AE4" s="139" t="n"/>
      <x:c r="AF4" s="139" t="n"/>
      <x:c r="AG4" s="139" t="n"/>
      <x:c r="AH4" s="139" t="n"/>
      <x:c r="AI4" s="139" t="n"/>
      <x:c r="AJ4" s="139" t="n"/>
      <x:c r="AK4" s="139" t="n"/>
      <x:c r="AL4" s="139" t="n"/>
      <x:c r="AM4" s="139" t="n"/>
      <x:c r="AN4" s="139" t="n"/>
      <x:c r="AO4" s="139" t="n"/>
      <x:c r="AP4" s="139" t="n"/>
      <x:c r="AQ4" s="139" t="n"/>
      <x:c r="AR4" s="139" t="n"/>
      <x:c r="AS4" s="139" t="n"/>
      <x:c r="AT4" s="139" t="n"/>
      <x:c r="AU4" s="139" t="n"/>
      <x:c r="AV4" s="139" t="n"/>
      <x:c r="AW4" s="139" t="n"/>
      <x:c r="AX4" s="139" t="n"/>
      <x:c r="AY4" s="139" t="n"/>
      <x:c r="AZ4" s="139" t="n"/>
    </x:row>
    <x:row r="5">
      <x:c r="A5" s="139" t="inlineStr">
        <x:is>
          <x:t xml:space="preserve">Player Records</x:t>
        </x:is>
      </x:c>
      <x:c r="B5" s="139" t="n">
        <x:v>228</x:v>
      </x:c>
      <x:c r="C5" s="139" t="n"/>
      <x:c r="D5" s="139" t="inlineStr">
        <x:is>
          <x:t xml:space="preserve">Strength of Schedule</x:t>
        </x:is>
      </x:c>
      <x:c r="E5" s="139" t="inlineStr">
        <x:is>
          <x:t xml:space="preserve">Measures opponent quality</x:t>
        </x:is>
      </x:c>
      <x:c r="F5" s="139" t="n"/>
      <x:c r="G5" s="139" t="n"/>
      <x:c r="H5" s="139" t="n"/>
      <x:c r="I5" s="139" t="n"/>
      <x:c r="J5" s="139" t="n"/>
      <x:c r="K5" s="139" t="n"/>
      <x:c r="L5" s="139" t="n"/>
      <x:c r="M5" s="139" t="n"/>
      <x:c r="N5" s="139" t="n"/>
      <x:c r="O5" s="139" t="n"/>
      <x:c r="P5" s="139" t="n"/>
      <x:c r="Q5" s="139" t="n"/>
      <x:c r="R5" s="139" t="n"/>
      <x:c r="S5" s="139" t="n"/>
      <x:c r="T5" s="139" t="n"/>
      <x:c r="U5" s="139" t="n"/>
      <x:c r="V5" s="139" t="n"/>
      <x:c r="W5" s="139" t="n"/>
      <x:c r="X5" s="139" t="n"/>
      <x:c r="Y5" s="139" t="n"/>
      <x:c r="Z5" s="139" t="n"/>
      <x:c r="AA5" s="139" t="n"/>
      <x:c r="AB5" s="139" t="n"/>
      <x:c r="AC5" s="139" t="n"/>
      <x:c r="AD5" s="139" t="n"/>
      <x:c r="AE5" s="139" t="n"/>
      <x:c r="AF5" s="139" t="n"/>
      <x:c r="AG5" s="139" t="n"/>
      <x:c r="AH5" s="139" t="n"/>
      <x:c r="AI5" s="139" t="n"/>
      <x:c r="AJ5" s="139" t="n"/>
      <x:c r="AK5" s="139" t="n"/>
      <x:c r="AL5" s="139" t="n"/>
      <x:c r="AM5" s="139" t="n"/>
      <x:c r="AN5" s="139" t="n"/>
      <x:c r="AO5" s="139" t="n"/>
      <x:c r="AP5" s="139" t="n"/>
      <x:c r="AQ5" s="139" t="n"/>
      <x:c r="AR5" s="139" t="n"/>
      <x:c r="AS5" s="139" t="n"/>
      <x:c r="AT5" s="139" t="n"/>
      <x:c r="AU5" s="139" t="n"/>
      <x:c r="AV5" s="139" t="n"/>
      <x:c r="AW5" s="139" t="n"/>
      <x:c r="AX5" s="139" t="n"/>
      <x:c r="AY5" s="139" t="n"/>
      <x:c r="AZ5" s="139" t="n"/>
    </x:row>
    <x:row r="6">
      <x:c r="A6" s="139" t="inlineStr">
        <x:is>
          <x:t xml:space="preserve">Players</x:t>
        </x:is>
      </x:c>
      <x:c r="B6" s="139" t="n">
        <x:v>20</x:v>
      </x:c>
      <x:c r="C6" s="139" t="n"/>
      <x:c r="D6" s="139" t="inlineStr">
        <x:is>
          <x:t xml:space="preserve">Above Expectation</x:t>
        </x:is>
      </x:c>
      <x:c r="E6" s="139" t="inlineStr">
        <x:is>
          <x:t xml:space="preserve">Actual vs expected performance</x:t>
        </x:is>
      </x:c>
      <x:c r="F6" s="139" t="n"/>
      <x:c r="G6" s="139" t="n"/>
      <x:c r="H6" s="139" t="n"/>
      <x:c r="I6" s="139" t="n"/>
      <x:c r="J6" s="139" t="n"/>
      <x:c r="K6" s="139" t="n"/>
      <x:c r="L6" s="139" t="n"/>
      <x:c r="M6" s="139" t="n"/>
      <x:c r="N6" s="139" t="n"/>
      <x:c r="O6" s="139" t="n"/>
      <x:c r="P6" s="139" t="n"/>
      <x:c r="Q6" s="139" t="n"/>
      <x:c r="R6" s="139" t="n"/>
      <x:c r="S6" s="139" t="n"/>
      <x:c r="T6" s="139" t="n"/>
      <x:c r="U6" s="139" t="n"/>
      <x:c r="V6" s="139" t="n"/>
      <x:c r="W6" s="139" t="n"/>
      <x:c r="X6" s="139" t="n"/>
      <x:c r="Y6" s="139" t="n"/>
      <x:c r="Z6" s="139" t="n"/>
      <x:c r="AA6" s="139" t="n"/>
      <x:c r="AB6" s="139" t="n"/>
      <x:c r="AC6" s="139" t="n"/>
      <x:c r="AD6" s="139" t="n"/>
      <x:c r="AE6" s="139" t="n"/>
      <x:c r="AF6" s="139" t="n"/>
      <x:c r="AG6" s="139" t="n"/>
      <x:c r="AH6" s="139" t="n"/>
      <x:c r="AI6" s="139" t="n"/>
      <x:c r="AJ6" s="139" t="n"/>
      <x:c r="AK6" s="139" t="n"/>
      <x:c r="AL6" s="139" t="n"/>
      <x:c r="AM6" s="139" t="n"/>
      <x:c r="AN6" s="139" t="n"/>
      <x:c r="AO6" s="139" t="n"/>
      <x:c r="AP6" s="139" t="n"/>
      <x:c r="AQ6" s="139" t="n"/>
      <x:c r="AR6" s="139" t="n"/>
      <x:c r="AS6" s="139" t="n"/>
      <x:c r="AT6" s="139" t="n"/>
      <x:c r="AU6" s="139" t="n"/>
      <x:c r="AV6" s="139" t="n"/>
      <x:c r="AW6" s="139" t="n"/>
      <x:c r="AX6" s="139" t="n"/>
      <x:c r="AY6" s="139" t="n"/>
      <x:c r="AZ6" s="139" t="n"/>
    </x:row>
    <x:row r="7">
      <x:c r="A7" s="139" t="inlineStr">
        <x:is>
          <x:t xml:space="preserve">Prior Matches</x:t>
        </x:is>
      </x:c>
      <x:c r="B7" s="139" t="n">
        <x:v>8</x:v>
      </x:c>
      <x:c r="C7" s="139" t="n"/>
      <x:c r="D7" s="139" t="inlineStr">
        <x:is>
          <x:t xml:space="preserve">Clutch</x:t>
        </x:is>
      </x:c>
      <x:c r="E7" s="139" t="inlineStr">
        <x:is>
          <x:t xml:space="preserve">Close-match performance</x:t>
        </x:is>
      </x:c>
      <x:c r="F7" s="139" t="n"/>
      <x:c r="G7" s="139" t="n"/>
      <x:c r="H7" s="139" t="n"/>
      <x:c r="I7" s="139" t="n"/>
      <x:c r="J7" s="139" t="n"/>
      <x:c r="K7" s="139" t="n"/>
      <x:c r="L7" s="139" t="n"/>
      <x:c r="M7" s="139" t="n"/>
      <x:c r="N7" s="139" t="n"/>
      <x:c r="O7" s="139" t="n"/>
      <x:c r="P7" s="139" t="n"/>
      <x:c r="Q7" s="139" t="n"/>
      <x:c r="R7" s="139" t="n"/>
      <x:c r="S7" s="139" t="n"/>
      <x:c r="T7" s="139" t="n"/>
      <x:c r="U7" s="139" t="n"/>
      <x:c r="V7" s="139" t="n"/>
      <x:c r="W7" s="139" t="n"/>
      <x:c r="X7" s="139" t="n"/>
      <x:c r="Y7" s="139" t="n"/>
      <x:c r="Z7" s="139" t="n"/>
      <x:c r="AA7" s="139" t="n"/>
      <x:c r="AB7" s="139" t="n"/>
      <x:c r="AC7" s="139" t="n"/>
      <x:c r="AD7" s="139" t="n"/>
      <x:c r="AE7" s="139" t="n"/>
      <x:c r="AF7" s="139" t="n"/>
      <x:c r="AG7" s="139" t="n"/>
      <x:c r="AH7" s="139" t="n"/>
      <x:c r="AI7" s="139" t="n"/>
      <x:c r="AJ7" s="139" t="n"/>
      <x:c r="AK7" s="139" t="n"/>
      <x:c r="AL7" s="139" t="n"/>
      <x:c r="AM7" s="139" t="n"/>
      <x:c r="AN7" s="139" t="n"/>
      <x:c r="AO7" s="139" t="n"/>
      <x:c r="AP7" s="139" t="n"/>
      <x:c r="AQ7" s="139" t="n"/>
      <x:c r="AR7" s="139" t="n"/>
      <x:c r="AS7" s="139" t="n"/>
      <x:c r="AT7" s="139" t="n"/>
      <x:c r="AU7" s="139" t="n"/>
      <x:c r="AV7" s="139" t="n"/>
      <x:c r="AW7" s="139" t="n"/>
      <x:c r="AX7" s="139" t="n"/>
      <x:c r="AY7" s="139" t="n"/>
      <x:c r="AZ7" s="139" t="n"/>
    </x:row>
    <x:row r="8">
      <x:c r="A8" s="139" t="inlineStr">
        <x:is>
          <x:t xml:space="preserve">Baseline Win %</x:t>
        </x:is>
      </x:c>
      <x:c r="B8" s="139" t="n">
        <x:v>0.5</x:v>
      </x:c>
      <x:c r="C8" s="139" t="n"/>
      <x:c r="D8" s="139" t="inlineStr">
        <x:is>
          <x:t xml:space="preserve">Dominance</x:t>
        </x:is>
      </x:c>
      <x:c r="E8" s="139" t="inlineStr">
        <x:is>
          <x:t xml:space="preserve">Winning margin and blowouts</x:t>
        </x:is>
      </x:c>
      <x:c r="F8" s="139" t="n"/>
      <x:c r="G8" s="139" t="n"/>
      <x:c r="H8" s="139" t="n"/>
      <x:c r="I8" s="139" t="n"/>
      <x:c r="J8" s="139" t="n"/>
      <x:c r="K8" s="139" t="n"/>
      <x:c r="L8" s="139" t="n"/>
      <x:c r="M8" s="139" t="n"/>
      <x:c r="N8" s="139" t="n"/>
      <x:c r="O8" s="139" t="n"/>
      <x:c r="P8" s="139" t="n"/>
      <x:c r="Q8" s="139" t="n"/>
      <x:c r="R8" s="139" t="n"/>
      <x:c r="S8" s="139" t="n"/>
      <x:c r="T8" s="139" t="n"/>
      <x:c r="U8" s="139" t="n"/>
      <x:c r="V8" s="139" t="n"/>
      <x:c r="W8" s="139" t="n"/>
      <x:c r="X8" s="139" t="n"/>
      <x:c r="Y8" s="139" t="n"/>
      <x:c r="Z8" s="139" t="n"/>
      <x:c r="AA8" s="139" t="n"/>
      <x:c r="AB8" s="139" t="n"/>
      <x:c r="AC8" s="139" t="n"/>
      <x:c r="AD8" s="139" t="n"/>
      <x:c r="AE8" s="139" t="n"/>
      <x:c r="AF8" s="139" t="n"/>
      <x:c r="AG8" s="139" t="n"/>
      <x:c r="AH8" s="139" t="n"/>
      <x:c r="AI8" s="139" t="n"/>
      <x:c r="AJ8" s="139" t="n"/>
      <x:c r="AK8" s="139" t="n"/>
      <x:c r="AL8" s="139" t="n"/>
      <x:c r="AM8" s="139" t="n"/>
      <x:c r="AN8" s="139" t="n"/>
      <x:c r="AO8" s="139" t="n"/>
      <x:c r="AP8" s="139" t="n"/>
      <x:c r="AQ8" s="139" t="n"/>
      <x:c r="AR8" s="139" t="n"/>
      <x:c r="AS8" s="139" t="n"/>
      <x:c r="AT8" s="139" t="n"/>
      <x:c r="AU8" s="139" t="n"/>
      <x:c r="AV8" s="139" t="n"/>
      <x:c r="AW8" s="139" t="n"/>
      <x:c r="AX8" s="139" t="n"/>
      <x:c r="AY8" s="139" t="n"/>
      <x:c r="AZ8" s="139" t="n"/>
    </x:row>
    <x:row r="9">
      <x:c r="A9" s="139" t="n"/>
      <x:c r="B9" s="139" t="n"/>
      <x:c r="C9" s="139" t="n"/>
      <x:c r="D9" s="139" t="inlineStr">
        <x:is>
          <x:t xml:space="preserve">Consistency</x:t>
        </x:is>
      </x:c>
      <x:c r="E9" s="139" t="inlineStr">
        <x:is>
          <x:t xml:space="preserve">Stability of match differential</x:t>
        </x:is>
      </x:c>
      <x:c r="F9" s="139" t="n"/>
      <x:c r="G9" s="139" t="n"/>
      <x:c r="H9" s="139" t="n"/>
      <x:c r="I9" s="139" t="n"/>
      <x:c r="J9" s="139" t="n"/>
      <x:c r="K9" s="139" t="n"/>
      <x:c r="L9" s="139" t="n"/>
      <x:c r="M9" s="139" t="n"/>
      <x:c r="N9" s="139" t="n"/>
      <x:c r="O9" s="139" t="n"/>
      <x:c r="P9" s="139" t="n"/>
      <x:c r="Q9" s="139" t="n"/>
      <x:c r="R9" s="139" t="n"/>
      <x:c r="S9" s="139" t="n"/>
      <x:c r="T9" s="139" t="n"/>
      <x:c r="U9" s="139" t="n"/>
      <x:c r="V9" s="139" t="n"/>
      <x:c r="W9" s="139" t="n"/>
      <x:c r="X9" s="139" t="n"/>
      <x:c r="Y9" s="139" t="n"/>
      <x:c r="Z9" s="139" t="n"/>
      <x:c r="AA9" s="139" t="n"/>
      <x:c r="AB9" s="139" t="n"/>
      <x:c r="AC9" s="139" t="n"/>
      <x:c r="AD9" s="139" t="n"/>
      <x:c r="AE9" s="139" t="n"/>
      <x:c r="AF9" s="139" t="n"/>
      <x:c r="AG9" s="139" t="n"/>
      <x:c r="AH9" s="139" t="n"/>
      <x:c r="AI9" s="139" t="n"/>
      <x:c r="AJ9" s="139" t="n"/>
      <x:c r="AK9" s="139" t="n"/>
      <x:c r="AL9" s="139" t="n"/>
      <x:c r="AM9" s="139" t="n"/>
      <x:c r="AN9" s="139" t="n"/>
      <x:c r="AO9" s="139" t="n"/>
      <x:c r="AP9" s="139" t="n"/>
      <x:c r="AQ9" s="139" t="n"/>
      <x:c r="AR9" s="139" t="n"/>
      <x:c r="AS9" s="139" t="n"/>
      <x:c r="AT9" s="139" t="n"/>
      <x:c r="AU9" s="139" t="n"/>
      <x:c r="AV9" s="139" t="n"/>
      <x:c r="AW9" s="139" t="n"/>
      <x:c r="AX9" s="139" t="n"/>
      <x:c r="AY9" s="139" t="n"/>
      <x:c r="AZ9" s="139" t="n"/>
    </x:row>
    <x:row r="10">
      <x:c r="A10" s="139" t="n"/>
      <x:c r="B10" s="139" t="n"/>
      <x:c r="C10" s="139" t="n"/>
      <x:c r="D10" s="139" t="n"/>
      <x:c r="E10" s="139" t="n"/>
      <x:c r="F10" s="139" t="n"/>
      <x:c r="G10" s="139" t="n"/>
      <x:c r="H10" s="139" t="n"/>
      <x:c r="I10" s="139" t="n"/>
      <x:c r="J10" s="139" t="n"/>
      <x:c r="K10" s="139" t="n"/>
      <x:c r="L10" s="139" t="n"/>
      <x:c r="M10" s="139" t="n"/>
      <x:c r="N10" s="139" t="n"/>
      <x:c r="O10" s="139" t="n"/>
      <x:c r="P10" s="139" t="n"/>
      <x:c r="Q10" s="139" t="n"/>
      <x:c r="R10" s="139" t="n"/>
      <x:c r="S10" s="139" t="n"/>
      <x:c r="T10" s="139" t="n"/>
      <x:c r="U10" s="139" t="n"/>
      <x:c r="V10" s="139" t="n"/>
      <x:c r="W10" s="139" t="n"/>
      <x:c r="X10" s="139" t="n"/>
      <x:c r="Y10" s="139" t="n"/>
      <x:c r="Z10" s="139" t="n"/>
      <x:c r="AA10" s="139" t="n"/>
      <x:c r="AB10" s="139" t="n"/>
      <x:c r="AC10" s="139" t="n"/>
      <x:c r="AD10" s="139" t="n"/>
      <x:c r="AE10" s="139" t="n"/>
      <x:c r="AF10" s="139" t="n"/>
      <x:c r="AG10" s="139" t="n"/>
      <x:c r="AH10" s="139" t="n"/>
      <x:c r="AI10" s="139" t="n"/>
      <x:c r="AJ10" s="139" t="n"/>
      <x:c r="AK10" s="139" t="n"/>
      <x:c r="AL10" s="139" t="n"/>
      <x:c r="AM10" s="139" t="n"/>
      <x:c r="AN10" s="139" t="n"/>
      <x:c r="AO10" s="139" t="n"/>
      <x:c r="AP10" s="139" t="n"/>
      <x:c r="AQ10" s="139" t="n"/>
      <x:c r="AR10" s="139" t="n"/>
      <x:c r="AS10" s="139" t="n"/>
      <x:c r="AT10" s="139" t="n"/>
      <x:c r="AU10" s="139" t="n"/>
      <x:c r="AV10" s="139" t="n"/>
      <x:c r="AW10" s="139" t="n"/>
      <x:c r="AX10" s="139" t="n"/>
      <x:c r="AY10" s="139" t="n"/>
      <x:c r="AZ10" s="139" t="n"/>
    </x:row>
    <x:row r="11">
      <x:c r="A11" s="92" t="inlineStr">
        <x:is>
          <x:t xml:space="preserve">Rank</x:t>
        </x:is>
      </x:c>
      <x:c r="B11" s="92" t="inlineStr">
        <x:is>
          <x:t xml:space="preserve">Player</x:t>
        </x:is>
      </x:c>
      <x:c r="C11" s="92" t="inlineStr">
        <x:is>
          <x:t xml:space="preserve">MP</x:t>
        </x:is>
      </x:c>
      <x:c r="D11" s="92" t="inlineStr">
        <x:is>
          <x:t xml:space="preserve">Adj Win %</x:t>
        </x:is>
      </x:c>
      <x:c r="E11" s="92" t="inlineStr">
        <x:is>
          <x:t xml:space="preserve">Diff/Match</x:t>
        </x:is>
      </x:c>
      <x:c r="F11" s="92" t="inlineStr">
        <x:is>
          <x:t xml:space="preserve">SOS</x:t>
        </x:is>
      </x:c>
      <x:c r="G11" s="92" t="inlineStr">
        <x:is>
          <x:t xml:space="preserve">Above Exp.</x:t>
        </x:is>
      </x:c>
      <x:c r="H11" s="92" t="inlineStr">
        <x:is>
          <x:t xml:space="preserve">Clutch</x:t>
        </x:is>
      </x:c>
      <x:c r="I11" s="92" t="inlineStr">
        <x:is>
          <x:t xml:space="preserve">Consistency</x:t>
        </x:is>
      </x:c>
      <x:c r="J11" s="92" t="inlineStr">
        <x:is>
          <x:t xml:space="preserve">Advanced Index</x:t>
        </x:is>
      </x:c>
      <x:c r="K11" s="139" t="n"/>
      <x:c r="L11" s="139" t="n"/>
      <x:c r="M11" s="139" t="n"/>
      <x:c r="N11" s="139" t="n"/>
      <x:c r="O11" s="139" t="n"/>
      <x:c r="P11" s="139" t="n"/>
      <x:c r="Q11" s="139" t="n"/>
      <x:c r="R11" s="139" t="n"/>
      <x:c r="S11" s="139" t="n"/>
      <x:c r="T11" s="139" t="n"/>
      <x:c r="U11" s="139" t="n"/>
      <x:c r="V11" s="139" t="n"/>
      <x:c r="W11" s="139" t="n"/>
      <x:c r="X11" s="139" t="n"/>
      <x:c r="Y11" s="139" t="n"/>
      <x:c r="Z11" s="139" t="n"/>
      <x:c r="AA11" s="139" t="n"/>
      <x:c r="AB11" s="139" t="n"/>
      <x:c r="AC11" s="139" t="n"/>
      <x:c r="AD11" s="139" t="n"/>
      <x:c r="AE11" s="139" t="n"/>
      <x:c r="AF11" s="139" t="n"/>
      <x:c r="AG11" s="139" t="n"/>
      <x:c r="AH11" s="139" t="n"/>
      <x:c r="AI11" s="139" t="n"/>
      <x:c r="AJ11" s="139" t="n"/>
      <x:c r="AK11" s="139" t="n"/>
      <x:c r="AL11" s="139" t="n"/>
      <x:c r="AM11" s="139" t="n"/>
      <x:c r="AN11" s="139" t="n"/>
      <x:c r="AO11" s="139" t="n"/>
      <x:c r="AP11" s="139" t="n"/>
      <x:c r="AQ11" s="139" t="n"/>
      <x:c r="AR11" s="139" t="n"/>
      <x:c r="AS11" s="139" t="n"/>
      <x:c r="AT11" s="139" t="n"/>
      <x:c r="AU11" s="139" t="n"/>
      <x:c r="AV11" s="139" t="n"/>
      <x:c r="AW11" s="139" t="n"/>
      <x:c r="AX11" s="139" t="n"/>
      <x:c r="AY11" s="139" t="n"/>
      <x:c r="AZ11" s="139" t="n"/>
    </x:row>
    <x:row r="12">
      <x:c r="A12" s="139" t="n">
        <x:v>1</x:v>
      </x:c>
      <x:c r="B12" s="139" t="inlineStr">
        <x:is>
          <x:t xml:space="preserve">Sandy</x:t>
        </x:is>
      </x:c>
      <x:c r="C12" s="139" t="n">
        <x:v>13</x:v>
      </x:c>
      <x:c r="D12" s="93" t="n">
        <x:v>0.7142857142857143</x:v>
      </x:c>
      <x:c r="E12" s="139" t="n">
        <x:v>2.538461538461538</x:v>
      </x:c>
      <x:c r="F12" s="94" t="n">
        <x:v>0.4937274759851564</x:v>
      </x:c>
      <x:c r="G12" s="94" t="n">
        <x:v>0.2986058446197765</x:v>
      </x:c>
      <x:c r="H12" s="93" t="n">
        <x:v>0.5</x:v>
      </x:c>
      <x:c r="I12" s="139" t="n">
        <x:v>51.76022648543781</x:v>
      </x:c>
      <x:c r="J12" s="95" t="n">
        <x:v>78.09638258939405</x:v>
      </x:c>
      <x:c r="K12" s="139" t="n"/>
      <x:c r="L12" s="139" t="n"/>
      <x:c r="M12" s="139" t="n"/>
      <x:c r="N12" s="139" t="n"/>
      <x:c r="O12" s="139" t="n"/>
      <x:c r="P12" s="139" t="n"/>
      <x:c r="Q12" s="139" t="n"/>
      <x:c r="R12" s="139" t="n"/>
      <x:c r="S12" s="139" t="n"/>
      <x:c r="T12" s="139" t="n"/>
      <x:c r="U12" s="139" t="n"/>
      <x:c r="V12" s="139" t="n"/>
      <x:c r="W12" s="139" t="n"/>
      <x:c r="X12" s="139" t="n"/>
      <x:c r="Y12" s="139" t="n"/>
      <x:c r="Z12" s="139" t="n"/>
      <x:c r="AA12" s="139" t="n"/>
      <x:c r="AB12" s="139" t="n"/>
      <x:c r="AC12" s="139" t="n"/>
      <x:c r="AD12" s="139" t="n"/>
      <x:c r="AE12" s="139" t="n"/>
      <x:c r="AF12" s="139" t="n"/>
      <x:c r="AG12" s="139" t="n"/>
      <x:c r="AH12" s="139" t="n"/>
      <x:c r="AI12" s="139" t="n"/>
      <x:c r="AJ12" s="139" t="n"/>
      <x:c r="AK12" s="139" t="n"/>
      <x:c r="AL12" s="139" t="n"/>
      <x:c r="AM12" s="139" t="n"/>
      <x:c r="AN12" s="139" t="n"/>
      <x:c r="AO12" s="139" t="n"/>
      <x:c r="AP12" s="139" t="n"/>
      <x:c r="AQ12" s="139" t="n"/>
      <x:c r="AR12" s="139" t="n"/>
      <x:c r="AS12" s="139" t="n"/>
      <x:c r="AT12" s="139" t="n"/>
      <x:c r="AU12" s="139" t="n"/>
      <x:c r="AV12" s="139" t="n"/>
      <x:c r="AW12" s="139" t="n"/>
      <x:c r="AX12" s="139" t="n"/>
      <x:c r="AY12" s="139" t="n"/>
      <x:c r="AZ12" s="139" t="n"/>
    </x:row>
    <x:row r="13">
      <x:c r="A13" s="139" t="n">
        <x:v>2</x:v>
      </x:c>
      <x:c r="B13" s="139" t="inlineStr">
        <x:is>
          <x:t xml:space="preserve">Thohir</x:t>
        </x:is>
      </x:c>
      <x:c r="C13" s="139" t="n">
        <x:v>4</x:v>
      </x:c>
      <x:c r="D13" s="93" t="n">
        <x:v>0.6666666666666666</x:v>
      </x:c>
      <x:c r="E13" s="139" t="n">
        <x:v>2.25</x:v>
      </x:c>
      <x:c r="F13" s="94" t="n">
        <x:v>0.4608636977058029</x:v>
      </x:c>
      <x:c r="G13" s="94" t="n">
        <x:v>0.448549257759784</x:v>
      </x:c>
      <x:c r="H13" s="93" t="n">
        <x:v>1</x:v>
      </x:c>
      <x:c r="I13" s="139" t="n">
        <x:v>97.3317320214429</x:v>
      </x:c>
      <x:c r="J13" s="95" t="n">
        <x:v>74.66790161316823</x:v>
      </x:c>
      <x:c r="K13" s="139" t="n"/>
      <x:c r="L13" s="139" t="n"/>
      <x:c r="M13" s="139" t="n"/>
      <x:c r="N13" s="139" t="n"/>
      <x:c r="O13" s="139" t="n"/>
      <x:c r="P13" s="139" t="n"/>
      <x:c r="Q13" s="139" t="n"/>
      <x:c r="R13" s="139" t="n"/>
      <x:c r="S13" s="139" t="n"/>
      <x:c r="T13" s="139" t="n"/>
      <x:c r="U13" s="139" t="n"/>
      <x:c r="V13" s="139" t="n"/>
      <x:c r="W13" s="139" t="n"/>
      <x:c r="X13" s="139" t="n"/>
      <x:c r="Y13" s="139" t="n"/>
      <x:c r="Z13" s="139" t="n"/>
      <x:c r="AA13" s="139" t="n"/>
      <x:c r="AB13" s="139" t="n"/>
      <x:c r="AC13" s="139" t="n"/>
      <x:c r="AD13" s="139" t="n"/>
      <x:c r="AE13" s="139" t="n"/>
      <x:c r="AF13" s="139" t="n"/>
      <x:c r="AG13" s="139" t="n"/>
      <x:c r="AH13" s="139" t="n"/>
      <x:c r="AI13" s="139" t="n"/>
      <x:c r="AJ13" s="139" t="n"/>
      <x:c r="AK13" s="139" t="n"/>
      <x:c r="AL13" s="139" t="n"/>
      <x:c r="AM13" s="139" t="n"/>
      <x:c r="AN13" s="139" t="n"/>
      <x:c r="AO13" s="139" t="n"/>
      <x:c r="AP13" s="139" t="n"/>
      <x:c r="AQ13" s="139" t="n"/>
      <x:c r="AR13" s="139" t="n"/>
      <x:c r="AS13" s="139" t="n"/>
      <x:c r="AT13" s="139" t="n"/>
      <x:c r="AU13" s="139" t="n"/>
      <x:c r="AV13" s="139" t="n"/>
      <x:c r="AW13" s="139" t="n"/>
      <x:c r="AX13" s="139" t="n"/>
      <x:c r="AY13" s="139" t="n"/>
      <x:c r="AZ13" s="139" t="n"/>
    </x:row>
    <x:row r="14">
      <x:c r="A14" s="139" t="n">
        <x:v>3</x:v>
      </x:c>
      <x:c r="B14" s="139" t="inlineStr">
        <x:is>
          <x:t xml:space="preserve">Rey</x:t>
        </x:is>
      </x:c>
      <x:c r="C14" s="139" t="n">
        <x:v>7</x:v>
      </x:c>
      <x:c r="D14" s="93" t="n">
        <x:v>0.6</x:v>
      </x:c>
      <x:c r="E14" s="139" t="n">
        <x:v>1.428571428571429</x:v>
      </x:c>
      <x:c r="F14" s="94" t="n">
        <x:v>0.503986843173044</x:v>
      </x:c>
      <x:c r="G14" s="94" t="n">
        <x:v>0.1938367654754209</x:v>
      </x:c>
      <x:c r="H14" s="93" t="n">
        <x:v>0.5</x:v>
      </x:c>
      <x:c r="I14" s="139" t="n">
        <x:v>47.09650160189037</x:v>
      </x:c>
      <x:c r="J14" s="95" t="n">
        <x:v>64.78696573767203</x:v>
      </x:c>
      <x:c r="K14" s="139" t="n"/>
      <x:c r="L14" s="139" t="n"/>
      <x:c r="M14" s="139" t="n"/>
      <x:c r="N14" s="139" t="n"/>
      <x:c r="O14" s="139" t="n"/>
      <x:c r="P14" s="139" t="n"/>
      <x:c r="Q14" s="139" t="n"/>
      <x:c r="R14" s="139" t="n"/>
      <x:c r="S14" s="139" t="n"/>
      <x:c r="T14" s="139" t="n"/>
      <x:c r="U14" s="139" t="n"/>
      <x:c r="V14" s="139" t="n"/>
      <x:c r="W14" s="139" t="n"/>
      <x:c r="X14" s="139" t="n"/>
      <x:c r="Y14" s="139" t="n"/>
      <x:c r="Z14" s="139" t="n"/>
      <x:c r="AA14" s="139" t="n"/>
      <x:c r="AB14" s="139" t="n"/>
      <x:c r="AC14" s="139" t="n"/>
      <x:c r="AD14" s="139" t="n"/>
      <x:c r="AE14" s="139" t="n"/>
      <x:c r="AF14" s="139" t="n"/>
      <x:c r="AG14" s="139" t="n"/>
      <x:c r="AH14" s="139" t="n"/>
      <x:c r="AI14" s="139" t="n"/>
      <x:c r="AJ14" s="139" t="n"/>
      <x:c r="AK14" s="139" t="n"/>
      <x:c r="AL14" s="139" t="n"/>
      <x:c r="AM14" s="139" t="n"/>
      <x:c r="AN14" s="139" t="n"/>
      <x:c r="AO14" s="139" t="n"/>
      <x:c r="AP14" s="139" t="n"/>
      <x:c r="AQ14" s="139" t="n"/>
      <x:c r="AR14" s="139" t="n"/>
      <x:c r="AS14" s="139" t="n"/>
      <x:c r="AT14" s="139" t="n"/>
      <x:c r="AU14" s="139" t="n"/>
      <x:c r="AV14" s="139" t="n"/>
      <x:c r="AW14" s="139" t="n"/>
      <x:c r="AX14" s="139" t="n"/>
      <x:c r="AY14" s="139" t="n"/>
      <x:c r="AZ14" s="139" t="n"/>
    </x:row>
    <x:row r="15">
      <x:c r="A15" s="139" t="n">
        <x:v>4</x:v>
      </x:c>
      <x:c r="B15" s="139" t="inlineStr">
        <x:is>
          <x:t xml:space="preserve">Austin</x:t>
        </x:is>
      </x:c>
      <x:c r="C15" s="139" t="n">
        <x:v>14</x:v>
      </x:c>
      <x:c r="D15" s="93" t="n">
        <x:v>0.5909090909090909</x:v>
      </x:c>
      <x:c r="E15" s="139" t="n">
        <x:v>1.428571428571429</x:v>
      </x:c>
      <x:c r="F15" s="94" t="n">
        <x:v>0.5058457041263321</x:v>
      </x:c>
      <x:c r="G15" s="94" t="n">
        <x:v>0.1272316444060141</x:v>
      </x:c>
      <x:c r="H15" s="93" t="n">
        <x:v>0.4</x:v>
      </x:c>
      <x:c r="I15" s="139" t="n">
        <x:v>19.19195872565471</x:v>
      </x:c>
      <x:c r="J15" s="95" t="n">
        <x:v>64.38015445034308</x:v>
      </x:c>
      <x:c r="K15" s="139" t="n"/>
      <x:c r="L15" s="139" t="n"/>
      <x:c r="M15" s="139" t="n"/>
      <x:c r="N15" s="139" t="n"/>
      <x:c r="O15" s="139" t="n"/>
      <x:c r="P15" s="139" t="n"/>
      <x:c r="Q15" s="139" t="n"/>
      <x:c r="R15" s="139" t="n"/>
      <x:c r="S15" s="139" t="n"/>
      <x:c r="T15" s="139" t="n"/>
      <x:c r="U15" s="139" t="n"/>
      <x:c r="V15" s="139" t="n"/>
      <x:c r="W15" s="139" t="n"/>
      <x:c r="X15" s="139" t="n"/>
      <x:c r="Y15" s="139" t="n"/>
      <x:c r="Z15" s="139" t="n"/>
      <x:c r="AA15" s="139" t="n"/>
      <x:c r="AB15" s="139" t="n"/>
      <x:c r="AC15" s="139" t="n"/>
      <x:c r="AD15" s="139" t="n"/>
      <x:c r="AE15" s="139" t="n"/>
      <x:c r="AF15" s="139" t="n"/>
      <x:c r="AG15" s="139" t="n"/>
      <x:c r="AH15" s="139" t="n"/>
      <x:c r="AI15" s="139" t="n"/>
      <x:c r="AJ15" s="139" t="n"/>
      <x:c r="AK15" s="139" t="n"/>
      <x:c r="AL15" s="139" t="n"/>
      <x:c r="AM15" s="139" t="n"/>
      <x:c r="AN15" s="139" t="n"/>
      <x:c r="AO15" s="139" t="n"/>
      <x:c r="AP15" s="139" t="n"/>
      <x:c r="AQ15" s="139" t="n"/>
      <x:c r="AR15" s="139" t="n"/>
      <x:c r="AS15" s="139" t="n"/>
      <x:c r="AT15" s="139" t="n"/>
      <x:c r="AU15" s="139" t="n"/>
      <x:c r="AV15" s="139" t="n"/>
      <x:c r="AW15" s="139" t="n"/>
      <x:c r="AX15" s="139" t="n"/>
      <x:c r="AY15" s="139" t="n"/>
      <x:c r="AZ15" s="139" t="n"/>
    </x:row>
    <x:row r="16">
      <x:c r="A16" s="139" t="n">
        <x:v>5</x:v>
      </x:c>
      <x:c r="B16" s="139" t="inlineStr">
        <x:is>
          <x:t xml:space="preserve">Kennard</x:t>
        </x:is>
      </x:c>
      <x:c r="C16" s="139" t="n">
        <x:v>13</x:v>
      </x:c>
      <x:c r="D16" s="93" t="n">
        <x:v>0.6190476190476191</x:v>
      </x:c>
      <x:c r="E16" s="139" t="n">
        <x:v>0.3846153846153846</x:v>
      </x:c>
      <x:c r="F16" s="94" t="n">
        <x:v>0.4928742528409116</x:v>
      </x:c>
      <x:c r="G16" s="94" t="n">
        <x:v>0.1646531100478469</x:v>
      </x:c>
      <x:c r="H16" s="93" t="n">
        <x:v>1</x:v>
      </x:c>
      <x:c r="I16" s="139" t="n">
        <x:v>6.639888760720396</x:v>
      </x:c>
      <x:c r="J16" s="95" t="n">
        <x:v>62.79091982187177</x:v>
      </x:c>
      <x:c r="K16" s="139" t="n"/>
      <x:c r="L16" s="139" t="n"/>
      <x:c r="M16" s="139" t="n"/>
      <x:c r="N16" s="139" t="n"/>
      <x:c r="O16" s="139" t="n"/>
      <x:c r="P16" s="139" t="n"/>
      <x:c r="Q16" s="139" t="n"/>
      <x:c r="R16" s="139" t="n"/>
      <x:c r="S16" s="139" t="n"/>
      <x:c r="T16" s="139" t="n"/>
      <x:c r="U16" s="139" t="n"/>
      <x:c r="V16" s="139" t="n"/>
      <x:c r="W16" s="139" t="n"/>
      <x:c r="X16" s="139" t="n"/>
      <x:c r="Y16" s="139" t="n"/>
      <x:c r="Z16" s="139" t="n"/>
      <x:c r="AA16" s="139" t="n"/>
      <x:c r="AB16" s="139" t="n"/>
      <x:c r="AC16" s="139" t="n"/>
      <x:c r="AD16" s="139" t="n"/>
      <x:c r="AE16" s="139" t="n"/>
      <x:c r="AF16" s="139" t="n"/>
      <x:c r="AG16" s="139" t="n"/>
      <x:c r="AH16" s="139" t="n"/>
      <x:c r="AI16" s="139" t="n"/>
      <x:c r="AJ16" s="139" t="n"/>
      <x:c r="AK16" s="139" t="n"/>
      <x:c r="AL16" s="139" t="n"/>
      <x:c r="AM16" s="139" t="n"/>
      <x:c r="AN16" s="139" t="n"/>
      <x:c r="AO16" s="139" t="n"/>
      <x:c r="AP16" s="139" t="n"/>
      <x:c r="AQ16" s="139" t="n"/>
      <x:c r="AR16" s="139" t="n"/>
      <x:c r="AS16" s="139" t="n"/>
      <x:c r="AT16" s="139" t="n"/>
      <x:c r="AU16" s="139" t="n"/>
      <x:c r="AV16" s="139" t="n"/>
      <x:c r="AW16" s="139" t="n"/>
      <x:c r="AX16" s="139" t="n"/>
      <x:c r="AY16" s="139" t="n"/>
      <x:c r="AZ16" s="139" t="n"/>
    </x:row>
    <x:row r="17">
      <x:c r="A17" s="139" t="n">
        <x:v>6</x:v>
      </x:c>
      <x:c r="B17" s="139" t="inlineStr">
        <x:is>
          <x:t xml:space="preserve">Ronald</x:t>
        </x:is>
      </x:c>
      <x:c r="C17" s="139" t="n">
        <x:v>18</x:v>
      </x:c>
      <x:c r="D17" s="93" t="n">
        <x:v>0.6153846153846154</x:v>
      </x:c>
      <x:c r="E17" s="139" t="n">
        <x:v>1.055555555555556</x:v>
      </x:c>
      <x:c r="F17" s="94" t="n">
        <x:v>0.4795284222141807</x:v>
      </x:c>
      <x:c r="G17" s="94" t="n">
        <x:v>0.1300373051727541</x:v>
      </x:c>
      <x:c r="H17" s="93" t="n">
        <x:v>0.5555555555555556</x:v>
      </x:c>
      <x:c r="I17" s="139" t="n">
        <x:v>43.57453202312175</x:v>
      </x:c>
      <x:c r="J17" s="95" t="n">
        <x:v>62.47970279228046</x:v>
      </x:c>
      <x:c r="K17" s="139" t="n"/>
      <x:c r="L17" s="139" t="n"/>
      <x:c r="M17" s="139" t="n"/>
      <x:c r="N17" s="139" t="n"/>
      <x:c r="O17" s="139" t="n"/>
      <x:c r="P17" s="139" t="n"/>
      <x:c r="Q17" s="139" t="n"/>
      <x:c r="R17" s="139" t="n"/>
      <x:c r="S17" s="139" t="n"/>
      <x:c r="T17" s="139" t="n"/>
      <x:c r="U17" s="139" t="n"/>
      <x:c r="V17" s="139" t="n"/>
      <x:c r="W17" s="139" t="n"/>
      <x:c r="X17" s="139" t="n"/>
      <x:c r="Y17" s="139" t="n"/>
      <x:c r="Z17" s="139" t="n"/>
      <x:c r="AA17" s="139" t="n"/>
      <x:c r="AB17" s="139" t="n"/>
      <x:c r="AC17" s="139" t="n"/>
      <x:c r="AD17" s="139" t="n"/>
      <x:c r="AE17" s="139" t="n"/>
      <x:c r="AF17" s="139" t="n"/>
      <x:c r="AG17" s="139" t="n"/>
      <x:c r="AH17" s="139" t="n"/>
      <x:c r="AI17" s="139" t="n"/>
      <x:c r="AJ17" s="139" t="n"/>
      <x:c r="AK17" s="139" t="n"/>
      <x:c r="AL17" s="139" t="n"/>
      <x:c r="AM17" s="139" t="n"/>
      <x:c r="AN17" s="139" t="n"/>
      <x:c r="AO17" s="139" t="n"/>
      <x:c r="AP17" s="139" t="n"/>
      <x:c r="AQ17" s="139" t="n"/>
      <x:c r="AR17" s="139" t="n"/>
      <x:c r="AS17" s="139" t="n"/>
      <x:c r="AT17" s="139" t="n"/>
      <x:c r="AU17" s="139" t="n"/>
      <x:c r="AV17" s="139" t="n"/>
      <x:c r="AW17" s="139" t="n"/>
      <x:c r="AX17" s="139" t="n"/>
      <x:c r="AY17" s="139" t="n"/>
      <x:c r="AZ17" s="139" t="n"/>
    </x:row>
    <x:row r="18">
      <x:c r="A18" s="139" t="n">
        <x:v>7</x:v>
      </x:c>
      <x:c r="B18" s="139" t="inlineStr">
        <x:is>
          <x:t xml:space="preserve">Ricky</x:t>
        </x:is>
      </x:c>
      <x:c r="C18" s="139" t="n">
        <x:v>26</x:v>
      </x:c>
      <x:c r="D18" s="93" t="n">
        <x:v>0.5882352941176471</x:v>
      </x:c>
      <x:c r="E18" s="139" t="n">
        <x:v>0.6538461538461539</x:v>
      </x:c>
      <x:c r="F18" s="94" t="n">
        <x:v>0.4785930837044197</x:v>
      </x:c>
      <x:c r="G18" s="94" t="n">
        <x:v>0.08443713496553457</x:v>
      </x:c>
      <x:c r="H18" s="93" t="n">
        <x:v>0.6666666666666666</x:v>
      </x:c>
      <x:c r="I18" s="139" t="n">
        <x:v>9.30889292718517</x:v>
      </x:c>
      <x:c r="J18" s="95" t="n">
        <x:v>59.61732434538886</x:v>
      </x:c>
      <x:c r="K18" s="139" t="n"/>
      <x:c r="L18" s="139" t="n"/>
      <x:c r="M18" s="139" t="n"/>
      <x:c r="N18" s="139" t="n"/>
      <x:c r="O18" s="139" t="n"/>
      <x:c r="P18" s="139" t="n"/>
      <x:c r="Q18" s="139" t="n"/>
      <x:c r="R18" s="139" t="n"/>
      <x:c r="S18" s="139" t="n"/>
      <x:c r="T18" s="139" t="n"/>
      <x:c r="U18" s="139" t="n"/>
      <x:c r="V18" s="139" t="n"/>
      <x:c r="W18" s="139" t="n"/>
      <x:c r="X18" s="139" t="n"/>
      <x:c r="Y18" s="139" t="n"/>
      <x:c r="Z18" s="139" t="n"/>
      <x:c r="AA18" s="139" t="n"/>
      <x:c r="AB18" s="139" t="n"/>
      <x:c r="AC18" s="139" t="n"/>
      <x:c r="AD18" s="139" t="n"/>
      <x:c r="AE18" s="139" t="n"/>
      <x:c r="AF18" s="139" t="n"/>
      <x:c r="AG18" s="139" t="n"/>
      <x:c r="AH18" s="139" t="n"/>
      <x:c r="AI18" s="139" t="n"/>
      <x:c r="AJ18" s="139" t="n"/>
      <x:c r="AK18" s="139" t="n"/>
      <x:c r="AL18" s="139" t="n"/>
      <x:c r="AM18" s="139" t="n"/>
      <x:c r="AN18" s="139" t="n"/>
      <x:c r="AO18" s="139" t="n"/>
      <x:c r="AP18" s="139" t="n"/>
      <x:c r="AQ18" s="139" t="n"/>
      <x:c r="AR18" s="139" t="n"/>
      <x:c r="AS18" s="139" t="n"/>
      <x:c r="AT18" s="139" t="n"/>
      <x:c r="AU18" s="139" t="n"/>
      <x:c r="AV18" s="139" t="n"/>
      <x:c r="AW18" s="139" t="n"/>
      <x:c r="AX18" s="139" t="n"/>
      <x:c r="AY18" s="139" t="n"/>
      <x:c r="AZ18" s="139" t="n"/>
    </x:row>
    <x:row r="19">
      <x:c r="A19" s="139" t="n">
        <x:v>8</x:v>
      </x:c>
      <x:c r="B19" s="139" t="inlineStr">
        <x:is>
          <x:t xml:space="preserve">Jonathan</x:t>
        </x:is>
      </x:c>
      <x:c r="C19" s="139" t="n">
        <x:v>6</x:v>
      </x:c>
      <x:c r="D19" s="93" t="n">
        <x:v>0.5714285714285714</x:v>
      </x:c>
      <x:c r="E19" s="139" t="n">
        <x:v>0</x:v>
      </x:c>
      <x:c r="F19" s="94" t="n">
        <x:v>0.4981326894639588</x:v>
      </x:c>
      <x:c r="G19" s="94" t="n">
        <x:v>0.1413786806588664</x:v>
      </x:c>
      <x:c r="H19" s="93" t="n">
        <x:v>1</x:v>
      </x:c>
      <x:c r="I19" s="139" t="n">
        <x:v>0</x:v>
      </x:c>
      <x:c r="J19" s="95" t="n">
        <x:v>57.75201197438839</x:v>
      </x:c>
      <x:c r="K19" s="139" t="n"/>
      <x:c r="L19" s="139" t="n"/>
      <x:c r="M19" s="139" t="n"/>
      <x:c r="N19" s="139" t="n"/>
      <x:c r="O19" s="139" t="n"/>
      <x:c r="P19" s="139" t="n"/>
      <x:c r="Q19" s="139" t="n"/>
      <x:c r="R19" s="139" t="n"/>
      <x:c r="S19" s="139" t="n"/>
      <x:c r="T19" s="139" t="n"/>
      <x:c r="U19" s="139" t="n"/>
      <x:c r="V19" s="139" t="n"/>
      <x:c r="W19" s="139" t="n"/>
      <x:c r="X19" s="139" t="n"/>
      <x:c r="Y19" s="139" t="n"/>
      <x:c r="Z19" s="139" t="n"/>
      <x:c r="AA19" s="139" t="n"/>
      <x:c r="AB19" s="139" t="n"/>
      <x:c r="AC19" s="139" t="n"/>
      <x:c r="AD19" s="139" t="n"/>
      <x:c r="AE19" s="139" t="n"/>
      <x:c r="AF19" s="139" t="n"/>
      <x:c r="AG19" s="139" t="n"/>
      <x:c r="AH19" s="139" t="n"/>
      <x:c r="AI19" s="139" t="n"/>
      <x:c r="AJ19" s="139" t="n"/>
      <x:c r="AK19" s="139" t="n"/>
      <x:c r="AL19" s="139" t="n"/>
      <x:c r="AM19" s="139" t="n"/>
      <x:c r="AN19" s="139" t="n"/>
      <x:c r="AO19" s="139" t="n"/>
      <x:c r="AP19" s="139" t="n"/>
      <x:c r="AQ19" s="139" t="n"/>
      <x:c r="AR19" s="139" t="n"/>
      <x:c r="AS19" s="139" t="n"/>
      <x:c r="AT19" s="139" t="n"/>
      <x:c r="AU19" s="139" t="n"/>
      <x:c r="AV19" s="139" t="n"/>
      <x:c r="AW19" s="139" t="n"/>
      <x:c r="AX19" s="139" t="n"/>
      <x:c r="AY19" s="139" t="n"/>
      <x:c r="AZ19" s="139" t="n"/>
    </x:row>
    <x:row r="20">
      <x:c r="A20" s="139" t="n">
        <x:v>9</x:v>
      </x:c>
      <x:c r="B20" s="139" t="inlineStr">
        <x:is>
          <x:t xml:space="preserve">Rizky</x:t>
        </x:is>
      </x:c>
      <x:c r="C20" s="139" t="n">
        <x:v>6</x:v>
      </x:c>
      <x:c r="D20" s="93" t="n">
        <x:v>0.5714285714285714</x:v>
      </x:c>
      <x:c r="E20" s="139" t="n">
        <x:v>0.8333333333333334</x:v>
      </x:c>
      <x:c r="F20" s="94" t="n">
        <x:v>0.4492112634527496</x:v>
      </x:c>
      <x:c r="G20" s="94" t="n">
        <x:v>0.1361123396727112</x:v>
      </x:c>
      <x:c r="H20" s="93" t="n">
        <x:v>0.5</x:v>
      </x:c>
      <x:c r="I20" s="139" t="n">
        <x:v>30.06674742986598</x:v>
      </x:c>
      <x:c r="J20" s="95" t="n">
        <x:v>50.93915835296102</x:v>
      </x:c>
      <x:c r="K20" s="139" t="n"/>
      <x:c r="L20" s="139" t="n"/>
      <x:c r="M20" s="139" t="n"/>
      <x:c r="N20" s="139" t="n"/>
      <x:c r="O20" s="139" t="n"/>
      <x:c r="P20" s="139" t="n"/>
      <x:c r="Q20" s="139" t="n"/>
      <x:c r="R20" s="139" t="n"/>
      <x:c r="S20" s="139" t="n"/>
      <x:c r="T20" s="139" t="n"/>
      <x:c r="U20" s="139" t="n"/>
      <x:c r="V20" s="139" t="n"/>
      <x:c r="W20" s="139" t="n"/>
      <x:c r="X20" s="139" t="n"/>
      <x:c r="Y20" s="139" t="n"/>
      <x:c r="Z20" s="139" t="n"/>
      <x:c r="AA20" s="139" t="n"/>
      <x:c r="AB20" s="139" t="n"/>
      <x:c r="AC20" s="139" t="n"/>
      <x:c r="AD20" s="139" t="n"/>
      <x:c r="AE20" s="139" t="n"/>
      <x:c r="AF20" s="139" t="n"/>
      <x:c r="AG20" s="139" t="n"/>
      <x:c r="AH20" s="139" t="n"/>
      <x:c r="AI20" s="139" t="n"/>
      <x:c r="AJ20" s="139" t="n"/>
      <x:c r="AK20" s="139" t="n"/>
      <x:c r="AL20" s="139" t="n"/>
      <x:c r="AM20" s="139" t="n"/>
      <x:c r="AN20" s="139" t="n"/>
      <x:c r="AO20" s="139" t="n"/>
      <x:c r="AP20" s="139" t="n"/>
      <x:c r="AQ20" s="139" t="n"/>
      <x:c r="AR20" s="139" t="n"/>
      <x:c r="AS20" s="139" t="n"/>
      <x:c r="AT20" s="139" t="n"/>
      <x:c r="AU20" s="139" t="n"/>
      <x:c r="AV20" s="139" t="n"/>
      <x:c r="AW20" s="139" t="n"/>
      <x:c r="AX20" s="139" t="n"/>
      <x:c r="AY20" s="139" t="n"/>
      <x:c r="AZ20" s="139" t="n"/>
    </x:row>
    <x:row r="21">
      <x:c r="A21" s="139" t="n">
        <x:v>10</x:v>
      </x:c>
      <x:c r="B21" s="139" t="inlineStr">
        <x:is>
          <x:t xml:space="preserve">Edy SP</x:t>
        </x:is>
      </x:c>
      <x:c r="C21" s="139" t="n">
        <x:v>30</x:v>
      </x:c>
      <x:c r="D21" s="93" t="n">
        <x:v>0.4736842105263158</x:v>
      </x:c>
      <x:c r="E21" s="139" t="n">
        <x:v>-0.1333333333333333</x:v>
      </x:c>
      <x:c r="F21" s="94" t="n">
        <x:v>0.5035450600311281</x:v>
      </x:c>
      <x:c r="G21" s="94" t="n">
        <x:v>-0.0283207487387054</x:v>
      </x:c>
      <x:c r="H21" s="93" t="n">
        <x:v>0.3333333333333333</x:v>
      </x:c>
      <x:c r="I21" s="139" t="n">
        <x:v>19.30395302445127</x:v>
      </x:c>
      <x:c r="J21" s="95" t="n">
        <x:v>49.32361774879184</x:v>
      </x:c>
      <x:c r="K21" s="139" t="n"/>
      <x:c r="L21" s="139" t="n"/>
      <x:c r="M21" s="139" t="n"/>
      <x:c r="N21" s="139" t="n"/>
      <x:c r="O21" s="139" t="n"/>
      <x:c r="P21" s="139" t="n"/>
      <x:c r="Q21" s="139" t="n"/>
      <x:c r="R21" s="139" t="n"/>
      <x:c r="S21" s="139" t="n"/>
      <x:c r="T21" s="139" t="n"/>
      <x:c r="U21" s="139" t="n"/>
      <x:c r="V21" s="139" t="n"/>
      <x:c r="W21" s="139" t="n"/>
      <x:c r="X21" s="139" t="n"/>
      <x:c r="Y21" s="139" t="n"/>
      <x:c r="Z21" s="139" t="n"/>
      <x:c r="AA21" s="139" t="n"/>
      <x:c r="AB21" s="139" t="n"/>
      <x:c r="AC21" s="139" t="n"/>
      <x:c r="AD21" s="139" t="n"/>
      <x:c r="AE21" s="139" t="n"/>
      <x:c r="AF21" s="139" t="n"/>
      <x:c r="AG21" s="139" t="n"/>
      <x:c r="AH21" s="139" t="n"/>
      <x:c r="AI21" s="139" t="n"/>
      <x:c r="AJ21" s="139" t="n"/>
      <x:c r="AK21" s="139" t="n"/>
      <x:c r="AL21" s="139" t="n"/>
      <x:c r="AM21" s="139" t="n"/>
      <x:c r="AN21" s="139" t="n"/>
      <x:c r="AO21" s="139" t="n"/>
      <x:c r="AP21" s="139" t="n"/>
      <x:c r="AQ21" s="139" t="n"/>
      <x:c r="AR21" s="139" t="n"/>
      <x:c r="AS21" s="139" t="n"/>
      <x:c r="AT21" s="139" t="n"/>
      <x:c r="AU21" s="139" t="n"/>
      <x:c r="AV21" s="139" t="n"/>
      <x:c r="AW21" s="139" t="n"/>
      <x:c r="AX21" s="139" t="n"/>
      <x:c r="AY21" s="139" t="n"/>
      <x:c r="AZ21" s="139" t="n"/>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c r="V22" s="139" t="n"/>
      <x:c r="W22" s="139" t="n"/>
      <x:c r="X22" s="139" t="n"/>
      <x:c r="Y22" s="139" t="n"/>
      <x:c r="Z22" s="139" t="n"/>
      <x:c r="AA22" s="139" t="n"/>
      <x:c r="AB22" s="139" t="n"/>
      <x:c r="AC22" s="139" t="n"/>
      <x:c r="AD22" s="139" t="n"/>
      <x:c r="AE22" s="139" t="n"/>
      <x:c r="AF22" s="139" t="n"/>
      <x:c r="AG22" s="139" t="n"/>
      <x:c r="AH22" s="139" t="n"/>
      <x:c r="AI22" s="139" t="n"/>
      <x:c r="AJ22" s="139" t="n"/>
      <x:c r="AK22" s="139" t="n"/>
      <x:c r="AL22" s="139" t="n"/>
      <x:c r="AM22" s="139" t="n"/>
      <x:c r="AN22" s="139" t="n"/>
      <x:c r="AO22" s="139" t="n"/>
      <x:c r="AP22" s="139" t="n"/>
      <x:c r="AQ22" s="139" t="n"/>
      <x:c r="AR22" s="139" t="n"/>
      <x:c r="AS22" s="139" t="n"/>
      <x:c r="AT22" s="139" t="n"/>
      <x:c r="AU22" s="139" t="n"/>
      <x:c r="AV22" s="139" t="n"/>
      <x:c r="AW22" s="139" t="n"/>
      <x:c r="AX22" s="139" t="n"/>
      <x:c r="AY22" s="139" t="n"/>
      <x:c r="AZ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c r="V23" s="139" t="n"/>
      <x:c r="W23" s="139" t="n"/>
      <x:c r="X23" s="139" t="n"/>
      <x:c r="Y23" s="139" t="n"/>
      <x:c r="Z23" s="139" t="n"/>
      <x:c r="AA23" s="139" t="n"/>
      <x:c r="AB23" s="139" t="n"/>
      <x:c r="AC23" s="139" t="n"/>
      <x:c r="AD23" s="139" t="n"/>
      <x:c r="AE23" s="139" t="n"/>
      <x:c r="AF23" s="139" t="n"/>
      <x:c r="AG23" s="139" t="n"/>
      <x:c r="AH23" s="139" t="n"/>
      <x:c r="AI23" s="139" t="n"/>
      <x:c r="AJ23" s="139" t="n"/>
      <x:c r="AK23" s="139" t="n"/>
      <x:c r="AL23" s="139" t="n"/>
      <x:c r="AM23" s="139" t="n"/>
      <x:c r="AN23" s="139" t="n"/>
      <x:c r="AO23" s="139" t="n"/>
      <x:c r="AP23" s="139" t="n"/>
      <x:c r="AQ23" s="139" t="n"/>
      <x:c r="AR23" s="139" t="n"/>
      <x:c r="AS23" s="139" t="n"/>
      <x:c r="AT23" s="139" t="n"/>
      <x:c r="AU23" s="139" t="n"/>
      <x:c r="AV23" s="139" t="n"/>
      <x:c r="AW23" s="139" t="n"/>
      <x:c r="AX23" s="139" t="n"/>
      <x:c r="AY23" s="139" t="n"/>
      <x:c r="AZ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c r="V24" s="139" t="n"/>
      <x:c r="W24" s="139" t="n"/>
      <x:c r="X24" s="139" t="n"/>
      <x:c r="Y24" s="139" t="n"/>
      <x:c r="Z24" s="139" t="n"/>
      <x:c r="AA24" s="139" t="n"/>
      <x:c r="AB24" s="139" t="n"/>
      <x:c r="AC24" s="139" t="n"/>
      <x:c r="AD24" s="139" t="n"/>
      <x:c r="AE24" s="139" t="n"/>
      <x:c r="AF24" s="139" t="n"/>
      <x:c r="AG24" s="139" t="n"/>
      <x:c r="AH24" s="139" t="n"/>
      <x:c r="AI24" s="139" t="n"/>
      <x:c r="AJ24" s="139" t="n"/>
      <x:c r="AK24" s="139" t="n"/>
      <x:c r="AL24" s="139" t="n"/>
      <x:c r="AM24" s="139" t="n"/>
      <x:c r="AN24" s="139" t="n"/>
      <x:c r="AO24" s="139" t="n"/>
      <x:c r="AP24" s="139" t="n"/>
      <x:c r="AQ24" s="139" t="n"/>
      <x:c r="AR24" s="139" t="n"/>
      <x:c r="AS24" s="139" t="n"/>
      <x:c r="AT24" s="139" t="n"/>
      <x:c r="AU24" s="139" t="n"/>
      <x:c r="AV24" s="139" t="n"/>
      <x:c r="AW24" s="139" t="n"/>
      <x:c r="AX24" s="139" t="n"/>
      <x:c r="AY24" s="139" t="n"/>
      <x:c r="AZ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c r="V25" s="139" t="n"/>
      <x:c r="W25" s="139" t="n"/>
      <x:c r="X25" s="139" t="n"/>
      <x:c r="Y25" s="139" t="n"/>
      <x:c r="Z25" s="139" t="n"/>
      <x:c r="AA25" s="139" t="n"/>
      <x:c r="AB25" s="139" t="n"/>
      <x:c r="AC25" s="139" t="n"/>
      <x:c r="AD25" s="139" t="n"/>
      <x:c r="AE25" s="139" t="n"/>
      <x:c r="AF25" s="139" t="n"/>
      <x:c r="AG25" s="139" t="n"/>
      <x:c r="AH25" s="139" t="n"/>
      <x:c r="AI25" s="139" t="n"/>
      <x:c r="AJ25" s="139" t="n"/>
      <x:c r="AK25" s="139" t="n"/>
      <x:c r="AL25" s="139" t="n"/>
      <x:c r="AM25" s="139" t="n"/>
      <x:c r="AN25" s="139" t="n"/>
      <x:c r="AO25" s="139" t="n"/>
      <x:c r="AP25" s="139" t="n"/>
      <x:c r="AQ25" s="139" t="n"/>
      <x:c r="AR25" s="139" t="n"/>
      <x:c r="AS25" s="139" t="n"/>
      <x:c r="AT25" s="139" t="n"/>
      <x:c r="AU25" s="139" t="n"/>
      <x:c r="AV25" s="139" t="n"/>
      <x:c r="AW25" s="139" t="n"/>
      <x:c r="AX25" s="139" t="n"/>
      <x:c r="AY25" s="139" t="n"/>
      <x:c r="AZ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c r="V26" s="139" t="n"/>
      <x:c r="W26" s="139" t="n"/>
      <x:c r="X26" s="139" t="n"/>
      <x:c r="Y26" s="139" t="n"/>
      <x:c r="Z26" s="139" t="n"/>
      <x:c r="AA26" s="139" t="n"/>
      <x:c r="AB26" s="139" t="n"/>
      <x:c r="AC26" s="139" t="n"/>
      <x:c r="AD26" s="139" t="n"/>
      <x:c r="AE26" s="139" t="n"/>
      <x:c r="AF26" s="139" t="n"/>
      <x:c r="AG26" s="139" t="n"/>
      <x:c r="AH26" s="139" t="n"/>
      <x:c r="AI26" s="139" t="n"/>
      <x:c r="AJ26" s="139" t="n"/>
      <x:c r="AK26" s="139" t="n"/>
      <x:c r="AL26" s="139" t="n"/>
      <x:c r="AM26" s="139" t="n"/>
      <x:c r="AN26" s="139" t="n"/>
      <x:c r="AO26" s="139" t="n"/>
      <x:c r="AP26" s="139" t="n"/>
      <x:c r="AQ26" s="139" t="n"/>
      <x:c r="AR26" s="139" t="n"/>
      <x:c r="AS26" s="139" t="n"/>
      <x:c r="AT26" s="139" t="n"/>
      <x:c r="AU26" s="139" t="n"/>
      <x:c r="AV26" s="139" t="n"/>
      <x:c r="AW26" s="139" t="n"/>
      <x:c r="AX26" s="139" t="n"/>
      <x:c r="AY26" s="139" t="n"/>
      <x:c r="AZ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c r="V27" s="139" t="n"/>
      <x:c r="W27" s="139" t="n"/>
      <x:c r="X27" s="139" t="n"/>
      <x:c r="Y27" s="139" t="n"/>
      <x:c r="Z27" s="139" t="n"/>
      <x:c r="AA27" s="139" t="n"/>
      <x:c r="AB27" s="139" t="n"/>
      <x:c r="AC27" s="139" t="n"/>
      <x:c r="AD27" s="139" t="n"/>
      <x:c r="AE27" s="139" t="n"/>
      <x:c r="AF27" s="139" t="n"/>
      <x:c r="AG27" s="139" t="n"/>
      <x:c r="AH27" s="139" t="n"/>
      <x:c r="AI27" s="139" t="n"/>
      <x:c r="AJ27" s="139" t="n"/>
      <x:c r="AK27" s="139" t="n"/>
      <x:c r="AL27" s="139" t="n"/>
      <x:c r="AM27" s="139" t="n"/>
      <x:c r="AN27" s="139" t="n"/>
      <x:c r="AO27" s="139" t="n"/>
      <x:c r="AP27" s="139" t="n"/>
      <x:c r="AQ27" s="139" t="n"/>
      <x:c r="AR27" s="139" t="n"/>
      <x:c r="AS27" s="139" t="n"/>
      <x:c r="AT27" s="139" t="n"/>
      <x:c r="AU27" s="139" t="n"/>
      <x:c r="AV27" s="139" t="n"/>
      <x:c r="AW27" s="139" t="n"/>
      <x:c r="AX27" s="139" t="n"/>
      <x:c r="AY27" s="139" t="n"/>
      <x:c r="AZ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c r="V28" s="139" t="n"/>
      <x:c r="W28" s="139" t="n"/>
      <x:c r="X28" s="139" t="n"/>
      <x:c r="Y28" s="139" t="n"/>
      <x:c r="Z28" s="139" t="n"/>
      <x:c r="AA28" s="139" t="n"/>
      <x:c r="AB28" s="139" t="n"/>
      <x:c r="AC28" s="139" t="n"/>
      <x:c r="AD28" s="139" t="n"/>
      <x:c r="AE28" s="139" t="n"/>
      <x:c r="AF28" s="139" t="n"/>
      <x:c r="AG28" s="139" t="n"/>
      <x:c r="AH28" s="139" t="n"/>
      <x:c r="AI28" s="139" t="n"/>
      <x:c r="AJ28" s="139" t="n"/>
      <x:c r="AK28" s="139" t="n"/>
      <x:c r="AL28" s="139" t="n"/>
      <x:c r="AM28" s="139" t="n"/>
      <x:c r="AN28" s="139" t="n"/>
      <x:c r="AO28" s="139" t="n"/>
      <x:c r="AP28" s="139" t="n"/>
      <x:c r="AQ28" s="139" t="n"/>
      <x:c r="AR28" s="139" t="n"/>
      <x:c r="AS28" s="139" t="n"/>
      <x:c r="AT28" s="139" t="n"/>
      <x:c r="AU28" s="139" t="n"/>
      <x:c r="AV28" s="139" t="n"/>
      <x:c r="AW28" s="139" t="n"/>
      <x:c r="AX28" s="139" t="n"/>
      <x:c r="AY28" s="139" t="n"/>
      <x:c r="AZ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c r="V29" s="139" t="n"/>
      <x:c r="W29" s="139" t="n"/>
      <x:c r="X29" s="139" t="n"/>
      <x:c r="Y29" s="139" t="n"/>
      <x:c r="Z29" s="139" t="n"/>
      <x:c r="AA29" s="139" t="n"/>
      <x:c r="AB29" s="139" t="n"/>
      <x:c r="AC29" s="139" t="n"/>
      <x:c r="AD29" s="139" t="n"/>
      <x:c r="AE29" s="139" t="n"/>
      <x:c r="AF29" s="139" t="n"/>
      <x:c r="AG29" s="139" t="n"/>
      <x:c r="AH29" s="139" t="n"/>
      <x:c r="AI29" s="139" t="n"/>
      <x:c r="AJ29" s="139" t="n"/>
      <x:c r="AK29" s="139" t="n"/>
      <x:c r="AL29" s="139" t="n"/>
      <x:c r="AM29" s="139" t="n"/>
      <x:c r="AN29" s="139" t="n"/>
      <x:c r="AO29" s="139" t="n"/>
      <x:c r="AP29" s="139" t="n"/>
      <x:c r="AQ29" s="139" t="n"/>
      <x:c r="AR29" s="139" t="n"/>
      <x:c r="AS29" s="139" t="n"/>
      <x:c r="AT29" s="139" t="n"/>
      <x:c r="AU29" s="139" t="n"/>
      <x:c r="AV29" s="139" t="n"/>
      <x:c r="AW29" s="139" t="n"/>
      <x:c r="AX29" s="139" t="n"/>
      <x:c r="AY29" s="139" t="n"/>
      <x:c r="AZ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c r="V30" s="139" t="n"/>
      <x:c r="W30" s="139" t="n"/>
      <x:c r="X30" s="139" t="n"/>
      <x:c r="Y30" s="139" t="n"/>
      <x:c r="Z30" s="139" t="n"/>
      <x:c r="AA30" s="139" t="n"/>
      <x:c r="AB30" s="139" t="n"/>
      <x:c r="AC30" s="139" t="n"/>
      <x:c r="AD30" s="139" t="n"/>
      <x:c r="AE30" s="139" t="n"/>
      <x:c r="AF30" s="139" t="n"/>
      <x:c r="AG30" s="139" t="n"/>
      <x:c r="AH30" s="139" t="n"/>
      <x:c r="AI30" s="139" t="n"/>
      <x:c r="AJ30" s="139" t="n"/>
      <x:c r="AK30" s="139" t="n"/>
      <x:c r="AL30" s="139" t="n"/>
      <x:c r="AM30" s="139" t="n"/>
      <x:c r="AN30" s="139" t="n"/>
      <x:c r="AO30" s="139" t="n"/>
      <x:c r="AP30" s="139" t="n"/>
      <x:c r="AQ30" s="139" t="n"/>
      <x:c r="AR30" s="139" t="n"/>
      <x:c r="AS30" s="139" t="n"/>
      <x:c r="AT30" s="139" t="n"/>
      <x:c r="AU30" s="139" t="n"/>
      <x:c r="AV30" s="139" t="n"/>
      <x:c r="AW30" s="139" t="n"/>
      <x:c r="AX30" s="139" t="n"/>
      <x:c r="AY30" s="139" t="n"/>
      <x:c r="AZ30" s="139" t="n"/>
    </x:row>
    <x:row r="31">
      <x:c r="A31" s="139" t="n"/>
      <x:c r="B31" s="139" t="n"/>
      <x:c r="C31" s="139" t="n"/>
      <x:c r="D31" s="139" t="n"/>
      <x:c r="E31" s="139" t="n"/>
      <x:c r="F31" s="139" t="n"/>
      <x:c r="G31" s="139" t="n"/>
      <x:c r="H31" s="139" t="n"/>
      <x:c r="I31" s="139" t="n"/>
      <x:c r="J31" s="139" t="n"/>
      <x:c r="K31" s="139" t="n"/>
      <x:c r="L31" s="139" t="n"/>
      <x:c r="M31" s="139" t="n"/>
      <x:c r="N31" s="139" t="n"/>
      <x:c r="O31" s="139" t="n"/>
      <x:c r="P31" s="139" t="n"/>
      <x:c r="Q31" s="139" t="n"/>
      <x:c r="R31" s="139" t="n"/>
      <x:c r="S31" s="139" t="n"/>
      <x:c r="T31" s="139" t="n"/>
      <x:c r="U31" s="139" t="n"/>
      <x:c r="V31" s="139" t="n"/>
      <x:c r="W31" s="139" t="n"/>
      <x:c r="X31" s="139" t="n"/>
      <x:c r="Y31" s="139" t="n"/>
      <x:c r="Z31" s="139" t="n"/>
      <x:c r="AA31" s="139" t="n"/>
      <x:c r="AB31" s="139" t="n"/>
      <x:c r="AC31" s="139" t="n"/>
      <x:c r="AD31" s="139" t="n"/>
      <x:c r="AE31" s="139" t="n"/>
      <x:c r="AF31" s="139" t="n"/>
      <x:c r="AG31" s="139" t="n"/>
      <x:c r="AH31" s="139" t="n"/>
      <x:c r="AI31" s="139" t="n"/>
      <x:c r="AJ31" s="139" t="n"/>
      <x:c r="AK31" s="139" t="n"/>
      <x:c r="AL31" s="139" t="n"/>
      <x:c r="AM31" s="139" t="n"/>
      <x:c r="AN31" s="139" t="n"/>
      <x:c r="AO31" s="139" t="n"/>
      <x:c r="AP31" s="139" t="n"/>
      <x:c r="AQ31" s="139" t="n"/>
      <x:c r="AR31" s="139" t="n"/>
      <x:c r="AS31" s="139" t="n"/>
      <x:c r="AT31" s="139" t="n"/>
      <x:c r="AU31" s="139" t="n"/>
      <x:c r="AV31" s="139" t="n"/>
      <x:c r="AW31" s="139" t="n"/>
      <x:c r="AX31" s="139" t="n"/>
      <x:c r="AY31" s="139" t="n"/>
      <x:c r="AZ31" s="139" t="n"/>
    </x:row>
    <x:row r="32">
      <x:c r="A32" s="139" t="n"/>
      <x:c r="B32" s="139" t="n"/>
      <x:c r="C32" s="139" t="n"/>
      <x:c r="D32" s="139" t="n"/>
      <x:c r="E32" s="139" t="n"/>
      <x:c r="F32" s="139" t="n"/>
      <x:c r="G32" s="139" t="n"/>
      <x:c r="H32" s="139" t="n"/>
      <x:c r="I32" s="139" t="n"/>
      <x:c r="J32" s="139" t="n"/>
      <x:c r="K32" s="139" t="n"/>
      <x:c r="L32" s="139" t="n"/>
      <x:c r="M32" s="139" t="n"/>
      <x:c r="N32" s="139" t="n"/>
      <x:c r="O32" s="139" t="n"/>
      <x:c r="P32" s="139" t="n"/>
      <x:c r="Q32" s="139" t="n"/>
      <x:c r="R32" s="139" t="n"/>
      <x:c r="S32" s="139" t="n"/>
      <x:c r="T32" s="139" t="n"/>
      <x:c r="U32" s="139" t="n"/>
      <x:c r="V32" s="139" t="n"/>
      <x:c r="W32" s="139" t="n"/>
      <x:c r="X32" s="139" t="n"/>
      <x:c r="Y32" s="139" t="n"/>
      <x:c r="Z32" s="139" t="n"/>
      <x:c r="AA32" s="139" t="n"/>
      <x:c r="AB32" s="139" t="n"/>
      <x:c r="AC32" s="139" t="n"/>
      <x:c r="AD32" s="139" t="n"/>
      <x:c r="AE32" s="139" t="n"/>
      <x:c r="AF32" s="139" t="n"/>
      <x:c r="AG32" s="139" t="n"/>
      <x:c r="AH32" s="139" t="n"/>
      <x:c r="AI32" s="139" t="n"/>
      <x:c r="AJ32" s="139" t="n"/>
      <x:c r="AK32" s="139" t="n"/>
      <x:c r="AL32" s="139" t="n"/>
      <x:c r="AM32" s="139" t="n"/>
      <x:c r="AN32" s="139" t="n"/>
      <x:c r="AO32" s="139" t="n"/>
      <x:c r="AP32" s="139" t="n"/>
      <x:c r="AQ32" s="139" t="n"/>
      <x:c r="AR32" s="139" t="n"/>
      <x:c r="AS32" s="139" t="n"/>
      <x:c r="AT32" s="139" t="n"/>
      <x:c r="AU32" s="139" t="n"/>
      <x:c r="AV32" s="139" t="n"/>
      <x:c r="AW32" s="139" t="n"/>
      <x:c r="AX32" s="139" t="n"/>
      <x:c r="AY32" s="139" t="n"/>
      <x:c r="AZ32" s="139" t="n"/>
    </x:row>
    <x:row r="33">
      <x:c r="A33" s="139" t="n"/>
      <x:c r="B33" s="139" t="n"/>
      <x:c r="C33" s="139" t="n"/>
      <x:c r="D33" s="139" t="n"/>
      <x:c r="E33" s="139" t="n"/>
      <x:c r="F33" s="139" t="n"/>
      <x:c r="G33" s="139" t="n"/>
      <x:c r="H33" s="139" t="n"/>
      <x:c r="I33" s="139" t="n"/>
      <x:c r="J33" s="139" t="n"/>
      <x:c r="K33" s="139" t="n"/>
      <x:c r="L33" s="139" t="n"/>
      <x:c r="M33" s="139" t="n"/>
      <x:c r="N33" s="139" t="n"/>
      <x:c r="O33" s="139" t="n"/>
      <x:c r="P33" s="139" t="n"/>
      <x:c r="Q33" s="139" t="n"/>
      <x:c r="R33" s="139" t="n"/>
      <x:c r="S33" s="139" t="n"/>
      <x:c r="T33" s="139" t="n"/>
      <x:c r="U33" s="139" t="n"/>
      <x:c r="V33" s="139" t="n"/>
      <x:c r="W33" s="139" t="n"/>
      <x:c r="X33" s="139" t="n"/>
      <x:c r="Y33" s="139" t="n"/>
      <x:c r="Z33" s="139" t="n"/>
      <x:c r="AA33" s="139" t="n"/>
      <x:c r="AB33" s="139" t="n"/>
      <x:c r="AC33" s="139" t="n"/>
      <x:c r="AD33" s="139" t="n"/>
      <x:c r="AE33" s="139" t="n"/>
      <x:c r="AF33" s="139" t="n"/>
      <x:c r="AG33" s="139" t="n"/>
      <x:c r="AH33" s="139" t="n"/>
      <x:c r="AI33" s="139" t="n"/>
      <x:c r="AJ33" s="139" t="n"/>
      <x:c r="AK33" s="139" t="n"/>
      <x:c r="AL33" s="139" t="n"/>
      <x:c r="AM33" s="139" t="n"/>
      <x:c r="AN33" s="139" t="n"/>
      <x:c r="AO33" s="139" t="n"/>
      <x:c r="AP33" s="139" t="n"/>
      <x:c r="AQ33" s="139" t="n"/>
      <x:c r="AR33" s="139" t="n"/>
      <x:c r="AS33" s="139" t="n"/>
      <x:c r="AT33" s="139" t="n"/>
      <x:c r="AU33" s="139" t="n"/>
      <x:c r="AV33" s="139" t="n"/>
      <x:c r="AW33" s="139" t="n"/>
      <x:c r="AX33" s="139" t="n"/>
      <x:c r="AY33" s="139" t="n"/>
      <x:c r="AZ33" s="139" t="n"/>
    </x:row>
    <x:row r="34">
      <x:c r="A34" s="139" t="n"/>
      <x:c r="B34" s="139" t="n"/>
      <x:c r="C34" s="139" t="n"/>
      <x:c r="D34" s="139" t="n"/>
      <x:c r="E34" s="139" t="n"/>
      <x:c r="F34" s="139" t="n"/>
      <x:c r="G34" s="139" t="n"/>
      <x:c r="H34" s="139" t="n"/>
      <x:c r="I34" s="139" t="n"/>
      <x:c r="J34" s="139" t="n"/>
      <x:c r="K34" s="139" t="n"/>
      <x:c r="L34" s="139" t="n"/>
      <x:c r="M34" s="139" t="n"/>
      <x:c r="N34" s="139" t="n"/>
      <x:c r="O34" s="139" t="n"/>
      <x:c r="P34" s="139" t="n"/>
      <x:c r="Q34" s="139" t="n"/>
      <x:c r="R34" s="139" t="n"/>
      <x:c r="S34" s="139" t="n"/>
      <x:c r="T34" s="139" t="n"/>
      <x:c r="U34" s="139" t="n"/>
      <x:c r="V34" s="139" t="n"/>
      <x:c r="W34" s="139" t="n"/>
      <x:c r="X34" s="139" t="n"/>
      <x:c r="Y34" s="139" t="n"/>
      <x:c r="Z34" s="139" t="n"/>
      <x:c r="AA34" s="139" t="n"/>
      <x:c r="AB34" s="139" t="n"/>
      <x:c r="AC34" s="139" t="n"/>
      <x:c r="AD34" s="139" t="n"/>
      <x:c r="AE34" s="139" t="n"/>
      <x:c r="AF34" s="139" t="n"/>
      <x:c r="AG34" s="139" t="n"/>
      <x:c r="AH34" s="139" t="n"/>
      <x:c r="AI34" s="139" t="n"/>
      <x:c r="AJ34" s="139" t="n"/>
      <x:c r="AK34" s="139" t="n"/>
      <x:c r="AL34" s="139" t="n"/>
      <x:c r="AM34" s="139" t="n"/>
      <x:c r="AN34" s="139" t="n"/>
      <x:c r="AO34" s="139" t="n"/>
      <x:c r="AP34" s="139" t="n"/>
      <x:c r="AQ34" s="139" t="n"/>
      <x:c r="AR34" s="139" t="n"/>
      <x:c r="AS34" s="139" t="n"/>
      <x:c r="AT34" s="139" t="n"/>
      <x:c r="AU34" s="139" t="n"/>
      <x:c r="AV34" s="139" t="n"/>
      <x:c r="AW34" s="139" t="n"/>
      <x:c r="AX34" s="139" t="n"/>
      <x:c r="AY34" s="139" t="n"/>
      <x:c r="AZ34" s="139" t="n"/>
    </x:row>
    <x:row r="35">
      <x:c r="A35" s="139" t="n"/>
      <x:c r="B35" s="139" t="n"/>
      <x:c r="C35" s="139" t="n"/>
      <x:c r="D35" s="139" t="n"/>
      <x:c r="E35" s="139" t="n"/>
      <x:c r="F35" s="139" t="n"/>
      <x:c r="G35" s="139" t="n"/>
      <x:c r="H35" s="139" t="n"/>
      <x:c r="I35" s="139" t="n"/>
      <x:c r="J35" s="139" t="n"/>
      <x:c r="K35" s="139" t="n"/>
      <x:c r="L35" s="139" t="n"/>
      <x:c r="M35" s="139" t="n"/>
      <x:c r="N35" s="139" t="n"/>
      <x:c r="O35" s="139" t="n"/>
      <x:c r="P35" s="139" t="n"/>
      <x:c r="Q35" s="139" t="n"/>
      <x:c r="R35" s="139" t="n"/>
      <x:c r="S35" s="139" t="n"/>
      <x:c r="T35" s="139" t="n"/>
      <x:c r="U35" s="139" t="n"/>
      <x:c r="V35" s="139" t="n"/>
      <x:c r="W35" s="139" t="n"/>
      <x:c r="X35" s="139" t="n"/>
      <x:c r="Y35" s="139" t="n"/>
      <x:c r="Z35" s="139" t="n"/>
      <x:c r="AA35" s="139" t="n"/>
      <x:c r="AB35" s="139" t="n"/>
      <x:c r="AC35" s="139" t="n"/>
      <x:c r="AD35" s="139" t="n"/>
      <x:c r="AE35" s="139" t="n"/>
      <x:c r="AF35" s="139" t="n"/>
      <x:c r="AG35" s="139" t="n"/>
      <x:c r="AH35" s="139" t="n"/>
      <x:c r="AI35" s="139" t="n"/>
      <x:c r="AJ35" s="139" t="n"/>
      <x:c r="AK35" s="139" t="n"/>
      <x:c r="AL35" s="139" t="n"/>
      <x:c r="AM35" s="139" t="n"/>
      <x:c r="AN35" s="139" t="n"/>
      <x:c r="AO35" s="139" t="n"/>
      <x:c r="AP35" s="139" t="n"/>
      <x:c r="AQ35" s="139" t="n"/>
      <x:c r="AR35" s="139" t="n"/>
      <x:c r="AS35" s="139" t="n"/>
      <x:c r="AT35" s="139" t="n"/>
      <x:c r="AU35" s="139" t="n"/>
      <x:c r="AV35" s="139" t="n"/>
      <x:c r="AW35" s="139" t="n"/>
      <x:c r="AX35" s="139" t="n"/>
      <x:c r="AY35" s="139" t="n"/>
      <x:c r="AZ35" s="139" t="n"/>
    </x:row>
    <x:row r="36">
      <x:c r="A36" s="139" t="n"/>
      <x:c r="B36" s="139" t="n"/>
      <x:c r="C36" s="139" t="n"/>
      <x:c r="D36" s="139" t="n"/>
      <x:c r="E36" s="139" t="n"/>
      <x:c r="F36" s="139" t="n"/>
      <x:c r="G36" s="139" t="n"/>
      <x:c r="H36" s="139" t="n"/>
      <x:c r="I36" s="139" t="n"/>
      <x:c r="J36" s="139" t="n"/>
      <x:c r="K36" s="139" t="n"/>
      <x:c r="L36" s="139" t="n"/>
      <x:c r="M36" s="139" t="n"/>
      <x:c r="N36" s="139" t="n"/>
      <x:c r="O36" s="139" t="n"/>
      <x:c r="P36" s="139" t="n"/>
      <x:c r="Q36" s="139" t="n"/>
      <x:c r="R36" s="139" t="n"/>
      <x:c r="S36" s="139" t="n"/>
      <x:c r="T36" s="139" t="n"/>
      <x:c r="U36" s="139" t="n"/>
      <x:c r="V36" s="139" t="n"/>
      <x:c r="W36" s="139" t="n"/>
      <x:c r="X36" s="139" t="n"/>
      <x:c r="Y36" s="139" t="n"/>
      <x:c r="Z36" s="139" t="n"/>
      <x:c r="AA36" s="139" t="n"/>
      <x:c r="AB36" s="139" t="n"/>
      <x:c r="AC36" s="139" t="n"/>
      <x:c r="AD36" s="139" t="n"/>
      <x:c r="AE36" s="139" t="n"/>
      <x:c r="AF36" s="139" t="n"/>
      <x:c r="AG36" s="139" t="n"/>
      <x:c r="AH36" s="139" t="n"/>
      <x:c r="AI36" s="139" t="n"/>
      <x:c r="AJ36" s="139" t="n"/>
      <x:c r="AK36" s="139" t="n"/>
      <x:c r="AL36" s="139" t="n"/>
      <x:c r="AM36" s="139" t="n"/>
      <x:c r="AN36" s="139" t="n"/>
      <x:c r="AO36" s="139" t="n"/>
      <x:c r="AP36" s="139" t="n"/>
      <x:c r="AQ36" s="139" t="n"/>
      <x:c r="AR36" s="139" t="n"/>
      <x:c r="AS36" s="139" t="n"/>
      <x:c r="AT36" s="139" t="n"/>
      <x:c r="AU36" s="139" t="n"/>
      <x:c r="AV36" s="139" t="n"/>
      <x:c r="AW36" s="139" t="n"/>
      <x:c r="AX36" s="139" t="n"/>
      <x:c r="AY36" s="139" t="n"/>
      <x:c r="AZ36" s="139" t="n"/>
    </x:row>
    <x:row r="37">
      <x:c r="A37" s="139" t="n"/>
      <x:c r="B37" s="139" t="n"/>
      <x:c r="C37" s="139" t="n"/>
      <x:c r="D37" s="139" t="n"/>
      <x:c r="E37" s="139" t="n"/>
      <x:c r="F37" s="139" t="n"/>
      <x:c r="G37" s="139" t="n"/>
      <x:c r="H37" s="139" t="n"/>
      <x:c r="I37" s="139" t="n"/>
      <x:c r="J37" s="139" t="n"/>
      <x:c r="K37" s="139" t="n"/>
      <x:c r="L37" s="139" t="n"/>
      <x:c r="M37" s="139" t="n"/>
      <x:c r="N37" s="139" t="n"/>
      <x:c r="O37" s="139" t="n"/>
      <x:c r="P37" s="139" t="n"/>
      <x:c r="Q37" s="139" t="n"/>
      <x:c r="R37" s="139" t="n"/>
      <x:c r="S37" s="139" t="n"/>
      <x:c r="T37" s="139" t="n"/>
      <x:c r="U37" s="139" t="n"/>
      <x:c r="V37" s="139" t="n"/>
      <x:c r="W37" s="139" t="n"/>
      <x:c r="X37" s="139" t="n"/>
      <x:c r="Y37" s="139" t="n"/>
      <x:c r="Z37" s="139" t="n"/>
      <x:c r="AA37" s="139" t="n"/>
      <x:c r="AB37" s="139" t="n"/>
      <x:c r="AC37" s="139" t="n"/>
      <x:c r="AD37" s="139" t="n"/>
      <x:c r="AE37" s="139" t="n"/>
      <x:c r="AF37" s="139" t="n"/>
      <x:c r="AG37" s="139" t="n"/>
      <x:c r="AH37" s="139" t="n"/>
      <x:c r="AI37" s="139" t="n"/>
      <x:c r="AJ37" s="139" t="n"/>
      <x:c r="AK37" s="139" t="n"/>
      <x:c r="AL37" s="139" t="n"/>
      <x:c r="AM37" s="139" t="n"/>
      <x:c r="AN37" s="139" t="n"/>
      <x:c r="AO37" s="139" t="n"/>
      <x:c r="AP37" s="139" t="n"/>
      <x:c r="AQ37" s="139" t="n"/>
      <x:c r="AR37" s="139" t="n"/>
      <x:c r="AS37" s="139" t="n"/>
      <x:c r="AT37" s="139" t="n"/>
      <x:c r="AU37" s="139" t="n"/>
      <x:c r="AV37" s="139" t="n"/>
      <x:c r="AW37" s="139" t="n"/>
      <x:c r="AX37" s="139" t="n"/>
      <x:c r="AY37" s="139" t="n"/>
      <x:c r="AZ37" s="139" t="n"/>
    </x:row>
    <x:row r="38">
      <x:c r="A38" s="139" t="n"/>
      <x:c r="B38" s="139" t="n"/>
      <x:c r="C38" s="139" t="n"/>
      <x:c r="D38" s="139" t="n"/>
      <x:c r="E38" s="139" t="n"/>
      <x:c r="F38" s="139" t="n"/>
      <x:c r="G38" s="139" t="n"/>
      <x:c r="H38" s="139" t="n"/>
      <x:c r="I38" s="139" t="n"/>
      <x:c r="J38" s="139" t="n"/>
      <x:c r="K38" s="139" t="n"/>
      <x:c r="L38" s="139" t="n"/>
      <x:c r="M38" s="139" t="n"/>
      <x:c r="N38" s="139" t="n"/>
      <x:c r="O38" s="139" t="n"/>
      <x:c r="P38" s="139" t="n"/>
      <x:c r="Q38" s="139" t="n"/>
      <x:c r="R38" s="139" t="n"/>
      <x:c r="S38" s="139" t="n"/>
      <x:c r="T38" s="139" t="n"/>
      <x:c r="U38" s="139" t="n"/>
      <x:c r="V38" s="139" t="n"/>
      <x:c r="W38" s="139" t="n"/>
      <x:c r="X38" s="139" t="n"/>
      <x:c r="Y38" s="139" t="n"/>
      <x:c r="Z38" s="139" t="n"/>
      <x:c r="AA38" s="139" t="n"/>
      <x:c r="AB38" s="139" t="n"/>
      <x:c r="AC38" s="139" t="n"/>
      <x:c r="AD38" s="139" t="n"/>
      <x:c r="AE38" s="139" t="n"/>
      <x:c r="AF38" s="139" t="n"/>
      <x:c r="AG38" s="139" t="n"/>
      <x:c r="AH38" s="139" t="n"/>
      <x:c r="AI38" s="139" t="n"/>
      <x:c r="AJ38" s="139" t="n"/>
      <x:c r="AK38" s="139" t="n"/>
      <x:c r="AL38" s="139" t="n"/>
      <x:c r="AM38" s="139" t="n"/>
      <x:c r="AN38" s="139" t="n"/>
      <x:c r="AO38" s="139" t="n"/>
      <x:c r="AP38" s="139" t="n"/>
      <x:c r="AQ38" s="139" t="n"/>
      <x:c r="AR38" s="139" t="n"/>
      <x:c r="AS38" s="139" t="n"/>
      <x:c r="AT38" s="139" t="n"/>
      <x:c r="AU38" s="139" t="n"/>
      <x:c r="AV38" s="139" t="n"/>
      <x:c r="AW38" s="139" t="n"/>
      <x:c r="AX38" s="139" t="n"/>
      <x:c r="AY38" s="139" t="n"/>
      <x:c r="AZ38" s="139" t="n"/>
    </x:row>
    <x:row r="39">
      <x:c r="A39" s="139" t="n"/>
      <x:c r="B39" s="139" t="n"/>
      <x:c r="C39" s="139" t="n"/>
      <x:c r="D39" s="139" t="n"/>
      <x:c r="E39" s="139" t="n"/>
      <x:c r="F39" s="139" t="n"/>
      <x:c r="G39" s="139" t="n"/>
      <x:c r="H39" s="139" t="n"/>
      <x:c r="I39" s="139" t="n"/>
      <x:c r="J39" s="139" t="n"/>
      <x:c r="K39" s="139" t="n"/>
      <x:c r="L39" s="139" t="n"/>
      <x:c r="M39" s="139" t="n"/>
      <x:c r="N39" s="139" t="n"/>
      <x:c r="O39" s="139" t="n"/>
      <x:c r="P39" s="139" t="n"/>
      <x:c r="Q39" s="139" t="n"/>
      <x:c r="R39" s="139" t="n"/>
      <x:c r="S39" s="139" t="n"/>
      <x:c r="T39" s="139" t="n"/>
      <x:c r="U39" s="139" t="n"/>
      <x:c r="V39" s="139" t="n"/>
      <x:c r="W39" s="139" t="n"/>
      <x:c r="X39" s="139" t="n"/>
      <x:c r="Y39" s="139" t="n"/>
      <x:c r="Z39" s="139" t="n"/>
      <x:c r="AA39" s="139" t="n"/>
      <x:c r="AB39" s="139" t="n"/>
      <x:c r="AC39" s="139" t="n"/>
      <x:c r="AD39" s="139" t="n"/>
      <x:c r="AE39" s="139" t="n"/>
      <x:c r="AF39" s="139" t="n"/>
      <x:c r="AG39" s="139" t="n"/>
      <x:c r="AH39" s="139" t="n"/>
      <x:c r="AI39" s="139" t="n"/>
      <x:c r="AJ39" s="139" t="n"/>
      <x:c r="AK39" s="139" t="n"/>
      <x:c r="AL39" s="139" t="n"/>
      <x:c r="AM39" s="139" t="n"/>
      <x:c r="AN39" s="139" t="n"/>
      <x:c r="AO39" s="139" t="n"/>
      <x:c r="AP39" s="139" t="n"/>
      <x:c r="AQ39" s="139" t="n"/>
      <x:c r="AR39" s="139" t="n"/>
      <x:c r="AS39" s="139" t="n"/>
      <x:c r="AT39" s="139" t="n"/>
      <x:c r="AU39" s="139" t="n"/>
      <x:c r="AV39" s="139" t="n"/>
      <x:c r="AW39" s="139" t="n"/>
      <x:c r="AX39" s="139" t="n"/>
      <x:c r="AY39" s="139" t="n"/>
      <x:c r="AZ39" s="139" t="n"/>
    </x:row>
    <x:row r="40">
      <x:c r="A40" s="139" t="n"/>
      <x:c r="B40" s="139" t="n"/>
      <x:c r="C40" s="139" t="n"/>
      <x:c r="D40" s="139" t="n"/>
      <x:c r="E40" s="139" t="n"/>
      <x:c r="F40" s="139" t="n"/>
      <x:c r="G40" s="139" t="n"/>
      <x:c r="H40" s="139" t="n"/>
      <x:c r="I40" s="139" t="n"/>
      <x:c r="J40" s="139" t="n"/>
      <x:c r="K40" s="139" t="n"/>
      <x:c r="L40" s="139" t="n"/>
      <x:c r="M40" s="139" t="n"/>
      <x:c r="N40" s="139" t="n"/>
      <x:c r="O40" s="139" t="n"/>
      <x:c r="P40" s="139" t="n"/>
      <x:c r="Q40" s="139" t="n"/>
      <x:c r="R40" s="139" t="n"/>
      <x:c r="S40" s="139" t="n"/>
      <x:c r="T40" s="139" t="n"/>
      <x:c r="U40" s="139" t="n"/>
      <x:c r="V40" s="139" t="n"/>
      <x:c r="W40" s="139" t="n"/>
      <x:c r="X40" s="139" t="n"/>
      <x:c r="Y40" s="139" t="n"/>
      <x:c r="Z40" s="139" t="n"/>
      <x:c r="AA40" s="139" t="n"/>
      <x:c r="AB40" s="139" t="n"/>
      <x:c r="AC40" s="139" t="n"/>
      <x:c r="AD40" s="139" t="n"/>
      <x:c r="AE40" s="139" t="n"/>
      <x:c r="AF40" s="139" t="n"/>
      <x:c r="AG40" s="139" t="n"/>
      <x:c r="AH40" s="139" t="n"/>
      <x:c r="AI40" s="139" t="n"/>
      <x:c r="AJ40" s="139" t="n"/>
      <x:c r="AK40" s="139" t="n"/>
      <x:c r="AL40" s="139" t="n"/>
      <x:c r="AM40" s="139" t="n"/>
      <x:c r="AN40" s="139" t="n"/>
      <x:c r="AO40" s="139" t="n"/>
      <x:c r="AP40" s="139" t="n"/>
      <x:c r="AQ40" s="139" t="n"/>
      <x:c r="AR40" s="139" t="n"/>
      <x:c r="AS40" s="139" t="n"/>
      <x:c r="AT40" s="139" t="n"/>
      <x:c r="AU40" s="139" t="n"/>
      <x:c r="AV40" s="139" t="n"/>
      <x:c r="AW40" s="139" t="n"/>
      <x:c r="AX40" s="139" t="n"/>
      <x:c r="AY40" s="139" t="n"/>
      <x:c r="AZ40" s="139" t="n"/>
    </x:row>
    <x:row r="41">
      <x:c r="A41" s="139" t="n"/>
      <x:c r="B41" s="139" t="n"/>
      <x:c r="C41" s="139" t="n"/>
      <x:c r="D41" s="139" t="n"/>
      <x:c r="E41" s="139" t="n"/>
      <x:c r="F41" s="139" t="n"/>
      <x:c r="G41" s="139" t="n"/>
      <x:c r="H41" s="139" t="n"/>
      <x:c r="I41" s="139" t="n"/>
      <x:c r="J41" s="139" t="n"/>
      <x:c r="K41" s="139" t="n"/>
      <x:c r="L41" s="139" t="n"/>
      <x:c r="M41" s="139" t="n"/>
      <x:c r="N41" s="139" t="n"/>
      <x:c r="O41" s="139" t="n"/>
      <x:c r="P41" s="139" t="n"/>
      <x:c r="Q41" s="139" t="n"/>
      <x:c r="R41" s="139" t="n"/>
      <x:c r="S41" s="139" t="n"/>
      <x:c r="T41" s="139" t="n"/>
      <x:c r="U41" s="139" t="n"/>
      <x:c r="V41" s="139" t="n"/>
      <x:c r="W41" s="139" t="n"/>
      <x:c r="X41" s="139" t="n"/>
      <x:c r="Y41" s="139" t="n"/>
      <x:c r="Z41" s="139" t="n"/>
      <x:c r="AA41" s="139" t="n"/>
      <x:c r="AB41" s="139" t="n"/>
      <x:c r="AC41" s="139" t="n"/>
      <x:c r="AD41" s="139" t="n"/>
      <x:c r="AE41" s="139" t="n"/>
      <x:c r="AF41" s="139" t="n"/>
      <x:c r="AG41" s="139" t="n"/>
      <x:c r="AH41" s="139" t="n"/>
      <x:c r="AI41" s="139" t="n"/>
      <x:c r="AJ41" s="139" t="n"/>
      <x:c r="AK41" s="139" t="n"/>
      <x:c r="AL41" s="139" t="n"/>
      <x:c r="AM41" s="139" t="n"/>
      <x:c r="AN41" s="139" t="n"/>
      <x:c r="AO41" s="139" t="n"/>
      <x:c r="AP41" s="139" t="n"/>
      <x:c r="AQ41" s="139" t="n"/>
      <x:c r="AR41" s="139" t="n"/>
      <x:c r="AS41" s="139" t="n"/>
      <x:c r="AT41" s="139" t="n"/>
      <x:c r="AU41" s="139" t="n"/>
      <x:c r="AV41" s="139" t="n"/>
      <x:c r="AW41" s="139" t="n"/>
      <x:c r="AX41" s="139" t="n"/>
      <x:c r="AY41" s="139" t="n"/>
      <x:c r="AZ41" s="139" t="n"/>
    </x:row>
    <x:row r="42">
      <x:c r="A42" s="139" t="n"/>
      <x:c r="B42" s="139" t="n"/>
      <x:c r="C42" s="139" t="n"/>
      <x:c r="D42" s="139" t="n"/>
      <x:c r="E42" s="139" t="n"/>
      <x:c r="F42" s="139" t="n"/>
      <x:c r="G42" s="139" t="n"/>
      <x:c r="H42" s="139" t="n"/>
      <x:c r="I42" s="139" t="n"/>
      <x:c r="J42" s="139" t="n"/>
      <x:c r="K42" s="139" t="n"/>
      <x:c r="L42" s="139" t="n"/>
      <x:c r="M42" s="139" t="n"/>
      <x:c r="N42" s="139" t="n"/>
      <x:c r="O42" s="139" t="n"/>
      <x:c r="P42" s="139" t="n"/>
      <x:c r="Q42" s="139" t="n"/>
      <x:c r="R42" s="139" t="n"/>
      <x:c r="S42" s="139" t="n"/>
      <x:c r="T42" s="139" t="n"/>
      <x:c r="U42" s="139" t="n"/>
      <x:c r="V42" s="139" t="n"/>
      <x:c r="W42" s="139" t="n"/>
      <x:c r="X42" s="139" t="n"/>
      <x:c r="Y42" s="139" t="n"/>
      <x:c r="Z42" s="139" t="n"/>
      <x:c r="AA42" s="139" t="n"/>
      <x:c r="AB42" s="139" t="n"/>
      <x:c r="AC42" s="139" t="n"/>
      <x:c r="AD42" s="139" t="n"/>
      <x:c r="AE42" s="139" t="n"/>
      <x:c r="AF42" s="139" t="n"/>
      <x:c r="AG42" s="139" t="n"/>
      <x:c r="AH42" s="139" t="n"/>
      <x:c r="AI42" s="139" t="n"/>
      <x:c r="AJ42" s="139" t="n"/>
      <x:c r="AK42" s="139" t="n"/>
      <x:c r="AL42" s="139" t="n"/>
      <x:c r="AM42" s="139" t="n"/>
      <x:c r="AN42" s="139" t="n"/>
      <x:c r="AO42" s="139" t="n"/>
      <x:c r="AP42" s="139" t="n"/>
      <x:c r="AQ42" s="139" t="n"/>
      <x:c r="AR42" s="139" t="n"/>
      <x:c r="AS42" s="139" t="n"/>
      <x:c r="AT42" s="139" t="n"/>
      <x:c r="AU42" s="139" t="n"/>
      <x:c r="AV42" s="139" t="n"/>
      <x:c r="AW42" s="139" t="n"/>
      <x:c r="AX42" s="139" t="n"/>
      <x:c r="AY42" s="139" t="n"/>
      <x:c r="AZ42" s="139" t="n"/>
    </x:row>
    <x:row r="43">
      <x:c r="A43" s="139" t="n"/>
      <x:c r="B43" s="139" t="n"/>
      <x:c r="C43" s="139" t="n"/>
      <x:c r="D43" s="139" t="n"/>
      <x:c r="E43" s="139" t="n"/>
      <x:c r="F43" s="139" t="n"/>
      <x:c r="G43" s="139" t="n"/>
      <x:c r="H43" s="139" t="n"/>
      <x:c r="I43" s="139" t="n"/>
      <x:c r="J43" s="139" t="n"/>
      <x:c r="K43" s="139" t="n"/>
      <x:c r="L43" s="139" t="n"/>
      <x:c r="M43" s="139" t="n"/>
      <x:c r="N43" s="139" t="n"/>
      <x:c r="O43" s="139" t="n"/>
      <x:c r="P43" s="139" t="n"/>
      <x:c r="Q43" s="139" t="n"/>
      <x:c r="R43" s="139" t="n"/>
      <x:c r="S43" s="139" t="n"/>
      <x:c r="T43" s="139" t="n"/>
      <x:c r="U43" s="139" t="n"/>
      <x:c r="V43" s="139" t="n"/>
      <x:c r="W43" s="139" t="n"/>
      <x:c r="X43" s="139" t="n"/>
      <x:c r="Y43" s="139" t="n"/>
      <x:c r="Z43" s="139" t="n"/>
      <x:c r="AA43" s="139" t="n"/>
      <x:c r="AB43" s="139" t="n"/>
      <x:c r="AC43" s="139" t="n"/>
      <x:c r="AD43" s="139" t="n"/>
      <x:c r="AE43" s="139" t="n"/>
      <x:c r="AF43" s="139" t="n"/>
      <x:c r="AG43" s="139" t="n"/>
      <x:c r="AH43" s="139" t="n"/>
      <x:c r="AI43" s="139" t="n"/>
      <x:c r="AJ43" s="139" t="n"/>
      <x:c r="AK43" s="139" t="n"/>
      <x:c r="AL43" s="139" t="n"/>
      <x:c r="AM43" s="139" t="n"/>
      <x:c r="AN43" s="139" t="n"/>
      <x:c r="AO43" s="139" t="n"/>
      <x:c r="AP43" s="139" t="n"/>
      <x:c r="AQ43" s="139" t="n"/>
      <x:c r="AR43" s="139" t="n"/>
      <x:c r="AS43" s="139" t="n"/>
      <x:c r="AT43" s="139" t="n"/>
      <x:c r="AU43" s="139" t="n"/>
      <x:c r="AV43" s="139" t="n"/>
      <x:c r="AW43" s="139" t="n"/>
      <x:c r="AX43" s="139" t="n"/>
      <x:c r="AY43" s="139" t="n"/>
      <x:c r="AZ43" s="139" t="n"/>
    </x:row>
    <x:row r="44">
      <x:c r="A44" s="139" t="n"/>
      <x:c r="B44" s="139" t="n"/>
      <x:c r="C44" s="139" t="n"/>
      <x:c r="D44" s="139" t="n"/>
      <x:c r="E44" s="139" t="n"/>
      <x:c r="F44" s="139" t="n"/>
      <x:c r="G44" s="139" t="n"/>
      <x:c r="H44" s="139" t="n"/>
      <x:c r="I44" s="139" t="n"/>
      <x:c r="J44" s="139" t="n"/>
      <x:c r="K44" s="139" t="n"/>
      <x:c r="L44" s="139" t="n"/>
      <x:c r="M44" s="139" t="n"/>
      <x:c r="N44" s="139" t="n"/>
      <x:c r="O44" s="139" t="n"/>
      <x:c r="P44" s="139" t="n"/>
      <x:c r="Q44" s="139" t="n"/>
      <x:c r="R44" s="139" t="n"/>
      <x:c r="S44" s="139" t="n"/>
      <x:c r="T44" s="139" t="n"/>
      <x:c r="U44" s="139" t="n"/>
      <x:c r="V44" s="139" t="n"/>
      <x:c r="W44" s="139" t="n"/>
      <x:c r="X44" s="139" t="n"/>
      <x:c r="Y44" s="139" t="n"/>
      <x:c r="Z44" s="139" t="n"/>
      <x:c r="AA44" s="139" t="n"/>
      <x:c r="AB44" s="139" t="n"/>
      <x:c r="AC44" s="139" t="n"/>
      <x:c r="AD44" s="139" t="n"/>
      <x:c r="AE44" s="139" t="n"/>
      <x:c r="AF44" s="139" t="n"/>
      <x:c r="AG44" s="139" t="n"/>
      <x:c r="AH44" s="139" t="n"/>
      <x:c r="AI44" s="139" t="n"/>
      <x:c r="AJ44" s="139" t="n"/>
      <x:c r="AK44" s="139" t="n"/>
      <x:c r="AL44" s="139" t="n"/>
      <x:c r="AM44" s="139" t="n"/>
      <x:c r="AN44" s="139" t="n"/>
      <x:c r="AO44" s="139" t="n"/>
      <x:c r="AP44" s="139" t="n"/>
      <x:c r="AQ44" s="139" t="n"/>
      <x:c r="AR44" s="139" t="n"/>
      <x:c r="AS44" s="139" t="n"/>
      <x:c r="AT44" s="139" t="n"/>
      <x:c r="AU44" s="139" t="n"/>
      <x:c r="AV44" s="139" t="n"/>
      <x:c r="AW44" s="139" t="n"/>
      <x:c r="AX44" s="139" t="n"/>
      <x:c r="AY44" s="139" t="n"/>
      <x:c r="AZ44" s="139" t="n"/>
    </x:row>
    <x:row r="45">
      <x:c r="A45" s="139" t="n"/>
      <x:c r="B45" s="139" t="n"/>
      <x:c r="C45" s="139" t="n"/>
      <x:c r="D45" s="139" t="n"/>
      <x:c r="E45" s="139" t="n"/>
      <x:c r="F45" s="139" t="n"/>
      <x:c r="G45" s="139" t="n"/>
      <x:c r="H45" s="139" t="n"/>
      <x:c r="I45" s="139" t="n"/>
      <x:c r="J45" s="139" t="n"/>
      <x:c r="K45" s="139" t="n"/>
      <x:c r="L45" s="139" t="n"/>
      <x:c r="M45" s="139" t="n"/>
      <x:c r="N45" s="139" t="n"/>
      <x:c r="O45" s="139" t="n"/>
      <x:c r="P45" s="139" t="n"/>
      <x:c r="Q45" s="139" t="n"/>
      <x:c r="R45" s="139" t="n"/>
      <x:c r="S45" s="139" t="n"/>
      <x:c r="T45" s="139" t="n"/>
      <x:c r="U45" s="139" t="n"/>
      <x:c r="V45" s="139" t="n"/>
      <x:c r="W45" s="139" t="n"/>
      <x:c r="X45" s="139" t="n"/>
      <x:c r="Y45" s="139" t="n"/>
      <x:c r="Z45" s="139" t="n"/>
      <x:c r="AA45" s="139" t="n"/>
      <x:c r="AB45" s="139" t="n"/>
      <x:c r="AC45" s="139" t="n"/>
      <x:c r="AD45" s="139" t="n"/>
      <x:c r="AE45" s="139" t="n"/>
      <x:c r="AF45" s="139" t="n"/>
      <x:c r="AG45" s="139" t="n"/>
      <x:c r="AH45" s="139" t="n"/>
      <x:c r="AI45" s="139" t="n"/>
      <x:c r="AJ45" s="139" t="n"/>
      <x:c r="AK45" s="139" t="n"/>
      <x:c r="AL45" s="139" t="n"/>
      <x:c r="AM45" s="139" t="n"/>
      <x:c r="AN45" s="139" t="n"/>
      <x:c r="AO45" s="139" t="n"/>
      <x:c r="AP45" s="139" t="n"/>
      <x:c r="AQ45" s="139" t="n"/>
      <x:c r="AR45" s="139" t="n"/>
      <x:c r="AS45" s="139" t="n"/>
      <x:c r="AT45" s="139" t="n"/>
      <x:c r="AU45" s="139" t="n"/>
      <x:c r="AV45" s="139" t="n"/>
      <x:c r="AW45" s="139" t="n"/>
      <x:c r="AX45" s="139" t="n"/>
      <x:c r="AY45" s="139" t="n"/>
      <x:c r="AZ45" s="139" t="n"/>
    </x:row>
    <x:row r="46">
      <x:c r="A46" s="139" t="n"/>
      <x:c r="B46" s="139" t="n"/>
      <x:c r="C46" s="139" t="n"/>
      <x:c r="D46" s="139" t="n"/>
      <x:c r="E46" s="139" t="n"/>
      <x:c r="F46" s="139" t="n"/>
      <x:c r="G46" s="139" t="n"/>
      <x:c r="H46" s="139" t="n"/>
      <x:c r="I46" s="139" t="n"/>
      <x:c r="J46" s="139" t="n"/>
      <x:c r="K46" s="139" t="n"/>
      <x:c r="L46" s="139" t="n"/>
      <x:c r="M46" s="139" t="n"/>
      <x:c r="N46" s="139" t="n"/>
      <x:c r="O46" s="139" t="n"/>
      <x:c r="P46" s="139" t="n"/>
      <x:c r="Q46" s="139" t="n"/>
      <x:c r="R46" s="139" t="n"/>
      <x:c r="S46" s="139" t="n"/>
      <x:c r="T46" s="139" t="n"/>
      <x:c r="U46" s="139" t="n"/>
      <x:c r="V46" s="139" t="n"/>
      <x:c r="W46" s="139" t="n"/>
      <x:c r="X46" s="139" t="n"/>
      <x:c r="Y46" s="139" t="n"/>
      <x:c r="Z46" s="139" t="n"/>
      <x:c r="AA46" s="139" t="n"/>
      <x:c r="AB46" s="139" t="n"/>
      <x:c r="AC46" s="139" t="n"/>
      <x:c r="AD46" s="139" t="n"/>
      <x:c r="AE46" s="139" t="n"/>
      <x:c r="AF46" s="139" t="n"/>
      <x:c r="AG46" s="139" t="n"/>
      <x:c r="AH46" s="139" t="n"/>
      <x:c r="AI46" s="139" t="n"/>
      <x:c r="AJ46" s="139" t="n"/>
      <x:c r="AK46" s="139" t="n"/>
      <x:c r="AL46" s="139" t="n"/>
      <x:c r="AM46" s="139" t="n"/>
      <x:c r="AN46" s="139" t="n"/>
      <x:c r="AO46" s="139" t="n"/>
      <x:c r="AP46" s="139" t="n"/>
      <x:c r="AQ46" s="139" t="n"/>
      <x:c r="AR46" s="139" t="n"/>
      <x:c r="AS46" s="139" t="n"/>
      <x:c r="AT46" s="139" t="n"/>
      <x:c r="AU46" s="139" t="n"/>
      <x:c r="AV46" s="139" t="n"/>
      <x:c r="AW46" s="139" t="n"/>
      <x:c r="AX46" s="139" t="n"/>
      <x:c r="AY46" s="139" t="n"/>
      <x:c r="AZ46" s="139" t="n"/>
    </x:row>
    <x:row r="47">
      <x:c r="A47" s="139" t="n"/>
      <x:c r="B47" s="139" t="n"/>
      <x:c r="C47" s="139" t="n"/>
      <x:c r="D47" s="139" t="n"/>
      <x:c r="E47" s="139" t="n"/>
      <x:c r="F47" s="139" t="n"/>
      <x:c r="G47" s="139" t="n"/>
      <x:c r="H47" s="139" t="n"/>
      <x:c r="I47" s="139" t="n"/>
      <x:c r="J47" s="139" t="n"/>
      <x:c r="K47" s="139" t="n"/>
      <x:c r="L47" s="139" t="n"/>
      <x:c r="M47" s="139" t="n"/>
      <x:c r="N47" s="139" t="n"/>
      <x:c r="O47" s="139" t="n"/>
      <x:c r="P47" s="139" t="n"/>
      <x:c r="Q47" s="139" t="n"/>
      <x:c r="R47" s="139" t="n"/>
      <x:c r="S47" s="139" t="n"/>
      <x:c r="T47" s="139" t="n"/>
      <x:c r="U47" s="139" t="n"/>
      <x:c r="V47" s="139" t="n"/>
      <x:c r="W47" s="139" t="n"/>
      <x:c r="X47" s="139" t="n"/>
      <x:c r="Y47" s="139" t="n"/>
      <x:c r="Z47" s="139" t="n"/>
      <x:c r="AA47" s="139" t="n"/>
      <x:c r="AB47" s="139" t="n"/>
      <x:c r="AC47" s="139" t="n"/>
      <x:c r="AD47" s="139" t="n"/>
      <x:c r="AE47" s="139" t="n"/>
      <x:c r="AF47" s="139" t="n"/>
      <x:c r="AG47" s="139" t="n"/>
      <x:c r="AH47" s="139" t="n"/>
      <x:c r="AI47" s="139" t="n"/>
      <x:c r="AJ47" s="139" t="n"/>
      <x:c r="AK47" s="139" t="n"/>
      <x:c r="AL47" s="139" t="n"/>
      <x:c r="AM47" s="139" t="n"/>
      <x:c r="AN47" s="139" t="n"/>
      <x:c r="AO47" s="139" t="n"/>
      <x:c r="AP47" s="139" t="n"/>
      <x:c r="AQ47" s="139" t="n"/>
      <x:c r="AR47" s="139" t="n"/>
      <x:c r="AS47" s="139" t="n"/>
      <x:c r="AT47" s="139" t="n"/>
      <x:c r="AU47" s="139" t="n"/>
      <x:c r="AV47" s="139" t="n"/>
      <x:c r="AW47" s="139" t="n"/>
      <x:c r="AX47" s="139" t="n"/>
      <x:c r="AY47" s="139" t="n"/>
      <x:c r="AZ47" s="139" t="n"/>
    </x:row>
    <x:row r="48">
      <x:c r="A48" s="139" t="n"/>
      <x:c r="B48" s="139" t="n"/>
      <x:c r="C48" s="139" t="n"/>
      <x:c r="D48" s="139" t="n"/>
      <x:c r="E48" s="139" t="n"/>
      <x:c r="F48" s="139" t="n"/>
      <x:c r="G48" s="139" t="n"/>
      <x:c r="H48" s="139" t="n"/>
      <x:c r="I48" s="139" t="n"/>
      <x:c r="J48" s="139" t="n"/>
      <x:c r="K48" s="139" t="n"/>
      <x:c r="L48" s="139" t="n"/>
      <x:c r="M48" s="139" t="n"/>
      <x:c r="N48" s="139" t="n"/>
      <x:c r="O48" s="139" t="n"/>
      <x:c r="P48" s="139" t="n"/>
      <x:c r="Q48" s="139" t="n"/>
      <x:c r="R48" s="139" t="n"/>
      <x:c r="S48" s="139" t="n"/>
      <x:c r="T48" s="139" t="n"/>
      <x:c r="U48" s="139" t="n"/>
      <x:c r="V48" s="139" t="n"/>
      <x:c r="W48" s="139" t="n"/>
      <x:c r="X48" s="139" t="n"/>
      <x:c r="Y48" s="139" t="n"/>
      <x:c r="Z48" s="139" t="n"/>
      <x:c r="AA48" s="139" t="n"/>
      <x:c r="AB48" s="139" t="n"/>
      <x:c r="AC48" s="139" t="n"/>
      <x:c r="AD48" s="139" t="n"/>
      <x:c r="AE48" s="139" t="n"/>
      <x:c r="AF48" s="139" t="n"/>
      <x:c r="AG48" s="139" t="n"/>
      <x:c r="AH48" s="139" t="n"/>
      <x:c r="AI48" s="139" t="n"/>
      <x:c r="AJ48" s="139" t="n"/>
      <x:c r="AK48" s="139" t="n"/>
      <x:c r="AL48" s="139" t="n"/>
      <x:c r="AM48" s="139" t="n"/>
      <x:c r="AN48" s="139" t="n"/>
      <x:c r="AO48" s="139" t="n"/>
      <x:c r="AP48" s="139" t="n"/>
      <x:c r="AQ48" s="139" t="n"/>
      <x:c r="AR48" s="139" t="n"/>
      <x:c r="AS48" s="139" t="n"/>
      <x:c r="AT48" s="139" t="n"/>
      <x:c r="AU48" s="139" t="n"/>
      <x:c r="AV48" s="139" t="n"/>
      <x:c r="AW48" s="139" t="n"/>
      <x:c r="AX48" s="139" t="n"/>
      <x:c r="AY48" s="139" t="n"/>
      <x:c r="AZ48" s="139" t="n"/>
    </x:row>
    <x:row r="49">
      <x:c r="A49" s="139" t="n"/>
      <x:c r="B49" s="139" t="n"/>
      <x:c r="C49" s="139" t="n"/>
      <x:c r="D49" s="139" t="n"/>
      <x:c r="E49" s="139" t="n"/>
      <x:c r="F49" s="139" t="n"/>
      <x:c r="G49" s="139" t="n"/>
      <x:c r="H49" s="139" t="n"/>
      <x:c r="I49" s="139" t="n"/>
      <x:c r="J49" s="139" t="n"/>
      <x:c r="K49" s="139" t="n"/>
      <x:c r="L49" s="139" t="n"/>
      <x:c r="M49" s="139" t="n"/>
      <x:c r="N49" s="139" t="n"/>
      <x:c r="O49" s="139" t="n"/>
      <x:c r="P49" s="139" t="n"/>
      <x:c r="Q49" s="139" t="n"/>
      <x:c r="R49" s="139" t="n"/>
      <x:c r="S49" s="139" t="n"/>
      <x:c r="T49" s="139" t="n"/>
      <x:c r="U49" s="139" t="n"/>
      <x:c r="V49" s="139" t="n"/>
      <x:c r="W49" s="139" t="n"/>
      <x:c r="X49" s="139" t="n"/>
      <x:c r="Y49" s="139" t="n"/>
      <x:c r="Z49" s="139" t="n"/>
      <x:c r="AA49" s="139" t="n"/>
      <x:c r="AB49" s="139" t="n"/>
      <x:c r="AC49" s="139" t="n"/>
      <x:c r="AD49" s="139" t="n"/>
      <x:c r="AE49" s="139" t="n"/>
      <x:c r="AF49" s="139" t="n"/>
      <x:c r="AG49" s="139" t="n"/>
      <x:c r="AH49" s="139" t="n"/>
      <x:c r="AI49" s="139" t="n"/>
      <x:c r="AJ49" s="139" t="n"/>
      <x:c r="AK49" s="139" t="n"/>
      <x:c r="AL49" s="139" t="n"/>
      <x:c r="AM49" s="139" t="n"/>
      <x:c r="AN49" s="139" t="n"/>
      <x:c r="AO49" s="139" t="n"/>
      <x:c r="AP49" s="139" t="n"/>
      <x:c r="AQ49" s="139" t="n"/>
      <x:c r="AR49" s="139" t="n"/>
      <x:c r="AS49" s="139" t="n"/>
      <x:c r="AT49" s="139" t="n"/>
      <x:c r="AU49" s="139" t="n"/>
      <x:c r="AV49" s="139" t="n"/>
      <x:c r="AW49" s="139" t="n"/>
      <x:c r="AX49" s="139" t="n"/>
      <x:c r="AY49" s="139" t="n"/>
      <x:c r="AZ49" s="139" t="n"/>
    </x:row>
    <x:row r="50">
      <x:c r="A50" s="139" t="n"/>
      <x:c r="B50" s="139" t="n"/>
      <x:c r="C50" s="139" t="n"/>
      <x:c r="D50" s="139" t="n"/>
      <x:c r="E50" s="139" t="n"/>
      <x:c r="F50" s="139" t="n"/>
      <x:c r="G50" s="139" t="n"/>
      <x:c r="H50" s="139" t="n"/>
      <x:c r="I50" s="139" t="n"/>
      <x:c r="J50" s="139" t="n"/>
      <x:c r="K50" s="139" t="n"/>
      <x:c r="L50" s="139" t="n"/>
      <x:c r="M50" s="139" t="n"/>
      <x:c r="N50" s="139" t="n"/>
      <x:c r="O50" s="139" t="n"/>
      <x:c r="P50" s="139" t="n"/>
      <x:c r="Q50" s="139" t="n"/>
      <x:c r="R50" s="139" t="n"/>
      <x:c r="S50" s="139" t="n"/>
      <x:c r="T50" s="139" t="n"/>
      <x:c r="U50" s="139" t="n"/>
      <x:c r="V50" s="139" t="n"/>
      <x:c r="W50" s="139" t="n"/>
      <x:c r="X50" s="139" t="n"/>
      <x:c r="Y50" s="139" t="n"/>
      <x:c r="Z50" s="139" t="n"/>
      <x:c r="AA50" s="139" t="n"/>
      <x:c r="AB50" s="139" t="n"/>
      <x:c r="AC50" s="139" t="n"/>
      <x:c r="AD50" s="139" t="n"/>
      <x:c r="AE50" s="139" t="n"/>
      <x:c r="AF50" s="139" t="n"/>
      <x:c r="AG50" s="139" t="n"/>
      <x:c r="AH50" s="139" t="n"/>
      <x:c r="AI50" s="139" t="n"/>
      <x:c r="AJ50" s="139" t="n"/>
      <x:c r="AK50" s="139" t="n"/>
      <x:c r="AL50" s="139" t="n"/>
      <x:c r="AM50" s="139" t="n"/>
      <x:c r="AN50" s="139" t="n"/>
      <x:c r="AO50" s="139" t="n"/>
      <x:c r="AP50" s="139" t="n"/>
      <x:c r="AQ50" s="139" t="n"/>
      <x:c r="AR50" s="139" t="n"/>
      <x:c r="AS50" s="139" t="n"/>
      <x:c r="AT50" s="139" t="n"/>
      <x:c r="AU50" s="139" t="n"/>
      <x:c r="AV50" s="139" t="n"/>
      <x:c r="AW50" s="139" t="n"/>
      <x:c r="AX50" s="139" t="n"/>
      <x:c r="AY50" s="139" t="n"/>
      <x:c r="AZ50" s="139" t="n"/>
    </x:row>
    <x:row r="51">
      <x:c r="A51" s="139" t="n"/>
      <x:c r="B51" s="139" t="n"/>
      <x:c r="C51" s="139" t="n"/>
      <x:c r="D51" s="139" t="n"/>
      <x:c r="E51" s="139" t="n"/>
      <x:c r="F51" s="139" t="n"/>
      <x:c r="G51" s="139" t="n"/>
      <x:c r="H51" s="139" t="n"/>
      <x:c r="I51" s="139" t="n"/>
      <x:c r="J51" s="139" t="n"/>
      <x:c r="K51" s="139" t="n"/>
      <x:c r="L51" s="139" t="n"/>
      <x:c r="M51" s="139" t="n"/>
      <x:c r="N51" s="139" t="n"/>
      <x:c r="O51" s="139" t="n"/>
      <x:c r="P51" s="139" t="n"/>
      <x:c r="Q51" s="139" t="n"/>
      <x:c r="R51" s="139" t="n"/>
      <x:c r="S51" s="139" t="n"/>
      <x:c r="T51" s="139" t="n"/>
      <x:c r="U51" s="139" t="n"/>
      <x:c r="V51" s="139" t="n"/>
      <x:c r="W51" s="139" t="n"/>
      <x:c r="X51" s="139" t="n"/>
      <x:c r="Y51" s="139" t="n"/>
      <x:c r="Z51" s="139" t="n"/>
      <x:c r="AA51" s="139" t="n"/>
      <x:c r="AB51" s="139" t="n"/>
      <x:c r="AC51" s="139" t="n"/>
      <x:c r="AD51" s="139" t="n"/>
      <x:c r="AE51" s="139" t="n"/>
      <x:c r="AF51" s="139" t="n"/>
      <x:c r="AG51" s="139" t="n"/>
      <x:c r="AH51" s="139" t="n"/>
      <x:c r="AI51" s="139" t="n"/>
      <x:c r="AJ51" s="139" t="n"/>
      <x:c r="AK51" s="139" t="n"/>
      <x:c r="AL51" s="139" t="n"/>
      <x:c r="AM51" s="139" t="n"/>
      <x:c r="AN51" s="139" t="n"/>
      <x:c r="AO51" s="139" t="n"/>
      <x:c r="AP51" s="139" t="n"/>
      <x:c r="AQ51" s="139" t="n"/>
      <x:c r="AR51" s="139" t="n"/>
      <x:c r="AS51" s="139" t="n"/>
      <x:c r="AT51" s="139" t="n"/>
      <x:c r="AU51" s="139" t="n"/>
      <x:c r="AV51" s="139" t="n"/>
      <x:c r="AW51" s="139" t="n"/>
      <x:c r="AX51" s="139" t="n"/>
      <x:c r="AY51" s="139" t="n"/>
      <x:c r="AZ51" s="139" t="n"/>
    </x:row>
    <x:row r="52">
      <x:c r="A52" s="139" t="n"/>
      <x:c r="B52" s="139" t="n"/>
      <x:c r="C52" s="139" t="n"/>
      <x:c r="D52" s="139" t="n"/>
      <x:c r="E52" s="139" t="n"/>
      <x:c r="F52" s="139" t="n"/>
      <x:c r="G52" s="139" t="n"/>
      <x:c r="H52" s="139" t="n"/>
      <x:c r="I52" s="139" t="n"/>
      <x:c r="J52" s="139" t="n"/>
      <x:c r="K52" s="139" t="n"/>
      <x:c r="L52" s="139" t="n"/>
      <x:c r="M52" s="139" t="n"/>
      <x:c r="N52" s="139" t="n"/>
      <x:c r="O52" s="139" t="n"/>
      <x:c r="P52" s="139" t="n"/>
      <x:c r="Q52" s="139" t="n"/>
      <x:c r="R52" s="139" t="n"/>
      <x:c r="S52" s="139" t="n"/>
      <x:c r="T52" s="139" t="n"/>
      <x:c r="U52" s="139" t="n"/>
      <x:c r="V52" s="139" t="n"/>
      <x:c r="W52" s="139" t="n"/>
      <x:c r="X52" s="139" t="n"/>
      <x:c r="Y52" s="139" t="n"/>
      <x:c r="Z52" s="139" t="n"/>
      <x:c r="AA52" s="139" t="n"/>
      <x:c r="AB52" s="139" t="n"/>
      <x:c r="AC52" s="139" t="n"/>
      <x:c r="AD52" s="139" t="n"/>
      <x:c r="AE52" s="139" t="n"/>
      <x:c r="AF52" s="139" t="n"/>
      <x:c r="AG52" s="139" t="n"/>
      <x:c r="AH52" s="139" t="n"/>
      <x:c r="AI52" s="139" t="n"/>
      <x:c r="AJ52" s="139" t="n"/>
      <x:c r="AK52" s="139" t="n"/>
      <x:c r="AL52" s="139" t="n"/>
      <x:c r="AM52" s="139" t="n"/>
      <x:c r="AN52" s="139" t="n"/>
      <x:c r="AO52" s="139" t="n"/>
      <x:c r="AP52" s="139" t="n"/>
      <x:c r="AQ52" s="139" t="n"/>
      <x:c r="AR52" s="139" t="n"/>
      <x:c r="AS52" s="139" t="n"/>
      <x:c r="AT52" s="139" t="n"/>
      <x:c r="AU52" s="139" t="n"/>
      <x:c r="AV52" s="139" t="n"/>
      <x:c r="AW52" s="139" t="n"/>
      <x:c r="AX52" s="139" t="n"/>
      <x:c r="AY52" s="139" t="n"/>
      <x:c r="AZ52" s="139" t="n"/>
    </x:row>
    <x:row r="53">
      <x:c r="A53" s="139" t="n"/>
      <x:c r="B53" s="139" t="n"/>
      <x:c r="C53" s="139" t="n"/>
      <x:c r="D53" s="139" t="n"/>
      <x:c r="E53" s="139" t="n"/>
      <x:c r="F53" s="139" t="n"/>
      <x:c r="G53" s="139" t="n"/>
      <x:c r="H53" s="139" t="n"/>
      <x:c r="I53" s="139" t="n"/>
      <x:c r="J53" s="139" t="n"/>
      <x:c r="K53" s="139" t="n"/>
      <x:c r="L53" s="139" t="n"/>
      <x:c r="M53" s="139" t="n"/>
      <x:c r="N53" s="139" t="n"/>
      <x:c r="O53" s="139" t="n"/>
      <x:c r="P53" s="139" t="n"/>
      <x:c r="Q53" s="139" t="n"/>
      <x:c r="R53" s="139" t="n"/>
      <x:c r="S53" s="139" t="n"/>
      <x:c r="T53" s="139" t="n"/>
      <x:c r="U53" s="139" t="n"/>
      <x:c r="V53" s="139" t="n"/>
      <x:c r="W53" s="139" t="n"/>
      <x:c r="X53" s="139" t="n"/>
      <x:c r="Y53" s="139" t="n"/>
      <x:c r="Z53" s="139" t="n"/>
      <x:c r="AA53" s="139" t="n"/>
      <x:c r="AB53" s="139" t="n"/>
      <x:c r="AC53" s="139" t="n"/>
      <x:c r="AD53" s="139" t="n"/>
      <x:c r="AE53" s="139" t="n"/>
      <x:c r="AF53" s="139" t="n"/>
      <x:c r="AG53" s="139" t="n"/>
      <x:c r="AH53" s="139" t="n"/>
      <x:c r="AI53" s="139" t="n"/>
      <x:c r="AJ53" s="139" t="n"/>
      <x:c r="AK53" s="139" t="n"/>
      <x:c r="AL53" s="139" t="n"/>
      <x:c r="AM53" s="139" t="n"/>
      <x:c r="AN53" s="139" t="n"/>
      <x:c r="AO53" s="139" t="n"/>
      <x:c r="AP53" s="139" t="n"/>
      <x:c r="AQ53" s="139" t="n"/>
      <x:c r="AR53" s="139" t="n"/>
      <x:c r="AS53" s="139" t="n"/>
      <x:c r="AT53" s="139" t="n"/>
      <x:c r="AU53" s="139" t="n"/>
      <x:c r="AV53" s="139" t="n"/>
      <x:c r="AW53" s="139" t="n"/>
      <x:c r="AX53" s="139" t="n"/>
      <x:c r="AY53" s="139" t="n"/>
      <x:c r="AZ53" s="139" t="n"/>
    </x:row>
    <x:row r="54">
      <x:c r="A54" s="139" t="n"/>
      <x:c r="B54" s="139" t="n"/>
      <x:c r="C54" s="139" t="n"/>
      <x:c r="D54" s="139" t="n"/>
      <x:c r="E54" s="139" t="n"/>
      <x:c r="F54" s="139" t="n"/>
      <x:c r="G54" s="139" t="n"/>
      <x:c r="H54" s="139" t="n"/>
      <x:c r="I54" s="139" t="n"/>
      <x:c r="J54" s="139" t="n"/>
      <x:c r="K54" s="139" t="n"/>
      <x:c r="L54" s="139" t="n"/>
      <x:c r="M54" s="139" t="n"/>
      <x:c r="N54" s="139" t="n"/>
      <x:c r="O54" s="139" t="n"/>
      <x:c r="P54" s="139" t="n"/>
      <x:c r="Q54" s="139" t="n"/>
      <x:c r="R54" s="139" t="n"/>
      <x:c r="S54" s="139" t="n"/>
      <x:c r="T54" s="139" t="n"/>
      <x:c r="U54" s="139" t="n"/>
      <x:c r="V54" s="139" t="n"/>
      <x:c r="W54" s="139" t="n"/>
      <x:c r="X54" s="139" t="n"/>
      <x:c r="Y54" s="139" t="n"/>
      <x:c r="Z54" s="139" t="n"/>
      <x:c r="AA54" s="139" t="n"/>
      <x:c r="AB54" s="139" t="n"/>
      <x:c r="AC54" s="139" t="n"/>
      <x:c r="AD54" s="139" t="n"/>
      <x:c r="AE54" s="139" t="n"/>
      <x:c r="AF54" s="139" t="n"/>
      <x:c r="AG54" s="139" t="n"/>
      <x:c r="AH54" s="139" t="n"/>
      <x:c r="AI54" s="139" t="n"/>
      <x:c r="AJ54" s="139" t="n"/>
      <x:c r="AK54" s="139" t="n"/>
      <x:c r="AL54" s="139" t="n"/>
      <x:c r="AM54" s="139" t="n"/>
      <x:c r="AN54" s="139" t="n"/>
      <x:c r="AO54" s="139" t="n"/>
      <x:c r="AP54" s="139" t="n"/>
      <x:c r="AQ54" s="139" t="n"/>
      <x:c r="AR54" s="139" t="n"/>
      <x:c r="AS54" s="139" t="n"/>
      <x:c r="AT54" s="139" t="n"/>
      <x:c r="AU54" s="139" t="n"/>
      <x:c r="AV54" s="139" t="n"/>
      <x:c r="AW54" s="139" t="n"/>
      <x:c r="AX54" s="139" t="n"/>
      <x:c r="AY54" s="139" t="n"/>
      <x:c r="AZ54" s="139" t="n"/>
    </x:row>
    <x:row r="55">
      <x:c r="A55" s="139" t="n"/>
      <x:c r="B55" s="139" t="n"/>
      <x:c r="C55" s="139" t="n"/>
      <x:c r="D55" s="139" t="n"/>
      <x:c r="E55" s="139" t="n"/>
      <x:c r="F55" s="139" t="n"/>
      <x:c r="G55" s="139" t="n"/>
      <x:c r="H55" s="139" t="n"/>
      <x:c r="I55" s="139" t="n"/>
      <x:c r="J55" s="139" t="n"/>
      <x:c r="K55" s="139" t="n"/>
      <x:c r="L55" s="139" t="n"/>
      <x:c r="M55" s="139" t="n"/>
      <x:c r="N55" s="139" t="n"/>
      <x:c r="O55" s="139" t="n"/>
      <x:c r="P55" s="139" t="n"/>
      <x:c r="Q55" s="139" t="n"/>
      <x:c r="R55" s="139" t="n"/>
      <x:c r="S55" s="139" t="n"/>
      <x:c r="T55" s="139" t="n"/>
      <x:c r="U55" s="139" t="n"/>
      <x:c r="V55" s="139" t="n"/>
      <x:c r="W55" s="139" t="n"/>
      <x:c r="X55" s="139" t="n"/>
      <x:c r="Y55" s="139" t="n"/>
      <x:c r="Z55" s="139" t="n"/>
      <x:c r="AA55" s="139" t="n"/>
      <x:c r="AB55" s="139" t="n"/>
      <x:c r="AC55" s="139" t="n"/>
      <x:c r="AD55" s="139" t="n"/>
      <x:c r="AE55" s="139" t="n"/>
      <x:c r="AF55" s="139" t="n"/>
      <x:c r="AG55" s="139" t="n"/>
      <x:c r="AH55" s="139" t="n"/>
      <x:c r="AI55" s="139" t="n"/>
      <x:c r="AJ55" s="139" t="n"/>
      <x:c r="AK55" s="139" t="n"/>
      <x:c r="AL55" s="139" t="n"/>
      <x:c r="AM55" s="139" t="n"/>
      <x:c r="AN55" s="139" t="n"/>
      <x:c r="AO55" s="139" t="n"/>
      <x:c r="AP55" s="139" t="n"/>
      <x:c r="AQ55" s="139" t="n"/>
      <x:c r="AR55" s="139" t="n"/>
      <x:c r="AS55" s="139" t="n"/>
      <x:c r="AT55" s="139" t="n"/>
      <x:c r="AU55" s="139" t="n"/>
      <x:c r="AV55" s="139" t="n"/>
      <x:c r="AW55" s="139" t="n"/>
      <x:c r="AX55" s="139" t="n"/>
      <x:c r="AY55" s="139" t="n"/>
      <x:c r="AZ55" s="139" t="n"/>
    </x:row>
    <x:row r="56">
      <x:c r="A56" s="139" t="n"/>
      <x:c r="B56" s="139" t="n"/>
      <x:c r="C56" s="139" t="n"/>
      <x:c r="D56" s="139" t="n"/>
      <x:c r="E56" s="139" t="n"/>
      <x:c r="F56" s="139" t="n"/>
      <x:c r="G56" s="139" t="n"/>
      <x:c r="H56" s="139" t="n"/>
      <x:c r="I56" s="139" t="n"/>
      <x:c r="J56" s="139" t="n"/>
      <x:c r="K56" s="139" t="n"/>
      <x:c r="L56" s="139" t="n"/>
      <x:c r="M56" s="139" t="n"/>
      <x:c r="N56" s="139" t="n"/>
      <x:c r="O56" s="139" t="n"/>
      <x:c r="P56" s="139" t="n"/>
      <x:c r="Q56" s="139" t="n"/>
      <x:c r="R56" s="139" t="n"/>
      <x:c r="S56" s="139" t="n"/>
      <x:c r="T56" s="139" t="n"/>
      <x:c r="U56" s="139" t="n"/>
      <x:c r="V56" s="139" t="n"/>
      <x:c r="W56" s="139" t="n"/>
      <x:c r="X56" s="139" t="n"/>
      <x:c r="Y56" s="139" t="n"/>
      <x:c r="Z56" s="139" t="n"/>
      <x:c r="AA56" s="139" t="n"/>
      <x:c r="AB56" s="139" t="n"/>
      <x:c r="AC56" s="139" t="n"/>
      <x:c r="AD56" s="139" t="n"/>
      <x:c r="AE56" s="139" t="n"/>
      <x:c r="AF56" s="139" t="n"/>
      <x:c r="AG56" s="139" t="n"/>
      <x:c r="AH56" s="139" t="n"/>
      <x:c r="AI56" s="139" t="n"/>
      <x:c r="AJ56" s="139" t="n"/>
      <x:c r="AK56" s="139" t="n"/>
      <x:c r="AL56" s="139" t="n"/>
      <x:c r="AM56" s="139" t="n"/>
      <x:c r="AN56" s="139" t="n"/>
      <x:c r="AO56" s="139" t="n"/>
      <x:c r="AP56" s="139" t="n"/>
      <x:c r="AQ56" s="139" t="n"/>
      <x:c r="AR56" s="139" t="n"/>
      <x:c r="AS56" s="139" t="n"/>
      <x:c r="AT56" s="139" t="n"/>
      <x:c r="AU56" s="139" t="n"/>
      <x:c r="AV56" s="139" t="n"/>
      <x:c r="AW56" s="139" t="n"/>
      <x:c r="AX56" s="139" t="n"/>
      <x:c r="AY56" s="139" t="n"/>
      <x:c r="AZ56" s="139" t="n"/>
    </x:row>
    <x:row r="57">
      <x:c r="A57" s="139" t="n"/>
      <x:c r="B57" s="139" t="n"/>
      <x:c r="C57" s="139" t="n"/>
      <x:c r="D57" s="139" t="n"/>
      <x:c r="E57" s="139" t="n"/>
      <x:c r="F57" s="139" t="n"/>
      <x:c r="G57" s="139" t="n"/>
      <x:c r="H57" s="139" t="n"/>
      <x:c r="I57" s="139" t="n"/>
      <x:c r="J57" s="139" t="n"/>
      <x:c r="K57" s="139" t="n"/>
      <x:c r="L57" s="139" t="n"/>
      <x:c r="M57" s="139" t="n"/>
      <x:c r="N57" s="139" t="n"/>
      <x:c r="O57" s="139" t="n"/>
      <x:c r="P57" s="139" t="n"/>
      <x:c r="Q57" s="139" t="n"/>
      <x:c r="R57" s="139" t="n"/>
      <x:c r="S57" s="139" t="n"/>
      <x:c r="T57" s="139" t="n"/>
      <x:c r="U57" s="139" t="n"/>
      <x:c r="V57" s="139" t="n"/>
      <x:c r="W57" s="139" t="n"/>
      <x:c r="X57" s="139" t="n"/>
      <x:c r="Y57" s="139" t="n"/>
      <x:c r="Z57" s="139" t="n"/>
      <x:c r="AA57" s="139" t="n"/>
      <x:c r="AB57" s="139" t="n"/>
      <x:c r="AC57" s="139" t="n"/>
      <x:c r="AD57" s="139" t="n"/>
      <x:c r="AE57" s="139" t="n"/>
      <x:c r="AF57" s="139" t="n"/>
      <x:c r="AG57" s="139" t="n"/>
      <x:c r="AH57" s="139" t="n"/>
      <x:c r="AI57" s="139" t="n"/>
      <x:c r="AJ57" s="139" t="n"/>
      <x:c r="AK57" s="139" t="n"/>
      <x:c r="AL57" s="139" t="n"/>
      <x:c r="AM57" s="139" t="n"/>
      <x:c r="AN57" s="139" t="n"/>
      <x:c r="AO57" s="139" t="n"/>
      <x:c r="AP57" s="139" t="n"/>
      <x:c r="AQ57" s="139" t="n"/>
      <x:c r="AR57" s="139" t="n"/>
      <x:c r="AS57" s="139" t="n"/>
      <x:c r="AT57" s="139" t="n"/>
      <x:c r="AU57" s="139" t="n"/>
      <x:c r="AV57" s="139" t="n"/>
      <x:c r="AW57" s="139" t="n"/>
      <x:c r="AX57" s="139" t="n"/>
      <x:c r="AY57" s="139" t="n"/>
      <x:c r="AZ57" s="139" t="n"/>
    </x:row>
    <x:row r="58">
      <x:c r="A58" s="139" t="n"/>
      <x:c r="B58" s="139" t="n"/>
      <x:c r="C58" s="139" t="n"/>
      <x:c r="D58" s="139" t="n"/>
      <x:c r="E58" s="139" t="n"/>
      <x:c r="F58" s="139" t="n"/>
      <x:c r="G58" s="139" t="n"/>
      <x:c r="H58" s="139" t="n"/>
      <x:c r="I58" s="139" t="n"/>
      <x:c r="J58" s="139" t="n"/>
      <x:c r="K58" s="139" t="n"/>
      <x:c r="L58" s="139" t="n"/>
      <x:c r="M58" s="139" t="n"/>
      <x:c r="N58" s="139" t="n"/>
      <x:c r="O58" s="139" t="n"/>
      <x:c r="P58" s="139" t="n"/>
      <x:c r="Q58" s="139" t="n"/>
      <x:c r="R58" s="139" t="n"/>
      <x:c r="S58" s="139" t="n"/>
      <x:c r="T58" s="139" t="n"/>
      <x:c r="U58" s="139" t="n"/>
      <x:c r="V58" s="139" t="n"/>
      <x:c r="W58" s="139" t="n"/>
      <x:c r="X58" s="139" t="n"/>
      <x:c r="Y58" s="139" t="n"/>
      <x:c r="Z58" s="139" t="n"/>
      <x:c r="AA58" s="139" t="n"/>
      <x:c r="AB58" s="139" t="n"/>
      <x:c r="AC58" s="139" t="n"/>
      <x:c r="AD58" s="139" t="n"/>
      <x:c r="AE58" s="139" t="n"/>
      <x:c r="AF58" s="139" t="n"/>
      <x:c r="AG58" s="139" t="n"/>
      <x:c r="AH58" s="139" t="n"/>
      <x:c r="AI58" s="139" t="n"/>
      <x:c r="AJ58" s="139" t="n"/>
      <x:c r="AK58" s="139" t="n"/>
      <x:c r="AL58" s="139" t="n"/>
      <x:c r="AM58" s="139" t="n"/>
      <x:c r="AN58" s="139" t="n"/>
      <x:c r="AO58" s="139" t="n"/>
      <x:c r="AP58" s="139" t="n"/>
      <x:c r="AQ58" s="139" t="n"/>
      <x:c r="AR58" s="139" t="n"/>
      <x:c r="AS58" s="139" t="n"/>
      <x:c r="AT58" s="139" t="n"/>
      <x:c r="AU58" s="139" t="n"/>
      <x:c r="AV58" s="139" t="n"/>
      <x:c r="AW58" s="139" t="n"/>
      <x:c r="AX58" s="139" t="n"/>
      <x:c r="AY58" s="139" t="n"/>
      <x:c r="AZ58" s="139" t="n"/>
    </x:row>
    <x:row r="59">
      <x:c r="A59" s="139" t="n"/>
      <x:c r="B59" s="139" t="n"/>
      <x:c r="C59" s="139" t="n"/>
      <x:c r="D59" s="139" t="n"/>
      <x:c r="E59" s="139" t="n"/>
      <x:c r="F59" s="139" t="n"/>
      <x:c r="G59" s="139" t="n"/>
      <x:c r="H59" s="139" t="n"/>
      <x:c r="I59" s="139" t="n"/>
      <x:c r="J59" s="139" t="n"/>
      <x:c r="K59" s="139" t="n"/>
      <x:c r="L59" s="139" t="n"/>
      <x:c r="M59" s="139" t="n"/>
      <x:c r="N59" s="139" t="n"/>
      <x:c r="O59" s="139" t="n"/>
      <x:c r="P59" s="139" t="n"/>
      <x:c r="Q59" s="139" t="n"/>
      <x:c r="R59" s="139" t="n"/>
      <x:c r="S59" s="139" t="n"/>
      <x:c r="T59" s="139" t="n"/>
      <x:c r="U59" s="139" t="n"/>
      <x:c r="V59" s="139" t="n"/>
      <x:c r="W59" s="139" t="n"/>
      <x:c r="X59" s="139" t="n"/>
      <x:c r="Y59" s="139" t="n"/>
      <x:c r="Z59" s="139" t="n"/>
      <x:c r="AA59" s="139" t="n"/>
      <x:c r="AB59" s="139" t="n"/>
      <x:c r="AC59" s="139" t="n"/>
      <x:c r="AD59" s="139" t="n"/>
      <x:c r="AE59" s="139" t="n"/>
      <x:c r="AF59" s="139" t="n"/>
      <x:c r="AG59" s="139" t="n"/>
      <x:c r="AH59" s="139" t="n"/>
      <x:c r="AI59" s="139" t="n"/>
      <x:c r="AJ59" s="139" t="n"/>
      <x:c r="AK59" s="139" t="n"/>
      <x:c r="AL59" s="139" t="n"/>
      <x:c r="AM59" s="139" t="n"/>
      <x:c r="AN59" s="139" t="n"/>
      <x:c r="AO59" s="139" t="n"/>
      <x:c r="AP59" s="139" t="n"/>
      <x:c r="AQ59" s="139" t="n"/>
      <x:c r="AR59" s="139" t="n"/>
      <x:c r="AS59" s="139" t="n"/>
      <x:c r="AT59" s="139" t="n"/>
      <x:c r="AU59" s="139" t="n"/>
      <x:c r="AV59" s="139" t="n"/>
      <x:c r="AW59" s="139" t="n"/>
      <x:c r="AX59" s="139" t="n"/>
      <x:c r="AY59" s="139" t="n"/>
      <x:c r="AZ59" s="139" t="n"/>
    </x:row>
    <x:row r="60">
      <x:c r="A60" s="139" t="n"/>
      <x:c r="B60" s="139" t="n"/>
      <x:c r="C60" s="139" t="n"/>
      <x:c r="D60" s="139" t="n"/>
      <x:c r="E60" s="139" t="n"/>
      <x:c r="F60" s="139" t="n"/>
      <x:c r="G60" s="139" t="n"/>
      <x:c r="H60" s="139" t="n"/>
      <x:c r="I60" s="139" t="n"/>
      <x:c r="J60" s="139" t="n"/>
      <x:c r="K60" s="139" t="n"/>
      <x:c r="L60" s="139" t="n"/>
      <x:c r="M60" s="139" t="n"/>
      <x:c r="N60" s="139" t="n"/>
      <x:c r="O60" s="139" t="n"/>
      <x:c r="P60" s="139" t="n"/>
      <x:c r="Q60" s="139" t="n"/>
      <x:c r="R60" s="139" t="n"/>
      <x:c r="S60" s="139" t="n"/>
      <x:c r="T60" s="139" t="n"/>
      <x:c r="U60" s="139" t="n"/>
      <x:c r="V60" s="139" t="n"/>
      <x:c r="W60" s="139" t="n"/>
      <x:c r="X60" s="139" t="n"/>
      <x:c r="Y60" s="139" t="n"/>
      <x:c r="Z60" s="139" t="n"/>
      <x:c r="AA60" s="139" t="n"/>
      <x:c r="AB60" s="139" t="n"/>
      <x:c r="AC60" s="139" t="n"/>
      <x:c r="AD60" s="139" t="n"/>
      <x:c r="AE60" s="139" t="n"/>
      <x:c r="AF60" s="139" t="n"/>
      <x:c r="AG60" s="139" t="n"/>
      <x:c r="AH60" s="139" t="n"/>
      <x:c r="AI60" s="139" t="n"/>
      <x:c r="AJ60" s="139" t="n"/>
      <x:c r="AK60" s="139" t="n"/>
      <x:c r="AL60" s="139" t="n"/>
      <x:c r="AM60" s="139" t="n"/>
      <x:c r="AN60" s="139" t="n"/>
      <x:c r="AO60" s="139" t="n"/>
      <x:c r="AP60" s="139" t="n"/>
      <x:c r="AQ60" s="139" t="n"/>
      <x:c r="AR60" s="139" t="n"/>
      <x:c r="AS60" s="139" t="n"/>
      <x:c r="AT60" s="139" t="n"/>
      <x:c r="AU60" s="139" t="n"/>
      <x:c r="AV60" s="139" t="n"/>
      <x:c r="AW60" s="139" t="n"/>
      <x:c r="AX60" s="139" t="n"/>
      <x:c r="AY60" s="139" t="n"/>
      <x:c r="AZ60" s="139" t="n"/>
    </x:row>
    <x:row r="61">
      <x:c r="A61" s="139" t="n"/>
      <x:c r="B61" s="139" t="n"/>
      <x:c r="C61" s="139" t="n"/>
      <x:c r="D61" s="139" t="n"/>
      <x:c r="E61" s="139" t="n"/>
      <x:c r="F61" s="139" t="n"/>
      <x:c r="G61" s="139" t="n"/>
      <x:c r="H61" s="139" t="n"/>
      <x:c r="I61" s="139" t="n"/>
      <x:c r="J61" s="139" t="n"/>
      <x:c r="K61" s="139" t="n"/>
      <x:c r="L61" s="139" t="n"/>
      <x:c r="M61" s="139" t="n"/>
      <x:c r="N61" s="139" t="n"/>
      <x:c r="O61" s="139" t="n"/>
      <x:c r="P61" s="139" t="n"/>
      <x:c r="Q61" s="139" t="n"/>
      <x:c r="R61" s="139" t="n"/>
      <x:c r="S61" s="139" t="n"/>
      <x:c r="T61" s="139" t="n"/>
      <x:c r="U61" s="139" t="n"/>
      <x:c r="V61" s="139" t="n"/>
      <x:c r="W61" s="139" t="n"/>
      <x:c r="X61" s="139" t="n"/>
      <x:c r="Y61" s="139" t="n"/>
      <x:c r="Z61" s="139" t="n"/>
      <x:c r="AA61" s="139" t="n"/>
      <x:c r="AB61" s="139" t="n"/>
      <x:c r="AC61" s="139" t="n"/>
      <x:c r="AD61" s="139" t="n"/>
      <x:c r="AE61" s="139" t="n"/>
      <x:c r="AF61" s="139" t="n"/>
      <x:c r="AG61" s="139" t="n"/>
      <x:c r="AH61" s="139" t="n"/>
      <x:c r="AI61" s="139" t="n"/>
      <x:c r="AJ61" s="139" t="n"/>
      <x:c r="AK61" s="139" t="n"/>
      <x:c r="AL61" s="139" t="n"/>
      <x:c r="AM61" s="139" t="n"/>
      <x:c r="AN61" s="139" t="n"/>
      <x:c r="AO61" s="139" t="n"/>
      <x:c r="AP61" s="139" t="n"/>
      <x:c r="AQ61" s="139" t="n"/>
      <x:c r="AR61" s="139" t="n"/>
      <x:c r="AS61" s="139" t="n"/>
      <x:c r="AT61" s="139" t="n"/>
      <x:c r="AU61" s="139" t="n"/>
      <x:c r="AV61" s="139" t="n"/>
      <x:c r="AW61" s="139" t="n"/>
      <x:c r="AX61" s="139" t="n"/>
      <x:c r="AY61" s="139" t="n"/>
      <x:c r="AZ61" s="139" t="n"/>
    </x:row>
    <x:row r="62">
      <x:c r="A62" s="139" t="n"/>
      <x:c r="B62" s="139" t="n"/>
      <x:c r="C62" s="139" t="n"/>
      <x:c r="D62" s="139" t="n"/>
      <x:c r="E62" s="139" t="n"/>
      <x:c r="F62" s="139" t="n"/>
      <x:c r="G62" s="139" t="n"/>
      <x:c r="H62" s="139" t="n"/>
      <x:c r="I62" s="139" t="n"/>
      <x:c r="J62" s="139" t="n"/>
      <x:c r="K62" s="139" t="n"/>
      <x:c r="L62" s="139" t="n"/>
      <x:c r="M62" s="139" t="n"/>
      <x:c r="N62" s="139" t="n"/>
      <x:c r="O62" s="139" t="n"/>
      <x:c r="P62" s="139" t="n"/>
      <x:c r="Q62" s="139" t="n"/>
      <x:c r="R62" s="139" t="n"/>
      <x:c r="S62" s="139" t="n"/>
      <x:c r="T62" s="139" t="n"/>
      <x:c r="U62" s="139" t="n"/>
      <x:c r="V62" s="139" t="n"/>
      <x:c r="W62" s="139" t="n"/>
      <x:c r="X62" s="139" t="n"/>
      <x:c r="Y62" s="139" t="n"/>
      <x:c r="Z62" s="139" t="n"/>
      <x:c r="AA62" s="139" t="n"/>
      <x:c r="AB62" s="139" t="n"/>
      <x:c r="AC62" s="139" t="n"/>
      <x:c r="AD62" s="139" t="n"/>
      <x:c r="AE62" s="139" t="n"/>
      <x:c r="AF62" s="139" t="n"/>
      <x:c r="AG62" s="139" t="n"/>
      <x:c r="AH62" s="139" t="n"/>
      <x:c r="AI62" s="139" t="n"/>
      <x:c r="AJ62" s="139" t="n"/>
      <x:c r="AK62" s="139" t="n"/>
      <x:c r="AL62" s="139" t="n"/>
      <x:c r="AM62" s="139" t="n"/>
      <x:c r="AN62" s="139" t="n"/>
      <x:c r="AO62" s="139" t="n"/>
      <x:c r="AP62" s="139" t="n"/>
      <x:c r="AQ62" s="139" t="n"/>
      <x:c r="AR62" s="139" t="n"/>
      <x:c r="AS62" s="139" t="n"/>
      <x:c r="AT62" s="139" t="n"/>
      <x:c r="AU62" s="139" t="n"/>
      <x:c r="AV62" s="139" t="n"/>
      <x:c r="AW62" s="139" t="n"/>
      <x:c r="AX62" s="139" t="n"/>
      <x:c r="AY62" s="139" t="n"/>
      <x:c r="AZ62" s="139" t="n"/>
    </x:row>
    <x:row r="63">
      <x:c r="A63" s="139" t="n"/>
      <x:c r="B63" s="139" t="n"/>
      <x:c r="C63" s="139" t="n"/>
      <x:c r="D63" s="139" t="n"/>
      <x:c r="E63" s="139" t="n"/>
      <x:c r="F63" s="139" t="n"/>
      <x:c r="G63" s="139" t="n"/>
      <x:c r="H63" s="139" t="n"/>
      <x:c r="I63" s="139" t="n"/>
      <x:c r="J63" s="139" t="n"/>
      <x:c r="K63" s="139" t="n"/>
      <x:c r="L63" s="139" t="n"/>
      <x:c r="M63" s="139" t="n"/>
      <x:c r="N63" s="139" t="n"/>
      <x:c r="O63" s="139" t="n"/>
      <x:c r="P63" s="139" t="n"/>
      <x:c r="Q63" s="139" t="n"/>
      <x:c r="R63" s="139" t="n"/>
      <x:c r="S63" s="139" t="n"/>
      <x:c r="T63" s="139" t="n"/>
      <x:c r="U63" s="139" t="n"/>
      <x:c r="V63" s="139" t="n"/>
      <x:c r="W63" s="139" t="n"/>
      <x:c r="X63" s="139" t="n"/>
      <x:c r="Y63" s="139" t="n"/>
      <x:c r="Z63" s="139" t="n"/>
      <x:c r="AA63" s="139" t="n"/>
      <x:c r="AB63" s="139" t="n"/>
      <x:c r="AC63" s="139" t="n"/>
      <x:c r="AD63" s="139" t="n"/>
      <x:c r="AE63" s="139" t="n"/>
      <x:c r="AF63" s="139" t="n"/>
      <x:c r="AG63" s="139" t="n"/>
      <x:c r="AH63" s="139" t="n"/>
      <x:c r="AI63" s="139" t="n"/>
      <x:c r="AJ63" s="139" t="n"/>
      <x:c r="AK63" s="139" t="n"/>
      <x:c r="AL63" s="139" t="n"/>
      <x:c r="AM63" s="139" t="n"/>
      <x:c r="AN63" s="139" t="n"/>
      <x:c r="AO63" s="139" t="n"/>
      <x:c r="AP63" s="139" t="n"/>
      <x:c r="AQ63" s="139" t="n"/>
      <x:c r="AR63" s="139" t="n"/>
      <x:c r="AS63" s="139" t="n"/>
      <x:c r="AT63" s="139" t="n"/>
      <x:c r="AU63" s="139" t="n"/>
      <x:c r="AV63" s="139" t="n"/>
      <x:c r="AW63" s="139" t="n"/>
      <x:c r="AX63" s="139" t="n"/>
      <x:c r="AY63" s="139" t="n"/>
      <x:c r="AZ63" s="139" t="n"/>
    </x:row>
    <x:row r="64">
      <x:c r="A64" s="139" t="n"/>
      <x:c r="B64" s="139" t="n"/>
      <x:c r="C64" s="139" t="n"/>
      <x:c r="D64" s="139" t="n"/>
      <x:c r="E64" s="139" t="n"/>
      <x:c r="F64" s="139" t="n"/>
      <x:c r="G64" s="139" t="n"/>
      <x:c r="H64" s="139" t="n"/>
      <x:c r="I64" s="139" t="n"/>
      <x:c r="J64" s="139" t="n"/>
      <x:c r="K64" s="139" t="n"/>
      <x:c r="L64" s="139" t="n"/>
      <x:c r="M64" s="139" t="n"/>
      <x:c r="N64" s="139" t="n"/>
      <x:c r="O64" s="139" t="n"/>
      <x:c r="P64" s="139" t="n"/>
      <x:c r="Q64" s="139" t="n"/>
      <x:c r="R64" s="139" t="n"/>
      <x:c r="S64" s="139" t="n"/>
      <x:c r="T64" s="139" t="n"/>
      <x:c r="U64" s="139" t="n"/>
      <x:c r="V64" s="139" t="n"/>
      <x:c r="W64" s="139" t="n"/>
      <x:c r="X64" s="139" t="n"/>
      <x:c r="Y64" s="139" t="n"/>
      <x:c r="Z64" s="139" t="n"/>
      <x:c r="AA64" s="139" t="n"/>
      <x:c r="AB64" s="139" t="n"/>
      <x:c r="AC64" s="139" t="n"/>
      <x:c r="AD64" s="139" t="n"/>
      <x:c r="AE64" s="139" t="n"/>
      <x:c r="AF64" s="139" t="n"/>
      <x:c r="AG64" s="139" t="n"/>
      <x:c r="AH64" s="139" t="n"/>
      <x:c r="AI64" s="139" t="n"/>
      <x:c r="AJ64" s="139" t="n"/>
      <x:c r="AK64" s="139" t="n"/>
      <x:c r="AL64" s="139" t="n"/>
      <x:c r="AM64" s="139" t="n"/>
      <x:c r="AN64" s="139" t="n"/>
      <x:c r="AO64" s="139" t="n"/>
      <x:c r="AP64" s="139" t="n"/>
      <x:c r="AQ64" s="139" t="n"/>
      <x:c r="AR64" s="139" t="n"/>
      <x:c r="AS64" s="139" t="n"/>
      <x:c r="AT64" s="139" t="n"/>
      <x:c r="AU64" s="139" t="n"/>
      <x:c r="AV64" s="139" t="n"/>
      <x:c r="AW64" s="139" t="n"/>
      <x:c r="AX64" s="139" t="n"/>
      <x:c r="AY64" s="139" t="n"/>
      <x:c r="AZ64" s="139" t="n"/>
    </x:row>
    <x:row r="65">
      <x:c r="A65" s="139" t="n"/>
      <x:c r="B65" s="139" t="n"/>
      <x:c r="C65" s="139" t="n"/>
      <x:c r="D65" s="139" t="n"/>
      <x:c r="E65" s="139" t="n"/>
      <x:c r="F65" s="139" t="n"/>
      <x:c r="G65" s="139" t="n"/>
      <x:c r="H65" s="139" t="n"/>
      <x:c r="I65" s="139" t="n"/>
      <x:c r="J65" s="139" t="n"/>
      <x:c r="K65" s="139" t="n"/>
      <x:c r="L65" s="139" t="n"/>
      <x:c r="M65" s="139" t="n"/>
      <x:c r="N65" s="139" t="n"/>
      <x:c r="O65" s="139" t="n"/>
      <x:c r="P65" s="139" t="n"/>
      <x:c r="Q65" s="139" t="n"/>
      <x:c r="R65" s="139" t="n"/>
      <x:c r="S65" s="139" t="n"/>
      <x:c r="T65" s="139" t="n"/>
      <x:c r="U65" s="139" t="n"/>
      <x:c r="V65" s="139" t="n"/>
      <x:c r="W65" s="139" t="n"/>
      <x:c r="X65" s="139" t="n"/>
      <x:c r="Y65" s="139" t="n"/>
      <x:c r="Z65" s="139" t="n"/>
      <x:c r="AA65" s="139" t="n"/>
      <x:c r="AB65" s="139" t="n"/>
      <x:c r="AC65" s="139" t="n"/>
      <x:c r="AD65" s="139" t="n"/>
      <x:c r="AE65" s="139" t="n"/>
      <x:c r="AF65" s="139" t="n"/>
      <x:c r="AG65" s="139" t="n"/>
      <x:c r="AH65" s="139" t="n"/>
      <x:c r="AI65" s="139" t="n"/>
      <x:c r="AJ65" s="139" t="n"/>
      <x:c r="AK65" s="139" t="n"/>
      <x:c r="AL65" s="139" t="n"/>
      <x:c r="AM65" s="139" t="n"/>
      <x:c r="AN65" s="139" t="n"/>
      <x:c r="AO65" s="139" t="n"/>
      <x:c r="AP65" s="139" t="n"/>
      <x:c r="AQ65" s="139" t="n"/>
      <x:c r="AR65" s="139" t="n"/>
      <x:c r="AS65" s="139" t="n"/>
      <x:c r="AT65" s="139" t="n"/>
      <x:c r="AU65" s="139" t="n"/>
      <x:c r="AV65" s="139" t="n"/>
      <x:c r="AW65" s="139" t="n"/>
      <x:c r="AX65" s="139" t="n"/>
      <x:c r="AY65" s="139" t="n"/>
      <x:c r="AZ65" s="139" t="n"/>
    </x:row>
    <x:row r="66">
      <x:c r="A66" s="139" t="n"/>
      <x:c r="B66" s="139" t="n"/>
      <x:c r="C66" s="139" t="n"/>
      <x:c r="D66" s="139" t="n"/>
      <x:c r="E66" s="139" t="n"/>
      <x:c r="F66" s="139" t="n"/>
      <x:c r="G66" s="139" t="n"/>
      <x:c r="H66" s="139" t="n"/>
      <x:c r="I66" s="139" t="n"/>
      <x:c r="J66" s="139" t="n"/>
      <x:c r="K66" s="139" t="n"/>
      <x:c r="L66" s="139" t="n"/>
      <x:c r="M66" s="139" t="n"/>
      <x:c r="N66" s="139" t="n"/>
      <x:c r="O66" s="139" t="n"/>
      <x:c r="P66" s="139" t="n"/>
      <x:c r="Q66" s="139" t="n"/>
      <x:c r="R66" s="139" t="n"/>
      <x:c r="S66" s="139" t="n"/>
      <x:c r="T66" s="139" t="n"/>
      <x:c r="U66" s="139" t="n"/>
      <x:c r="V66" s="139" t="n"/>
      <x:c r="W66" s="139" t="n"/>
      <x:c r="X66" s="139" t="n"/>
      <x:c r="Y66" s="139" t="n"/>
      <x:c r="Z66" s="139" t="n"/>
      <x:c r="AA66" s="139" t="n"/>
      <x:c r="AB66" s="139" t="n"/>
      <x:c r="AC66" s="139" t="n"/>
      <x:c r="AD66" s="139" t="n"/>
      <x:c r="AE66" s="139" t="n"/>
      <x:c r="AF66" s="139" t="n"/>
      <x:c r="AG66" s="139" t="n"/>
      <x:c r="AH66" s="139" t="n"/>
      <x:c r="AI66" s="139" t="n"/>
      <x:c r="AJ66" s="139" t="n"/>
      <x:c r="AK66" s="139" t="n"/>
      <x:c r="AL66" s="139" t="n"/>
      <x:c r="AM66" s="139" t="n"/>
      <x:c r="AN66" s="139" t="n"/>
      <x:c r="AO66" s="139" t="n"/>
      <x:c r="AP66" s="139" t="n"/>
      <x:c r="AQ66" s="139" t="n"/>
      <x:c r="AR66" s="139" t="n"/>
      <x:c r="AS66" s="139" t="n"/>
      <x:c r="AT66" s="139" t="n"/>
      <x:c r="AU66" s="139" t="n"/>
      <x:c r="AV66" s="139" t="n"/>
      <x:c r="AW66" s="139" t="n"/>
      <x:c r="AX66" s="139" t="n"/>
      <x:c r="AY66" s="139" t="n"/>
      <x:c r="AZ66" s="139" t="n"/>
    </x:row>
    <x:row r="67">
      <x:c r="A67" s="139" t="n"/>
      <x:c r="B67" s="139" t="n"/>
      <x:c r="C67" s="139" t="n"/>
      <x:c r="D67" s="139" t="n"/>
      <x:c r="E67" s="139" t="n"/>
      <x:c r="F67" s="139" t="n"/>
      <x:c r="G67" s="139" t="n"/>
      <x:c r="H67" s="139" t="n"/>
      <x:c r="I67" s="139" t="n"/>
      <x:c r="J67" s="139" t="n"/>
      <x:c r="K67" s="139" t="n"/>
      <x:c r="L67" s="139" t="n"/>
      <x:c r="M67" s="139" t="n"/>
      <x:c r="N67" s="139" t="n"/>
      <x:c r="O67" s="139" t="n"/>
      <x:c r="P67" s="139" t="n"/>
      <x:c r="Q67" s="139" t="n"/>
      <x:c r="R67" s="139" t="n"/>
      <x:c r="S67" s="139" t="n"/>
      <x:c r="T67" s="139" t="n"/>
      <x:c r="U67" s="139" t="n"/>
      <x:c r="V67" s="139" t="n"/>
      <x:c r="W67" s="139" t="n"/>
      <x:c r="X67" s="139" t="n"/>
      <x:c r="Y67" s="139" t="n"/>
      <x:c r="Z67" s="139" t="n"/>
      <x:c r="AA67" s="139" t="n"/>
      <x:c r="AB67" s="139" t="n"/>
      <x:c r="AC67" s="139" t="n"/>
      <x:c r="AD67" s="139" t="n"/>
      <x:c r="AE67" s="139" t="n"/>
      <x:c r="AF67" s="139" t="n"/>
      <x:c r="AG67" s="139" t="n"/>
      <x:c r="AH67" s="139" t="n"/>
      <x:c r="AI67" s="139" t="n"/>
      <x:c r="AJ67" s="139" t="n"/>
      <x:c r="AK67" s="139" t="n"/>
      <x:c r="AL67" s="139" t="n"/>
      <x:c r="AM67" s="139" t="n"/>
      <x:c r="AN67" s="139" t="n"/>
      <x:c r="AO67" s="139" t="n"/>
      <x:c r="AP67" s="139" t="n"/>
      <x:c r="AQ67" s="139" t="n"/>
      <x:c r="AR67" s="139" t="n"/>
      <x:c r="AS67" s="139" t="n"/>
      <x:c r="AT67" s="139" t="n"/>
      <x:c r="AU67" s="139" t="n"/>
      <x:c r="AV67" s="139" t="n"/>
      <x:c r="AW67" s="139" t="n"/>
      <x:c r="AX67" s="139" t="n"/>
      <x:c r="AY67" s="139" t="n"/>
      <x:c r="AZ67" s="139" t="n"/>
    </x:row>
    <x:row r="68">
      <x:c r="A68" s="139" t="n"/>
      <x:c r="B68" s="139" t="n"/>
      <x:c r="C68" s="139" t="n"/>
      <x:c r="D68" s="139" t="n"/>
      <x:c r="E68" s="139" t="n"/>
      <x:c r="F68" s="139" t="n"/>
      <x:c r="G68" s="139" t="n"/>
      <x:c r="H68" s="139" t="n"/>
      <x:c r="I68" s="139" t="n"/>
      <x:c r="J68" s="139" t="n"/>
      <x:c r="K68" s="139" t="n"/>
      <x:c r="L68" s="139" t="n"/>
      <x:c r="M68" s="139" t="n"/>
      <x:c r="N68" s="139" t="n"/>
      <x:c r="O68" s="139" t="n"/>
      <x:c r="P68" s="139" t="n"/>
      <x:c r="Q68" s="139" t="n"/>
      <x:c r="R68" s="139" t="n"/>
      <x:c r="S68" s="139" t="n"/>
      <x:c r="T68" s="139" t="n"/>
      <x:c r="U68" s="139" t="n"/>
      <x:c r="V68" s="139" t="n"/>
      <x:c r="W68" s="139" t="n"/>
      <x:c r="X68" s="139" t="n"/>
      <x:c r="Y68" s="139" t="n"/>
      <x:c r="Z68" s="139" t="n"/>
      <x:c r="AA68" s="139" t="n"/>
      <x:c r="AB68" s="139" t="n"/>
      <x:c r="AC68" s="139" t="n"/>
      <x:c r="AD68" s="139" t="n"/>
      <x:c r="AE68" s="139" t="n"/>
      <x:c r="AF68" s="139" t="n"/>
      <x:c r="AG68" s="139" t="n"/>
      <x:c r="AH68" s="139" t="n"/>
      <x:c r="AI68" s="139" t="n"/>
      <x:c r="AJ68" s="139" t="n"/>
      <x:c r="AK68" s="139" t="n"/>
      <x:c r="AL68" s="139" t="n"/>
      <x:c r="AM68" s="139" t="n"/>
      <x:c r="AN68" s="139" t="n"/>
      <x:c r="AO68" s="139" t="n"/>
      <x:c r="AP68" s="139" t="n"/>
      <x:c r="AQ68" s="139" t="n"/>
      <x:c r="AR68" s="139" t="n"/>
      <x:c r="AS68" s="139" t="n"/>
      <x:c r="AT68" s="139" t="n"/>
      <x:c r="AU68" s="139" t="n"/>
      <x:c r="AV68" s="139" t="n"/>
      <x:c r="AW68" s="139" t="n"/>
      <x:c r="AX68" s="139" t="n"/>
      <x:c r="AY68" s="139" t="n"/>
      <x:c r="AZ68" s="139" t="n"/>
    </x:row>
    <x:row r="69">
      <x:c r="A69" s="139" t="n"/>
      <x:c r="B69" s="139" t="n"/>
      <x:c r="C69" s="139" t="n"/>
      <x:c r="D69" s="139" t="n"/>
      <x:c r="E69" s="139" t="n"/>
      <x:c r="F69" s="139" t="n"/>
      <x:c r="G69" s="139" t="n"/>
      <x:c r="H69" s="139" t="n"/>
      <x:c r="I69" s="139" t="n"/>
      <x:c r="J69" s="139" t="n"/>
      <x:c r="K69" s="139" t="n"/>
      <x:c r="L69" s="139" t="n"/>
      <x:c r="M69" s="139" t="n"/>
      <x:c r="N69" s="139" t="n"/>
      <x:c r="O69" s="139" t="n"/>
      <x:c r="P69" s="139" t="n"/>
      <x:c r="Q69" s="139" t="n"/>
      <x:c r="R69" s="139" t="n"/>
      <x:c r="S69" s="139" t="n"/>
      <x:c r="T69" s="139" t="n"/>
      <x:c r="U69" s="139" t="n"/>
      <x:c r="V69" s="139" t="n"/>
      <x:c r="W69" s="139" t="n"/>
      <x:c r="X69" s="139" t="n"/>
      <x:c r="Y69" s="139" t="n"/>
      <x:c r="Z69" s="139" t="n"/>
      <x:c r="AA69" s="139" t="n"/>
      <x:c r="AB69" s="139" t="n"/>
      <x:c r="AC69" s="139" t="n"/>
      <x:c r="AD69" s="139" t="n"/>
      <x:c r="AE69" s="139" t="n"/>
      <x:c r="AF69" s="139" t="n"/>
      <x:c r="AG69" s="139" t="n"/>
      <x:c r="AH69" s="139" t="n"/>
      <x:c r="AI69" s="139" t="n"/>
      <x:c r="AJ69" s="139" t="n"/>
      <x:c r="AK69" s="139" t="n"/>
      <x:c r="AL69" s="139" t="n"/>
      <x:c r="AM69" s="139" t="n"/>
      <x:c r="AN69" s="139" t="n"/>
      <x:c r="AO69" s="139" t="n"/>
      <x:c r="AP69" s="139" t="n"/>
      <x:c r="AQ69" s="139" t="n"/>
      <x:c r="AR69" s="139" t="n"/>
      <x:c r="AS69" s="139" t="n"/>
      <x:c r="AT69" s="139" t="n"/>
      <x:c r="AU69" s="139" t="n"/>
      <x:c r="AV69" s="139" t="n"/>
      <x:c r="AW69" s="139" t="n"/>
      <x:c r="AX69" s="139" t="n"/>
      <x:c r="AY69" s="139" t="n"/>
      <x:c r="AZ69" s="139" t="n"/>
    </x:row>
    <x:row r="70">
      <x:c r="A70" s="139" t="n"/>
      <x:c r="B70" s="139" t="n"/>
      <x:c r="C70" s="139" t="n"/>
      <x:c r="D70" s="139" t="n"/>
      <x:c r="E70" s="139" t="n"/>
      <x:c r="F70" s="139" t="n"/>
      <x:c r="G70" s="139" t="n"/>
      <x:c r="H70" s="139" t="n"/>
      <x:c r="I70" s="139" t="n"/>
      <x:c r="J70" s="139" t="n"/>
      <x:c r="K70" s="139" t="n"/>
      <x:c r="L70" s="139" t="n"/>
      <x:c r="M70" s="139" t="n"/>
      <x:c r="N70" s="139" t="n"/>
      <x:c r="O70" s="139" t="n"/>
      <x:c r="P70" s="139" t="n"/>
      <x:c r="Q70" s="139" t="n"/>
      <x:c r="R70" s="139" t="n"/>
      <x:c r="S70" s="139" t="n"/>
      <x:c r="T70" s="139" t="n"/>
      <x:c r="U70" s="139" t="n"/>
      <x:c r="V70" s="139" t="n"/>
      <x:c r="W70" s="139" t="n"/>
      <x:c r="X70" s="139" t="n"/>
      <x:c r="Y70" s="139" t="n"/>
      <x:c r="Z70" s="139" t="n"/>
      <x:c r="AA70" s="139" t="n"/>
      <x:c r="AB70" s="139" t="n"/>
      <x:c r="AC70" s="139" t="n"/>
      <x:c r="AD70" s="139" t="n"/>
      <x:c r="AE70" s="139" t="n"/>
      <x:c r="AF70" s="139" t="n"/>
      <x:c r="AG70" s="139" t="n"/>
      <x:c r="AH70" s="139" t="n"/>
      <x:c r="AI70" s="139" t="n"/>
      <x:c r="AJ70" s="139" t="n"/>
      <x:c r="AK70" s="139" t="n"/>
      <x:c r="AL70" s="139" t="n"/>
      <x:c r="AM70" s="139" t="n"/>
      <x:c r="AN70" s="139" t="n"/>
      <x:c r="AO70" s="139" t="n"/>
      <x:c r="AP70" s="139" t="n"/>
      <x:c r="AQ70" s="139" t="n"/>
      <x:c r="AR70" s="139" t="n"/>
      <x:c r="AS70" s="139" t="n"/>
      <x:c r="AT70" s="139" t="n"/>
      <x:c r="AU70" s="139" t="n"/>
      <x:c r="AV70" s="139" t="n"/>
      <x:c r="AW70" s="139" t="n"/>
      <x:c r="AX70" s="139" t="n"/>
      <x:c r="AY70" s="139" t="n"/>
      <x:c r="AZ70" s="139" t="n"/>
    </x:row>
    <x:row r="71">
      <x:c r="A71" s="139" t="n"/>
      <x:c r="B71" s="139" t="n"/>
      <x:c r="C71" s="139" t="n"/>
      <x:c r="D71" s="139" t="n"/>
      <x:c r="E71" s="139" t="n"/>
      <x:c r="F71" s="139" t="n"/>
      <x:c r="G71" s="139" t="n"/>
      <x:c r="H71" s="139" t="n"/>
      <x:c r="I71" s="139" t="n"/>
      <x:c r="J71" s="139" t="n"/>
      <x:c r="K71" s="139" t="n"/>
      <x:c r="L71" s="139" t="n"/>
      <x:c r="M71" s="139" t="n"/>
      <x:c r="N71" s="139" t="n"/>
      <x:c r="O71" s="139" t="n"/>
      <x:c r="P71" s="139" t="n"/>
      <x:c r="Q71" s="139" t="n"/>
      <x:c r="R71" s="139" t="n"/>
      <x:c r="S71" s="139" t="n"/>
      <x:c r="T71" s="139" t="n"/>
      <x:c r="U71" s="139" t="n"/>
      <x:c r="V71" s="139" t="n"/>
      <x:c r="W71" s="139" t="n"/>
      <x:c r="X71" s="139" t="n"/>
      <x:c r="Y71" s="139" t="n"/>
      <x:c r="Z71" s="139" t="n"/>
      <x:c r="AA71" s="139" t="n"/>
      <x:c r="AB71" s="139" t="n"/>
      <x:c r="AC71" s="139" t="n"/>
      <x:c r="AD71" s="139" t="n"/>
      <x:c r="AE71" s="139" t="n"/>
      <x:c r="AF71" s="139" t="n"/>
      <x:c r="AG71" s="139" t="n"/>
      <x:c r="AH71" s="139" t="n"/>
      <x:c r="AI71" s="139" t="n"/>
      <x:c r="AJ71" s="139" t="n"/>
      <x:c r="AK71" s="139" t="n"/>
      <x:c r="AL71" s="139" t="n"/>
      <x:c r="AM71" s="139" t="n"/>
      <x:c r="AN71" s="139" t="n"/>
      <x:c r="AO71" s="139" t="n"/>
      <x:c r="AP71" s="139" t="n"/>
      <x:c r="AQ71" s="139" t="n"/>
      <x:c r="AR71" s="139" t="n"/>
      <x:c r="AS71" s="139" t="n"/>
      <x:c r="AT71" s="139" t="n"/>
      <x:c r="AU71" s="139" t="n"/>
      <x:c r="AV71" s="139" t="n"/>
      <x:c r="AW71" s="139" t="n"/>
      <x:c r="AX71" s="139" t="n"/>
      <x:c r="AY71" s="139" t="n"/>
      <x:c r="AZ71" s="139" t="n"/>
    </x:row>
    <x:row r="72">
      <x:c r="A72" s="139" t="n"/>
      <x:c r="B72" s="139" t="n"/>
      <x:c r="C72" s="139" t="n"/>
      <x:c r="D72" s="139" t="n"/>
      <x:c r="E72" s="139" t="n"/>
      <x:c r="F72" s="139" t="n"/>
      <x:c r="G72" s="139" t="n"/>
      <x:c r="H72" s="139" t="n"/>
      <x:c r="I72" s="139" t="n"/>
      <x:c r="J72" s="139" t="n"/>
      <x:c r="K72" s="139" t="n"/>
      <x:c r="L72" s="139" t="n"/>
      <x:c r="M72" s="139" t="n"/>
      <x:c r="N72" s="139" t="n"/>
      <x:c r="O72" s="139" t="n"/>
      <x:c r="P72" s="139" t="n"/>
      <x:c r="Q72" s="139" t="n"/>
      <x:c r="R72" s="139" t="n"/>
      <x:c r="S72" s="139" t="n"/>
      <x:c r="T72" s="139" t="n"/>
      <x:c r="U72" s="139" t="n"/>
      <x:c r="V72" s="139" t="n"/>
      <x:c r="W72" s="139" t="n"/>
      <x:c r="X72" s="139" t="n"/>
      <x:c r="Y72" s="139" t="n"/>
      <x:c r="Z72" s="139" t="n"/>
      <x:c r="AA72" s="139" t="n"/>
      <x:c r="AB72" s="139" t="n"/>
      <x:c r="AC72" s="139" t="n"/>
      <x:c r="AD72" s="139" t="n"/>
      <x:c r="AE72" s="139" t="n"/>
      <x:c r="AF72" s="139" t="n"/>
      <x:c r="AG72" s="139" t="n"/>
      <x:c r="AH72" s="139" t="n"/>
      <x:c r="AI72" s="139" t="n"/>
      <x:c r="AJ72" s="139" t="n"/>
      <x:c r="AK72" s="139" t="n"/>
      <x:c r="AL72" s="139" t="n"/>
      <x:c r="AM72" s="139" t="n"/>
      <x:c r="AN72" s="139" t="n"/>
      <x:c r="AO72" s="139" t="n"/>
      <x:c r="AP72" s="139" t="n"/>
      <x:c r="AQ72" s="139" t="n"/>
      <x:c r="AR72" s="139" t="n"/>
      <x:c r="AS72" s="139" t="n"/>
      <x:c r="AT72" s="139" t="n"/>
      <x:c r="AU72" s="139" t="n"/>
      <x:c r="AV72" s="139" t="n"/>
      <x:c r="AW72" s="139" t="n"/>
      <x:c r="AX72" s="139" t="n"/>
      <x:c r="AY72" s="139" t="n"/>
      <x:c r="AZ72" s="139" t="n"/>
    </x:row>
    <x:row r="73">
      <x:c r="A73" s="139" t="n"/>
      <x:c r="B73" s="139" t="n"/>
      <x:c r="C73" s="139" t="n"/>
      <x:c r="D73" s="139" t="n"/>
      <x:c r="E73" s="139" t="n"/>
      <x:c r="F73" s="139" t="n"/>
      <x:c r="G73" s="139" t="n"/>
      <x:c r="H73" s="139" t="n"/>
      <x:c r="I73" s="139" t="n"/>
      <x:c r="J73" s="139" t="n"/>
      <x:c r="K73" s="139" t="n"/>
      <x:c r="L73" s="139" t="n"/>
      <x:c r="M73" s="139" t="n"/>
      <x:c r="N73" s="139" t="n"/>
      <x:c r="O73" s="139" t="n"/>
      <x:c r="P73" s="139" t="n"/>
      <x:c r="Q73" s="139" t="n"/>
      <x:c r="R73" s="139" t="n"/>
      <x:c r="S73" s="139" t="n"/>
      <x:c r="T73" s="139" t="n"/>
      <x:c r="U73" s="139" t="n"/>
      <x:c r="V73" s="139" t="n"/>
      <x:c r="W73" s="139" t="n"/>
      <x:c r="X73" s="139" t="n"/>
      <x:c r="Y73" s="139" t="n"/>
      <x:c r="Z73" s="139" t="n"/>
      <x:c r="AA73" s="139" t="n"/>
      <x:c r="AB73" s="139" t="n"/>
      <x:c r="AC73" s="139" t="n"/>
      <x:c r="AD73" s="139" t="n"/>
      <x:c r="AE73" s="139" t="n"/>
      <x:c r="AF73" s="139" t="n"/>
      <x:c r="AG73" s="139" t="n"/>
      <x:c r="AH73" s="139" t="n"/>
      <x:c r="AI73" s="139" t="n"/>
      <x:c r="AJ73" s="139" t="n"/>
      <x:c r="AK73" s="139" t="n"/>
      <x:c r="AL73" s="139" t="n"/>
      <x:c r="AM73" s="139" t="n"/>
      <x:c r="AN73" s="139" t="n"/>
      <x:c r="AO73" s="139" t="n"/>
      <x:c r="AP73" s="139" t="n"/>
      <x:c r="AQ73" s="139" t="n"/>
      <x:c r="AR73" s="139" t="n"/>
      <x:c r="AS73" s="139" t="n"/>
      <x:c r="AT73" s="139" t="n"/>
      <x:c r="AU73" s="139" t="n"/>
      <x:c r="AV73" s="139" t="n"/>
      <x:c r="AW73" s="139" t="n"/>
      <x:c r="AX73" s="139" t="n"/>
      <x:c r="AY73" s="139" t="n"/>
      <x:c r="AZ73" s="139" t="n"/>
    </x:row>
    <x:row r="74">
      <x:c r="A74" s="139" t="n"/>
      <x:c r="B74" s="139" t="n"/>
      <x:c r="C74" s="139" t="n"/>
      <x:c r="D74" s="139" t="n"/>
      <x:c r="E74" s="139" t="n"/>
      <x:c r="F74" s="139" t="n"/>
      <x:c r="G74" s="139" t="n"/>
      <x:c r="H74" s="139" t="n"/>
      <x:c r="I74" s="139" t="n"/>
      <x:c r="J74" s="139" t="n"/>
      <x:c r="K74" s="139" t="n"/>
      <x:c r="L74" s="139" t="n"/>
      <x:c r="M74" s="139" t="n"/>
      <x:c r="N74" s="139" t="n"/>
      <x:c r="O74" s="139" t="n"/>
      <x:c r="P74" s="139" t="n"/>
      <x:c r="Q74" s="139" t="n"/>
      <x:c r="R74" s="139" t="n"/>
      <x:c r="S74" s="139" t="n"/>
      <x:c r="T74" s="139" t="n"/>
      <x:c r="U74" s="139" t="n"/>
      <x:c r="V74" s="139" t="n"/>
      <x:c r="W74" s="139" t="n"/>
      <x:c r="X74" s="139" t="n"/>
      <x:c r="Y74" s="139" t="n"/>
      <x:c r="Z74" s="139" t="n"/>
      <x:c r="AA74" s="139" t="n"/>
      <x:c r="AB74" s="139" t="n"/>
      <x:c r="AC74" s="139" t="n"/>
      <x:c r="AD74" s="139" t="n"/>
      <x:c r="AE74" s="139" t="n"/>
      <x:c r="AF74" s="139" t="n"/>
      <x:c r="AG74" s="139" t="n"/>
      <x:c r="AH74" s="139" t="n"/>
      <x:c r="AI74" s="139" t="n"/>
      <x:c r="AJ74" s="139" t="n"/>
      <x:c r="AK74" s="139" t="n"/>
      <x:c r="AL74" s="139" t="n"/>
      <x:c r="AM74" s="139" t="n"/>
      <x:c r="AN74" s="139" t="n"/>
      <x:c r="AO74" s="139" t="n"/>
      <x:c r="AP74" s="139" t="n"/>
      <x:c r="AQ74" s="139" t="n"/>
      <x:c r="AR74" s="139" t="n"/>
      <x:c r="AS74" s="139" t="n"/>
      <x:c r="AT74" s="139" t="n"/>
      <x:c r="AU74" s="139" t="n"/>
      <x:c r="AV74" s="139" t="n"/>
      <x:c r="AW74" s="139" t="n"/>
      <x:c r="AX74" s="139" t="n"/>
      <x:c r="AY74" s="139" t="n"/>
      <x:c r="AZ74" s="139" t="n"/>
    </x:row>
    <x:row r="75">
      <x:c r="A75" s="139" t="n"/>
      <x:c r="B75" s="139" t="n"/>
      <x:c r="C75" s="139" t="n"/>
      <x:c r="D75" s="139" t="n"/>
      <x:c r="E75" s="139" t="n"/>
      <x:c r="F75" s="139" t="n"/>
      <x:c r="G75" s="139" t="n"/>
      <x:c r="H75" s="139" t="n"/>
      <x:c r="I75" s="139" t="n"/>
      <x:c r="J75" s="139" t="n"/>
      <x:c r="K75" s="139" t="n"/>
      <x:c r="L75" s="139" t="n"/>
      <x:c r="M75" s="139" t="n"/>
      <x:c r="N75" s="139" t="n"/>
      <x:c r="O75" s="139" t="n"/>
      <x:c r="P75" s="139" t="n"/>
      <x:c r="Q75" s="139" t="n"/>
      <x:c r="R75" s="139" t="n"/>
      <x:c r="S75" s="139" t="n"/>
      <x:c r="T75" s="139" t="n"/>
      <x:c r="U75" s="139" t="n"/>
      <x:c r="V75" s="139" t="n"/>
      <x:c r="W75" s="139" t="n"/>
      <x:c r="X75" s="139" t="n"/>
      <x:c r="Y75" s="139" t="n"/>
      <x:c r="Z75" s="139" t="n"/>
      <x:c r="AA75" s="139" t="n"/>
      <x:c r="AB75" s="139" t="n"/>
      <x:c r="AC75" s="139" t="n"/>
      <x:c r="AD75" s="139" t="n"/>
      <x:c r="AE75" s="139" t="n"/>
      <x:c r="AF75" s="139" t="n"/>
      <x:c r="AG75" s="139" t="n"/>
      <x:c r="AH75" s="139" t="n"/>
      <x:c r="AI75" s="139" t="n"/>
      <x:c r="AJ75" s="139" t="n"/>
      <x:c r="AK75" s="139" t="n"/>
      <x:c r="AL75" s="139" t="n"/>
      <x:c r="AM75" s="139" t="n"/>
      <x:c r="AN75" s="139" t="n"/>
      <x:c r="AO75" s="139" t="n"/>
      <x:c r="AP75" s="139" t="n"/>
      <x:c r="AQ75" s="139" t="n"/>
      <x:c r="AR75" s="139" t="n"/>
      <x:c r="AS75" s="139" t="n"/>
      <x:c r="AT75" s="139" t="n"/>
      <x:c r="AU75" s="139" t="n"/>
      <x:c r="AV75" s="139" t="n"/>
      <x:c r="AW75" s="139" t="n"/>
      <x:c r="AX75" s="139" t="n"/>
      <x:c r="AY75" s="139" t="n"/>
      <x:c r="AZ75" s="139" t="n"/>
    </x:row>
    <x:row r="76">
      <x:c r="A76" s="139" t="n"/>
      <x:c r="B76" s="139" t="n"/>
      <x:c r="C76" s="139" t="n"/>
      <x:c r="D76" s="139" t="n"/>
      <x:c r="E76" s="139" t="n"/>
      <x:c r="F76" s="139" t="n"/>
      <x:c r="G76" s="139" t="n"/>
      <x:c r="H76" s="139" t="n"/>
      <x:c r="I76" s="139" t="n"/>
      <x:c r="J76" s="139" t="n"/>
      <x:c r="K76" s="139" t="n"/>
      <x:c r="L76" s="139" t="n"/>
      <x:c r="M76" s="139" t="n"/>
      <x:c r="N76" s="139" t="n"/>
      <x:c r="O76" s="139" t="n"/>
      <x:c r="P76" s="139" t="n"/>
      <x:c r="Q76" s="139" t="n"/>
      <x:c r="R76" s="139" t="n"/>
      <x:c r="S76" s="139" t="n"/>
      <x:c r="T76" s="139" t="n"/>
      <x:c r="U76" s="139" t="n"/>
      <x:c r="V76" s="139" t="n"/>
      <x:c r="W76" s="139" t="n"/>
      <x:c r="X76" s="139" t="n"/>
      <x:c r="Y76" s="139" t="n"/>
      <x:c r="Z76" s="139" t="n"/>
      <x:c r="AA76" s="139" t="n"/>
      <x:c r="AB76" s="139" t="n"/>
      <x:c r="AC76" s="139" t="n"/>
      <x:c r="AD76" s="139" t="n"/>
      <x:c r="AE76" s="139" t="n"/>
      <x:c r="AF76" s="139" t="n"/>
      <x:c r="AG76" s="139" t="n"/>
      <x:c r="AH76" s="139" t="n"/>
      <x:c r="AI76" s="139" t="n"/>
      <x:c r="AJ76" s="139" t="n"/>
      <x:c r="AK76" s="139" t="n"/>
      <x:c r="AL76" s="139" t="n"/>
      <x:c r="AM76" s="139" t="n"/>
      <x:c r="AN76" s="139" t="n"/>
      <x:c r="AO76" s="139" t="n"/>
      <x:c r="AP76" s="139" t="n"/>
      <x:c r="AQ76" s="139" t="n"/>
      <x:c r="AR76" s="139" t="n"/>
      <x:c r="AS76" s="139" t="n"/>
      <x:c r="AT76" s="139" t="n"/>
      <x:c r="AU76" s="139" t="n"/>
      <x:c r="AV76" s="139" t="n"/>
      <x:c r="AW76" s="139" t="n"/>
      <x:c r="AX76" s="139" t="n"/>
      <x:c r="AY76" s="139" t="n"/>
      <x:c r="AZ76" s="139" t="n"/>
    </x:row>
    <x:row r="77">
      <x:c r="A77" s="139" t="n"/>
      <x:c r="B77" s="139" t="n"/>
      <x:c r="C77" s="139" t="n"/>
      <x:c r="D77" s="139" t="n"/>
      <x:c r="E77" s="139" t="n"/>
      <x:c r="F77" s="139" t="n"/>
      <x:c r="G77" s="139" t="n"/>
      <x:c r="H77" s="139" t="n"/>
      <x:c r="I77" s="139" t="n"/>
      <x:c r="J77" s="139" t="n"/>
      <x:c r="K77" s="139" t="n"/>
      <x:c r="L77" s="139" t="n"/>
      <x:c r="M77" s="139" t="n"/>
      <x:c r="N77" s="139" t="n"/>
      <x:c r="O77" s="139" t="n"/>
      <x:c r="P77" s="139" t="n"/>
      <x:c r="Q77" s="139" t="n"/>
      <x:c r="R77" s="139" t="n"/>
      <x:c r="S77" s="139" t="n"/>
      <x:c r="T77" s="139" t="n"/>
      <x:c r="U77" s="139" t="n"/>
      <x:c r="V77" s="139" t="n"/>
      <x:c r="W77" s="139" t="n"/>
      <x:c r="X77" s="139" t="n"/>
      <x:c r="Y77" s="139" t="n"/>
      <x:c r="Z77" s="139" t="n"/>
      <x:c r="AA77" s="139" t="n"/>
      <x:c r="AB77" s="139" t="n"/>
      <x:c r="AC77" s="139" t="n"/>
      <x:c r="AD77" s="139" t="n"/>
      <x:c r="AE77" s="139" t="n"/>
      <x:c r="AF77" s="139" t="n"/>
      <x:c r="AG77" s="139" t="n"/>
      <x:c r="AH77" s="139" t="n"/>
      <x:c r="AI77" s="139" t="n"/>
      <x:c r="AJ77" s="139" t="n"/>
      <x:c r="AK77" s="139" t="n"/>
      <x:c r="AL77" s="139" t="n"/>
      <x:c r="AM77" s="139" t="n"/>
      <x:c r="AN77" s="139" t="n"/>
      <x:c r="AO77" s="139" t="n"/>
      <x:c r="AP77" s="139" t="n"/>
      <x:c r="AQ77" s="139" t="n"/>
      <x:c r="AR77" s="139" t="n"/>
      <x:c r="AS77" s="139" t="n"/>
      <x:c r="AT77" s="139" t="n"/>
      <x:c r="AU77" s="139" t="n"/>
      <x:c r="AV77" s="139" t="n"/>
      <x:c r="AW77" s="139" t="n"/>
      <x:c r="AX77" s="139" t="n"/>
      <x:c r="AY77" s="139" t="n"/>
      <x:c r="AZ77" s="139" t="n"/>
    </x:row>
    <x:row r="78">
      <x:c r="A78" s="139" t="n"/>
      <x:c r="B78" s="139" t="n"/>
      <x:c r="C78" s="139" t="n"/>
      <x:c r="D78" s="139" t="n"/>
      <x:c r="E78" s="139" t="n"/>
      <x:c r="F78" s="139" t="n"/>
      <x:c r="G78" s="139" t="n"/>
      <x:c r="H78" s="139" t="n"/>
      <x:c r="I78" s="139" t="n"/>
      <x:c r="J78" s="139" t="n"/>
      <x:c r="K78" s="139" t="n"/>
      <x:c r="L78" s="139" t="n"/>
      <x:c r="M78" s="139" t="n"/>
      <x:c r="N78" s="139" t="n"/>
      <x:c r="O78" s="139" t="n"/>
      <x:c r="P78" s="139" t="n"/>
      <x:c r="Q78" s="139" t="n"/>
      <x:c r="R78" s="139" t="n"/>
      <x:c r="S78" s="139" t="n"/>
      <x:c r="T78" s="139" t="n"/>
      <x:c r="U78" s="139" t="n"/>
      <x:c r="V78" s="139" t="n"/>
      <x:c r="W78" s="139" t="n"/>
      <x:c r="X78" s="139" t="n"/>
      <x:c r="Y78" s="139" t="n"/>
      <x:c r="Z78" s="139" t="n"/>
      <x:c r="AA78" s="139" t="n"/>
      <x:c r="AB78" s="139" t="n"/>
      <x:c r="AC78" s="139" t="n"/>
      <x:c r="AD78" s="139" t="n"/>
      <x:c r="AE78" s="139" t="n"/>
      <x:c r="AF78" s="139" t="n"/>
      <x:c r="AG78" s="139" t="n"/>
      <x:c r="AH78" s="139" t="n"/>
      <x:c r="AI78" s="139" t="n"/>
      <x:c r="AJ78" s="139" t="n"/>
      <x:c r="AK78" s="139" t="n"/>
      <x:c r="AL78" s="139" t="n"/>
      <x:c r="AM78" s="139" t="n"/>
      <x:c r="AN78" s="139" t="n"/>
      <x:c r="AO78" s="139" t="n"/>
      <x:c r="AP78" s="139" t="n"/>
      <x:c r="AQ78" s="139" t="n"/>
      <x:c r="AR78" s="139" t="n"/>
      <x:c r="AS78" s="139" t="n"/>
      <x:c r="AT78" s="139" t="n"/>
      <x:c r="AU78" s="139" t="n"/>
      <x:c r="AV78" s="139" t="n"/>
      <x:c r="AW78" s="139" t="n"/>
      <x:c r="AX78" s="139" t="n"/>
      <x:c r="AY78" s="139" t="n"/>
      <x:c r="AZ78" s="139" t="n"/>
    </x:row>
    <x:row r="79">
      <x:c r="A79" s="139" t="n"/>
      <x:c r="B79" s="139" t="n"/>
      <x:c r="C79" s="139" t="n"/>
      <x:c r="D79" s="139" t="n"/>
      <x:c r="E79" s="139" t="n"/>
      <x:c r="F79" s="139" t="n"/>
      <x:c r="G79" s="139" t="n"/>
      <x:c r="H79" s="139" t="n"/>
      <x:c r="I79" s="139" t="n"/>
      <x:c r="J79" s="139" t="n"/>
      <x:c r="K79" s="139" t="n"/>
      <x:c r="L79" s="139" t="n"/>
      <x:c r="M79" s="139" t="n"/>
      <x:c r="N79" s="139" t="n"/>
      <x:c r="O79" s="139" t="n"/>
      <x:c r="P79" s="139" t="n"/>
      <x:c r="Q79" s="139" t="n"/>
      <x:c r="R79" s="139" t="n"/>
      <x:c r="S79" s="139" t="n"/>
      <x:c r="T79" s="139" t="n"/>
      <x:c r="U79" s="139" t="n"/>
      <x:c r="V79" s="139" t="n"/>
      <x:c r="W79" s="139" t="n"/>
      <x:c r="X79" s="139" t="n"/>
      <x:c r="Y79" s="139" t="n"/>
      <x:c r="Z79" s="139" t="n"/>
      <x:c r="AA79" s="139" t="n"/>
      <x:c r="AB79" s="139" t="n"/>
      <x:c r="AC79" s="139" t="n"/>
      <x:c r="AD79" s="139" t="n"/>
      <x:c r="AE79" s="139" t="n"/>
      <x:c r="AF79" s="139" t="n"/>
      <x:c r="AG79" s="139" t="n"/>
      <x:c r="AH79" s="139" t="n"/>
      <x:c r="AI79" s="139" t="n"/>
      <x:c r="AJ79" s="139" t="n"/>
      <x:c r="AK79" s="139" t="n"/>
      <x:c r="AL79" s="139" t="n"/>
      <x:c r="AM79" s="139" t="n"/>
      <x:c r="AN79" s="139" t="n"/>
      <x:c r="AO79" s="139" t="n"/>
      <x:c r="AP79" s="139" t="n"/>
      <x:c r="AQ79" s="139" t="n"/>
      <x:c r="AR79" s="139" t="n"/>
      <x:c r="AS79" s="139" t="n"/>
      <x:c r="AT79" s="139" t="n"/>
      <x:c r="AU79" s="139" t="n"/>
      <x:c r="AV79" s="139" t="n"/>
      <x:c r="AW79" s="139" t="n"/>
      <x:c r="AX79" s="139" t="n"/>
      <x:c r="AY79" s="139" t="n"/>
      <x:c r="AZ79" s="139" t="n"/>
    </x:row>
    <x:row r="80">
      <x:c r="A80" s="139" t="n"/>
      <x:c r="B80" s="139" t="n"/>
      <x:c r="C80" s="139" t="n"/>
      <x:c r="D80" s="139" t="n"/>
      <x:c r="E80" s="139" t="n"/>
      <x:c r="F80" s="139" t="n"/>
      <x:c r="G80" s="139" t="n"/>
      <x:c r="H80" s="139" t="n"/>
      <x:c r="I80" s="139" t="n"/>
      <x:c r="J80" s="139" t="n"/>
      <x:c r="K80" s="139" t="n"/>
      <x:c r="L80" s="139" t="n"/>
      <x:c r="M80" s="139" t="n"/>
      <x:c r="N80" s="139" t="n"/>
      <x:c r="O80" s="139" t="n"/>
      <x:c r="P80" s="139" t="n"/>
      <x:c r="Q80" s="139" t="n"/>
      <x:c r="R80" s="139" t="n"/>
      <x:c r="S80" s="139" t="n"/>
      <x:c r="T80" s="139" t="n"/>
      <x:c r="U80" s="139" t="n"/>
      <x:c r="V80" s="139" t="n"/>
      <x:c r="W80" s="139" t="n"/>
      <x:c r="X80" s="139" t="n"/>
      <x:c r="Y80" s="139" t="n"/>
      <x:c r="Z80" s="139" t="n"/>
      <x:c r="AA80" s="139" t="n"/>
      <x:c r="AB80" s="139" t="n"/>
      <x:c r="AC80" s="139" t="n"/>
      <x:c r="AD80" s="139" t="n"/>
      <x:c r="AE80" s="139" t="n"/>
      <x:c r="AF80" s="139" t="n"/>
      <x:c r="AG80" s="139" t="n"/>
      <x:c r="AH80" s="139" t="n"/>
      <x:c r="AI80" s="139" t="n"/>
      <x:c r="AJ80" s="139" t="n"/>
      <x:c r="AK80" s="139" t="n"/>
      <x:c r="AL80" s="139" t="n"/>
      <x:c r="AM80" s="139" t="n"/>
      <x:c r="AN80" s="139" t="n"/>
      <x:c r="AO80" s="139" t="n"/>
      <x:c r="AP80" s="139" t="n"/>
      <x:c r="AQ80" s="139" t="n"/>
      <x:c r="AR80" s="139" t="n"/>
      <x:c r="AS80" s="139" t="n"/>
      <x:c r="AT80" s="139" t="n"/>
      <x:c r="AU80" s="139" t="n"/>
      <x:c r="AV80" s="139" t="n"/>
      <x:c r="AW80" s="139" t="n"/>
      <x:c r="AX80" s="139" t="n"/>
      <x:c r="AY80" s="139" t="n"/>
      <x:c r="AZ80" s="139" t="n"/>
    </x:row>
    <x:row r="81">
      <x:c r="A81" s="139" t="n"/>
      <x:c r="B81" s="139" t="n"/>
      <x:c r="C81" s="139" t="n"/>
      <x:c r="D81" s="139" t="n"/>
      <x:c r="E81" s="139" t="n"/>
      <x:c r="F81" s="139" t="n"/>
      <x:c r="G81" s="139" t="n"/>
      <x:c r="H81" s="139" t="n"/>
      <x:c r="I81" s="139" t="n"/>
      <x:c r="J81" s="139" t="n"/>
      <x:c r="K81" s="139" t="n"/>
      <x:c r="L81" s="139" t="n"/>
      <x:c r="M81" s="139" t="n"/>
      <x:c r="N81" s="139" t="n"/>
      <x:c r="O81" s="139" t="n"/>
      <x:c r="P81" s="139" t="n"/>
      <x:c r="Q81" s="139" t="n"/>
      <x:c r="R81" s="139" t="n"/>
      <x:c r="S81" s="139" t="n"/>
      <x:c r="T81" s="139" t="n"/>
      <x:c r="U81" s="139" t="n"/>
      <x:c r="V81" s="139" t="n"/>
      <x:c r="W81" s="139" t="n"/>
      <x:c r="X81" s="139" t="n"/>
      <x:c r="Y81" s="139" t="n"/>
      <x:c r="Z81" s="139" t="n"/>
      <x:c r="AA81" s="139" t="n"/>
      <x:c r="AB81" s="139" t="n"/>
      <x:c r="AC81" s="139" t="n"/>
      <x:c r="AD81" s="139" t="n"/>
      <x:c r="AE81" s="139" t="n"/>
      <x:c r="AF81" s="139" t="n"/>
      <x:c r="AG81" s="139" t="n"/>
      <x:c r="AH81" s="139" t="n"/>
      <x:c r="AI81" s="139" t="n"/>
      <x:c r="AJ81" s="139" t="n"/>
      <x:c r="AK81" s="139" t="n"/>
      <x:c r="AL81" s="139" t="n"/>
      <x:c r="AM81" s="139" t="n"/>
      <x:c r="AN81" s="139" t="n"/>
      <x:c r="AO81" s="139" t="n"/>
      <x:c r="AP81" s="139" t="n"/>
      <x:c r="AQ81" s="139" t="n"/>
      <x:c r="AR81" s="139" t="n"/>
      <x:c r="AS81" s="139" t="n"/>
      <x:c r="AT81" s="139" t="n"/>
      <x:c r="AU81" s="139" t="n"/>
      <x:c r="AV81" s="139" t="n"/>
      <x:c r="AW81" s="139" t="n"/>
      <x:c r="AX81" s="139" t="n"/>
      <x:c r="AY81" s="139" t="n"/>
      <x:c r="AZ81" s="139" t="n"/>
    </x:row>
    <x:row r="82">
      <x:c r="A82" s="139" t="n"/>
      <x:c r="B82" s="139" t="n"/>
      <x:c r="C82" s="139" t="n"/>
      <x:c r="D82" s="139" t="n"/>
      <x:c r="E82" s="139" t="n"/>
      <x:c r="F82" s="139" t="n"/>
      <x:c r="G82" s="139" t="n"/>
      <x:c r="H82" s="139" t="n"/>
      <x:c r="I82" s="139" t="n"/>
      <x:c r="J82" s="139" t="n"/>
      <x:c r="K82" s="139" t="n"/>
      <x:c r="L82" s="139" t="n"/>
      <x:c r="M82" s="139" t="n"/>
      <x:c r="N82" s="139" t="n"/>
      <x:c r="O82" s="139" t="n"/>
      <x:c r="P82" s="139" t="n"/>
      <x:c r="Q82" s="139" t="n"/>
      <x:c r="R82" s="139" t="n"/>
      <x:c r="S82" s="139" t="n"/>
      <x:c r="T82" s="139" t="n"/>
      <x:c r="U82" s="139" t="n"/>
      <x:c r="V82" s="139" t="n"/>
      <x:c r="W82" s="139" t="n"/>
      <x:c r="X82" s="139" t="n"/>
      <x:c r="Y82" s="139" t="n"/>
      <x:c r="Z82" s="139" t="n"/>
      <x:c r="AA82" s="139" t="n"/>
      <x:c r="AB82" s="139" t="n"/>
      <x:c r="AC82" s="139" t="n"/>
      <x:c r="AD82" s="139" t="n"/>
      <x:c r="AE82" s="139" t="n"/>
      <x:c r="AF82" s="139" t="n"/>
      <x:c r="AG82" s="139" t="n"/>
      <x:c r="AH82" s="139" t="n"/>
      <x:c r="AI82" s="139" t="n"/>
      <x:c r="AJ82" s="139" t="n"/>
      <x:c r="AK82" s="139" t="n"/>
      <x:c r="AL82" s="139" t="n"/>
      <x:c r="AM82" s="139" t="n"/>
      <x:c r="AN82" s="139" t="n"/>
      <x:c r="AO82" s="139" t="n"/>
      <x:c r="AP82" s="139" t="n"/>
      <x:c r="AQ82" s="139" t="n"/>
      <x:c r="AR82" s="139" t="n"/>
      <x:c r="AS82" s="139" t="n"/>
      <x:c r="AT82" s="139" t="n"/>
      <x:c r="AU82" s="139" t="n"/>
      <x:c r="AV82" s="139" t="n"/>
      <x:c r="AW82" s="139" t="n"/>
      <x:c r="AX82" s="139" t="n"/>
      <x:c r="AY82" s="139" t="n"/>
      <x:c r="AZ82" s="139" t="n"/>
    </x:row>
    <x:row r="83">
      <x:c r="A83" s="139" t="n"/>
      <x:c r="B83" s="139" t="n"/>
      <x:c r="C83" s="139" t="n"/>
      <x:c r="D83" s="139" t="n"/>
      <x:c r="E83" s="139" t="n"/>
      <x:c r="F83" s="139" t="n"/>
      <x:c r="G83" s="139" t="n"/>
      <x:c r="H83" s="139" t="n"/>
      <x:c r="I83" s="139" t="n"/>
      <x:c r="J83" s="139" t="n"/>
      <x:c r="K83" s="139" t="n"/>
      <x:c r="L83" s="139" t="n"/>
      <x:c r="M83" s="139" t="n"/>
      <x:c r="N83" s="139" t="n"/>
      <x:c r="O83" s="139" t="n"/>
      <x:c r="P83" s="139" t="n"/>
      <x:c r="Q83" s="139" t="n"/>
      <x:c r="R83" s="139" t="n"/>
      <x:c r="S83" s="139" t="n"/>
      <x:c r="T83" s="139" t="n"/>
      <x:c r="U83" s="139" t="n"/>
      <x:c r="V83" s="139" t="n"/>
      <x:c r="W83" s="139" t="n"/>
      <x:c r="X83" s="139" t="n"/>
      <x:c r="Y83" s="139" t="n"/>
      <x:c r="Z83" s="139" t="n"/>
      <x:c r="AA83" s="139" t="n"/>
      <x:c r="AB83" s="139" t="n"/>
      <x:c r="AC83" s="139" t="n"/>
      <x:c r="AD83" s="139" t="n"/>
      <x:c r="AE83" s="139" t="n"/>
      <x:c r="AF83" s="139" t="n"/>
      <x:c r="AG83" s="139" t="n"/>
      <x:c r="AH83" s="139" t="n"/>
      <x:c r="AI83" s="139" t="n"/>
      <x:c r="AJ83" s="139" t="n"/>
      <x:c r="AK83" s="139" t="n"/>
      <x:c r="AL83" s="139" t="n"/>
      <x:c r="AM83" s="139" t="n"/>
      <x:c r="AN83" s="139" t="n"/>
      <x:c r="AO83" s="139" t="n"/>
      <x:c r="AP83" s="139" t="n"/>
      <x:c r="AQ83" s="139" t="n"/>
      <x:c r="AR83" s="139" t="n"/>
      <x:c r="AS83" s="139" t="n"/>
      <x:c r="AT83" s="139" t="n"/>
      <x:c r="AU83" s="139" t="n"/>
      <x:c r="AV83" s="139" t="n"/>
      <x:c r="AW83" s="139" t="n"/>
      <x:c r="AX83" s="139" t="n"/>
      <x:c r="AY83" s="139" t="n"/>
      <x:c r="AZ83" s="139" t="n"/>
    </x:row>
    <x:row r="84">
      <x:c r="A84" s="139" t="n"/>
      <x:c r="B84" s="139" t="n"/>
      <x:c r="C84" s="139" t="n"/>
      <x:c r="D84" s="139" t="n"/>
      <x:c r="E84" s="139" t="n"/>
      <x:c r="F84" s="139" t="n"/>
      <x:c r="G84" s="139" t="n"/>
      <x:c r="H84" s="139" t="n"/>
      <x:c r="I84" s="139" t="n"/>
      <x:c r="J84" s="139" t="n"/>
      <x:c r="K84" s="139" t="n"/>
      <x:c r="L84" s="139" t="n"/>
      <x:c r="M84" s="139" t="n"/>
      <x:c r="N84" s="139" t="n"/>
      <x:c r="O84" s="139" t="n"/>
      <x:c r="P84" s="139" t="n"/>
      <x:c r="Q84" s="139" t="n"/>
      <x:c r="R84" s="139" t="n"/>
      <x:c r="S84" s="139" t="n"/>
      <x:c r="T84" s="139" t="n"/>
      <x:c r="U84" s="139" t="n"/>
      <x:c r="V84" s="139" t="n"/>
      <x:c r="W84" s="139" t="n"/>
      <x:c r="X84" s="139" t="n"/>
      <x:c r="Y84" s="139" t="n"/>
      <x:c r="Z84" s="139" t="n"/>
      <x:c r="AA84" s="139" t="n"/>
      <x:c r="AB84" s="139" t="n"/>
      <x:c r="AC84" s="139" t="n"/>
      <x:c r="AD84" s="139" t="n"/>
      <x:c r="AE84" s="139" t="n"/>
      <x:c r="AF84" s="139" t="n"/>
      <x:c r="AG84" s="139" t="n"/>
      <x:c r="AH84" s="139" t="n"/>
      <x:c r="AI84" s="139" t="n"/>
      <x:c r="AJ84" s="139" t="n"/>
      <x:c r="AK84" s="139" t="n"/>
      <x:c r="AL84" s="139" t="n"/>
      <x:c r="AM84" s="139" t="n"/>
      <x:c r="AN84" s="139" t="n"/>
      <x:c r="AO84" s="139" t="n"/>
      <x:c r="AP84" s="139" t="n"/>
      <x:c r="AQ84" s="139" t="n"/>
      <x:c r="AR84" s="139" t="n"/>
      <x:c r="AS84" s="139" t="n"/>
      <x:c r="AT84" s="139" t="n"/>
      <x:c r="AU84" s="139" t="n"/>
      <x:c r="AV84" s="139" t="n"/>
      <x:c r="AW84" s="139" t="n"/>
      <x:c r="AX84" s="139" t="n"/>
      <x:c r="AY84" s="139" t="n"/>
      <x:c r="AZ84" s="139" t="n"/>
    </x:row>
    <x:row r="85">
      <x:c r="A85" s="139" t="n"/>
      <x:c r="B85" s="139" t="n"/>
      <x:c r="C85" s="139" t="n"/>
      <x:c r="D85" s="139" t="n"/>
      <x:c r="E85" s="139" t="n"/>
      <x:c r="F85" s="139" t="n"/>
      <x:c r="G85" s="139" t="n"/>
      <x:c r="H85" s="139" t="n"/>
      <x:c r="I85" s="139" t="n"/>
      <x:c r="J85" s="139" t="n"/>
      <x:c r="K85" s="139" t="n"/>
      <x:c r="L85" s="139" t="n"/>
      <x:c r="M85" s="139" t="n"/>
      <x:c r="N85" s="139" t="n"/>
      <x:c r="O85" s="139" t="n"/>
      <x:c r="P85" s="139" t="n"/>
      <x:c r="Q85" s="139" t="n"/>
      <x:c r="R85" s="139" t="n"/>
      <x:c r="S85" s="139" t="n"/>
      <x:c r="T85" s="139" t="n"/>
      <x:c r="U85" s="139" t="n"/>
      <x:c r="V85" s="139" t="n"/>
      <x:c r="W85" s="139" t="n"/>
      <x:c r="X85" s="139" t="n"/>
      <x:c r="Y85" s="139" t="n"/>
      <x:c r="Z85" s="139" t="n"/>
      <x:c r="AA85" s="139" t="n"/>
      <x:c r="AB85" s="139" t="n"/>
      <x:c r="AC85" s="139" t="n"/>
      <x:c r="AD85" s="139" t="n"/>
      <x:c r="AE85" s="139" t="n"/>
      <x:c r="AF85" s="139" t="n"/>
      <x:c r="AG85" s="139" t="n"/>
      <x:c r="AH85" s="139" t="n"/>
      <x:c r="AI85" s="139" t="n"/>
      <x:c r="AJ85" s="139" t="n"/>
      <x:c r="AK85" s="139" t="n"/>
      <x:c r="AL85" s="139" t="n"/>
      <x:c r="AM85" s="139" t="n"/>
      <x:c r="AN85" s="139" t="n"/>
      <x:c r="AO85" s="139" t="n"/>
      <x:c r="AP85" s="139" t="n"/>
      <x:c r="AQ85" s="139" t="n"/>
      <x:c r="AR85" s="139" t="n"/>
      <x:c r="AS85" s="139" t="n"/>
      <x:c r="AT85" s="139" t="n"/>
      <x:c r="AU85" s="139" t="n"/>
      <x:c r="AV85" s="139" t="n"/>
      <x:c r="AW85" s="139" t="n"/>
      <x:c r="AX85" s="139" t="n"/>
      <x:c r="AY85" s="139" t="n"/>
      <x:c r="AZ85" s="139" t="n"/>
    </x:row>
    <x:row r="86">
      <x:c r="A86" s="139" t="n"/>
      <x:c r="B86" s="139" t="n"/>
      <x:c r="C86" s="139" t="n"/>
      <x:c r="D86" s="139" t="n"/>
      <x:c r="E86" s="139" t="n"/>
      <x:c r="F86" s="139" t="n"/>
      <x:c r="G86" s="139" t="n"/>
      <x:c r="H86" s="139" t="n"/>
      <x:c r="I86" s="139" t="n"/>
      <x:c r="J86" s="139" t="n"/>
      <x:c r="K86" s="139" t="n"/>
      <x:c r="L86" s="139" t="n"/>
      <x:c r="M86" s="139" t="n"/>
      <x:c r="N86" s="139" t="n"/>
      <x:c r="O86" s="139" t="n"/>
      <x:c r="P86" s="139" t="n"/>
      <x:c r="Q86" s="139" t="n"/>
      <x:c r="R86" s="139" t="n"/>
      <x:c r="S86" s="139" t="n"/>
      <x:c r="T86" s="139" t="n"/>
      <x:c r="U86" s="139" t="n"/>
      <x:c r="V86" s="139" t="n"/>
      <x:c r="W86" s="139" t="n"/>
      <x:c r="X86" s="139" t="n"/>
      <x:c r="Y86" s="139" t="n"/>
      <x:c r="Z86" s="139" t="n"/>
      <x:c r="AA86" s="139" t="n"/>
      <x:c r="AB86" s="139" t="n"/>
      <x:c r="AC86" s="139" t="n"/>
      <x:c r="AD86" s="139" t="n"/>
      <x:c r="AE86" s="139" t="n"/>
      <x:c r="AF86" s="139" t="n"/>
      <x:c r="AG86" s="139" t="n"/>
      <x:c r="AH86" s="139" t="n"/>
      <x:c r="AI86" s="139" t="n"/>
      <x:c r="AJ86" s="139" t="n"/>
      <x:c r="AK86" s="139" t="n"/>
      <x:c r="AL86" s="139" t="n"/>
      <x:c r="AM86" s="139" t="n"/>
      <x:c r="AN86" s="139" t="n"/>
      <x:c r="AO86" s="139" t="n"/>
      <x:c r="AP86" s="139" t="n"/>
      <x:c r="AQ86" s="139" t="n"/>
      <x:c r="AR86" s="139" t="n"/>
      <x:c r="AS86" s="139" t="n"/>
      <x:c r="AT86" s="139" t="n"/>
      <x:c r="AU86" s="139" t="n"/>
      <x:c r="AV86" s="139" t="n"/>
      <x:c r="AW86" s="139" t="n"/>
      <x:c r="AX86" s="139" t="n"/>
      <x:c r="AY86" s="139" t="n"/>
      <x:c r="AZ86" s="139" t="n"/>
    </x:row>
    <x:row r="87">
      <x:c r="A87" s="139" t="n"/>
      <x:c r="B87" s="139" t="n"/>
      <x:c r="C87" s="139" t="n"/>
      <x:c r="D87" s="139" t="n"/>
      <x:c r="E87" s="139" t="n"/>
      <x:c r="F87" s="139" t="n"/>
      <x:c r="G87" s="139" t="n"/>
      <x:c r="H87" s="139" t="n"/>
      <x:c r="I87" s="139" t="n"/>
      <x:c r="J87" s="139" t="n"/>
      <x:c r="K87" s="139" t="n"/>
      <x:c r="L87" s="139" t="n"/>
      <x:c r="M87" s="139" t="n"/>
      <x:c r="N87" s="139" t="n"/>
      <x:c r="O87" s="139" t="n"/>
      <x:c r="P87" s="139" t="n"/>
      <x:c r="Q87" s="139" t="n"/>
      <x:c r="R87" s="139" t="n"/>
      <x:c r="S87" s="139" t="n"/>
      <x:c r="T87" s="139" t="n"/>
      <x:c r="U87" s="139" t="n"/>
      <x:c r="V87" s="139" t="n"/>
      <x:c r="W87" s="139" t="n"/>
      <x:c r="X87" s="139" t="n"/>
      <x:c r="Y87" s="139" t="n"/>
      <x:c r="Z87" s="139" t="n"/>
      <x:c r="AA87" s="139" t="n"/>
      <x:c r="AB87" s="139" t="n"/>
      <x:c r="AC87" s="139" t="n"/>
      <x:c r="AD87" s="139" t="n"/>
      <x:c r="AE87" s="139" t="n"/>
      <x:c r="AF87" s="139" t="n"/>
      <x:c r="AG87" s="139" t="n"/>
      <x:c r="AH87" s="139" t="n"/>
      <x:c r="AI87" s="139" t="n"/>
      <x:c r="AJ87" s="139" t="n"/>
      <x:c r="AK87" s="139" t="n"/>
      <x:c r="AL87" s="139" t="n"/>
      <x:c r="AM87" s="139" t="n"/>
      <x:c r="AN87" s="139" t="n"/>
      <x:c r="AO87" s="139" t="n"/>
      <x:c r="AP87" s="139" t="n"/>
      <x:c r="AQ87" s="139" t="n"/>
      <x:c r="AR87" s="139" t="n"/>
      <x:c r="AS87" s="139" t="n"/>
      <x:c r="AT87" s="139" t="n"/>
      <x:c r="AU87" s="139" t="n"/>
      <x:c r="AV87" s="139" t="n"/>
      <x:c r="AW87" s="139" t="n"/>
      <x:c r="AX87" s="139" t="n"/>
      <x:c r="AY87" s="139" t="n"/>
      <x:c r="AZ87" s="139" t="n"/>
    </x:row>
    <x:row r="88">
      <x:c r="A88" s="139" t="n"/>
      <x:c r="B88" s="139" t="n"/>
      <x:c r="C88" s="139" t="n"/>
      <x:c r="D88" s="139" t="n"/>
      <x:c r="E88" s="139" t="n"/>
      <x:c r="F88" s="139" t="n"/>
      <x:c r="G88" s="139" t="n"/>
      <x:c r="H88" s="139" t="n"/>
      <x:c r="I88" s="139" t="n"/>
      <x:c r="J88" s="139" t="n"/>
      <x:c r="K88" s="139" t="n"/>
      <x:c r="L88" s="139" t="n"/>
      <x:c r="M88" s="139" t="n"/>
      <x:c r="N88" s="139" t="n"/>
      <x:c r="O88" s="139" t="n"/>
      <x:c r="P88" s="139" t="n"/>
      <x:c r="Q88" s="139" t="n"/>
      <x:c r="R88" s="139" t="n"/>
      <x:c r="S88" s="139" t="n"/>
      <x:c r="T88" s="139" t="n"/>
      <x:c r="U88" s="139" t="n"/>
      <x:c r="V88" s="139" t="n"/>
      <x:c r="W88" s="139" t="n"/>
      <x:c r="X88" s="139" t="n"/>
      <x:c r="Y88" s="139" t="n"/>
      <x:c r="Z88" s="139" t="n"/>
      <x:c r="AA88" s="139" t="n"/>
      <x:c r="AB88" s="139" t="n"/>
      <x:c r="AC88" s="139" t="n"/>
      <x:c r="AD88" s="139" t="n"/>
      <x:c r="AE88" s="139" t="n"/>
      <x:c r="AF88" s="139" t="n"/>
      <x:c r="AG88" s="139" t="n"/>
      <x:c r="AH88" s="139" t="n"/>
      <x:c r="AI88" s="139" t="n"/>
      <x:c r="AJ88" s="139" t="n"/>
      <x:c r="AK88" s="139" t="n"/>
      <x:c r="AL88" s="139" t="n"/>
      <x:c r="AM88" s="139" t="n"/>
      <x:c r="AN88" s="139" t="n"/>
      <x:c r="AO88" s="139" t="n"/>
      <x:c r="AP88" s="139" t="n"/>
      <x:c r="AQ88" s="139" t="n"/>
      <x:c r="AR88" s="139" t="n"/>
      <x:c r="AS88" s="139" t="n"/>
      <x:c r="AT88" s="139" t="n"/>
      <x:c r="AU88" s="139" t="n"/>
      <x:c r="AV88" s="139" t="n"/>
      <x:c r="AW88" s="139" t="n"/>
      <x:c r="AX88" s="139" t="n"/>
      <x:c r="AY88" s="139" t="n"/>
      <x:c r="AZ88" s="139" t="n"/>
    </x:row>
    <x:row r="89">
      <x:c r="A89" s="139" t="n"/>
      <x:c r="B89" s="139" t="n"/>
      <x:c r="C89" s="139" t="n"/>
      <x:c r="D89" s="139" t="n"/>
      <x:c r="E89" s="139" t="n"/>
      <x:c r="F89" s="139" t="n"/>
      <x:c r="G89" s="139" t="n"/>
      <x:c r="H89" s="139" t="n"/>
      <x:c r="I89" s="139" t="n"/>
      <x:c r="J89" s="139" t="n"/>
      <x:c r="K89" s="139" t="n"/>
      <x:c r="L89" s="139" t="n"/>
      <x:c r="M89" s="139" t="n"/>
      <x:c r="N89" s="139" t="n"/>
      <x:c r="O89" s="139" t="n"/>
      <x:c r="P89" s="139" t="n"/>
      <x:c r="Q89" s="139" t="n"/>
      <x:c r="R89" s="139" t="n"/>
      <x:c r="S89" s="139" t="n"/>
      <x:c r="T89" s="139" t="n"/>
      <x:c r="U89" s="139" t="n"/>
      <x:c r="V89" s="139" t="n"/>
      <x:c r="W89" s="139" t="n"/>
      <x:c r="X89" s="139" t="n"/>
      <x:c r="Y89" s="139" t="n"/>
      <x:c r="Z89" s="139" t="n"/>
      <x:c r="AA89" s="139" t="n"/>
      <x:c r="AB89" s="139" t="n"/>
      <x:c r="AC89" s="139" t="n"/>
      <x:c r="AD89" s="139" t="n"/>
      <x:c r="AE89" s="139" t="n"/>
      <x:c r="AF89" s="139" t="n"/>
      <x:c r="AG89" s="139" t="n"/>
      <x:c r="AH89" s="139" t="n"/>
      <x:c r="AI89" s="139" t="n"/>
      <x:c r="AJ89" s="139" t="n"/>
      <x:c r="AK89" s="139" t="n"/>
      <x:c r="AL89" s="139" t="n"/>
      <x:c r="AM89" s="139" t="n"/>
      <x:c r="AN89" s="139" t="n"/>
      <x:c r="AO89" s="139" t="n"/>
      <x:c r="AP89" s="139" t="n"/>
      <x:c r="AQ89" s="139" t="n"/>
      <x:c r="AR89" s="139" t="n"/>
      <x:c r="AS89" s="139" t="n"/>
      <x:c r="AT89" s="139" t="n"/>
      <x:c r="AU89" s="139" t="n"/>
      <x:c r="AV89" s="139" t="n"/>
      <x:c r="AW89" s="139" t="n"/>
      <x:c r="AX89" s="139" t="n"/>
      <x:c r="AY89" s="139" t="n"/>
      <x:c r="AZ89" s="139" t="n"/>
    </x:row>
    <x:row r="90">
      <x:c r="A90" s="139" t="n"/>
      <x:c r="B90" s="139" t="n"/>
      <x:c r="C90" s="139" t="n"/>
      <x:c r="D90" s="139" t="n"/>
      <x:c r="E90" s="139" t="n"/>
      <x:c r="F90" s="139" t="n"/>
      <x:c r="G90" s="139" t="n"/>
      <x:c r="H90" s="139" t="n"/>
      <x:c r="I90" s="139" t="n"/>
      <x:c r="J90" s="139" t="n"/>
      <x:c r="K90" s="139" t="n"/>
      <x:c r="L90" s="139" t="n"/>
      <x:c r="M90" s="139" t="n"/>
      <x:c r="N90" s="139" t="n"/>
      <x:c r="O90" s="139" t="n"/>
      <x:c r="P90" s="139" t="n"/>
      <x:c r="Q90" s="139" t="n"/>
      <x:c r="R90" s="139" t="n"/>
      <x:c r="S90" s="139" t="n"/>
      <x:c r="T90" s="139" t="n"/>
      <x:c r="U90" s="139" t="n"/>
      <x:c r="V90" s="139" t="n"/>
      <x:c r="W90" s="139" t="n"/>
      <x:c r="X90" s="139" t="n"/>
      <x:c r="Y90" s="139" t="n"/>
      <x:c r="Z90" s="139" t="n"/>
      <x:c r="AA90" s="139" t="n"/>
      <x:c r="AB90" s="139" t="n"/>
      <x:c r="AC90" s="139" t="n"/>
      <x:c r="AD90" s="139" t="n"/>
      <x:c r="AE90" s="139" t="n"/>
      <x:c r="AF90" s="139" t="n"/>
      <x:c r="AG90" s="139" t="n"/>
      <x:c r="AH90" s="139" t="n"/>
      <x:c r="AI90" s="139" t="n"/>
      <x:c r="AJ90" s="139" t="n"/>
      <x:c r="AK90" s="139" t="n"/>
      <x:c r="AL90" s="139" t="n"/>
      <x:c r="AM90" s="139" t="n"/>
      <x:c r="AN90" s="139" t="n"/>
      <x:c r="AO90" s="139" t="n"/>
      <x:c r="AP90" s="139" t="n"/>
      <x:c r="AQ90" s="139" t="n"/>
      <x:c r="AR90" s="139" t="n"/>
      <x:c r="AS90" s="139" t="n"/>
      <x:c r="AT90" s="139" t="n"/>
      <x:c r="AU90" s="139" t="n"/>
      <x:c r="AV90" s="139" t="n"/>
      <x:c r="AW90" s="139" t="n"/>
      <x:c r="AX90" s="139" t="n"/>
      <x:c r="AY90" s="139" t="n"/>
      <x:c r="AZ90" s="139" t="n"/>
    </x:row>
    <x:row r="91">
      <x:c r="A91" s="139" t="n"/>
      <x:c r="B91" s="139" t="n"/>
      <x:c r="C91" s="139" t="n"/>
      <x:c r="D91" s="139" t="n"/>
      <x:c r="E91" s="139" t="n"/>
      <x:c r="F91" s="139" t="n"/>
      <x:c r="G91" s="139" t="n"/>
      <x:c r="H91" s="139" t="n"/>
      <x:c r="I91" s="139" t="n"/>
      <x:c r="J91" s="139" t="n"/>
      <x:c r="K91" s="139" t="n"/>
      <x:c r="L91" s="139" t="n"/>
      <x:c r="M91" s="139" t="n"/>
      <x:c r="N91" s="139" t="n"/>
      <x:c r="O91" s="139" t="n"/>
      <x:c r="P91" s="139" t="n"/>
      <x:c r="Q91" s="139" t="n"/>
      <x:c r="R91" s="139" t="n"/>
      <x:c r="S91" s="139" t="n"/>
      <x:c r="T91" s="139" t="n"/>
      <x:c r="U91" s="139" t="n"/>
      <x:c r="V91" s="139" t="n"/>
      <x:c r="W91" s="139" t="n"/>
      <x:c r="X91" s="139" t="n"/>
      <x:c r="Y91" s="139" t="n"/>
      <x:c r="Z91" s="139" t="n"/>
      <x:c r="AA91" s="139" t="n"/>
      <x:c r="AB91" s="139" t="n"/>
      <x:c r="AC91" s="139" t="n"/>
      <x:c r="AD91" s="139" t="n"/>
      <x:c r="AE91" s="139" t="n"/>
      <x:c r="AF91" s="139" t="n"/>
      <x:c r="AG91" s="139" t="n"/>
      <x:c r="AH91" s="139" t="n"/>
      <x:c r="AI91" s="139" t="n"/>
      <x:c r="AJ91" s="139" t="n"/>
      <x:c r="AK91" s="139" t="n"/>
      <x:c r="AL91" s="139" t="n"/>
      <x:c r="AM91" s="139" t="n"/>
      <x:c r="AN91" s="139" t="n"/>
      <x:c r="AO91" s="139" t="n"/>
      <x:c r="AP91" s="139" t="n"/>
      <x:c r="AQ91" s="139" t="n"/>
      <x:c r="AR91" s="139" t="n"/>
      <x:c r="AS91" s="139" t="n"/>
      <x:c r="AT91" s="139" t="n"/>
      <x:c r="AU91" s="139" t="n"/>
      <x:c r="AV91" s="139" t="n"/>
      <x:c r="AW91" s="139" t="n"/>
      <x:c r="AX91" s="139" t="n"/>
      <x:c r="AY91" s="139" t="n"/>
      <x:c r="AZ91" s="139" t="n"/>
    </x:row>
    <x:row r="92">
      <x:c r="A92" s="139" t="n"/>
      <x:c r="B92" s="139" t="n"/>
      <x:c r="C92" s="139" t="n"/>
      <x:c r="D92" s="139" t="n"/>
      <x:c r="E92" s="139" t="n"/>
      <x:c r="F92" s="139" t="n"/>
      <x:c r="G92" s="139" t="n"/>
      <x:c r="H92" s="139" t="n"/>
      <x:c r="I92" s="139" t="n"/>
      <x:c r="J92" s="139" t="n"/>
      <x:c r="K92" s="139" t="n"/>
      <x:c r="L92" s="139" t="n"/>
      <x:c r="M92" s="139" t="n"/>
      <x:c r="N92" s="139" t="n"/>
      <x:c r="O92" s="139" t="n"/>
      <x:c r="P92" s="139" t="n"/>
      <x:c r="Q92" s="139" t="n"/>
      <x:c r="R92" s="139" t="n"/>
      <x:c r="S92" s="139" t="n"/>
      <x:c r="T92" s="139" t="n"/>
      <x:c r="U92" s="139" t="n"/>
      <x:c r="V92" s="139" t="n"/>
      <x:c r="W92" s="139" t="n"/>
      <x:c r="X92" s="139" t="n"/>
      <x:c r="Y92" s="139" t="n"/>
      <x:c r="Z92" s="139" t="n"/>
      <x:c r="AA92" s="139" t="n"/>
      <x:c r="AB92" s="139" t="n"/>
      <x:c r="AC92" s="139" t="n"/>
      <x:c r="AD92" s="139" t="n"/>
      <x:c r="AE92" s="139" t="n"/>
      <x:c r="AF92" s="139" t="n"/>
      <x:c r="AG92" s="139" t="n"/>
      <x:c r="AH92" s="139" t="n"/>
      <x:c r="AI92" s="139" t="n"/>
      <x:c r="AJ92" s="139" t="n"/>
      <x:c r="AK92" s="139" t="n"/>
      <x:c r="AL92" s="139" t="n"/>
      <x:c r="AM92" s="139" t="n"/>
      <x:c r="AN92" s="139" t="n"/>
      <x:c r="AO92" s="139" t="n"/>
      <x:c r="AP92" s="139" t="n"/>
      <x:c r="AQ92" s="139" t="n"/>
      <x:c r="AR92" s="139" t="n"/>
      <x:c r="AS92" s="139" t="n"/>
      <x:c r="AT92" s="139" t="n"/>
      <x:c r="AU92" s="139" t="n"/>
      <x:c r="AV92" s="139" t="n"/>
      <x:c r="AW92" s="139" t="n"/>
      <x:c r="AX92" s="139" t="n"/>
      <x:c r="AY92" s="139" t="n"/>
      <x:c r="AZ92" s="139" t="n"/>
    </x:row>
    <x:row r="93">
      <x:c r="A93" s="139" t="n"/>
      <x:c r="B93" s="139" t="n"/>
      <x:c r="C93" s="139" t="n"/>
      <x:c r="D93" s="139" t="n"/>
      <x:c r="E93" s="139" t="n"/>
      <x:c r="F93" s="139" t="n"/>
      <x:c r="G93" s="139" t="n"/>
      <x:c r="H93" s="139" t="n"/>
      <x:c r="I93" s="139" t="n"/>
      <x:c r="J93" s="139" t="n"/>
      <x:c r="K93" s="139" t="n"/>
      <x:c r="L93" s="139" t="n"/>
      <x:c r="M93" s="139" t="n"/>
      <x:c r="N93" s="139" t="n"/>
      <x:c r="O93" s="139" t="n"/>
      <x:c r="P93" s="139" t="n"/>
      <x:c r="Q93" s="139" t="n"/>
      <x:c r="R93" s="139" t="n"/>
      <x:c r="S93" s="139" t="n"/>
      <x:c r="T93" s="139" t="n"/>
      <x:c r="U93" s="139" t="n"/>
      <x:c r="V93" s="139" t="n"/>
      <x:c r="W93" s="139" t="n"/>
      <x:c r="X93" s="139" t="n"/>
      <x:c r="Y93" s="139" t="n"/>
      <x:c r="Z93" s="139" t="n"/>
      <x:c r="AA93" s="139" t="n"/>
      <x:c r="AB93" s="139" t="n"/>
      <x:c r="AC93" s="139" t="n"/>
      <x:c r="AD93" s="139" t="n"/>
      <x:c r="AE93" s="139" t="n"/>
      <x:c r="AF93" s="139" t="n"/>
      <x:c r="AG93" s="139" t="n"/>
      <x:c r="AH93" s="139" t="n"/>
      <x:c r="AI93" s="139" t="n"/>
      <x:c r="AJ93" s="139" t="n"/>
      <x:c r="AK93" s="139" t="n"/>
      <x:c r="AL93" s="139" t="n"/>
      <x:c r="AM93" s="139" t="n"/>
      <x:c r="AN93" s="139" t="n"/>
      <x:c r="AO93" s="139" t="n"/>
      <x:c r="AP93" s="139" t="n"/>
      <x:c r="AQ93" s="139" t="n"/>
      <x:c r="AR93" s="139" t="n"/>
      <x:c r="AS93" s="139" t="n"/>
      <x:c r="AT93" s="139" t="n"/>
      <x:c r="AU93" s="139" t="n"/>
      <x:c r="AV93" s="139" t="n"/>
      <x:c r="AW93" s="139" t="n"/>
      <x:c r="AX93" s="139" t="n"/>
      <x:c r="AY93" s="139" t="n"/>
      <x:c r="AZ93" s="139" t="n"/>
    </x:row>
    <x:row r="94">
      <x:c r="A94" s="139" t="n"/>
      <x:c r="B94" s="139" t="n"/>
      <x:c r="C94" s="139" t="n"/>
      <x:c r="D94" s="139" t="n"/>
      <x:c r="E94" s="139" t="n"/>
      <x:c r="F94" s="139" t="n"/>
      <x:c r="G94" s="139" t="n"/>
      <x:c r="H94" s="139" t="n"/>
      <x:c r="I94" s="139" t="n"/>
      <x:c r="J94" s="139" t="n"/>
      <x:c r="K94" s="139" t="n"/>
      <x:c r="L94" s="139" t="n"/>
      <x:c r="M94" s="139" t="n"/>
      <x:c r="N94" s="139" t="n"/>
      <x:c r="O94" s="139" t="n"/>
      <x:c r="P94" s="139" t="n"/>
      <x:c r="Q94" s="139" t="n"/>
      <x:c r="R94" s="139" t="n"/>
      <x:c r="S94" s="139" t="n"/>
      <x:c r="T94" s="139" t="n"/>
      <x:c r="U94" s="139" t="n"/>
      <x:c r="V94" s="139" t="n"/>
      <x:c r="W94" s="139" t="n"/>
      <x:c r="X94" s="139" t="n"/>
      <x:c r="Y94" s="139" t="n"/>
      <x:c r="Z94" s="139" t="n"/>
      <x:c r="AA94" s="139" t="n"/>
      <x:c r="AB94" s="139" t="n"/>
      <x:c r="AC94" s="139" t="n"/>
      <x:c r="AD94" s="139" t="n"/>
      <x:c r="AE94" s="139" t="n"/>
      <x:c r="AF94" s="139" t="n"/>
      <x:c r="AG94" s="139" t="n"/>
      <x:c r="AH94" s="139" t="n"/>
      <x:c r="AI94" s="139" t="n"/>
      <x:c r="AJ94" s="139" t="n"/>
      <x:c r="AK94" s="139" t="n"/>
      <x:c r="AL94" s="139" t="n"/>
      <x:c r="AM94" s="139" t="n"/>
      <x:c r="AN94" s="139" t="n"/>
      <x:c r="AO94" s="139" t="n"/>
      <x:c r="AP94" s="139" t="n"/>
      <x:c r="AQ94" s="139" t="n"/>
      <x:c r="AR94" s="139" t="n"/>
      <x:c r="AS94" s="139" t="n"/>
      <x:c r="AT94" s="139" t="n"/>
      <x:c r="AU94" s="139" t="n"/>
      <x:c r="AV94" s="139" t="n"/>
      <x:c r="AW94" s="139" t="n"/>
      <x:c r="AX94" s="139" t="n"/>
      <x:c r="AY94" s="139" t="n"/>
      <x:c r="AZ94" s="139" t="n"/>
    </x:row>
    <x:row r="95">
      <x:c r="A95" s="139" t="n"/>
      <x:c r="B95" s="139" t="n"/>
      <x:c r="C95" s="139" t="n"/>
      <x:c r="D95" s="139" t="n"/>
      <x:c r="E95" s="139" t="n"/>
      <x:c r="F95" s="139" t="n"/>
      <x:c r="G95" s="139" t="n"/>
      <x:c r="H95" s="139" t="n"/>
      <x:c r="I95" s="139" t="n"/>
      <x:c r="J95" s="139" t="n"/>
      <x:c r="K95" s="139" t="n"/>
      <x:c r="L95" s="139" t="n"/>
      <x:c r="M95" s="139" t="n"/>
      <x:c r="N95" s="139" t="n"/>
      <x:c r="O95" s="139" t="n"/>
      <x:c r="P95" s="139" t="n"/>
      <x:c r="Q95" s="139" t="n"/>
      <x:c r="R95" s="139" t="n"/>
      <x:c r="S95" s="139" t="n"/>
      <x:c r="T95" s="139" t="n"/>
      <x:c r="U95" s="139" t="n"/>
      <x:c r="V95" s="139" t="n"/>
      <x:c r="W95" s="139" t="n"/>
      <x:c r="X95" s="139" t="n"/>
      <x:c r="Y95" s="139" t="n"/>
      <x:c r="Z95" s="139" t="n"/>
      <x:c r="AA95" s="139" t="n"/>
      <x:c r="AB95" s="139" t="n"/>
      <x:c r="AC95" s="139" t="n"/>
      <x:c r="AD95" s="139" t="n"/>
      <x:c r="AE95" s="139" t="n"/>
      <x:c r="AF95" s="139" t="n"/>
      <x:c r="AG95" s="139" t="n"/>
      <x:c r="AH95" s="139" t="n"/>
      <x:c r="AI95" s="139" t="n"/>
      <x:c r="AJ95" s="139" t="n"/>
      <x:c r="AK95" s="139" t="n"/>
      <x:c r="AL95" s="139" t="n"/>
      <x:c r="AM95" s="139" t="n"/>
      <x:c r="AN95" s="139" t="n"/>
      <x:c r="AO95" s="139" t="n"/>
      <x:c r="AP95" s="139" t="n"/>
      <x:c r="AQ95" s="139" t="n"/>
      <x:c r="AR95" s="139" t="n"/>
      <x:c r="AS95" s="139" t="n"/>
      <x:c r="AT95" s="139" t="n"/>
      <x:c r="AU95" s="139" t="n"/>
      <x:c r="AV95" s="139" t="n"/>
      <x:c r="AW95" s="139" t="n"/>
      <x:c r="AX95" s="139" t="n"/>
      <x:c r="AY95" s="139" t="n"/>
      <x:c r="AZ95" s="139" t="n"/>
    </x:row>
    <x:row r="96">
      <x:c r="A96" s="139" t="n"/>
      <x:c r="B96" s="139" t="n"/>
      <x:c r="C96" s="139" t="n"/>
      <x:c r="D96" s="139" t="n"/>
      <x:c r="E96" s="139" t="n"/>
      <x:c r="F96" s="139" t="n"/>
      <x:c r="G96" s="139" t="n"/>
      <x:c r="H96" s="139" t="n"/>
      <x:c r="I96" s="139" t="n"/>
      <x:c r="J96" s="139" t="n"/>
      <x:c r="K96" s="139" t="n"/>
      <x:c r="L96" s="139" t="n"/>
      <x:c r="M96" s="139" t="n"/>
      <x:c r="N96" s="139" t="n"/>
      <x:c r="O96" s="139" t="n"/>
      <x:c r="P96" s="139" t="n"/>
      <x:c r="Q96" s="139" t="n"/>
      <x:c r="R96" s="139" t="n"/>
      <x:c r="S96" s="139" t="n"/>
      <x:c r="T96" s="139" t="n"/>
      <x:c r="U96" s="139" t="n"/>
      <x:c r="V96" s="139" t="n"/>
      <x:c r="W96" s="139" t="n"/>
      <x:c r="X96" s="139" t="n"/>
      <x:c r="Y96" s="139" t="n"/>
      <x:c r="Z96" s="139" t="n"/>
      <x:c r="AA96" s="139" t="n"/>
      <x:c r="AB96" s="139" t="n"/>
      <x:c r="AC96" s="139" t="n"/>
      <x:c r="AD96" s="139" t="n"/>
      <x:c r="AE96" s="139" t="n"/>
      <x:c r="AF96" s="139" t="n"/>
      <x:c r="AG96" s="139" t="n"/>
      <x:c r="AH96" s="139" t="n"/>
      <x:c r="AI96" s="139" t="n"/>
      <x:c r="AJ96" s="139" t="n"/>
      <x:c r="AK96" s="139" t="n"/>
      <x:c r="AL96" s="139" t="n"/>
      <x:c r="AM96" s="139" t="n"/>
      <x:c r="AN96" s="139" t="n"/>
      <x:c r="AO96" s="139" t="n"/>
      <x:c r="AP96" s="139" t="n"/>
      <x:c r="AQ96" s="139" t="n"/>
      <x:c r="AR96" s="139" t="n"/>
      <x:c r="AS96" s="139" t="n"/>
      <x:c r="AT96" s="139" t="n"/>
      <x:c r="AU96" s="139" t="n"/>
      <x:c r="AV96" s="139" t="n"/>
      <x:c r="AW96" s="139" t="n"/>
      <x:c r="AX96" s="139" t="n"/>
      <x:c r="AY96" s="139" t="n"/>
      <x:c r="AZ96" s="139" t="n"/>
    </x:row>
    <x:row r="97">
      <x:c r="A97" s="139" t="n"/>
      <x:c r="B97" s="139" t="n"/>
      <x:c r="C97" s="139" t="n"/>
      <x:c r="D97" s="139" t="n"/>
      <x:c r="E97" s="139" t="n"/>
      <x:c r="F97" s="139" t="n"/>
      <x:c r="G97" s="139" t="n"/>
      <x:c r="H97" s="139" t="n"/>
      <x:c r="I97" s="139" t="n"/>
      <x:c r="J97" s="139" t="n"/>
      <x:c r="K97" s="139" t="n"/>
      <x:c r="L97" s="139" t="n"/>
      <x:c r="M97" s="139" t="n"/>
      <x:c r="N97" s="139" t="n"/>
      <x:c r="O97" s="139" t="n"/>
      <x:c r="P97" s="139" t="n"/>
      <x:c r="Q97" s="139" t="n"/>
      <x:c r="R97" s="139" t="n"/>
      <x:c r="S97" s="139" t="n"/>
      <x:c r="T97" s="139" t="n"/>
      <x:c r="U97" s="139" t="n"/>
      <x:c r="V97" s="139" t="n"/>
      <x:c r="W97" s="139" t="n"/>
      <x:c r="X97" s="139" t="n"/>
      <x:c r="Y97" s="139" t="n"/>
      <x:c r="Z97" s="139" t="n"/>
      <x:c r="AA97" s="139" t="n"/>
      <x:c r="AB97" s="139" t="n"/>
      <x:c r="AC97" s="139" t="n"/>
      <x:c r="AD97" s="139" t="n"/>
      <x:c r="AE97" s="139" t="n"/>
      <x:c r="AF97" s="139" t="n"/>
      <x:c r="AG97" s="139" t="n"/>
      <x:c r="AH97" s="139" t="n"/>
      <x:c r="AI97" s="139" t="n"/>
      <x:c r="AJ97" s="139" t="n"/>
      <x:c r="AK97" s="139" t="n"/>
      <x:c r="AL97" s="139" t="n"/>
      <x:c r="AM97" s="139" t="n"/>
      <x:c r="AN97" s="139" t="n"/>
      <x:c r="AO97" s="139" t="n"/>
      <x:c r="AP97" s="139" t="n"/>
      <x:c r="AQ97" s="139" t="n"/>
      <x:c r="AR97" s="139" t="n"/>
      <x:c r="AS97" s="139" t="n"/>
      <x:c r="AT97" s="139" t="n"/>
      <x:c r="AU97" s="139" t="n"/>
      <x:c r="AV97" s="139" t="n"/>
      <x:c r="AW97" s="139" t="n"/>
      <x:c r="AX97" s="139" t="n"/>
      <x:c r="AY97" s="139" t="n"/>
      <x:c r="AZ97" s="139" t="n"/>
    </x:row>
    <x:row r="98">
      <x:c r="A98" s="139" t="n"/>
      <x:c r="B98" s="139" t="n"/>
      <x:c r="C98" s="139" t="n"/>
      <x:c r="D98" s="139" t="n"/>
      <x:c r="E98" s="139" t="n"/>
      <x:c r="F98" s="139" t="n"/>
      <x:c r="G98" s="139" t="n"/>
      <x:c r="H98" s="139" t="n"/>
      <x:c r="I98" s="139" t="n"/>
      <x:c r="J98" s="139" t="n"/>
      <x:c r="K98" s="139" t="n"/>
      <x:c r="L98" s="139" t="n"/>
      <x:c r="M98" s="139" t="n"/>
      <x:c r="N98" s="139" t="n"/>
      <x:c r="O98" s="139" t="n"/>
      <x:c r="P98" s="139" t="n"/>
      <x:c r="Q98" s="139" t="n"/>
      <x:c r="R98" s="139" t="n"/>
      <x:c r="S98" s="139" t="n"/>
      <x:c r="T98" s="139" t="n"/>
      <x:c r="U98" s="139" t="n"/>
      <x:c r="V98" s="139" t="n"/>
      <x:c r="W98" s="139" t="n"/>
      <x:c r="X98" s="139" t="n"/>
      <x:c r="Y98" s="139" t="n"/>
      <x:c r="Z98" s="139" t="n"/>
      <x:c r="AA98" s="139" t="n"/>
      <x:c r="AB98" s="139" t="n"/>
      <x:c r="AC98" s="139" t="n"/>
      <x:c r="AD98" s="139" t="n"/>
      <x:c r="AE98" s="139" t="n"/>
      <x:c r="AF98" s="139" t="n"/>
      <x:c r="AG98" s="139" t="n"/>
      <x:c r="AH98" s="139" t="n"/>
      <x:c r="AI98" s="139" t="n"/>
      <x:c r="AJ98" s="139" t="n"/>
      <x:c r="AK98" s="139" t="n"/>
      <x:c r="AL98" s="139" t="n"/>
      <x:c r="AM98" s="139" t="n"/>
      <x:c r="AN98" s="139" t="n"/>
      <x:c r="AO98" s="139" t="n"/>
      <x:c r="AP98" s="139" t="n"/>
      <x:c r="AQ98" s="139" t="n"/>
      <x:c r="AR98" s="139" t="n"/>
      <x:c r="AS98" s="139" t="n"/>
      <x:c r="AT98" s="139" t="n"/>
      <x:c r="AU98" s="139" t="n"/>
      <x:c r="AV98" s="139" t="n"/>
      <x:c r="AW98" s="139" t="n"/>
      <x:c r="AX98" s="139" t="n"/>
      <x:c r="AY98" s="139" t="n"/>
      <x:c r="AZ98" s="139" t="n"/>
    </x:row>
    <x:row r="99">
      <x:c r="A99" s="139" t="n"/>
      <x:c r="B99" s="139" t="n"/>
      <x:c r="C99" s="139" t="n"/>
      <x:c r="D99" s="139" t="n"/>
      <x:c r="E99" s="139" t="n"/>
      <x:c r="F99" s="139" t="n"/>
      <x:c r="G99" s="139" t="n"/>
      <x:c r="H99" s="139" t="n"/>
      <x:c r="I99" s="139" t="n"/>
      <x:c r="J99" s="139" t="n"/>
      <x:c r="K99" s="139" t="n"/>
      <x:c r="L99" s="139" t="n"/>
      <x:c r="M99" s="139" t="n"/>
      <x:c r="N99" s="139" t="n"/>
      <x:c r="O99" s="139" t="n"/>
      <x:c r="P99" s="139" t="n"/>
      <x:c r="Q99" s="139" t="n"/>
      <x:c r="R99" s="139" t="n"/>
      <x:c r="S99" s="139" t="n"/>
      <x:c r="T99" s="139" t="n"/>
      <x:c r="U99" s="139" t="n"/>
      <x:c r="V99" s="139" t="n"/>
      <x:c r="W99" s="139" t="n"/>
      <x:c r="X99" s="139" t="n"/>
      <x:c r="Y99" s="139" t="n"/>
      <x:c r="Z99" s="139" t="n"/>
      <x:c r="AA99" s="139" t="n"/>
      <x:c r="AB99" s="139" t="n"/>
      <x:c r="AC99" s="139" t="n"/>
      <x:c r="AD99" s="139" t="n"/>
      <x:c r="AE99" s="139" t="n"/>
      <x:c r="AF99" s="139" t="n"/>
      <x:c r="AG99" s="139" t="n"/>
      <x:c r="AH99" s="139" t="n"/>
      <x:c r="AI99" s="139" t="n"/>
      <x:c r="AJ99" s="139" t="n"/>
      <x:c r="AK99" s="139" t="n"/>
      <x:c r="AL99" s="139" t="n"/>
      <x:c r="AM99" s="139" t="n"/>
      <x:c r="AN99" s="139" t="n"/>
      <x:c r="AO99" s="139" t="n"/>
      <x:c r="AP99" s="139" t="n"/>
      <x:c r="AQ99" s="139" t="n"/>
      <x:c r="AR99" s="139" t="n"/>
      <x:c r="AS99" s="139" t="n"/>
      <x:c r="AT99" s="139" t="n"/>
      <x:c r="AU99" s="139" t="n"/>
      <x:c r="AV99" s="139" t="n"/>
      <x:c r="AW99" s="139" t="n"/>
      <x:c r="AX99" s="139" t="n"/>
      <x:c r="AY99" s="139" t="n"/>
      <x:c r="AZ99" s="139" t="n"/>
    </x:row>
    <x:row r="100">
      <x:c r="A100" s="139" t="n"/>
      <x:c r="B100" s="139" t="n"/>
      <x:c r="C100" s="139" t="n"/>
      <x:c r="D100" s="139" t="n"/>
      <x:c r="E100" s="139" t="n"/>
      <x:c r="F100" s="139" t="n"/>
      <x:c r="G100" s="139" t="n"/>
      <x:c r="H100" s="139" t="n"/>
      <x:c r="I100" s="139" t="n"/>
      <x:c r="J100" s="139" t="n"/>
      <x:c r="K100" s="139" t="n"/>
      <x:c r="L100" s="139" t="n"/>
      <x:c r="M100" s="139" t="n"/>
      <x:c r="N100" s="139" t="n"/>
      <x:c r="O100" s="139" t="n"/>
      <x:c r="P100" s="139" t="n"/>
      <x:c r="Q100" s="139" t="n"/>
      <x:c r="R100" s="139" t="n"/>
      <x:c r="S100" s="139" t="n"/>
      <x:c r="T100" s="139" t="n"/>
      <x:c r="U100" s="139" t="n"/>
      <x:c r="V100" s="139" t="n"/>
      <x:c r="W100" s="139" t="n"/>
      <x:c r="X100" s="139" t="n"/>
      <x:c r="Y100" s="139" t="n"/>
      <x:c r="Z100" s="139" t="n"/>
      <x:c r="AA100" s="139" t="n"/>
      <x:c r="AB100" s="139" t="n"/>
      <x:c r="AC100" s="139" t="n"/>
      <x:c r="AD100" s="139" t="n"/>
      <x:c r="AE100" s="139" t="n"/>
      <x:c r="AF100" s="139" t="n"/>
      <x:c r="AG100" s="139" t="n"/>
      <x:c r="AH100" s="139" t="n"/>
      <x:c r="AI100" s="139" t="n"/>
      <x:c r="AJ100" s="139" t="n"/>
      <x:c r="AK100" s="139" t="n"/>
      <x:c r="AL100" s="139" t="n"/>
      <x:c r="AM100" s="139" t="n"/>
      <x:c r="AN100" s="139" t="n"/>
      <x:c r="AO100" s="139" t="n"/>
      <x:c r="AP100" s="139" t="n"/>
      <x:c r="AQ100" s="139" t="n"/>
      <x:c r="AR100" s="139" t="n"/>
      <x:c r="AS100" s="139" t="n"/>
      <x:c r="AT100" s="139" t="n"/>
      <x:c r="AU100" s="139" t="n"/>
      <x:c r="AV100" s="139" t="n"/>
      <x:c r="AW100" s="139" t="n"/>
      <x:c r="AX100" s="139" t="n"/>
      <x:c r="AY100" s="139" t="n"/>
      <x:c r="AZ100" s="139" t="n"/>
    </x:row>
    <x:row r="101">
      <x:c r="A101" s="139" t="n"/>
      <x:c r="B101" s="139" t="n"/>
      <x:c r="C101" s="139" t="n"/>
      <x:c r="D101" s="139" t="n"/>
      <x:c r="E101" s="139" t="n"/>
      <x:c r="F101" s="139" t="n"/>
      <x:c r="G101" s="139" t="n"/>
      <x:c r="H101" s="139" t="n"/>
      <x:c r="I101" s="139" t="n"/>
      <x:c r="J101" s="139" t="n"/>
      <x:c r="K101" s="139" t="n"/>
      <x:c r="L101" s="139" t="n"/>
      <x:c r="M101" s="139" t="n"/>
      <x:c r="N101" s="139" t="n"/>
      <x:c r="O101" s="139" t="n"/>
      <x:c r="P101" s="139" t="n"/>
      <x:c r="Q101" s="139" t="n"/>
      <x:c r="R101" s="139" t="n"/>
      <x:c r="S101" s="139" t="n"/>
      <x:c r="T101" s="139" t="n"/>
      <x:c r="U101" s="139" t="n"/>
      <x:c r="V101" s="139" t="n"/>
      <x:c r="W101" s="139" t="n"/>
      <x:c r="X101" s="139" t="n"/>
      <x:c r="Y101" s="139" t="n"/>
      <x:c r="Z101" s="139" t="n"/>
      <x:c r="AA101" s="139" t="n"/>
      <x:c r="AB101" s="139" t="n"/>
      <x:c r="AC101" s="139" t="n"/>
      <x:c r="AD101" s="139" t="n"/>
      <x:c r="AE101" s="139" t="n"/>
      <x:c r="AF101" s="139" t="n"/>
      <x:c r="AG101" s="139" t="n"/>
      <x:c r="AH101" s="139" t="n"/>
      <x:c r="AI101" s="139" t="n"/>
      <x:c r="AJ101" s="139" t="n"/>
      <x:c r="AK101" s="139" t="n"/>
      <x:c r="AL101" s="139" t="n"/>
      <x:c r="AM101" s="139" t="n"/>
      <x:c r="AN101" s="139" t="n"/>
      <x:c r="AO101" s="139" t="n"/>
      <x:c r="AP101" s="139" t="n"/>
      <x:c r="AQ101" s="139" t="n"/>
      <x:c r="AR101" s="139" t="n"/>
      <x:c r="AS101" s="139" t="n"/>
      <x:c r="AT101" s="139" t="n"/>
      <x:c r="AU101" s="139" t="n"/>
      <x:c r="AV101" s="139" t="n"/>
      <x:c r="AW101" s="139" t="n"/>
      <x:c r="AX101" s="139" t="n"/>
      <x:c r="AY101" s="139" t="n"/>
      <x:c r="AZ101" s="139" t="n"/>
    </x:row>
    <x:row r="102">
      <x:c r="A102" s="139" t="n"/>
      <x:c r="B102" s="139" t="n"/>
      <x:c r="C102" s="139" t="n"/>
      <x:c r="D102" s="139" t="n"/>
      <x:c r="E102" s="139" t="n"/>
      <x:c r="F102" s="139" t="n"/>
      <x:c r="G102" s="139" t="n"/>
      <x:c r="H102" s="139" t="n"/>
      <x:c r="I102" s="139" t="n"/>
      <x:c r="J102" s="139" t="n"/>
      <x:c r="K102" s="139" t="n"/>
      <x:c r="L102" s="139" t="n"/>
      <x:c r="M102" s="139" t="n"/>
      <x:c r="N102" s="139" t="n"/>
      <x:c r="O102" s="139" t="n"/>
      <x:c r="P102" s="139" t="n"/>
      <x:c r="Q102" s="139" t="n"/>
      <x:c r="R102" s="139" t="n"/>
      <x:c r="S102" s="139" t="n"/>
      <x:c r="T102" s="139" t="n"/>
      <x:c r="U102" s="139" t="n"/>
      <x:c r="V102" s="139" t="n"/>
      <x:c r="W102" s="139" t="n"/>
      <x:c r="X102" s="139" t="n"/>
      <x:c r="Y102" s="139" t="n"/>
      <x:c r="Z102" s="139" t="n"/>
      <x:c r="AA102" s="139" t="n"/>
      <x:c r="AB102" s="139" t="n"/>
      <x:c r="AC102" s="139" t="n"/>
      <x:c r="AD102" s="139" t="n"/>
      <x:c r="AE102" s="139" t="n"/>
      <x:c r="AF102" s="139" t="n"/>
      <x:c r="AG102" s="139" t="n"/>
      <x:c r="AH102" s="139" t="n"/>
      <x:c r="AI102" s="139" t="n"/>
      <x:c r="AJ102" s="139" t="n"/>
      <x:c r="AK102" s="139" t="n"/>
      <x:c r="AL102" s="139" t="n"/>
      <x:c r="AM102" s="139" t="n"/>
      <x:c r="AN102" s="139" t="n"/>
      <x:c r="AO102" s="139" t="n"/>
      <x:c r="AP102" s="139" t="n"/>
      <x:c r="AQ102" s="139" t="n"/>
      <x:c r="AR102" s="139" t="n"/>
      <x:c r="AS102" s="139" t="n"/>
      <x:c r="AT102" s="139" t="n"/>
      <x:c r="AU102" s="139" t="n"/>
      <x:c r="AV102" s="139" t="n"/>
      <x:c r="AW102" s="139" t="n"/>
      <x:c r="AX102" s="139" t="n"/>
      <x:c r="AY102" s="139" t="n"/>
      <x:c r="AZ102" s="139" t="n"/>
    </x:row>
    <x:row r="103">
      <x:c r="A103" s="139" t="n"/>
      <x:c r="B103" s="139" t="n"/>
      <x:c r="C103" s="139" t="n"/>
      <x:c r="D103" s="139" t="n"/>
      <x:c r="E103" s="139" t="n"/>
      <x:c r="F103" s="139" t="n"/>
      <x:c r="G103" s="139" t="n"/>
      <x:c r="H103" s="139" t="n"/>
      <x:c r="I103" s="139" t="n"/>
      <x:c r="J103" s="139" t="n"/>
      <x:c r="K103" s="139" t="n"/>
      <x:c r="L103" s="139" t="n"/>
      <x:c r="M103" s="139" t="n"/>
      <x:c r="N103" s="139" t="n"/>
      <x:c r="O103" s="139" t="n"/>
      <x:c r="P103" s="139" t="n"/>
      <x:c r="Q103" s="139" t="n"/>
      <x:c r="R103" s="139" t="n"/>
      <x:c r="S103" s="139" t="n"/>
      <x:c r="T103" s="139" t="n"/>
      <x:c r="U103" s="139" t="n"/>
      <x:c r="V103" s="139" t="n"/>
      <x:c r="W103" s="139" t="n"/>
      <x:c r="X103" s="139" t="n"/>
      <x:c r="Y103" s="139" t="n"/>
      <x:c r="Z103" s="139" t="n"/>
      <x:c r="AA103" s="139" t="n"/>
      <x:c r="AB103" s="139" t="n"/>
      <x:c r="AC103" s="139" t="n"/>
      <x:c r="AD103" s="139" t="n"/>
      <x:c r="AE103" s="139" t="n"/>
      <x:c r="AF103" s="139" t="n"/>
      <x:c r="AG103" s="139" t="n"/>
      <x:c r="AH103" s="139" t="n"/>
      <x:c r="AI103" s="139" t="n"/>
      <x:c r="AJ103" s="139" t="n"/>
      <x:c r="AK103" s="139" t="n"/>
      <x:c r="AL103" s="139" t="n"/>
      <x:c r="AM103" s="139" t="n"/>
      <x:c r="AN103" s="139" t="n"/>
      <x:c r="AO103" s="139" t="n"/>
      <x:c r="AP103" s="139" t="n"/>
      <x:c r="AQ103" s="139" t="n"/>
      <x:c r="AR103" s="139" t="n"/>
      <x:c r="AS103" s="139" t="n"/>
      <x:c r="AT103" s="139" t="n"/>
      <x:c r="AU103" s="139" t="n"/>
      <x:c r="AV103" s="139" t="n"/>
      <x:c r="AW103" s="139" t="n"/>
      <x:c r="AX103" s="139" t="n"/>
      <x:c r="AY103" s="139" t="n"/>
      <x:c r="AZ103" s="139" t="n"/>
    </x:row>
    <x:row r="104">
      <x:c r="A104" s="139" t="n"/>
      <x:c r="B104" s="139" t="n"/>
      <x:c r="C104" s="139" t="n"/>
      <x:c r="D104" s="139" t="n"/>
      <x:c r="E104" s="139" t="n"/>
      <x:c r="F104" s="139" t="n"/>
      <x:c r="G104" s="139" t="n"/>
      <x:c r="H104" s="139" t="n"/>
      <x:c r="I104" s="139" t="n"/>
      <x:c r="J104" s="139" t="n"/>
      <x:c r="K104" s="139" t="n"/>
      <x:c r="L104" s="139" t="n"/>
      <x:c r="M104" s="139" t="n"/>
      <x:c r="N104" s="139" t="n"/>
      <x:c r="O104" s="139" t="n"/>
      <x:c r="P104" s="139" t="n"/>
      <x:c r="Q104" s="139" t="n"/>
      <x:c r="R104" s="139" t="n"/>
      <x:c r="S104" s="139" t="n"/>
      <x:c r="T104" s="139" t="n"/>
      <x:c r="U104" s="139" t="n"/>
      <x:c r="V104" s="139" t="n"/>
      <x:c r="W104" s="139" t="n"/>
      <x:c r="X104" s="139" t="n"/>
      <x:c r="Y104" s="139" t="n"/>
      <x:c r="Z104" s="139" t="n"/>
      <x:c r="AA104" s="139" t="n"/>
      <x:c r="AB104" s="139" t="n"/>
      <x:c r="AC104" s="139" t="n"/>
      <x:c r="AD104" s="139" t="n"/>
      <x:c r="AE104" s="139" t="n"/>
      <x:c r="AF104" s="139" t="n"/>
      <x:c r="AG104" s="139" t="n"/>
      <x:c r="AH104" s="139" t="n"/>
      <x:c r="AI104" s="139" t="n"/>
      <x:c r="AJ104" s="139" t="n"/>
      <x:c r="AK104" s="139" t="n"/>
      <x:c r="AL104" s="139" t="n"/>
      <x:c r="AM104" s="139" t="n"/>
      <x:c r="AN104" s="139" t="n"/>
      <x:c r="AO104" s="139" t="n"/>
      <x:c r="AP104" s="139" t="n"/>
      <x:c r="AQ104" s="139" t="n"/>
      <x:c r="AR104" s="139" t="n"/>
      <x:c r="AS104" s="139" t="n"/>
      <x:c r="AT104" s="139" t="n"/>
      <x:c r="AU104" s="139" t="n"/>
      <x:c r="AV104" s="139" t="n"/>
      <x:c r="AW104" s="139" t="n"/>
      <x:c r="AX104" s="139" t="n"/>
      <x:c r="AY104" s="139" t="n"/>
      <x:c r="AZ104" s="139" t="n"/>
    </x:row>
    <x:row r="105">
      <x:c r="A105" s="139" t="n"/>
      <x:c r="B105" s="139" t="n"/>
      <x:c r="C105" s="139" t="n"/>
      <x:c r="D105" s="139" t="n"/>
      <x:c r="E105" s="139" t="n"/>
      <x:c r="F105" s="139" t="n"/>
      <x:c r="G105" s="139" t="n"/>
      <x:c r="H105" s="139" t="n"/>
      <x:c r="I105" s="139" t="n"/>
      <x:c r="J105" s="139" t="n"/>
      <x:c r="K105" s="139" t="n"/>
      <x:c r="L105" s="139" t="n"/>
      <x:c r="M105" s="139" t="n"/>
      <x:c r="N105" s="139" t="n"/>
      <x:c r="O105" s="139" t="n"/>
      <x:c r="P105" s="139" t="n"/>
      <x:c r="Q105" s="139" t="n"/>
      <x:c r="R105" s="139" t="n"/>
      <x:c r="S105" s="139" t="n"/>
      <x:c r="T105" s="139" t="n"/>
      <x:c r="U105" s="139" t="n"/>
      <x:c r="V105" s="139" t="n"/>
      <x:c r="W105" s="139" t="n"/>
      <x:c r="X105" s="139" t="n"/>
      <x:c r="Y105" s="139" t="n"/>
      <x:c r="Z105" s="139" t="n"/>
      <x:c r="AA105" s="139" t="n"/>
      <x:c r="AB105" s="139" t="n"/>
      <x:c r="AC105" s="139" t="n"/>
      <x:c r="AD105" s="139" t="n"/>
      <x:c r="AE105" s="139" t="n"/>
      <x:c r="AF105" s="139" t="n"/>
      <x:c r="AG105" s="139" t="n"/>
      <x:c r="AH105" s="139" t="n"/>
      <x:c r="AI105" s="139" t="n"/>
      <x:c r="AJ105" s="139" t="n"/>
      <x:c r="AK105" s="139" t="n"/>
      <x:c r="AL105" s="139" t="n"/>
      <x:c r="AM105" s="139" t="n"/>
      <x:c r="AN105" s="139" t="n"/>
      <x:c r="AO105" s="139" t="n"/>
      <x:c r="AP105" s="139" t="n"/>
      <x:c r="AQ105" s="139" t="n"/>
      <x:c r="AR105" s="139" t="n"/>
      <x:c r="AS105" s="139" t="n"/>
      <x:c r="AT105" s="139" t="n"/>
      <x:c r="AU105" s="139" t="n"/>
      <x:c r="AV105" s="139" t="n"/>
      <x:c r="AW105" s="139" t="n"/>
      <x:c r="AX105" s="139" t="n"/>
      <x:c r="AY105" s="139" t="n"/>
      <x:c r="AZ105" s="139" t="n"/>
    </x:row>
    <x:row r="106">
      <x:c r="A106" s="139" t="n"/>
      <x:c r="B106" s="139" t="n"/>
      <x:c r="C106" s="139" t="n"/>
      <x:c r="D106" s="139" t="n"/>
      <x:c r="E106" s="139" t="n"/>
      <x:c r="F106" s="139" t="n"/>
      <x:c r="G106" s="139" t="n"/>
      <x:c r="H106" s="139" t="n"/>
      <x:c r="I106" s="139" t="n"/>
      <x:c r="J106" s="139" t="n"/>
      <x:c r="K106" s="139" t="n"/>
      <x:c r="L106" s="139" t="n"/>
      <x:c r="M106" s="139" t="n"/>
      <x:c r="N106" s="139" t="n"/>
      <x:c r="O106" s="139" t="n"/>
      <x:c r="P106" s="139" t="n"/>
      <x:c r="Q106" s="139" t="n"/>
      <x:c r="R106" s="139" t="n"/>
      <x:c r="S106" s="139" t="n"/>
      <x:c r="T106" s="139" t="n"/>
      <x:c r="U106" s="139" t="n"/>
      <x:c r="V106" s="139" t="n"/>
      <x:c r="W106" s="139" t="n"/>
      <x:c r="X106" s="139" t="n"/>
      <x:c r="Y106" s="139" t="n"/>
      <x:c r="Z106" s="139" t="n"/>
      <x:c r="AA106" s="139" t="n"/>
      <x:c r="AB106" s="139" t="n"/>
      <x:c r="AC106" s="139" t="n"/>
      <x:c r="AD106" s="139" t="n"/>
      <x:c r="AE106" s="139" t="n"/>
      <x:c r="AF106" s="139" t="n"/>
      <x:c r="AG106" s="139" t="n"/>
      <x:c r="AH106" s="139" t="n"/>
      <x:c r="AI106" s="139" t="n"/>
      <x:c r="AJ106" s="139" t="n"/>
      <x:c r="AK106" s="139" t="n"/>
      <x:c r="AL106" s="139" t="n"/>
      <x:c r="AM106" s="139" t="n"/>
      <x:c r="AN106" s="139" t="n"/>
      <x:c r="AO106" s="139" t="n"/>
      <x:c r="AP106" s="139" t="n"/>
      <x:c r="AQ106" s="139" t="n"/>
      <x:c r="AR106" s="139" t="n"/>
      <x:c r="AS106" s="139" t="n"/>
      <x:c r="AT106" s="139" t="n"/>
      <x:c r="AU106" s="139" t="n"/>
      <x:c r="AV106" s="139" t="n"/>
      <x:c r="AW106" s="139" t="n"/>
      <x:c r="AX106" s="139" t="n"/>
      <x:c r="AY106" s="139" t="n"/>
      <x:c r="AZ106" s="139" t="n"/>
    </x:row>
    <x:row r="107">
      <x:c r="A107" s="139" t="n"/>
      <x:c r="B107" s="139" t="n"/>
      <x:c r="C107" s="139" t="n"/>
      <x:c r="D107" s="139" t="n"/>
      <x:c r="E107" s="139" t="n"/>
      <x:c r="F107" s="139" t="n"/>
      <x:c r="G107" s="139" t="n"/>
      <x:c r="H107" s="139" t="n"/>
      <x:c r="I107" s="139" t="n"/>
      <x:c r="J107" s="139" t="n"/>
      <x:c r="K107" s="139" t="n"/>
      <x:c r="L107" s="139" t="n"/>
      <x:c r="M107" s="139" t="n"/>
      <x:c r="N107" s="139" t="n"/>
      <x:c r="O107" s="139" t="n"/>
      <x:c r="P107" s="139" t="n"/>
      <x:c r="Q107" s="139" t="n"/>
      <x:c r="R107" s="139" t="n"/>
      <x:c r="S107" s="139" t="n"/>
      <x:c r="T107" s="139" t="n"/>
      <x:c r="U107" s="139" t="n"/>
      <x:c r="V107" s="139" t="n"/>
      <x:c r="W107" s="139" t="n"/>
      <x:c r="X107" s="139" t="n"/>
      <x:c r="Y107" s="139" t="n"/>
      <x:c r="Z107" s="139" t="n"/>
      <x:c r="AA107" s="139" t="n"/>
      <x:c r="AB107" s="139" t="n"/>
      <x:c r="AC107" s="139" t="n"/>
      <x:c r="AD107" s="139" t="n"/>
      <x:c r="AE107" s="139" t="n"/>
      <x:c r="AF107" s="139" t="n"/>
      <x:c r="AG107" s="139" t="n"/>
      <x:c r="AH107" s="139" t="n"/>
      <x:c r="AI107" s="139" t="n"/>
      <x:c r="AJ107" s="139" t="n"/>
      <x:c r="AK107" s="139" t="n"/>
      <x:c r="AL107" s="139" t="n"/>
      <x:c r="AM107" s="139" t="n"/>
      <x:c r="AN107" s="139" t="n"/>
      <x:c r="AO107" s="139" t="n"/>
      <x:c r="AP107" s="139" t="n"/>
      <x:c r="AQ107" s="139" t="n"/>
      <x:c r="AR107" s="139" t="n"/>
      <x:c r="AS107" s="139" t="n"/>
      <x:c r="AT107" s="139" t="n"/>
      <x:c r="AU107" s="139" t="n"/>
      <x:c r="AV107" s="139" t="n"/>
      <x:c r="AW107" s="139" t="n"/>
      <x:c r="AX107" s="139" t="n"/>
      <x:c r="AY107" s="139" t="n"/>
      <x:c r="AZ107" s="139" t="n"/>
    </x:row>
    <x:row r="108">
      <x:c r="A108" s="139" t="n"/>
      <x:c r="B108" s="139" t="n"/>
      <x:c r="C108" s="139" t="n"/>
      <x:c r="D108" s="139" t="n"/>
      <x:c r="E108" s="139" t="n"/>
      <x:c r="F108" s="139" t="n"/>
      <x:c r="G108" s="139" t="n"/>
      <x:c r="H108" s="139" t="n"/>
      <x:c r="I108" s="139" t="n"/>
      <x:c r="J108" s="139" t="n"/>
      <x:c r="K108" s="139" t="n"/>
      <x:c r="L108" s="139" t="n"/>
      <x:c r="M108" s="139" t="n"/>
      <x:c r="N108" s="139" t="n"/>
      <x:c r="O108" s="139" t="n"/>
      <x:c r="P108" s="139" t="n"/>
      <x:c r="Q108" s="139" t="n"/>
      <x:c r="R108" s="139" t="n"/>
      <x:c r="S108" s="139" t="n"/>
      <x:c r="T108" s="139" t="n"/>
      <x:c r="U108" s="139" t="n"/>
      <x:c r="V108" s="139" t="n"/>
      <x:c r="W108" s="139" t="n"/>
      <x:c r="X108" s="139" t="n"/>
      <x:c r="Y108" s="139" t="n"/>
      <x:c r="Z108" s="139" t="n"/>
      <x:c r="AA108" s="139" t="n"/>
      <x:c r="AB108" s="139" t="n"/>
      <x:c r="AC108" s="139" t="n"/>
      <x:c r="AD108" s="139" t="n"/>
      <x:c r="AE108" s="139" t="n"/>
      <x:c r="AF108" s="139" t="n"/>
      <x:c r="AG108" s="139" t="n"/>
      <x:c r="AH108" s="139" t="n"/>
      <x:c r="AI108" s="139" t="n"/>
      <x:c r="AJ108" s="139" t="n"/>
      <x:c r="AK108" s="139" t="n"/>
      <x:c r="AL108" s="139" t="n"/>
      <x:c r="AM108" s="139" t="n"/>
      <x:c r="AN108" s="139" t="n"/>
      <x:c r="AO108" s="139" t="n"/>
      <x:c r="AP108" s="139" t="n"/>
      <x:c r="AQ108" s="139" t="n"/>
      <x:c r="AR108" s="139" t="n"/>
      <x:c r="AS108" s="139" t="n"/>
      <x:c r="AT108" s="139" t="n"/>
      <x:c r="AU108" s="139" t="n"/>
      <x:c r="AV108" s="139" t="n"/>
      <x:c r="AW108" s="139" t="n"/>
      <x:c r="AX108" s="139" t="n"/>
      <x:c r="AY108" s="139" t="n"/>
      <x:c r="AZ108" s="139" t="n"/>
    </x:row>
    <x:row r="109">
      <x:c r="A109" s="139" t="n"/>
      <x:c r="B109" s="139" t="n"/>
      <x:c r="C109" s="139" t="n"/>
      <x:c r="D109" s="139" t="n"/>
      <x:c r="E109" s="139" t="n"/>
      <x:c r="F109" s="139" t="n"/>
      <x:c r="G109" s="139" t="n"/>
      <x:c r="H109" s="139" t="n"/>
      <x:c r="I109" s="139" t="n"/>
      <x:c r="J109" s="139" t="n"/>
      <x:c r="K109" s="139" t="n"/>
      <x:c r="L109" s="139" t="n"/>
      <x:c r="M109" s="139" t="n"/>
      <x:c r="N109" s="139" t="n"/>
      <x:c r="O109" s="139" t="n"/>
      <x:c r="P109" s="139" t="n"/>
      <x:c r="Q109" s="139" t="n"/>
      <x:c r="R109" s="139" t="n"/>
      <x:c r="S109" s="139" t="n"/>
      <x:c r="T109" s="139" t="n"/>
      <x:c r="U109" s="139" t="n"/>
      <x:c r="V109" s="139" t="n"/>
      <x:c r="W109" s="139" t="n"/>
      <x:c r="X109" s="139" t="n"/>
      <x:c r="Y109" s="139" t="n"/>
      <x:c r="Z109" s="139" t="n"/>
      <x:c r="AA109" s="139" t="n"/>
      <x:c r="AB109" s="139" t="n"/>
      <x:c r="AC109" s="139" t="n"/>
      <x:c r="AD109" s="139" t="n"/>
      <x:c r="AE109" s="139" t="n"/>
      <x:c r="AF109" s="139" t="n"/>
      <x:c r="AG109" s="139" t="n"/>
      <x:c r="AH109" s="139" t="n"/>
      <x:c r="AI109" s="139" t="n"/>
      <x:c r="AJ109" s="139" t="n"/>
      <x:c r="AK109" s="139" t="n"/>
      <x:c r="AL109" s="139" t="n"/>
      <x:c r="AM109" s="139" t="n"/>
      <x:c r="AN109" s="139" t="n"/>
      <x:c r="AO109" s="139" t="n"/>
      <x:c r="AP109" s="139" t="n"/>
      <x:c r="AQ109" s="139" t="n"/>
      <x:c r="AR109" s="139" t="n"/>
      <x:c r="AS109" s="139" t="n"/>
      <x:c r="AT109" s="139" t="n"/>
      <x:c r="AU109" s="139" t="n"/>
      <x:c r="AV109" s="139" t="n"/>
      <x:c r="AW109" s="139" t="n"/>
      <x:c r="AX109" s="139" t="n"/>
      <x:c r="AY109" s="139" t="n"/>
      <x:c r="AZ109" s="139" t="n"/>
    </x:row>
    <x:row r="110">
      <x:c r="A110" s="139" t="n"/>
      <x:c r="B110" s="139" t="n"/>
      <x:c r="C110" s="139" t="n"/>
      <x:c r="D110" s="139" t="n"/>
      <x:c r="E110" s="139" t="n"/>
      <x:c r="F110" s="139" t="n"/>
      <x:c r="G110" s="139" t="n"/>
      <x:c r="H110" s="139" t="n"/>
      <x:c r="I110" s="139" t="n"/>
      <x:c r="J110" s="139" t="n"/>
      <x:c r="K110" s="139" t="n"/>
      <x:c r="L110" s="139" t="n"/>
      <x:c r="M110" s="139" t="n"/>
      <x:c r="N110" s="139" t="n"/>
      <x:c r="O110" s="139" t="n"/>
      <x:c r="P110" s="139" t="n"/>
      <x:c r="Q110" s="139" t="n"/>
      <x:c r="R110" s="139" t="n"/>
      <x:c r="S110" s="139" t="n"/>
      <x:c r="T110" s="139" t="n"/>
      <x:c r="U110" s="139" t="n"/>
      <x:c r="V110" s="139" t="n"/>
      <x:c r="W110" s="139" t="n"/>
      <x:c r="X110" s="139" t="n"/>
      <x:c r="Y110" s="139" t="n"/>
      <x:c r="Z110" s="139" t="n"/>
      <x:c r="AA110" s="139" t="n"/>
      <x:c r="AB110" s="139" t="n"/>
      <x:c r="AC110" s="139" t="n"/>
      <x:c r="AD110" s="139" t="n"/>
      <x:c r="AE110" s="139" t="n"/>
      <x:c r="AF110" s="139" t="n"/>
      <x:c r="AG110" s="139" t="n"/>
      <x:c r="AH110" s="139" t="n"/>
      <x:c r="AI110" s="139" t="n"/>
      <x:c r="AJ110" s="139" t="n"/>
      <x:c r="AK110" s="139" t="n"/>
      <x:c r="AL110" s="139" t="n"/>
      <x:c r="AM110" s="139" t="n"/>
      <x:c r="AN110" s="139" t="n"/>
      <x:c r="AO110" s="139" t="n"/>
      <x:c r="AP110" s="139" t="n"/>
      <x:c r="AQ110" s="139" t="n"/>
      <x:c r="AR110" s="139" t="n"/>
      <x:c r="AS110" s="139" t="n"/>
      <x:c r="AT110" s="139" t="n"/>
      <x:c r="AU110" s="139" t="n"/>
      <x:c r="AV110" s="139" t="n"/>
      <x:c r="AW110" s="139" t="n"/>
      <x:c r="AX110" s="139" t="n"/>
      <x:c r="AY110" s="139" t="n"/>
      <x:c r="AZ110" s="139" t="n"/>
    </x:row>
    <x:row r="111">
      <x:c r="A111" s="139" t="n"/>
      <x:c r="B111" s="139" t="n"/>
      <x:c r="C111" s="139" t="n"/>
      <x:c r="D111" s="139" t="n"/>
      <x:c r="E111" s="139" t="n"/>
      <x:c r="F111" s="139" t="n"/>
      <x:c r="G111" s="139" t="n"/>
      <x:c r="H111" s="139" t="n"/>
      <x:c r="I111" s="139" t="n"/>
      <x:c r="J111" s="139" t="n"/>
      <x:c r="K111" s="139" t="n"/>
      <x:c r="L111" s="139" t="n"/>
      <x:c r="M111" s="139" t="n"/>
      <x:c r="N111" s="139" t="n"/>
      <x:c r="O111" s="139" t="n"/>
      <x:c r="P111" s="139" t="n"/>
      <x:c r="Q111" s="139" t="n"/>
      <x:c r="R111" s="139" t="n"/>
      <x:c r="S111" s="139" t="n"/>
      <x:c r="T111" s="139" t="n"/>
      <x:c r="U111" s="139" t="n"/>
      <x:c r="V111" s="139" t="n"/>
      <x:c r="W111" s="139" t="n"/>
      <x:c r="X111" s="139" t="n"/>
      <x:c r="Y111" s="139" t="n"/>
      <x:c r="Z111" s="139" t="n"/>
      <x:c r="AA111" s="139" t="n"/>
      <x:c r="AB111" s="139" t="n"/>
      <x:c r="AC111" s="139" t="n"/>
      <x:c r="AD111" s="139" t="n"/>
      <x:c r="AE111" s="139" t="n"/>
      <x:c r="AF111" s="139" t="n"/>
      <x:c r="AG111" s="139" t="n"/>
      <x:c r="AH111" s="139" t="n"/>
      <x:c r="AI111" s="139" t="n"/>
      <x:c r="AJ111" s="139" t="n"/>
      <x:c r="AK111" s="139" t="n"/>
      <x:c r="AL111" s="139" t="n"/>
      <x:c r="AM111" s="139" t="n"/>
      <x:c r="AN111" s="139" t="n"/>
      <x:c r="AO111" s="139" t="n"/>
      <x:c r="AP111" s="139" t="n"/>
      <x:c r="AQ111" s="139" t="n"/>
      <x:c r="AR111" s="139" t="n"/>
      <x:c r="AS111" s="139" t="n"/>
      <x:c r="AT111" s="139" t="n"/>
      <x:c r="AU111" s="139" t="n"/>
      <x:c r="AV111" s="139" t="n"/>
      <x:c r="AW111" s="139" t="n"/>
      <x:c r="AX111" s="139" t="n"/>
      <x:c r="AY111" s="139" t="n"/>
      <x:c r="AZ111" s="139" t="n"/>
    </x:row>
    <x:row r="112">
      <x:c r="A112" s="139" t="n"/>
      <x:c r="B112" s="139" t="n"/>
      <x:c r="C112" s="139" t="n"/>
      <x:c r="D112" s="139" t="n"/>
      <x:c r="E112" s="139" t="n"/>
      <x:c r="F112" s="139" t="n"/>
      <x:c r="G112" s="139" t="n"/>
      <x:c r="H112" s="139" t="n"/>
      <x:c r="I112" s="139" t="n"/>
      <x:c r="J112" s="139" t="n"/>
      <x:c r="K112" s="139" t="n"/>
      <x:c r="L112" s="139" t="n"/>
      <x:c r="M112" s="139" t="n"/>
      <x:c r="N112" s="139" t="n"/>
      <x:c r="O112" s="139" t="n"/>
      <x:c r="P112" s="139" t="n"/>
      <x:c r="Q112" s="139" t="n"/>
      <x:c r="R112" s="139" t="n"/>
      <x:c r="S112" s="139" t="n"/>
      <x:c r="T112" s="139" t="n"/>
      <x:c r="U112" s="139" t="n"/>
      <x:c r="V112" s="139" t="n"/>
      <x:c r="W112" s="139" t="n"/>
      <x:c r="X112" s="139" t="n"/>
      <x:c r="Y112" s="139" t="n"/>
      <x:c r="Z112" s="139" t="n"/>
      <x:c r="AA112" s="139" t="n"/>
      <x:c r="AB112" s="139" t="n"/>
      <x:c r="AC112" s="139" t="n"/>
      <x:c r="AD112" s="139" t="n"/>
      <x:c r="AE112" s="139" t="n"/>
      <x:c r="AF112" s="139" t="n"/>
      <x:c r="AG112" s="139" t="n"/>
      <x:c r="AH112" s="139" t="n"/>
      <x:c r="AI112" s="139" t="n"/>
      <x:c r="AJ112" s="139" t="n"/>
      <x:c r="AK112" s="139" t="n"/>
      <x:c r="AL112" s="139" t="n"/>
      <x:c r="AM112" s="139" t="n"/>
      <x:c r="AN112" s="139" t="n"/>
      <x:c r="AO112" s="139" t="n"/>
      <x:c r="AP112" s="139" t="n"/>
      <x:c r="AQ112" s="139" t="n"/>
      <x:c r="AR112" s="139" t="n"/>
      <x:c r="AS112" s="139" t="n"/>
      <x:c r="AT112" s="139" t="n"/>
      <x:c r="AU112" s="139" t="n"/>
      <x:c r="AV112" s="139" t="n"/>
      <x:c r="AW112" s="139" t="n"/>
      <x:c r="AX112" s="139" t="n"/>
      <x:c r="AY112" s="139" t="n"/>
      <x:c r="AZ112" s="139" t="n"/>
    </x:row>
    <x:row r="113">
      <x:c r="A113" s="139" t="n"/>
      <x:c r="B113" s="139" t="n"/>
      <x:c r="C113" s="139" t="n"/>
      <x:c r="D113" s="139" t="n"/>
      <x:c r="E113" s="139" t="n"/>
      <x:c r="F113" s="139" t="n"/>
      <x:c r="G113" s="139" t="n"/>
      <x:c r="H113" s="139" t="n"/>
      <x:c r="I113" s="139" t="n"/>
      <x:c r="J113" s="139" t="n"/>
      <x:c r="K113" s="139" t="n"/>
      <x:c r="L113" s="139" t="n"/>
      <x:c r="M113" s="139" t="n"/>
      <x:c r="N113" s="139" t="n"/>
      <x:c r="O113" s="139" t="n"/>
      <x:c r="P113" s="139" t="n"/>
      <x:c r="Q113" s="139" t="n"/>
      <x:c r="R113" s="139" t="n"/>
      <x:c r="S113" s="139" t="n"/>
      <x:c r="T113" s="139" t="n"/>
      <x:c r="U113" s="139" t="n"/>
      <x:c r="V113" s="139" t="n"/>
      <x:c r="W113" s="139" t="n"/>
      <x:c r="X113" s="139" t="n"/>
      <x:c r="Y113" s="139" t="n"/>
      <x:c r="Z113" s="139" t="n"/>
      <x:c r="AA113" s="139" t="n"/>
      <x:c r="AB113" s="139" t="n"/>
      <x:c r="AC113" s="139" t="n"/>
      <x:c r="AD113" s="139" t="n"/>
      <x:c r="AE113" s="139" t="n"/>
      <x:c r="AF113" s="139" t="n"/>
      <x:c r="AG113" s="139" t="n"/>
      <x:c r="AH113" s="139" t="n"/>
      <x:c r="AI113" s="139" t="n"/>
      <x:c r="AJ113" s="139" t="n"/>
      <x:c r="AK113" s="139" t="n"/>
      <x:c r="AL113" s="139" t="n"/>
      <x:c r="AM113" s="139" t="n"/>
      <x:c r="AN113" s="139" t="n"/>
      <x:c r="AO113" s="139" t="n"/>
      <x:c r="AP113" s="139" t="n"/>
      <x:c r="AQ113" s="139" t="n"/>
      <x:c r="AR113" s="139" t="n"/>
      <x:c r="AS113" s="139" t="n"/>
      <x:c r="AT113" s="139" t="n"/>
      <x:c r="AU113" s="139" t="n"/>
      <x:c r="AV113" s="139" t="n"/>
      <x:c r="AW113" s="139" t="n"/>
      <x:c r="AX113" s="139" t="n"/>
      <x:c r="AY113" s="139" t="n"/>
      <x:c r="AZ113" s="139" t="n"/>
    </x:row>
    <x:row r="114">
      <x:c r="A114" s="139" t="n"/>
      <x:c r="B114" s="139" t="n"/>
      <x:c r="C114" s="139" t="n"/>
      <x:c r="D114" s="139" t="n"/>
      <x:c r="E114" s="139" t="n"/>
      <x:c r="F114" s="139" t="n"/>
      <x:c r="G114" s="139" t="n"/>
      <x:c r="H114" s="139" t="n"/>
      <x:c r="I114" s="139" t="n"/>
      <x:c r="J114" s="139" t="n"/>
      <x:c r="K114" s="139" t="n"/>
      <x:c r="L114" s="139" t="n"/>
      <x:c r="M114" s="139" t="n"/>
      <x:c r="N114" s="139" t="n"/>
      <x:c r="O114" s="139" t="n"/>
      <x:c r="P114" s="139" t="n"/>
      <x:c r="Q114" s="139" t="n"/>
      <x:c r="R114" s="139" t="n"/>
      <x:c r="S114" s="139" t="n"/>
      <x:c r="T114" s="139" t="n"/>
      <x:c r="U114" s="139" t="n"/>
      <x:c r="V114" s="139" t="n"/>
      <x:c r="W114" s="139" t="n"/>
      <x:c r="X114" s="139" t="n"/>
      <x:c r="Y114" s="139" t="n"/>
      <x:c r="Z114" s="139" t="n"/>
      <x:c r="AA114" s="139" t="n"/>
      <x:c r="AB114" s="139" t="n"/>
      <x:c r="AC114" s="139" t="n"/>
      <x:c r="AD114" s="139" t="n"/>
      <x:c r="AE114" s="139" t="n"/>
      <x:c r="AF114" s="139" t="n"/>
      <x:c r="AG114" s="139" t="n"/>
      <x:c r="AH114" s="139" t="n"/>
      <x:c r="AI114" s="139" t="n"/>
      <x:c r="AJ114" s="139" t="n"/>
      <x:c r="AK114" s="139" t="n"/>
      <x:c r="AL114" s="139" t="n"/>
      <x:c r="AM114" s="139" t="n"/>
      <x:c r="AN114" s="139" t="n"/>
      <x:c r="AO114" s="139" t="n"/>
      <x:c r="AP114" s="139" t="n"/>
      <x:c r="AQ114" s="139" t="n"/>
      <x:c r="AR114" s="139" t="n"/>
      <x:c r="AS114" s="139" t="n"/>
      <x:c r="AT114" s="139" t="n"/>
      <x:c r="AU114" s="139" t="n"/>
      <x:c r="AV114" s="139" t="n"/>
      <x:c r="AW114" s="139" t="n"/>
      <x:c r="AX114" s="139" t="n"/>
      <x:c r="AY114" s="139" t="n"/>
      <x:c r="AZ114" s="139" t="n"/>
    </x:row>
    <x:row r="115">
      <x:c r="A115" s="139" t="n"/>
      <x:c r="B115" s="139" t="n"/>
      <x:c r="C115" s="139" t="n"/>
      <x:c r="D115" s="139" t="n"/>
      <x:c r="E115" s="139" t="n"/>
      <x:c r="F115" s="139" t="n"/>
      <x:c r="G115" s="139" t="n"/>
      <x:c r="H115" s="139" t="n"/>
      <x:c r="I115" s="139" t="n"/>
      <x:c r="J115" s="139" t="n"/>
      <x:c r="K115" s="139" t="n"/>
      <x:c r="L115" s="139" t="n"/>
      <x:c r="M115" s="139" t="n"/>
      <x:c r="N115" s="139" t="n"/>
      <x:c r="O115" s="139" t="n"/>
      <x:c r="P115" s="139" t="n"/>
      <x:c r="Q115" s="139" t="n"/>
      <x:c r="R115" s="139" t="n"/>
      <x:c r="S115" s="139" t="n"/>
      <x:c r="T115" s="139" t="n"/>
      <x:c r="U115" s="139" t="n"/>
      <x:c r="V115" s="139" t="n"/>
      <x:c r="W115" s="139" t="n"/>
      <x:c r="X115" s="139" t="n"/>
      <x:c r="Y115" s="139" t="n"/>
      <x:c r="Z115" s="139" t="n"/>
      <x:c r="AA115" s="139" t="n"/>
      <x:c r="AB115" s="139" t="n"/>
      <x:c r="AC115" s="139" t="n"/>
      <x:c r="AD115" s="139" t="n"/>
      <x:c r="AE115" s="139" t="n"/>
      <x:c r="AF115" s="139" t="n"/>
      <x:c r="AG115" s="139" t="n"/>
      <x:c r="AH115" s="139" t="n"/>
      <x:c r="AI115" s="139" t="n"/>
      <x:c r="AJ115" s="139" t="n"/>
      <x:c r="AK115" s="139" t="n"/>
      <x:c r="AL115" s="139" t="n"/>
      <x:c r="AM115" s="139" t="n"/>
      <x:c r="AN115" s="139" t="n"/>
      <x:c r="AO115" s="139" t="n"/>
      <x:c r="AP115" s="139" t="n"/>
      <x:c r="AQ115" s="139" t="n"/>
      <x:c r="AR115" s="139" t="n"/>
      <x:c r="AS115" s="139" t="n"/>
      <x:c r="AT115" s="139" t="n"/>
      <x:c r="AU115" s="139" t="n"/>
      <x:c r="AV115" s="139" t="n"/>
      <x:c r="AW115" s="139" t="n"/>
      <x:c r="AX115" s="139" t="n"/>
      <x:c r="AY115" s="139" t="n"/>
      <x:c r="AZ115" s="139" t="n"/>
    </x:row>
    <x:row r="116">
      <x:c r="A116" s="139" t="n"/>
      <x:c r="B116" s="139" t="n"/>
      <x:c r="C116" s="139" t="n"/>
      <x:c r="D116" s="139" t="n"/>
      <x:c r="E116" s="139" t="n"/>
      <x:c r="F116" s="139" t="n"/>
      <x:c r="G116" s="139" t="n"/>
      <x:c r="H116" s="139" t="n"/>
      <x:c r="I116" s="139" t="n"/>
      <x:c r="J116" s="139" t="n"/>
      <x:c r="K116" s="139" t="n"/>
      <x:c r="L116" s="139" t="n"/>
      <x:c r="M116" s="139" t="n"/>
      <x:c r="N116" s="139" t="n"/>
      <x:c r="O116" s="139" t="n"/>
      <x:c r="P116" s="139" t="n"/>
      <x:c r="Q116" s="139" t="n"/>
      <x:c r="R116" s="139" t="n"/>
      <x:c r="S116" s="139" t="n"/>
      <x:c r="T116" s="139" t="n"/>
      <x:c r="U116" s="139" t="n"/>
      <x:c r="V116" s="139" t="n"/>
      <x:c r="W116" s="139" t="n"/>
      <x:c r="X116" s="139" t="n"/>
      <x:c r="Y116" s="139" t="n"/>
      <x:c r="Z116" s="139" t="n"/>
      <x:c r="AA116" s="139" t="n"/>
      <x:c r="AB116" s="139" t="n"/>
      <x:c r="AC116" s="139" t="n"/>
      <x:c r="AD116" s="139" t="n"/>
      <x:c r="AE116" s="139" t="n"/>
      <x:c r="AF116" s="139" t="n"/>
      <x:c r="AG116" s="139" t="n"/>
      <x:c r="AH116" s="139" t="n"/>
      <x:c r="AI116" s="139" t="n"/>
      <x:c r="AJ116" s="139" t="n"/>
      <x:c r="AK116" s="139" t="n"/>
      <x:c r="AL116" s="139" t="n"/>
      <x:c r="AM116" s="139" t="n"/>
      <x:c r="AN116" s="139" t="n"/>
      <x:c r="AO116" s="139" t="n"/>
      <x:c r="AP116" s="139" t="n"/>
      <x:c r="AQ116" s="139" t="n"/>
      <x:c r="AR116" s="139" t="n"/>
      <x:c r="AS116" s="139" t="n"/>
      <x:c r="AT116" s="139" t="n"/>
      <x:c r="AU116" s="139" t="n"/>
      <x:c r="AV116" s="139" t="n"/>
      <x:c r="AW116" s="139" t="n"/>
      <x:c r="AX116" s="139" t="n"/>
      <x:c r="AY116" s="139" t="n"/>
      <x:c r="AZ116" s="139" t="n"/>
    </x:row>
    <x:row r="117">
      <x:c r="A117" s="139" t="n"/>
      <x:c r="B117" s="139" t="n"/>
      <x:c r="C117" s="139" t="n"/>
      <x:c r="D117" s="139" t="n"/>
      <x:c r="E117" s="139" t="n"/>
      <x:c r="F117" s="139" t="n"/>
      <x:c r="G117" s="139" t="n"/>
      <x:c r="H117" s="139" t="n"/>
      <x:c r="I117" s="139" t="n"/>
      <x:c r="J117" s="139" t="n"/>
      <x:c r="K117" s="139" t="n"/>
      <x:c r="L117" s="139" t="n"/>
      <x:c r="M117" s="139" t="n"/>
      <x:c r="N117" s="139" t="n"/>
      <x:c r="O117" s="139" t="n"/>
      <x:c r="P117" s="139" t="n"/>
      <x:c r="Q117" s="139" t="n"/>
      <x:c r="R117" s="139" t="n"/>
      <x:c r="S117" s="139" t="n"/>
      <x:c r="T117" s="139" t="n"/>
      <x:c r="U117" s="139" t="n"/>
      <x:c r="V117" s="139" t="n"/>
      <x:c r="W117" s="139" t="n"/>
      <x:c r="X117" s="139" t="n"/>
      <x:c r="Y117" s="139" t="n"/>
      <x:c r="Z117" s="139" t="n"/>
      <x:c r="AA117" s="139" t="n"/>
      <x:c r="AB117" s="139" t="n"/>
      <x:c r="AC117" s="139" t="n"/>
      <x:c r="AD117" s="139" t="n"/>
      <x:c r="AE117" s="139" t="n"/>
      <x:c r="AF117" s="139" t="n"/>
      <x:c r="AG117" s="139" t="n"/>
      <x:c r="AH117" s="139" t="n"/>
      <x:c r="AI117" s="139" t="n"/>
      <x:c r="AJ117" s="139" t="n"/>
      <x:c r="AK117" s="139" t="n"/>
      <x:c r="AL117" s="139" t="n"/>
      <x:c r="AM117" s="139" t="n"/>
      <x:c r="AN117" s="139" t="n"/>
      <x:c r="AO117" s="139" t="n"/>
      <x:c r="AP117" s="139" t="n"/>
      <x:c r="AQ117" s="139" t="n"/>
      <x:c r="AR117" s="139" t="n"/>
      <x:c r="AS117" s="139" t="n"/>
      <x:c r="AT117" s="139" t="n"/>
      <x:c r="AU117" s="139" t="n"/>
      <x:c r="AV117" s="139" t="n"/>
      <x:c r="AW117" s="139" t="n"/>
      <x:c r="AX117" s="139" t="n"/>
      <x:c r="AY117" s="139" t="n"/>
      <x:c r="AZ117" s="139" t="n"/>
    </x:row>
    <x:row r="118">
      <x:c r="A118" s="139" t="n"/>
      <x:c r="B118" s="139" t="n"/>
      <x:c r="C118" s="139" t="n"/>
      <x:c r="D118" s="139" t="n"/>
      <x:c r="E118" s="139" t="n"/>
      <x:c r="F118" s="139" t="n"/>
      <x:c r="G118" s="139" t="n"/>
      <x:c r="H118" s="139" t="n"/>
      <x:c r="I118" s="139" t="n"/>
      <x:c r="J118" s="139" t="n"/>
      <x:c r="K118" s="139" t="n"/>
      <x:c r="L118" s="139" t="n"/>
      <x:c r="M118" s="139" t="n"/>
      <x:c r="N118" s="139" t="n"/>
      <x:c r="O118" s="139" t="n"/>
      <x:c r="P118" s="139" t="n"/>
      <x:c r="Q118" s="139" t="n"/>
      <x:c r="R118" s="139" t="n"/>
      <x:c r="S118" s="139" t="n"/>
      <x:c r="T118" s="139" t="n"/>
      <x:c r="U118" s="139" t="n"/>
      <x:c r="V118" s="139" t="n"/>
      <x:c r="W118" s="139" t="n"/>
      <x:c r="X118" s="139" t="n"/>
      <x:c r="Y118" s="139" t="n"/>
      <x:c r="Z118" s="139" t="n"/>
      <x:c r="AA118" s="139" t="n"/>
      <x:c r="AB118" s="139" t="n"/>
      <x:c r="AC118" s="139" t="n"/>
      <x:c r="AD118" s="139" t="n"/>
      <x:c r="AE118" s="139" t="n"/>
      <x:c r="AF118" s="139" t="n"/>
      <x:c r="AG118" s="139" t="n"/>
      <x:c r="AH118" s="139" t="n"/>
      <x:c r="AI118" s="139" t="n"/>
      <x:c r="AJ118" s="139" t="n"/>
      <x:c r="AK118" s="139" t="n"/>
      <x:c r="AL118" s="139" t="n"/>
      <x:c r="AM118" s="139" t="n"/>
      <x:c r="AN118" s="139" t="n"/>
      <x:c r="AO118" s="139" t="n"/>
      <x:c r="AP118" s="139" t="n"/>
      <x:c r="AQ118" s="139" t="n"/>
      <x:c r="AR118" s="139" t="n"/>
      <x:c r="AS118" s="139" t="n"/>
      <x:c r="AT118" s="139" t="n"/>
      <x:c r="AU118" s="139" t="n"/>
      <x:c r="AV118" s="139" t="n"/>
      <x:c r="AW118" s="139" t="n"/>
      <x:c r="AX118" s="139" t="n"/>
      <x:c r="AY118" s="139" t="n"/>
      <x:c r="AZ118" s="139" t="n"/>
    </x:row>
    <x:row r="119">
      <x:c r="A119" s="139" t="n"/>
      <x:c r="B119" s="139" t="n"/>
      <x:c r="C119" s="139" t="n"/>
      <x:c r="D119" s="139" t="n"/>
      <x:c r="E119" s="139" t="n"/>
      <x:c r="F119" s="139" t="n"/>
      <x:c r="G119" s="139" t="n"/>
      <x:c r="H119" s="139" t="n"/>
      <x:c r="I119" s="139" t="n"/>
      <x:c r="J119" s="139" t="n"/>
      <x:c r="K119" s="139" t="n"/>
      <x:c r="L119" s="139" t="n"/>
      <x:c r="M119" s="139" t="n"/>
      <x:c r="N119" s="139" t="n"/>
      <x:c r="O119" s="139" t="n"/>
      <x:c r="P119" s="139" t="n"/>
      <x:c r="Q119" s="139" t="n"/>
      <x:c r="R119" s="139" t="n"/>
      <x:c r="S119" s="139" t="n"/>
      <x:c r="T119" s="139" t="n"/>
      <x:c r="U119" s="139" t="n"/>
      <x:c r="V119" s="139" t="n"/>
      <x:c r="W119" s="139" t="n"/>
      <x:c r="X119" s="139" t="n"/>
      <x:c r="Y119" s="139" t="n"/>
      <x:c r="Z119" s="139" t="n"/>
      <x:c r="AA119" s="139" t="n"/>
      <x:c r="AB119" s="139" t="n"/>
      <x:c r="AC119" s="139" t="n"/>
      <x:c r="AD119" s="139" t="n"/>
      <x:c r="AE119" s="139" t="n"/>
      <x:c r="AF119" s="139" t="n"/>
      <x:c r="AG119" s="139" t="n"/>
      <x:c r="AH119" s="139" t="n"/>
      <x:c r="AI119" s="139" t="n"/>
      <x:c r="AJ119" s="139" t="n"/>
      <x:c r="AK119" s="139" t="n"/>
      <x:c r="AL119" s="139" t="n"/>
      <x:c r="AM119" s="139" t="n"/>
      <x:c r="AN119" s="139" t="n"/>
      <x:c r="AO119" s="139" t="n"/>
      <x:c r="AP119" s="139" t="n"/>
      <x:c r="AQ119" s="139" t="n"/>
      <x:c r="AR119" s="139" t="n"/>
      <x:c r="AS119" s="139" t="n"/>
      <x:c r="AT119" s="139" t="n"/>
      <x:c r="AU119" s="139" t="n"/>
      <x:c r="AV119" s="139" t="n"/>
      <x:c r="AW119" s="139" t="n"/>
      <x:c r="AX119" s="139" t="n"/>
      <x:c r="AY119" s="139" t="n"/>
      <x:c r="AZ119" s="139" t="n"/>
    </x:row>
    <x:row r="120">
      <x:c r="A120" s="139" t="n"/>
      <x:c r="B120" s="139" t="n"/>
      <x:c r="C120" s="139" t="n"/>
      <x:c r="D120" s="139" t="n"/>
      <x:c r="E120" s="139" t="n"/>
      <x:c r="F120" s="139" t="n"/>
      <x:c r="G120" s="139" t="n"/>
      <x:c r="H120" s="139" t="n"/>
      <x:c r="I120" s="139" t="n"/>
      <x:c r="J120" s="139" t="n"/>
      <x:c r="K120" s="139" t="n"/>
      <x:c r="L120" s="139" t="n"/>
      <x:c r="M120" s="139" t="n"/>
      <x:c r="N120" s="139" t="n"/>
      <x:c r="O120" s="139" t="n"/>
      <x:c r="P120" s="139" t="n"/>
      <x:c r="Q120" s="139" t="n"/>
      <x:c r="R120" s="139" t="n"/>
      <x:c r="S120" s="139" t="n"/>
      <x:c r="T120" s="139" t="n"/>
      <x:c r="U120" s="139" t="n"/>
      <x:c r="V120" s="139" t="n"/>
      <x:c r="W120" s="139" t="n"/>
      <x:c r="X120" s="139" t="n"/>
      <x:c r="Y120" s="139" t="n"/>
      <x:c r="Z120" s="139" t="n"/>
      <x:c r="AA120" s="139" t="n"/>
      <x:c r="AB120" s="139" t="n"/>
      <x:c r="AC120" s="139" t="n"/>
      <x:c r="AD120" s="139" t="n"/>
      <x:c r="AE120" s="139" t="n"/>
      <x:c r="AF120" s="139" t="n"/>
      <x:c r="AG120" s="139" t="n"/>
      <x:c r="AH120" s="139" t="n"/>
      <x:c r="AI120" s="139" t="n"/>
      <x:c r="AJ120" s="139" t="n"/>
      <x:c r="AK120" s="139" t="n"/>
      <x:c r="AL120" s="139" t="n"/>
      <x:c r="AM120" s="139" t="n"/>
      <x:c r="AN120" s="139" t="n"/>
      <x:c r="AO120" s="139" t="n"/>
      <x:c r="AP120" s="139" t="n"/>
      <x:c r="AQ120" s="139" t="n"/>
      <x:c r="AR120" s="139" t="n"/>
      <x:c r="AS120" s="139" t="n"/>
      <x:c r="AT120" s="139" t="n"/>
      <x:c r="AU120" s="139" t="n"/>
      <x:c r="AV120" s="139" t="n"/>
      <x:c r="AW120" s="139" t="n"/>
      <x:c r="AX120" s="139" t="n"/>
      <x:c r="AY120" s="139" t="n"/>
      <x:c r="AZ120" s="139" t="n"/>
    </x:row>
    <x:row r="121">
      <x:c r="A121" s="139" t="n"/>
      <x:c r="B121" s="139" t="n"/>
      <x:c r="C121" s="139" t="n"/>
      <x:c r="D121" s="139" t="n"/>
      <x:c r="E121" s="139" t="n"/>
      <x:c r="F121" s="139" t="n"/>
      <x:c r="G121" s="139" t="n"/>
      <x:c r="H121" s="139" t="n"/>
      <x:c r="I121" s="139" t="n"/>
      <x:c r="J121" s="139" t="n"/>
      <x:c r="K121" s="139" t="n"/>
      <x:c r="L121" s="139" t="n"/>
      <x:c r="M121" s="139" t="n"/>
      <x:c r="N121" s="139" t="n"/>
      <x:c r="O121" s="139" t="n"/>
      <x:c r="P121" s="139" t="n"/>
      <x:c r="Q121" s="139" t="n"/>
      <x:c r="R121" s="139" t="n"/>
      <x:c r="S121" s="139" t="n"/>
      <x:c r="T121" s="139" t="n"/>
      <x:c r="U121" s="139" t="n"/>
      <x:c r="V121" s="139" t="n"/>
      <x:c r="W121" s="139" t="n"/>
      <x:c r="X121" s="139" t="n"/>
      <x:c r="Y121" s="139" t="n"/>
      <x:c r="Z121" s="139" t="n"/>
      <x:c r="AA121" s="139" t="n"/>
      <x:c r="AB121" s="139" t="n"/>
      <x:c r="AC121" s="139" t="n"/>
      <x:c r="AD121" s="139" t="n"/>
      <x:c r="AE121" s="139" t="n"/>
      <x:c r="AF121" s="139" t="n"/>
      <x:c r="AG121" s="139" t="n"/>
      <x:c r="AH121" s="139" t="n"/>
      <x:c r="AI121" s="139" t="n"/>
      <x:c r="AJ121" s="139" t="n"/>
      <x:c r="AK121" s="139" t="n"/>
      <x:c r="AL121" s="139" t="n"/>
      <x:c r="AM121" s="139" t="n"/>
      <x:c r="AN121" s="139" t="n"/>
      <x:c r="AO121" s="139" t="n"/>
      <x:c r="AP121" s="139" t="n"/>
      <x:c r="AQ121" s="139" t="n"/>
      <x:c r="AR121" s="139" t="n"/>
      <x:c r="AS121" s="139" t="n"/>
      <x:c r="AT121" s="139" t="n"/>
      <x:c r="AU121" s="139" t="n"/>
      <x:c r="AV121" s="139" t="n"/>
      <x:c r="AW121" s="139" t="n"/>
      <x:c r="AX121" s="139" t="n"/>
      <x:c r="AY121" s="139" t="n"/>
      <x:c r="AZ121" s="139" t="n"/>
    </x:row>
    <x:row r="122">
      <x:c r="A122" s="139" t="n"/>
      <x:c r="B122" s="139" t="n"/>
      <x:c r="C122" s="139" t="n"/>
      <x:c r="D122" s="139" t="n"/>
      <x:c r="E122" s="139" t="n"/>
      <x:c r="F122" s="139" t="n"/>
      <x:c r="G122" s="139" t="n"/>
      <x:c r="H122" s="139" t="n"/>
      <x:c r="I122" s="139" t="n"/>
      <x:c r="J122" s="139" t="n"/>
      <x:c r="K122" s="139" t="n"/>
      <x:c r="L122" s="139" t="n"/>
      <x:c r="M122" s="139" t="n"/>
      <x:c r="N122" s="139" t="n"/>
      <x:c r="O122" s="139" t="n"/>
      <x:c r="P122" s="139" t="n"/>
      <x:c r="Q122" s="139" t="n"/>
      <x:c r="R122" s="139" t="n"/>
      <x:c r="S122" s="139" t="n"/>
      <x:c r="T122" s="139" t="n"/>
      <x:c r="U122" s="139" t="n"/>
      <x:c r="V122" s="139" t="n"/>
      <x:c r="W122" s="139" t="n"/>
      <x:c r="X122" s="139" t="n"/>
      <x:c r="Y122" s="139" t="n"/>
      <x:c r="Z122" s="139" t="n"/>
      <x:c r="AA122" s="139" t="n"/>
      <x:c r="AB122" s="139" t="n"/>
      <x:c r="AC122" s="139" t="n"/>
      <x:c r="AD122" s="139" t="n"/>
      <x:c r="AE122" s="139" t="n"/>
      <x:c r="AF122" s="139" t="n"/>
      <x:c r="AG122" s="139" t="n"/>
      <x:c r="AH122" s="139" t="n"/>
      <x:c r="AI122" s="139" t="n"/>
      <x:c r="AJ122" s="139" t="n"/>
      <x:c r="AK122" s="139" t="n"/>
      <x:c r="AL122" s="139" t="n"/>
      <x:c r="AM122" s="139" t="n"/>
      <x:c r="AN122" s="139" t="n"/>
      <x:c r="AO122" s="139" t="n"/>
      <x:c r="AP122" s="139" t="n"/>
      <x:c r="AQ122" s="139" t="n"/>
      <x:c r="AR122" s="139" t="n"/>
      <x:c r="AS122" s="139" t="n"/>
      <x:c r="AT122" s="139" t="n"/>
      <x:c r="AU122" s="139" t="n"/>
      <x:c r="AV122" s="139" t="n"/>
      <x:c r="AW122" s="139" t="n"/>
      <x:c r="AX122" s="139" t="n"/>
      <x:c r="AY122" s="139" t="n"/>
      <x:c r="AZ122" s="139" t="n"/>
    </x:row>
    <x:row r="123">
      <x:c r="A123" s="139" t="n"/>
      <x:c r="B123" s="139" t="n"/>
      <x:c r="C123" s="139" t="n"/>
      <x:c r="D123" s="139" t="n"/>
      <x:c r="E123" s="139" t="n"/>
      <x:c r="F123" s="139" t="n"/>
      <x:c r="G123" s="139" t="n"/>
      <x:c r="H123" s="139" t="n"/>
      <x:c r="I123" s="139" t="n"/>
      <x:c r="J123" s="139" t="n"/>
      <x:c r="K123" s="139" t="n"/>
      <x:c r="L123" s="139" t="n"/>
      <x:c r="M123" s="139" t="n"/>
      <x:c r="N123" s="139" t="n"/>
      <x:c r="O123" s="139" t="n"/>
      <x:c r="P123" s="139" t="n"/>
      <x:c r="Q123" s="139" t="n"/>
      <x:c r="R123" s="139" t="n"/>
      <x:c r="S123" s="139" t="n"/>
      <x:c r="T123" s="139" t="n"/>
      <x:c r="U123" s="139" t="n"/>
      <x:c r="V123" s="139" t="n"/>
      <x:c r="W123" s="139" t="n"/>
      <x:c r="X123" s="139" t="n"/>
      <x:c r="Y123" s="139" t="n"/>
      <x:c r="Z123" s="139" t="n"/>
      <x:c r="AA123" s="139" t="n"/>
      <x:c r="AB123" s="139" t="n"/>
      <x:c r="AC123" s="139" t="n"/>
      <x:c r="AD123" s="139" t="n"/>
      <x:c r="AE123" s="139" t="n"/>
      <x:c r="AF123" s="139" t="n"/>
      <x:c r="AG123" s="139" t="n"/>
      <x:c r="AH123" s="139" t="n"/>
      <x:c r="AI123" s="139" t="n"/>
      <x:c r="AJ123" s="139" t="n"/>
      <x:c r="AK123" s="139" t="n"/>
      <x:c r="AL123" s="139" t="n"/>
      <x:c r="AM123" s="139" t="n"/>
      <x:c r="AN123" s="139" t="n"/>
      <x:c r="AO123" s="139" t="n"/>
      <x:c r="AP123" s="139" t="n"/>
      <x:c r="AQ123" s="139" t="n"/>
      <x:c r="AR123" s="139" t="n"/>
      <x:c r="AS123" s="139" t="n"/>
      <x:c r="AT123" s="139" t="n"/>
      <x:c r="AU123" s="139" t="n"/>
      <x:c r="AV123" s="139" t="n"/>
      <x:c r="AW123" s="139" t="n"/>
      <x:c r="AX123" s="139" t="n"/>
      <x:c r="AY123" s="139" t="n"/>
      <x:c r="AZ123" s="139" t="n"/>
    </x:row>
    <x:row r="124">
      <x:c r="A124" s="139" t="n"/>
      <x:c r="B124" s="139" t="n"/>
      <x:c r="C124" s="139" t="n"/>
      <x:c r="D124" s="139" t="n"/>
      <x:c r="E124" s="139" t="n"/>
      <x:c r="F124" s="139" t="n"/>
      <x:c r="G124" s="139" t="n"/>
      <x:c r="H124" s="139" t="n"/>
      <x:c r="I124" s="139" t="n"/>
      <x:c r="J124" s="139" t="n"/>
      <x:c r="K124" s="139" t="n"/>
      <x:c r="L124" s="139" t="n"/>
      <x:c r="M124" s="139" t="n"/>
      <x:c r="N124" s="139" t="n"/>
      <x:c r="O124" s="139" t="n"/>
      <x:c r="P124" s="139" t="n"/>
      <x:c r="Q124" s="139" t="n"/>
      <x:c r="R124" s="139" t="n"/>
      <x:c r="S124" s="139" t="n"/>
      <x:c r="T124" s="139" t="n"/>
      <x:c r="U124" s="139" t="n"/>
      <x:c r="V124" s="139" t="n"/>
      <x:c r="W124" s="139" t="n"/>
      <x:c r="X124" s="139" t="n"/>
      <x:c r="Y124" s="139" t="n"/>
      <x:c r="Z124" s="139" t="n"/>
      <x:c r="AA124" s="139" t="n"/>
      <x:c r="AB124" s="139" t="n"/>
      <x:c r="AC124" s="139" t="n"/>
      <x:c r="AD124" s="139" t="n"/>
      <x:c r="AE124" s="139" t="n"/>
      <x:c r="AF124" s="139" t="n"/>
      <x:c r="AG124" s="139" t="n"/>
      <x:c r="AH124" s="139" t="n"/>
      <x:c r="AI124" s="139" t="n"/>
      <x:c r="AJ124" s="139" t="n"/>
      <x:c r="AK124" s="139" t="n"/>
      <x:c r="AL124" s="139" t="n"/>
      <x:c r="AM124" s="139" t="n"/>
      <x:c r="AN124" s="139" t="n"/>
      <x:c r="AO124" s="139" t="n"/>
      <x:c r="AP124" s="139" t="n"/>
      <x:c r="AQ124" s="139" t="n"/>
      <x:c r="AR124" s="139" t="n"/>
      <x:c r="AS124" s="139" t="n"/>
      <x:c r="AT124" s="139" t="n"/>
      <x:c r="AU124" s="139" t="n"/>
      <x:c r="AV124" s="139" t="n"/>
      <x:c r="AW124" s="139" t="n"/>
      <x:c r="AX124" s="139" t="n"/>
      <x:c r="AY124" s="139" t="n"/>
      <x:c r="AZ124" s="139" t="n"/>
    </x:row>
    <x:row r="125">
      <x:c r="A125" s="139" t="n"/>
      <x:c r="B125" s="139" t="n"/>
      <x:c r="C125" s="139" t="n"/>
      <x:c r="D125" s="139" t="n"/>
      <x:c r="E125" s="139" t="n"/>
      <x:c r="F125" s="139" t="n"/>
      <x:c r="G125" s="139" t="n"/>
      <x:c r="H125" s="139" t="n"/>
      <x:c r="I125" s="139" t="n"/>
      <x:c r="J125" s="139" t="n"/>
      <x:c r="K125" s="139" t="n"/>
      <x:c r="L125" s="139" t="n"/>
      <x:c r="M125" s="139" t="n"/>
      <x:c r="N125" s="139" t="n"/>
      <x:c r="O125" s="139" t="n"/>
      <x:c r="P125" s="139" t="n"/>
      <x:c r="Q125" s="139" t="n"/>
      <x:c r="R125" s="139" t="n"/>
      <x:c r="S125" s="139" t="n"/>
      <x:c r="T125" s="139" t="n"/>
      <x:c r="U125" s="139" t="n"/>
      <x:c r="V125" s="139" t="n"/>
      <x:c r="W125" s="139" t="n"/>
      <x:c r="X125" s="139" t="n"/>
      <x:c r="Y125" s="139" t="n"/>
      <x:c r="Z125" s="139" t="n"/>
      <x:c r="AA125" s="139" t="n"/>
      <x:c r="AB125" s="139" t="n"/>
      <x:c r="AC125" s="139" t="n"/>
      <x:c r="AD125" s="139" t="n"/>
      <x:c r="AE125" s="139" t="n"/>
      <x:c r="AF125" s="139" t="n"/>
      <x:c r="AG125" s="139" t="n"/>
      <x:c r="AH125" s="139" t="n"/>
      <x:c r="AI125" s="139" t="n"/>
      <x:c r="AJ125" s="139" t="n"/>
      <x:c r="AK125" s="139" t="n"/>
      <x:c r="AL125" s="139" t="n"/>
      <x:c r="AM125" s="139" t="n"/>
      <x:c r="AN125" s="139" t="n"/>
      <x:c r="AO125" s="139" t="n"/>
      <x:c r="AP125" s="139" t="n"/>
      <x:c r="AQ125" s="139" t="n"/>
      <x:c r="AR125" s="139" t="n"/>
      <x:c r="AS125" s="139" t="n"/>
      <x:c r="AT125" s="139" t="n"/>
      <x:c r="AU125" s="139" t="n"/>
      <x:c r="AV125" s="139" t="n"/>
      <x:c r="AW125" s="139" t="n"/>
      <x:c r="AX125" s="139" t="n"/>
      <x:c r="AY125" s="139" t="n"/>
      <x:c r="AZ125" s="139" t="n"/>
    </x:row>
    <x:row r="126">
      <x:c r="A126" s="139" t="n"/>
      <x:c r="B126" s="139" t="n"/>
      <x:c r="C126" s="139" t="n"/>
      <x:c r="D126" s="139" t="n"/>
      <x:c r="E126" s="139" t="n"/>
      <x:c r="F126" s="139" t="n"/>
      <x:c r="G126" s="139" t="n"/>
      <x:c r="H126" s="139" t="n"/>
      <x:c r="I126" s="139" t="n"/>
      <x:c r="J126" s="139" t="n"/>
      <x:c r="K126" s="139" t="n"/>
      <x:c r="L126" s="139" t="n"/>
      <x:c r="M126" s="139" t="n"/>
      <x:c r="N126" s="139" t="n"/>
      <x:c r="O126" s="139" t="n"/>
      <x:c r="P126" s="139" t="n"/>
      <x:c r="Q126" s="139" t="n"/>
      <x:c r="R126" s="139" t="n"/>
      <x:c r="S126" s="139" t="n"/>
      <x:c r="T126" s="139" t="n"/>
      <x:c r="U126" s="139" t="n"/>
      <x:c r="V126" s="139" t="n"/>
      <x:c r="W126" s="139" t="n"/>
      <x:c r="X126" s="139" t="n"/>
      <x:c r="Y126" s="139" t="n"/>
      <x:c r="Z126" s="139" t="n"/>
      <x:c r="AA126" s="139" t="n"/>
      <x:c r="AB126" s="139" t="n"/>
      <x:c r="AC126" s="139" t="n"/>
      <x:c r="AD126" s="139" t="n"/>
      <x:c r="AE126" s="139" t="n"/>
      <x:c r="AF126" s="139" t="n"/>
      <x:c r="AG126" s="139" t="n"/>
      <x:c r="AH126" s="139" t="n"/>
      <x:c r="AI126" s="139" t="n"/>
      <x:c r="AJ126" s="139" t="n"/>
      <x:c r="AK126" s="139" t="n"/>
      <x:c r="AL126" s="139" t="n"/>
      <x:c r="AM126" s="139" t="n"/>
      <x:c r="AN126" s="139" t="n"/>
      <x:c r="AO126" s="139" t="n"/>
      <x:c r="AP126" s="139" t="n"/>
      <x:c r="AQ126" s="139" t="n"/>
      <x:c r="AR126" s="139" t="n"/>
      <x:c r="AS126" s="139" t="n"/>
      <x:c r="AT126" s="139" t="n"/>
      <x:c r="AU126" s="139" t="n"/>
      <x:c r="AV126" s="139" t="n"/>
      <x:c r="AW126" s="139" t="n"/>
      <x:c r="AX126" s="139" t="n"/>
      <x:c r="AY126" s="139" t="n"/>
      <x:c r="AZ126" s="139" t="n"/>
    </x:row>
    <x:row r="127">
      <x:c r="A127" s="139" t="n"/>
      <x:c r="B127" s="139" t="n"/>
      <x:c r="C127" s="139" t="n"/>
      <x:c r="D127" s="139" t="n"/>
      <x:c r="E127" s="139" t="n"/>
      <x:c r="F127" s="139" t="n"/>
      <x:c r="G127" s="139" t="n"/>
      <x:c r="H127" s="139" t="n"/>
      <x:c r="I127" s="139" t="n"/>
      <x:c r="J127" s="139" t="n"/>
      <x:c r="K127" s="139" t="n"/>
      <x:c r="L127" s="139" t="n"/>
      <x:c r="M127" s="139" t="n"/>
      <x:c r="N127" s="139" t="n"/>
      <x:c r="O127" s="139" t="n"/>
      <x:c r="P127" s="139" t="n"/>
      <x:c r="Q127" s="139" t="n"/>
      <x:c r="R127" s="139" t="n"/>
      <x:c r="S127" s="139" t="n"/>
      <x:c r="T127" s="139" t="n"/>
      <x:c r="U127" s="139" t="n"/>
      <x:c r="V127" s="139" t="n"/>
      <x:c r="W127" s="139" t="n"/>
      <x:c r="X127" s="139" t="n"/>
      <x:c r="Y127" s="139" t="n"/>
      <x:c r="Z127" s="139" t="n"/>
      <x:c r="AA127" s="139" t="n"/>
      <x:c r="AB127" s="139" t="n"/>
      <x:c r="AC127" s="139" t="n"/>
      <x:c r="AD127" s="139" t="n"/>
      <x:c r="AE127" s="139" t="n"/>
      <x:c r="AF127" s="139" t="n"/>
      <x:c r="AG127" s="139" t="n"/>
      <x:c r="AH127" s="139" t="n"/>
      <x:c r="AI127" s="139" t="n"/>
      <x:c r="AJ127" s="139" t="n"/>
      <x:c r="AK127" s="139" t="n"/>
      <x:c r="AL127" s="139" t="n"/>
      <x:c r="AM127" s="139" t="n"/>
      <x:c r="AN127" s="139" t="n"/>
      <x:c r="AO127" s="139" t="n"/>
      <x:c r="AP127" s="139" t="n"/>
      <x:c r="AQ127" s="139" t="n"/>
      <x:c r="AR127" s="139" t="n"/>
      <x:c r="AS127" s="139" t="n"/>
      <x:c r="AT127" s="139" t="n"/>
      <x:c r="AU127" s="139" t="n"/>
      <x:c r="AV127" s="139" t="n"/>
      <x:c r="AW127" s="139" t="n"/>
      <x:c r="AX127" s="139" t="n"/>
      <x:c r="AY127" s="139" t="n"/>
      <x:c r="AZ127" s="139" t="n"/>
    </x:row>
    <x:row r="128">
      <x:c r="A128" s="139" t="n"/>
      <x:c r="B128" s="139" t="n"/>
      <x:c r="C128" s="139" t="n"/>
      <x:c r="D128" s="139" t="n"/>
      <x:c r="E128" s="139" t="n"/>
      <x:c r="F128" s="139" t="n"/>
      <x:c r="G128" s="139" t="n"/>
      <x:c r="H128" s="139" t="n"/>
      <x:c r="I128" s="139" t="n"/>
      <x:c r="J128" s="139" t="n"/>
      <x:c r="K128" s="139" t="n"/>
      <x:c r="L128" s="139" t="n"/>
      <x:c r="M128" s="139" t="n"/>
      <x:c r="N128" s="139" t="n"/>
      <x:c r="O128" s="139" t="n"/>
      <x:c r="P128" s="139" t="n"/>
      <x:c r="Q128" s="139" t="n"/>
      <x:c r="R128" s="139" t="n"/>
      <x:c r="S128" s="139" t="n"/>
      <x:c r="T128" s="139" t="n"/>
      <x:c r="U128" s="139" t="n"/>
      <x:c r="V128" s="139" t="n"/>
      <x:c r="W128" s="139" t="n"/>
      <x:c r="X128" s="139" t="n"/>
      <x:c r="Y128" s="139" t="n"/>
      <x:c r="Z128" s="139" t="n"/>
      <x:c r="AA128" s="139" t="n"/>
      <x:c r="AB128" s="139" t="n"/>
      <x:c r="AC128" s="139" t="n"/>
      <x:c r="AD128" s="139" t="n"/>
      <x:c r="AE128" s="139" t="n"/>
      <x:c r="AF128" s="139" t="n"/>
      <x:c r="AG128" s="139" t="n"/>
      <x:c r="AH128" s="139" t="n"/>
      <x:c r="AI128" s="139" t="n"/>
      <x:c r="AJ128" s="139" t="n"/>
      <x:c r="AK128" s="139" t="n"/>
      <x:c r="AL128" s="139" t="n"/>
      <x:c r="AM128" s="139" t="n"/>
      <x:c r="AN128" s="139" t="n"/>
      <x:c r="AO128" s="139" t="n"/>
      <x:c r="AP128" s="139" t="n"/>
      <x:c r="AQ128" s="139" t="n"/>
      <x:c r="AR128" s="139" t="n"/>
      <x:c r="AS128" s="139" t="n"/>
      <x:c r="AT128" s="139" t="n"/>
      <x:c r="AU128" s="139" t="n"/>
      <x:c r="AV128" s="139" t="n"/>
      <x:c r="AW128" s="139" t="n"/>
      <x:c r="AX128" s="139" t="n"/>
      <x:c r="AY128" s="139" t="n"/>
      <x:c r="AZ128" s="139" t="n"/>
    </x:row>
    <x:row r="129">
      <x:c r="A129" s="139" t="n"/>
      <x:c r="B129" s="139" t="n"/>
      <x:c r="C129" s="139" t="n"/>
      <x:c r="D129" s="139" t="n"/>
      <x:c r="E129" s="139" t="n"/>
      <x:c r="F129" s="139" t="n"/>
      <x:c r="G129" s="139" t="n"/>
      <x:c r="H129" s="139" t="n"/>
      <x:c r="I129" s="139" t="n"/>
      <x:c r="J129" s="139" t="n"/>
      <x:c r="K129" s="139" t="n"/>
      <x:c r="L129" s="139" t="n"/>
      <x:c r="M129" s="139" t="n"/>
      <x:c r="N129" s="139" t="n"/>
      <x:c r="O129" s="139" t="n"/>
      <x:c r="P129" s="139" t="n"/>
      <x:c r="Q129" s="139" t="n"/>
      <x:c r="R129" s="139" t="n"/>
      <x:c r="S129" s="139" t="n"/>
      <x:c r="T129" s="139" t="n"/>
      <x:c r="U129" s="139" t="n"/>
      <x:c r="V129" s="139" t="n"/>
      <x:c r="W129" s="139" t="n"/>
      <x:c r="X129" s="139" t="n"/>
      <x:c r="Y129" s="139" t="n"/>
      <x:c r="Z129" s="139" t="n"/>
      <x:c r="AA129" s="139" t="n"/>
      <x:c r="AB129" s="139" t="n"/>
      <x:c r="AC129" s="139" t="n"/>
      <x:c r="AD129" s="139" t="n"/>
      <x:c r="AE129" s="139" t="n"/>
      <x:c r="AF129" s="139" t="n"/>
      <x:c r="AG129" s="139" t="n"/>
      <x:c r="AH129" s="139" t="n"/>
      <x:c r="AI129" s="139" t="n"/>
      <x:c r="AJ129" s="139" t="n"/>
      <x:c r="AK129" s="139" t="n"/>
      <x:c r="AL129" s="139" t="n"/>
      <x:c r="AM129" s="139" t="n"/>
      <x:c r="AN129" s="139" t="n"/>
      <x:c r="AO129" s="139" t="n"/>
      <x:c r="AP129" s="139" t="n"/>
      <x:c r="AQ129" s="139" t="n"/>
      <x:c r="AR129" s="139" t="n"/>
      <x:c r="AS129" s="139" t="n"/>
      <x:c r="AT129" s="139" t="n"/>
      <x:c r="AU129" s="139" t="n"/>
      <x:c r="AV129" s="139" t="n"/>
      <x:c r="AW129" s="139" t="n"/>
      <x:c r="AX129" s="139" t="n"/>
      <x:c r="AY129" s="139" t="n"/>
      <x:c r="AZ129" s="139" t="n"/>
    </x:row>
    <x:row r="130">
      <x:c r="A130" s="139" t="n"/>
      <x:c r="B130" s="139" t="n"/>
      <x:c r="C130" s="139" t="n"/>
      <x:c r="D130" s="139" t="n"/>
      <x:c r="E130" s="139" t="n"/>
      <x:c r="F130" s="139" t="n"/>
      <x:c r="G130" s="139" t="n"/>
      <x:c r="H130" s="139" t="n"/>
      <x:c r="I130" s="139" t="n"/>
      <x:c r="J130" s="139" t="n"/>
      <x:c r="K130" s="139" t="n"/>
      <x:c r="L130" s="139" t="n"/>
      <x:c r="M130" s="139" t="n"/>
      <x:c r="N130" s="139" t="n"/>
      <x:c r="O130" s="139" t="n"/>
      <x:c r="P130" s="139" t="n"/>
      <x:c r="Q130" s="139" t="n"/>
      <x:c r="R130" s="139" t="n"/>
      <x:c r="S130" s="139" t="n"/>
      <x:c r="T130" s="139" t="n"/>
      <x:c r="U130" s="139" t="n"/>
      <x:c r="V130" s="139" t="n"/>
      <x:c r="W130" s="139" t="n"/>
      <x:c r="X130" s="139" t="n"/>
      <x:c r="Y130" s="139" t="n"/>
      <x:c r="Z130" s="139" t="n"/>
      <x:c r="AA130" s="139" t="n"/>
      <x:c r="AB130" s="139" t="n"/>
      <x:c r="AC130" s="139" t="n"/>
      <x:c r="AD130" s="139" t="n"/>
      <x:c r="AE130" s="139" t="n"/>
      <x:c r="AF130" s="139" t="n"/>
      <x:c r="AG130" s="139" t="n"/>
      <x:c r="AH130" s="139" t="n"/>
      <x:c r="AI130" s="139" t="n"/>
      <x:c r="AJ130" s="139" t="n"/>
      <x:c r="AK130" s="139" t="n"/>
      <x:c r="AL130" s="139" t="n"/>
      <x:c r="AM130" s="139" t="n"/>
      <x:c r="AN130" s="139" t="n"/>
      <x:c r="AO130" s="139" t="n"/>
      <x:c r="AP130" s="139" t="n"/>
      <x:c r="AQ130" s="139" t="n"/>
      <x:c r="AR130" s="139" t="n"/>
      <x:c r="AS130" s="139" t="n"/>
      <x:c r="AT130" s="139" t="n"/>
      <x:c r="AU130" s="139" t="n"/>
      <x:c r="AV130" s="139" t="n"/>
      <x:c r="AW130" s="139" t="n"/>
      <x:c r="AX130" s="139" t="n"/>
      <x:c r="AY130" s="139" t="n"/>
      <x:c r="AZ130" s="139" t="n"/>
    </x:row>
    <x:row r="131">
      <x:c r="A131" s="139" t="n"/>
      <x:c r="B131" s="139" t="n"/>
      <x:c r="C131" s="139" t="n"/>
      <x:c r="D131" s="139" t="n"/>
      <x:c r="E131" s="139" t="n"/>
      <x:c r="F131" s="139" t="n"/>
      <x:c r="G131" s="139" t="n"/>
      <x:c r="H131" s="139" t="n"/>
      <x:c r="I131" s="139" t="n"/>
      <x:c r="J131" s="139" t="n"/>
      <x:c r="K131" s="139" t="n"/>
      <x:c r="L131" s="139" t="n"/>
      <x:c r="M131" s="139" t="n"/>
      <x:c r="N131" s="139" t="n"/>
      <x:c r="O131" s="139" t="n"/>
      <x:c r="P131" s="139" t="n"/>
      <x:c r="Q131" s="139" t="n"/>
      <x:c r="R131" s="139" t="n"/>
      <x:c r="S131" s="139" t="n"/>
      <x:c r="T131" s="139" t="n"/>
      <x:c r="U131" s="139" t="n"/>
      <x:c r="V131" s="139" t="n"/>
      <x:c r="W131" s="139" t="n"/>
      <x:c r="X131" s="139" t="n"/>
      <x:c r="Y131" s="139" t="n"/>
      <x:c r="Z131" s="139" t="n"/>
      <x:c r="AA131" s="139" t="n"/>
      <x:c r="AB131" s="139" t="n"/>
      <x:c r="AC131" s="139" t="n"/>
      <x:c r="AD131" s="139" t="n"/>
      <x:c r="AE131" s="139" t="n"/>
      <x:c r="AF131" s="139" t="n"/>
      <x:c r="AG131" s="139" t="n"/>
      <x:c r="AH131" s="139" t="n"/>
      <x:c r="AI131" s="139" t="n"/>
      <x:c r="AJ131" s="139" t="n"/>
      <x:c r="AK131" s="139" t="n"/>
      <x:c r="AL131" s="139" t="n"/>
      <x:c r="AM131" s="139" t="n"/>
      <x:c r="AN131" s="139" t="n"/>
      <x:c r="AO131" s="139" t="n"/>
      <x:c r="AP131" s="139" t="n"/>
      <x:c r="AQ131" s="139" t="n"/>
      <x:c r="AR131" s="139" t="n"/>
      <x:c r="AS131" s="139" t="n"/>
      <x:c r="AT131" s="139" t="n"/>
      <x:c r="AU131" s="139" t="n"/>
      <x:c r="AV131" s="139" t="n"/>
      <x:c r="AW131" s="139" t="n"/>
      <x:c r="AX131" s="139" t="n"/>
      <x:c r="AY131" s="139" t="n"/>
      <x:c r="AZ131" s="139" t="n"/>
    </x:row>
    <x:row r="132">
      <x:c r="A132" s="139" t="n"/>
      <x:c r="B132" s="139" t="n"/>
      <x:c r="C132" s="139" t="n"/>
      <x:c r="D132" s="139" t="n"/>
      <x:c r="E132" s="139" t="n"/>
      <x:c r="F132" s="139" t="n"/>
      <x:c r="G132" s="139" t="n"/>
      <x:c r="H132" s="139" t="n"/>
      <x:c r="I132" s="139" t="n"/>
      <x:c r="J132" s="139" t="n"/>
      <x:c r="K132" s="139" t="n"/>
      <x:c r="L132" s="139" t="n"/>
      <x:c r="M132" s="139" t="n"/>
      <x:c r="N132" s="139" t="n"/>
      <x:c r="O132" s="139" t="n"/>
      <x:c r="P132" s="139" t="n"/>
      <x:c r="Q132" s="139" t="n"/>
      <x:c r="R132" s="139" t="n"/>
      <x:c r="S132" s="139" t="n"/>
      <x:c r="T132" s="139" t="n"/>
      <x:c r="U132" s="139" t="n"/>
      <x:c r="V132" s="139" t="n"/>
      <x:c r="W132" s="139" t="n"/>
      <x:c r="X132" s="139" t="n"/>
      <x:c r="Y132" s="139" t="n"/>
      <x:c r="Z132" s="139" t="n"/>
      <x:c r="AA132" s="139" t="n"/>
      <x:c r="AB132" s="139" t="n"/>
      <x:c r="AC132" s="139" t="n"/>
      <x:c r="AD132" s="139" t="n"/>
      <x:c r="AE132" s="139" t="n"/>
      <x:c r="AF132" s="139" t="n"/>
      <x:c r="AG132" s="139" t="n"/>
      <x:c r="AH132" s="139" t="n"/>
      <x:c r="AI132" s="139" t="n"/>
      <x:c r="AJ132" s="139" t="n"/>
      <x:c r="AK132" s="139" t="n"/>
      <x:c r="AL132" s="139" t="n"/>
      <x:c r="AM132" s="139" t="n"/>
      <x:c r="AN132" s="139" t="n"/>
      <x:c r="AO132" s="139" t="n"/>
      <x:c r="AP132" s="139" t="n"/>
      <x:c r="AQ132" s="139" t="n"/>
      <x:c r="AR132" s="139" t="n"/>
      <x:c r="AS132" s="139" t="n"/>
      <x:c r="AT132" s="139" t="n"/>
      <x:c r="AU132" s="139" t="n"/>
      <x:c r="AV132" s="139" t="n"/>
      <x:c r="AW132" s="139" t="n"/>
      <x:c r="AX132" s="139" t="n"/>
      <x:c r="AY132" s="139" t="n"/>
      <x:c r="AZ132" s="139" t="n"/>
    </x:row>
    <x:row r="133">
      <x:c r="A133" s="139" t="n"/>
      <x:c r="B133" s="139" t="n"/>
      <x:c r="C133" s="139" t="n"/>
      <x:c r="D133" s="139" t="n"/>
      <x:c r="E133" s="139" t="n"/>
      <x:c r="F133" s="139" t="n"/>
      <x:c r="G133" s="139" t="n"/>
      <x:c r="H133" s="139" t="n"/>
      <x:c r="I133" s="139" t="n"/>
      <x:c r="J133" s="139" t="n"/>
      <x:c r="K133" s="139" t="n"/>
      <x:c r="L133" s="139" t="n"/>
      <x:c r="M133" s="139" t="n"/>
      <x:c r="N133" s="139" t="n"/>
      <x:c r="O133" s="139" t="n"/>
      <x:c r="P133" s="139" t="n"/>
      <x:c r="Q133" s="139" t="n"/>
      <x:c r="R133" s="139" t="n"/>
      <x:c r="S133" s="139" t="n"/>
      <x:c r="T133" s="139" t="n"/>
      <x:c r="U133" s="139" t="n"/>
      <x:c r="V133" s="139" t="n"/>
      <x:c r="W133" s="139" t="n"/>
      <x:c r="X133" s="139" t="n"/>
      <x:c r="Y133" s="139" t="n"/>
      <x:c r="Z133" s="139" t="n"/>
      <x:c r="AA133" s="139" t="n"/>
      <x:c r="AB133" s="139" t="n"/>
      <x:c r="AC133" s="139" t="n"/>
      <x:c r="AD133" s="139" t="n"/>
      <x:c r="AE133" s="139" t="n"/>
      <x:c r="AF133" s="139" t="n"/>
      <x:c r="AG133" s="139" t="n"/>
      <x:c r="AH133" s="139" t="n"/>
      <x:c r="AI133" s="139" t="n"/>
      <x:c r="AJ133" s="139" t="n"/>
      <x:c r="AK133" s="139" t="n"/>
      <x:c r="AL133" s="139" t="n"/>
      <x:c r="AM133" s="139" t="n"/>
      <x:c r="AN133" s="139" t="n"/>
      <x:c r="AO133" s="139" t="n"/>
      <x:c r="AP133" s="139" t="n"/>
      <x:c r="AQ133" s="139" t="n"/>
      <x:c r="AR133" s="139" t="n"/>
      <x:c r="AS133" s="139" t="n"/>
      <x:c r="AT133" s="139" t="n"/>
      <x:c r="AU133" s="139" t="n"/>
      <x:c r="AV133" s="139" t="n"/>
      <x:c r="AW133" s="139" t="n"/>
      <x:c r="AX133" s="139" t="n"/>
      <x:c r="AY133" s="139" t="n"/>
      <x:c r="AZ133" s="139" t="n"/>
    </x:row>
    <x:row r="134">
      <x:c r="A134" s="139" t="n"/>
      <x:c r="B134" s="139" t="n"/>
      <x:c r="C134" s="139" t="n"/>
      <x:c r="D134" s="139" t="n"/>
      <x:c r="E134" s="139" t="n"/>
      <x:c r="F134" s="139" t="n"/>
      <x:c r="G134" s="139" t="n"/>
      <x:c r="H134" s="139" t="n"/>
      <x:c r="I134" s="139" t="n"/>
      <x:c r="J134" s="139" t="n"/>
      <x:c r="K134" s="139" t="n"/>
      <x:c r="L134" s="139" t="n"/>
      <x:c r="M134" s="139" t="n"/>
      <x:c r="N134" s="139" t="n"/>
      <x:c r="O134" s="139" t="n"/>
      <x:c r="P134" s="139" t="n"/>
      <x:c r="Q134" s="139" t="n"/>
      <x:c r="R134" s="139" t="n"/>
      <x:c r="S134" s="139" t="n"/>
      <x:c r="T134" s="139" t="n"/>
      <x:c r="U134" s="139" t="n"/>
      <x:c r="V134" s="139" t="n"/>
      <x:c r="W134" s="139" t="n"/>
      <x:c r="X134" s="139" t="n"/>
      <x:c r="Y134" s="139" t="n"/>
      <x:c r="Z134" s="139" t="n"/>
      <x:c r="AA134" s="139" t="n"/>
      <x:c r="AB134" s="139" t="n"/>
      <x:c r="AC134" s="139" t="n"/>
      <x:c r="AD134" s="139" t="n"/>
      <x:c r="AE134" s="139" t="n"/>
      <x:c r="AF134" s="139" t="n"/>
      <x:c r="AG134" s="139" t="n"/>
      <x:c r="AH134" s="139" t="n"/>
      <x:c r="AI134" s="139" t="n"/>
      <x:c r="AJ134" s="139" t="n"/>
      <x:c r="AK134" s="139" t="n"/>
      <x:c r="AL134" s="139" t="n"/>
      <x:c r="AM134" s="139" t="n"/>
      <x:c r="AN134" s="139" t="n"/>
      <x:c r="AO134" s="139" t="n"/>
      <x:c r="AP134" s="139" t="n"/>
      <x:c r="AQ134" s="139" t="n"/>
      <x:c r="AR134" s="139" t="n"/>
      <x:c r="AS134" s="139" t="n"/>
      <x:c r="AT134" s="139" t="n"/>
      <x:c r="AU134" s="139" t="n"/>
      <x:c r="AV134" s="139" t="n"/>
      <x:c r="AW134" s="139" t="n"/>
      <x:c r="AX134" s="139" t="n"/>
      <x:c r="AY134" s="139" t="n"/>
      <x:c r="AZ134" s="139" t="n"/>
    </x:row>
    <x:row r="135">
      <x:c r="A135" s="139" t="n"/>
      <x:c r="B135" s="139" t="n"/>
      <x:c r="C135" s="139" t="n"/>
      <x:c r="D135" s="139" t="n"/>
      <x:c r="E135" s="139" t="n"/>
      <x:c r="F135" s="139" t="n"/>
      <x:c r="G135" s="139" t="n"/>
      <x:c r="H135" s="139" t="n"/>
      <x:c r="I135" s="139" t="n"/>
      <x:c r="J135" s="139" t="n"/>
      <x:c r="K135" s="139" t="n"/>
      <x:c r="L135" s="139" t="n"/>
      <x:c r="M135" s="139" t="n"/>
      <x:c r="N135" s="139" t="n"/>
      <x:c r="O135" s="139" t="n"/>
      <x:c r="P135" s="139" t="n"/>
      <x:c r="Q135" s="139" t="n"/>
      <x:c r="R135" s="139" t="n"/>
      <x:c r="S135" s="139" t="n"/>
      <x:c r="T135" s="139" t="n"/>
      <x:c r="U135" s="139" t="n"/>
      <x:c r="V135" s="139" t="n"/>
      <x:c r="W135" s="139" t="n"/>
      <x:c r="X135" s="139" t="n"/>
      <x:c r="Y135" s="139" t="n"/>
      <x:c r="Z135" s="139" t="n"/>
      <x:c r="AA135" s="139" t="n"/>
      <x:c r="AB135" s="139" t="n"/>
      <x:c r="AC135" s="139" t="n"/>
      <x:c r="AD135" s="139" t="n"/>
      <x:c r="AE135" s="139" t="n"/>
      <x:c r="AF135" s="139" t="n"/>
      <x:c r="AG135" s="139" t="n"/>
      <x:c r="AH135" s="139" t="n"/>
      <x:c r="AI135" s="139" t="n"/>
      <x:c r="AJ135" s="139" t="n"/>
      <x:c r="AK135" s="139" t="n"/>
      <x:c r="AL135" s="139" t="n"/>
      <x:c r="AM135" s="139" t="n"/>
      <x:c r="AN135" s="139" t="n"/>
      <x:c r="AO135" s="139" t="n"/>
      <x:c r="AP135" s="139" t="n"/>
      <x:c r="AQ135" s="139" t="n"/>
      <x:c r="AR135" s="139" t="n"/>
      <x:c r="AS135" s="139" t="n"/>
      <x:c r="AT135" s="139" t="n"/>
      <x:c r="AU135" s="139" t="n"/>
      <x:c r="AV135" s="139" t="n"/>
      <x:c r="AW135" s="139" t="n"/>
      <x:c r="AX135" s="139" t="n"/>
      <x:c r="AY135" s="139" t="n"/>
      <x:c r="AZ135" s="139" t="n"/>
    </x:row>
    <x:row r="136">
      <x:c r="A136" s="139" t="n"/>
      <x:c r="B136" s="139" t="n"/>
      <x:c r="C136" s="139" t="n"/>
      <x:c r="D136" s="139" t="n"/>
      <x:c r="E136" s="139" t="n"/>
      <x:c r="F136" s="139" t="n"/>
      <x:c r="G136" s="139" t="n"/>
      <x:c r="H136" s="139" t="n"/>
      <x:c r="I136" s="139" t="n"/>
      <x:c r="J136" s="139" t="n"/>
      <x:c r="K136" s="139" t="n"/>
      <x:c r="L136" s="139" t="n"/>
      <x:c r="M136" s="139" t="n"/>
      <x:c r="N136" s="139" t="n"/>
      <x:c r="O136" s="139" t="n"/>
      <x:c r="P136" s="139" t="n"/>
      <x:c r="Q136" s="139" t="n"/>
      <x:c r="R136" s="139" t="n"/>
      <x:c r="S136" s="139" t="n"/>
      <x:c r="T136" s="139" t="n"/>
      <x:c r="U136" s="139" t="n"/>
      <x:c r="V136" s="139" t="n"/>
      <x:c r="W136" s="139" t="n"/>
      <x:c r="X136" s="139" t="n"/>
      <x:c r="Y136" s="139" t="n"/>
      <x:c r="Z136" s="139" t="n"/>
      <x:c r="AA136" s="139" t="n"/>
      <x:c r="AB136" s="139" t="n"/>
      <x:c r="AC136" s="139" t="n"/>
      <x:c r="AD136" s="139" t="n"/>
      <x:c r="AE136" s="139" t="n"/>
      <x:c r="AF136" s="139" t="n"/>
      <x:c r="AG136" s="139" t="n"/>
      <x:c r="AH136" s="139" t="n"/>
      <x:c r="AI136" s="139" t="n"/>
      <x:c r="AJ136" s="139" t="n"/>
      <x:c r="AK136" s="139" t="n"/>
      <x:c r="AL136" s="139" t="n"/>
      <x:c r="AM136" s="139" t="n"/>
      <x:c r="AN136" s="139" t="n"/>
      <x:c r="AO136" s="139" t="n"/>
      <x:c r="AP136" s="139" t="n"/>
      <x:c r="AQ136" s="139" t="n"/>
      <x:c r="AR136" s="139" t="n"/>
      <x:c r="AS136" s="139" t="n"/>
      <x:c r="AT136" s="139" t="n"/>
      <x:c r="AU136" s="139" t="n"/>
      <x:c r="AV136" s="139" t="n"/>
      <x:c r="AW136" s="139" t="n"/>
      <x:c r="AX136" s="139" t="n"/>
      <x:c r="AY136" s="139" t="n"/>
      <x:c r="AZ136" s="139" t="n"/>
    </x:row>
    <x:row r="137">
      <x:c r="A137" s="139" t="n"/>
      <x:c r="B137" s="139" t="n"/>
      <x:c r="C137" s="139" t="n"/>
      <x:c r="D137" s="139" t="n"/>
      <x:c r="E137" s="139" t="n"/>
      <x:c r="F137" s="139" t="n"/>
      <x:c r="G137" s="139" t="n"/>
      <x:c r="H137" s="139" t="n"/>
      <x:c r="I137" s="139" t="n"/>
      <x:c r="J137" s="139" t="n"/>
      <x:c r="K137" s="139" t="n"/>
      <x:c r="L137" s="139" t="n"/>
      <x:c r="M137" s="139" t="n"/>
      <x:c r="N137" s="139" t="n"/>
      <x:c r="O137" s="139" t="n"/>
      <x:c r="P137" s="139" t="n"/>
      <x:c r="Q137" s="139" t="n"/>
      <x:c r="R137" s="139" t="n"/>
      <x:c r="S137" s="139" t="n"/>
      <x:c r="T137" s="139" t="n"/>
      <x:c r="U137" s="139" t="n"/>
      <x:c r="V137" s="139" t="n"/>
      <x:c r="W137" s="139" t="n"/>
      <x:c r="X137" s="139" t="n"/>
      <x:c r="Y137" s="139" t="n"/>
      <x:c r="Z137" s="139" t="n"/>
      <x:c r="AA137" s="139" t="n"/>
      <x:c r="AB137" s="139" t="n"/>
      <x:c r="AC137" s="139" t="n"/>
      <x:c r="AD137" s="139" t="n"/>
      <x:c r="AE137" s="139" t="n"/>
      <x:c r="AF137" s="139" t="n"/>
      <x:c r="AG137" s="139" t="n"/>
      <x:c r="AH137" s="139" t="n"/>
      <x:c r="AI137" s="139" t="n"/>
      <x:c r="AJ137" s="139" t="n"/>
      <x:c r="AK137" s="139" t="n"/>
      <x:c r="AL137" s="139" t="n"/>
      <x:c r="AM137" s="139" t="n"/>
      <x:c r="AN137" s="139" t="n"/>
      <x:c r="AO137" s="139" t="n"/>
      <x:c r="AP137" s="139" t="n"/>
      <x:c r="AQ137" s="139" t="n"/>
      <x:c r="AR137" s="139" t="n"/>
      <x:c r="AS137" s="139" t="n"/>
      <x:c r="AT137" s="139" t="n"/>
      <x:c r="AU137" s="139" t="n"/>
      <x:c r="AV137" s="139" t="n"/>
      <x:c r="AW137" s="139" t="n"/>
      <x:c r="AX137" s="139" t="n"/>
      <x:c r="AY137" s="139" t="n"/>
      <x:c r="AZ137" s="139" t="n"/>
    </x:row>
    <x:row r="138">
      <x:c r="A138" s="139" t="n"/>
      <x:c r="B138" s="139" t="n"/>
      <x:c r="C138" s="139" t="n"/>
      <x:c r="D138" s="139" t="n"/>
      <x:c r="E138" s="139" t="n"/>
      <x:c r="F138" s="139" t="n"/>
      <x:c r="G138" s="139" t="n"/>
      <x:c r="H138" s="139" t="n"/>
      <x:c r="I138" s="139" t="n"/>
      <x:c r="J138" s="139" t="n"/>
      <x:c r="K138" s="139" t="n"/>
      <x:c r="L138" s="139" t="n"/>
      <x:c r="M138" s="139" t="n"/>
      <x:c r="N138" s="139" t="n"/>
      <x:c r="O138" s="139" t="n"/>
      <x:c r="P138" s="139" t="n"/>
      <x:c r="Q138" s="139" t="n"/>
      <x:c r="R138" s="139" t="n"/>
      <x:c r="S138" s="139" t="n"/>
      <x:c r="T138" s="139" t="n"/>
      <x:c r="U138" s="139" t="n"/>
      <x:c r="V138" s="139" t="n"/>
      <x:c r="W138" s="139" t="n"/>
      <x:c r="X138" s="139" t="n"/>
      <x:c r="Y138" s="139" t="n"/>
      <x:c r="Z138" s="139" t="n"/>
      <x:c r="AA138" s="139" t="n"/>
      <x:c r="AB138" s="139" t="n"/>
      <x:c r="AC138" s="139" t="n"/>
      <x:c r="AD138" s="139" t="n"/>
      <x:c r="AE138" s="139" t="n"/>
      <x:c r="AF138" s="139" t="n"/>
      <x:c r="AG138" s="139" t="n"/>
      <x:c r="AH138" s="139" t="n"/>
      <x:c r="AI138" s="139" t="n"/>
      <x:c r="AJ138" s="139" t="n"/>
      <x:c r="AK138" s="139" t="n"/>
      <x:c r="AL138" s="139" t="n"/>
      <x:c r="AM138" s="139" t="n"/>
      <x:c r="AN138" s="139" t="n"/>
      <x:c r="AO138" s="139" t="n"/>
      <x:c r="AP138" s="139" t="n"/>
      <x:c r="AQ138" s="139" t="n"/>
      <x:c r="AR138" s="139" t="n"/>
      <x:c r="AS138" s="139" t="n"/>
      <x:c r="AT138" s="139" t="n"/>
      <x:c r="AU138" s="139" t="n"/>
      <x:c r="AV138" s="139" t="n"/>
      <x:c r="AW138" s="139" t="n"/>
      <x:c r="AX138" s="139" t="n"/>
      <x:c r="AY138" s="139" t="n"/>
      <x:c r="AZ138" s="139" t="n"/>
    </x:row>
    <x:row r="139">
      <x:c r="A139" s="139" t="n"/>
      <x:c r="B139" s="139" t="n"/>
      <x:c r="C139" s="139" t="n"/>
      <x:c r="D139" s="139" t="n"/>
      <x:c r="E139" s="139" t="n"/>
      <x:c r="F139" s="139" t="n"/>
      <x:c r="G139" s="139" t="n"/>
      <x:c r="H139" s="139" t="n"/>
      <x:c r="I139" s="139" t="n"/>
      <x:c r="J139" s="139" t="n"/>
      <x:c r="K139" s="139" t="n"/>
      <x:c r="L139" s="139" t="n"/>
      <x:c r="M139" s="139" t="n"/>
      <x:c r="N139" s="139" t="n"/>
      <x:c r="O139" s="139" t="n"/>
      <x:c r="P139" s="139" t="n"/>
      <x:c r="Q139" s="139" t="n"/>
      <x:c r="R139" s="139" t="n"/>
      <x:c r="S139" s="139" t="n"/>
      <x:c r="T139" s="139" t="n"/>
      <x:c r="U139" s="139" t="n"/>
      <x:c r="V139" s="139" t="n"/>
      <x:c r="W139" s="139" t="n"/>
      <x:c r="X139" s="139" t="n"/>
      <x:c r="Y139" s="139" t="n"/>
      <x:c r="Z139" s="139" t="n"/>
      <x:c r="AA139" s="139" t="n"/>
      <x:c r="AB139" s="139" t="n"/>
      <x:c r="AC139" s="139" t="n"/>
      <x:c r="AD139" s="139" t="n"/>
      <x:c r="AE139" s="139" t="n"/>
      <x:c r="AF139" s="139" t="n"/>
      <x:c r="AG139" s="139" t="n"/>
      <x:c r="AH139" s="139" t="n"/>
      <x:c r="AI139" s="139" t="n"/>
      <x:c r="AJ139" s="139" t="n"/>
      <x:c r="AK139" s="139" t="n"/>
      <x:c r="AL139" s="139" t="n"/>
      <x:c r="AM139" s="139" t="n"/>
      <x:c r="AN139" s="139" t="n"/>
      <x:c r="AO139" s="139" t="n"/>
      <x:c r="AP139" s="139" t="n"/>
      <x:c r="AQ139" s="139" t="n"/>
      <x:c r="AR139" s="139" t="n"/>
      <x:c r="AS139" s="139" t="n"/>
      <x:c r="AT139" s="139" t="n"/>
      <x:c r="AU139" s="139" t="n"/>
      <x:c r="AV139" s="139" t="n"/>
      <x:c r="AW139" s="139" t="n"/>
      <x:c r="AX139" s="139" t="n"/>
      <x:c r="AY139" s="139" t="n"/>
      <x:c r="AZ139" s="139" t="n"/>
    </x:row>
    <x:row r="140">
      <x:c r="A140" s="139" t="n"/>
      <x:c r="B140" s="139" t="n"/>
      <x:c r="C140" s="139" t="n"/>
      <x:c r="D140" s="139" t="n"/>
      <x:c r="E140" s="139" t="n"/>
      <x:c r="F140" s="139" t="n"/>
      <x:c r="G140" s="139" t="n"/>
      <x:c r="H140" s="139" t="n"/>
      <x:c r="I140" s="139" t="n"/>
      <x:c r="J140" s="139" t="n"/>
      <x:c r="K140" s="139" t="n"/>
      <x:c r="L140" s="139" t="n"/>
      <x:c r="M140" s="139" t="n"/>
      <x:c r="N140" s="139" t="n"/>
      <x:c r="O140" s="139" t="n"/>
      <x:c r="P140" s="139" t="n"/>
      <x:c r="Q140" s="139" t="n"/>
      <x:c r="R140" s="139" t="n"/>
      <x:c r="S140" s="139" t="n"/>
      <x:c r="T140" s="139" t="n"/>
      <x:c r="U140" s="139" t="n"/>
      <x:c r="V140" s="139" t="n"/>
      <x:c r="W140" s="139" t="n"/>
      <x:c r="X140" s="139" t="n"/>
      <x:c r="Y140" s="139" t="n"/>
      <x:c r="Z140" s="139" t="n"/>
      <x:c r="AA140" s="139" t="n"/>
      <x:c r="AB140" s="139" t="n"/>
      <x:c r="AC140" s="139" t="n"/>
      <x:c r="AD140" s="139" t="n"/>
      <x:c r="AE140" s="139" t="n"/>
      <x:c r="AF140" s="139" t="n"/>
      <x:c r="AG140" s="139" t="n"/>
      <x:c r="AH140" s="139" t="n"/>
      <x:c r="AI140" s="139" t="n"/>
      <x:c r="AJ140" s="139" t="n"/>
      <x:c r="AK140" s="139" t="n"/>
      <x:c r="AL140" s="139" t="n"/>
      <x:c r="AM140" s="139" t="n"/>
      <x:c r="AN140" s="139" t="n"/>
      <x:c r="AO140" s="139" t="n"/>
      <x:c r="AP140" s="139" t="n"/>
      <x:c r="AQ140" s="139" t="n"/>
      <x:c r="AR140" s="139" t="n"/>
      <x:c r="AS140" s="139" t="n"/>
      <x:c r="AT140" s="139" t="n"/>
      <x:c r="AU140" s="139" t="n"/>
      <x:c r="AV140" s="139" t="n"/>
      <x:c r="AW140" s="139" t="n"/>
      <x:c r="AX140" s="139" t="n"/>
      <x:c r="AY140" s="139" t="n"/>
      <x:c r="AZ140" s="139" t="n"/>
    </x:row>
    <x:row r="141">
      <x:c r="A141" s="139" t="n"/>
      <x:c r="B141" s="139" t="n"/>
      <x:c r="C141" s="139" t="n"/>
      <x:c r="D141" s="139" t="n"/>
      <x:c r="E141" s="139" t="n"/>
      <x:c r="F141" s="139" t="n"/>
      <x:c r="G141" s="139" t="n"/>
      <x:c r="H141" s="139" t="n"/>
      <x:c r="I141" s="139" t="n"/>
      <x:c r="J141" s="139" t="n"/>
      <x:c r="K141" s="139" t="n"/>
      <x:c r="L141" s="139" t="n"/>
      <x:c r="M141" s="139" t="n"/>
      <x:c r="N141" s="139" t="n"/>
      <x:c r="O141" s="139" t="n"/>
      <x:c r="P141" s="139" t="n"/>
      <x:c r="Q141" s="139" t="n"/>
      <x:c r="R141" s="139" t="n"/>
      <x:c r="S141" s="139" t="n"/>
      <x:c r="T141" s="139" t="n"/>
      <x:c r="U141" s="139" t="n"/>
      <x:c r="V141" s="139" t="n"/>
      <x:c r="W141" s="139" t="n"/>
      <x:c r="X141" s="139" t="n"/>
      <x:c r="Y141" s="139" t="n"/>
      <x:c r="Z141" s="139" t="n"/>
      <x:c r="AA141" s="139" t="n"/>
      <x:c r="AB141" s="139" t="n"/>
      <x:c r="AC141" s="139" t="n"/>
      <x:c r="AD141" s="139" t="n"/>
      <x:c r="AE141" s="139" t="n"/>
      <x:c r="AF141" s="139" t="n"/>
      <x:c r="AG141" s="139" t="n"/>
      <x:c r="AH141" s="139" t="n"/>
      <x:c r="AI141" s="139" t="n"/>
      <x:c r="AJ141" s="139" t="n"/>
      <x:c r="AK141" s="139" t="n"/>
      <x:c r="AL141" s="139" t="n"/>
      <x:c r="AM141" s="139" t="n"/>
      <x:c r="AN141" s="139" t="n"/>
      <x:c r="AO141" s="139" t="n"/>
      <x:c r="AP141" s="139" t="n"/>
      <x:c r="AQ141" s="139" t="n"/>
      <x:c r="AR141" s="139" t="n"/>
      <x:c r="AS141" s="139" t="n"/>
      <x:c r="AT141" s="139" t="n"/>
      <x:c r="AU141" s="139" t="n"/>
      <x:c r="AV141" s="139" t="n"/>
      <x:c r="AW141" s="139" t="n"/>
      <x:c r="AX141" s="139" t="n"/>
      <x:c r="AY141" s="139" t="n"/>
      <x:c r="AZ141" s="139" t="n"/>
    </x:row>
    <x:row r="142">
      <x:c r="A142" s="139" t="n"/>
      <x:c r="B142" s="139" t="n"/>
      <x:c r="C142" s="139" t="n"/>
      <x:c r="D142" s="139" t="n"/>
      <x:c r="E142" s="139" t="n"/>
      <x:c r="F142" s="139" t="n"/>
      <x:c r="G142" s="139" t="n"/>
      <x:c r="H142" s="139" t="n"/>
      <x:c r="I142" s="139" t="n"/>
      <x:c r="J142" s="139" t="n"/>
      <x:c r="K142" s="139" t="n"/>
      <x:c r="L142" s="139" t="n"/>
      <x:c r="M142" s="139" t="n"/>
      <x:c r="N142" s="139" t="n"/>
      <x:c r="O142" s="139" t="n"/>
      <x:c r="P142" s="139" t="n"/>
      <x:c r="Q142" s="139" t="n"/>
      <x:c r="R142" s="139" t="n"/>
      <x:c r="S142" s="139" t="n"/>
      <x:c r="T142" s="139" t="n"/>
      <x:c r="U142" s="139" t="n"/>
      <x:c r="V142" s="139" t="n"/>
      <x:c r="W142" s="139" t="n"/>
      <x:c r="X142" s="139" t="n"/>
      <x:c r="Y142" s="139" t="n"/>
      <x:c r="Z142" s="139" t="n"/>
      <x:c r="AA142" s="139" t="n"/>
      <x:c r="AB142" s="139" t="n"/>
      <x:c r="AC142" s="139" t="n"/>
      <x:c r="AD142" s="139" t="n"/>
      <x:c r="AE142" s="139" t="n"/>
      <x:c r="AF142" s="139" t="n"/>
      <x:c r="AG142" s="139" t="n"/>
      <x:c r="AH142" s="139" t="n"/>
      <x:c r="AI142" s="139" t="n"/>
      <x:c r="AJ142" s="139" t="n"/>
      <x:c r="AK142" s="139" t="n"/>
      <x:c r="AL142" s="139" t="n"/>
      <x:c r="AM142" s="139" t="n"/>
      <x:c r="AN142" s="139" t="n"/>
      <x:c r="AO142" s="139" t="n"/>
      <x:c r="AP142" s="139" t="n"/>
      <x:c r="AQ142" s="139" t="n"/>
      <x:c r="AR142" s="139" t="n"/>
      <x:c r="AS142" s="139" t="n"/>
      <x:c r="AT142" s="139" t="n"/>
      <x:c r="AU142" s="139" t="n"/>
      <x:c r="AV142" s="139" t="n"/>
      <x:c r="AW142" s="139" t="n"/>
      <x:c r="AX142" s="139" t="n"/>
      <x:c r="AY142" s="139" t="n"/>
      <x:c r="AZ142" s="139" t="n"/>
    </x:row>
    <x:row r="143">
      <x:c r="A143" s="139" t="n"/>
      <x:c r="B143" s="139" t="n"/>
      <x:c r="C143" s="139" t="n"/>
      <x:c r="D143" s="139" t="n"/>
      <x:c r="E143" s="139" t="n"/>
      <x:c r="F143" s="139" t="n"/>
      <x:c r="G143" s="139" t="n"/>
      <x:c r="H143" s="139" t="n"/>
      <x:c r="I143" s="139" t="n"/>
      <x:c r="J143" s="139" t="n"/>
      <x:c r="K143" s="139" t="n"/>
      <x:c r="L143" s="139" t="n"/>
      <x:c r="M143" s="139" t="n"/>
      <x:c r="N143" s="139" t="n"/>
      <x:c r="O143" s="139" t="n"/>
      <x:c r="P143" s="139" t="n"/>
      <x:c r="Q143" s="139" t="n"/>
      <x:c r="R143" s="139" t="n"/>
      <x:c r="S143" s="139" t="n"/>
      <x:c r="T143" s="139" t="n"/>
      <x:c r="U143" s="139" t="n"/>
      <x:c r="V143" s="139" t="n"/>
      <x:c r="W143" s="139" t="n"/>
      <x:c r="X143" s="139" t="n"/>
      <x:c r="Y143" s="139" t="n"/>
      <x:c r="Z143" s="139" t="n"/>
      <x:c r="AA143" s="139" t="n"/>
      <x:c r="AB143" s="139" t="n"/>
      <x:c r="AC143" s="139" t="n"/>
      <x:c r="AD143" s="139" t="n"/>
      <x:c r="AE143" s="139" t="n"/>
      <x:c r="AF143" s="139" t="n"/>
      <x:c r="AG143" s="139" t="n"/>
      <x:c r="AH143" s="139" t="n"/>
      <x:c r="AI143" s="139" t="n"/>
      <x:c r="AJ143" s="139" t="n"/>
      <x:c r="AK143" s="139" t="n"/>
      <x:c r="AL143" s="139" t="n"/>
      <x:c r="AM143" s="139" t="n"/>
      <x:c r="AN143" s="139" t="n"/>
      <x:c r="AO143" s="139" t="n"/>
      <x:c r="AP143" s="139" t="n"/>
      <x:c r="AQ143" s="139" t="n"/>
      <x:c r="AR143" s="139" t="n"/>
      <x:c r="AS143" s="139" t="n"/>
      <x:c r="AT143" s="139" t="n"/>
      <x:c r="AU143" s="139" t="n"/>
      <x:c r="AV143" s="139" t="n"/>
      <x:c r="AW143" s="139" t="n"/>
      <x:c r="AX143" s="139" t="n"/>
      <x:c r="AY143" s="139" t="n"/>
      <x:c r="AZ143" s="139" t="n"/>
    </x:row>
    <x:row r="144">
      <x:c r="A144" s="139" t="n"/>
      <x:c r="B144" s="139" t="n"/>
      <x:c r="C144" s="139" t="n"/>
      <x:c r="D144" s="139" t="n"/>
      <x:c r="E144" s="139" t="n"/>
      <x:c r="F144" s="139" t="n"/>
      <x:c r="G144" s="139" t="n"/>
      <x:c r="H144" s="139" t="n"/>
      <x:c r="I144" s="139" t="n"/>
      <x:c r="J144" s="139" t="n"/>
      <x:c r="K144" s="139" t="n"/>
      <x:c r="L144" s="139" t="n"/>
      <x:c r="M144" s="139" t="n"/>
      <x:c r="N144" s="139" t="n"/>
      <x:c r="O144" s="139" t="n"/>
      <x:c r="P144" s="139" t="n"/>
      <x:c r="Q144" s="139" t="n"/>
      <x:c r="R144" s="139" t="n"/>
      <x:c r="S144" s="139" t="n"/>
      <x:c r="T144" s="139" t="n"/>
      <x:c r="U144" s="139" t="n"/>
      <x:c r="V144" s="139" t="n"/>
      <x:c r="W144" s="139" t="n"/>
      <x:c r="X144" s="139" t="n"/>
      <x:c r="Y144" s="139" t="n"/>
      <x:c r="Z144" s="139" t="n"/>
      <x:c r="AA144" s="139" t="n"/>
      <x:c r="AB144" s="139" t="n"/>
      <x:c r="AC144" s="139" t="n"/>
      <x:c r="AD144" s="139" t="n"/>
      <x:c r="AE144" s="139" t="n"/>
      <x:c r="AF144" s="139" t="n"/>
      <x:c r="AG144" s="139" t="n"/>
      <x:c r="AH144" s="139" t="n"/>
      <x:c r="AI144" s="139" t="n"/>
      <x:c r="AJ144" s="139" t="n"/>
      <x:c r="AK144" s="139" t="n"/>
      <x:c r="AL144" s="139" t="n"/>
      <x:c r="AM144" s="139" t="n"/>
      <x:c r="AN144" s="139" t="n"/>
      <x:c r="AO144" s="139" t="n"/>
      <x:c r="AP144" s="139" t="n"/>
      <x:c r="AQ144" s="139" t="n"/>
      <x:c r="AR144" s="139" t="n"/>
      <x:c r="AS144" s="139" t="n"/>
      <x:c r="AT144" s="139" t="n"/>
      <x:c r="AU144" s="139" t="n"/>
      <x:c r="AV144" s="139" t="n"/>
      <x:c r="AW144" s="139" t="n"/>
      <x:c r="AX144" s="139" t="n"/>
      <x:c r="AY144" s="139" t="n"/>
      <x:c r="AZ144" s="139" t="n"/>
    </x:row>
    <x:row r="145">
      <x:c r="A145" s="139" t="n"/>
      <x:c r="B145" s="139" t="n"/>
      <x:c r="C145" s="139" t="n"/>
      <x:c r="D145" s="139" t="n"/>
      <x:c r="E145" s="139" t="n"/>
      <x:c r="F145" s="139" t="n"/>
      <x:c r="G145" s="139" t="n"/>
      <x:c r="H145" s="139" t="n"/>
      <x:c r="I145" s="139" t="n"/>
      <x:c r="J145" s="139" t="n"/>
      <x:c r="K145" s="139" t="n"/>
      <x:c r="L145" s="139" t="n"/>
      <x:c r="M145" s="139" t="n"/>
      <x:c r="N145" s="139" t="n"/>
      <x:c r="O145" s="139" t="n"/>
      <x:c r="P145" s="139" t="n"/>
      <x:c r="Q145" s="139" t="n"/>
      <x:c r="R145" s="139" t="n"/>
      <x:c r="S145" s="139" t="n"/>
      <x:c r="T145" s="139" t="n"/>
      <x:c r="U145" s="139" t="n"/>
      <x:c r="V145" s="139" t="n"/>
      <x:c r="W145" s="139" t="n"/>
      <x:c r="X145" s="139" t="n"/>
      <x:c r="Y145" s="139" t="n"/>
      <x:c r="Z145" s="139" t="n"/>
      <x:c r="AA145" s="139" t="n"/>
      <x:c r="AB145" s="139" t="n"/>
      <x:c r="AC145" s="139" t="n"/>
      <x:c r="AD145" s="139" t="n"/>
      <x:c r="AE145" s="139" t="n"/>
      <x:c r="AF145" s="139" t="n"/>
      <x:c r="AG145" s="139" t="n"/>
      <x:c r="AH145" s="139" t="n"/>
      <x:c r="AI145" s="139" t="n"/>
      <x:c r="AJ145" s="139" t="n"/>
      <x:c r="AK145" s="139" t="n"/>
      <x:c r="AL145" s="139" t="n"/>
      <x:c r="AM145" s="139" t="n"/>
      <x:c r="AN145" s="139" t="n"/>
      <x:c r="AO145" s="139" t="n"/>
      <x:c r="AP145" s="139" t="n"/>
      <x:c r="AQ145" s="139" t="n"/>
      <x:c r="AR145" s="139" t="n"/>
      <x:c r="AS145" s="139" t="n"/>
      <x:c r="AT145" s="139" t="n"/>
      <x:c r="AU145" s="139" t="n"/>
      <x:c r="AV145" s="139" t="n"/>
      <x:c r="AW145" s="139" t="n"/>
      <x:c r="AX145" s="139" t="n"/>
      <x:c r="AY145" s="139" t="n"/>
      <x:c r="AZ145" s="139" t="n"/>
    </x:row>
    <x:row r="146">
      <x:c r="A146" s="139" t="n"/>
      <x:c r="B146" s="139" t="n"/>
      <x:c r="C146" s="139" t="n"/>
      <x:c r="D146" s="139" t="n"/>
      <x:c r="E146" s="139" t="n"/>
      <x:c r="F146" s="139" t="n"/>
      <x:c r="G146" s="139" t="n"/>
      <x:c r="H146" s="139" t="n"/>
      <x:c r="I146" s="139" t="n"/>
      <x:c r="J146" s="139" t="n"/>
      <x:c r="K146" s="139" t="n"/>
      <x:c r="L146" s="139" t="n"/>
      <x:c r="M146" s="139" t="n"/>
      <x:c r="N146" s="139" t="n"/>
      <x:c r="O146" s="139" t="n"/>
      <x:c r="P146" s="139" t="n"/>
      <x:c r="Q146" s="139" t="n"/>
      <x:c r="R146" s="139" t="n"/>
      <x:c r="S146" s="139" t="n"/>
      <x:c r="T146" s="139" t="n"/>
      <x:c r="U146" s="139" t="n"/>
      <x:c r="V146" s="139" t="n"/>
      <x:c r="W146" s="139" t="n"/>
      <x:c r="X146" s="139" t="n"/>
      <x:c r="Y146" s="139" t="n"/>
      <x:c r="Z146" s="139" t="n"/>
      <x:c r="AA146" s="139" t="n"/>
      <x:c r="AB146" s="139" t="n"/>
      <x:c r="AC146" s="139" t="n"/>
      <x:c r="AD146" s="139" t="n"/>
      <x:c r="AE146" s="139" t="n"/>
      <x:c r="AF146" s="139" t="n"/>
      <x:c r="AG146" s="139" t="n"/>
      <x:c r="AH146" s="139" t="n"/>
      <x:c r="AI146" s="139" t="n"/>
      <x:c r="AJ146" s="139" t="n"/>
      <x:c r="AK146" s="139" t="n"/>
      <x:c r="AL146" s="139" t="n"/>
      <x:c r="AM146" s="139" t="n"/>
      <x:c r="AN146" s="139" t="n"/>
      <x:c r="AO146" s="139" t="n"/>
      <x:c r="AP146" s="139" t="n"/>
      <x:c r="AQ146" s="139" t="n"/>
      <x:c r="AR146" s="139" t="n"/>
      <x:c r="AS146" s="139" t="n"/>
      <x:c r="AT146" s="139" t="n"/>
      <x:c r="AU146" s="139" t="n"/>
      <x:c r="AV146" s="139" t="n"/>
      <x:c r="AW146" s="139" t="n"/>
      <x:c r="AX146" s="139" t="n"/>
      <x:c r="AY146" s="139" t="n"/>
      <x:c r="AZ146" s="139" t="n"/>
    </x:row>
    <x:row r="147">
      <x:c r="A147" s="139" t="n"/>
      <x:c r="B147" s="139" t="n"/>
      <x:c r="C147" s="139" t="n"/>
      <x:c r="D147" s="139" t="n"/>
      <x:c r="E147" s="139" t="n"/>
      <x:c r="F147" s="139" t="n"/>
      <x:c r="G147" s="139" t="n"/>
      <x:c r="H147" s="139" t="n"/>
      <x:c r="I147" s="139" t="n"/>
      <x:c r="J147" s="139" t="n"/>
      <x:c r="K147" s="139" t="n"/>
      <x:c r="L147" s="139" t="n"/>
      <x:c r="M147" s="139" t="n"/>
      <x:c r="N147" s="139" t="n"/>
      <x:c r="O147" s="139" t="n"/>
      <x:c r="P147" s="139" t="n"/>
      <x:c r="Q147" s="139" t="n"/>
      <x:c r="R147" s="139" t="n"/>
      <x:c r="S147" s="139" t="n"/>
      <x:c r="T147" s="139" t="n"/>
      <x:c r="U147" s="139" t="n"/>
      <x:c r="V147" s="139" t="n"/>
      <x:c r="W147" s="139" t="n"/>
      <x:c r="X147" s="139" t="n"/>
      <x:c r="Y147" s="139" t="n"/>
      <x:c r="Z147" s="139" t="n"/>
      <x:c r="AA147" s="139" t="n"/>
      <x:c r="AB147" s="139" t="n"/>
      <x:c r="AC147" s="139" t="n"/>
      <x:c r="AD147" s="139" t="n"/>
      <x:c r="AE147" s="139" t="n"/>
      <x:c r="AF147" s="139" t="n"/>
      <x:c r="AG147" s="139" t="n"/>
      <x:c r="AH147" s="139" t="n"/>
      <x:c r="AI147" s="139" t="n"/>
      <x:c r="AJ147" s="139" t="n"/>
      <x:c r="AK147" s="139" t="n"/>
      <x:c r="AL147" s="139" t="n"/>
      <x:c r="AM147" s="139" t="n"/>
      <x:c r="AN147" s="139" t="n"/>
      <x:c r="AO147" s="139" t="n"/>
      <x:c r="AP147" s="139" t="n"/>
      <x:c r="AQ147" s="139" t="n"/>
      <x:c r="AR147" s="139" t="n"/>
      <x:c r="AS147" s="139" t="n"/>
      <x:c r="AT147" s="139" t="n"/>
      <x:c r="AU147" s="139" t="n"/>
      <x:c r="AV147" s="139" t="n"/>
      <x:c r="AW147" s="139" t="n"/>
      <x:c r="AX147" s="139" t="n"/>
      <x:c r="AY147" s="139" t="n"/>
      <x:c r="AZ147" s="139" t="n"/>
    </x:row>
    <x:row r="148">
      <x:c r="A148" s="139" t="n"/>
      <x:c r="B148" s="139" t="n"/>
      <x:c r="C148" s="139" t="n"/>
      <x:c r="D148" s="139" t="n"/>
      <x:c r="E148" s="139" t="n"/>
      <x:c r="F148" s="139" t="n"/>
      <x:c r="G148" s="139" t="n"/>
      <x:c r="H148" s="139" t="n"/>
      <x:c r="I148" s="139" t="n"/>
      <x:c r="J148" s="139" t="n"/>
      <x:c r="K148" s="139" t="n"/>
      <x:c r="L148" s="139" t="n"/>
      <x:c r="M148" s="139" t="n"/>
      <x:c r="N148" s="139" t="n"/>
      <x:c r="O148" s="139" t="n"/>
      <x:c r="P148" s="139" t="n"/>
      <x:c r="Q148" s="139" t="n"/>
      <x:c r="R148" s="139" t="n"/>
      <x:c r="S148" s="139" t="n"/>
      <x:c r="T148" s="139" t="n"/>
      <x:c r="U148" s="139" t="n"/>
      <x:c r="V148" s="139" t="n"/>
      <x:c r="W148" s="139" t="n"/>
      <x:c r="X148" s="139" t="n"/>
      <x:c r="Y148" s="139" t="n"/>
      <x:c r="Z148" s="139" t="n"/>
      <x:c r="AA148" s="139" t="n"/>
      <x:c r="AB148" s="139" t="n"/>
      <x:c r="AC148" s="139" t="n"/>
      <x:c r="AD148" s="139" t="n"/>
      <x:c r="AE148" s="139" t="n"/>
      <x:c r="AF148" s="139" t="n"/>
      <x:c r="AG148" s="139" t="n"/>
      <x:c r="AH148" s="139" t="n"/>
      <x:c r="AI148" s="139" t="n"/>
      <x:c r="AJ148" s="139" t="n"/>
      <x:c r="AK148" s="139" t="n"/>
      <x:c r="AL148" s="139" t="n"/>
      <x:c r="AM148" s="139" t="n"/>
      <x:c r="AN148" s="139" t="n"/>
      <x:c r="AO148" s="139" t="n"/>
      <x:c r="AP148" s="139" t="n"/>
      <x:c r="AQ148" s="139" t="n"/>
      <x:c r="AR148" s="139" t="n"/>
      <x:c r="AS148" s="139" t="n"/>
      <x:c r="AT148" s="139" t="n"/>
      <x:c r="AU148" s="139" t="n"/>
      <x:c r="AV148" s="139" t="n"/>
      <x:c r="AW148" s="139" t="n"/>
      <x:c r="AX148" s="139" t="n"/>
      <x:c r="AY148" s="139" t="n"/>
      <x:c r="AZ148" s="139" t="n"/>
    </x:row>
    <x:row r="149">
      <x:c r="A149" s="139" t="n"/>
      <x:c r="B149" s="139" t="n"/>
      <x:c r="C149" s="139" t="n"/>
      <x:c r="D149" s="139" t="n"/>
      <x:c r="E149" s="139" t="n"/>
      <x:c r="F149" s="139" t="n"/>
      <x:c r="G149" s="139" t="n"/>
      <x:c r="H149" s="139" t="n"/>
      <x:c r="I149" s="139" t="n"/>
      <x:c r="J149" s="139" t="n"/>
      <x:c r="K149" s="139" t="n"/>
      <x:c r="L149" s="139" t="n"/>
      <x:c r="M149" s="139" t="n"/>
      <x:c r="N149" s="139" t="n"/>
      <x:c r="O149" s="139" t="n"/>
      <x:c r="P149" s="139" t="n"/>
      <x:c r="Q149" s="139" t="n"/>
      <x:c r="R149" s="139" t="n"/>
      <x:c r="S149" s="139" t="n"/>
      <x:c r="T149" s="139" t="n"/>
      <x:c r="U149" s="139" t="n"/>
      <x:c r="V149" s="139" t="n"/>
      <x:c r="W149" s="139" t="n"/>
      <x:c r="X149" s="139" t="n"/>
      <x:c r="Y149" s="139" t="n"/>
      <x:c r="Z149" s="139" t="n"/>
      <x:c r="AA149" s="139" t="n"/>
      <x:c r="AB149" s="139" t="n"/>
      <x:c r="AC149" s="139" t="n"/>
      <x:c r="AD149" s="139" t="n"/>
      <x:c r="AE149" s="139" t="n"/>
      <x:c r="AF149" s="139" t="n"/>
      <x:c r="AG149" s="139" t="n"/>
      <x:c r="AH149" s="139" t="n"/>
      <x:c r="AI149" s="139" t="n"/>
      <x:c r="AJ149" s="139" t="n"/>
      <x:c r="AK149" s="139" t="n"/>
      <x:c r="AL149" s="139" t="n"/>
      <x:c r="AM149" s="139" t="n"/>
      <x:c r="AN149" s="139" t="n"/>
      <x:c r="AO149" s="139" t="n"/>
      <x:c r="AP149" s="139" t="n"/>
      <x:c r="AQ149" s="139" t="n"/>
      <x:c r="AR149" s="139" t="n"/>
      <x:c r="AS149" s="139" t="n"/>
      <x:c r="AT149" s="139" t="n"/>
      <x:c r="AU149" s="139" t="n"/>
      <x:c r="AV149" s="139" t="n"/>
      <x:c r="AW149" s="139" t="n"/>
      <x:c r="AX149" s="139" t="n"/>
      <x:c r="AY149" s="139" t="n"/>
      <x:c r="AZ149" s="139" t="n"/>
    </x:row>
    <x:row r="150">
      <x:c r="A150" s="139" t="n"/>
      <x:c r="B150" s="139" t="n"/>
      <x:c r="C150" s="139" t="n"/>
      <x:c r="D150" s="139" t="n"/>
      <x:c r="E150" s="139" t="n"/>
      <x:c r="F150" s="139" t="n"/>
      <x:c r="G150" s="139" t="n"/>
      <x:c r="H150" s="139" t="n"/>
      <x:c r="I150" s="139" t="n"/>
      <x:c r="J150" s="139" t="n"/>
      <x:c r="K150" s="139" t="n"/>
      <x:c r="L150" s="139" t="n"/>
      <x:c r="M150" s="139" t="n"/>
      <x:c r="N150" s="139" t="n"/>
      <x:c r="O150" s="139" t="n"/>
      <x:c r="P150" s="139" t="n"/>
      <x:c r="Q150" s="139" t="n"/>
      <x:c r="R150" s="139" t="n"/>
      <x:c r="S150" s="139" t="n"/>
      <x:c r="T150" s="139" t="n"/>
      <x:c r="U150" s="139" t="n"/>
      <x:c r="V150" s="139" t="n"/>
      <x:c r="W150" s="139" t="n"/>
      <x:c r="X150" s="139" t="n"/>
      <x:c r="Y150" s="139" t="n"/>
      <x:c r="Z150" s="139" t="n"/>
      <x:c r="AA150" s="139" t="n"/>
      <x:c r="AB150" s="139" t="n"/>
      <x:c r="AC150" s="139" t="n"/>
      <x:c r="AD150" s="139" t="n"/>
      <x:c r="AE150" s="139" t="n"/>
      <x:c r="AF150" s="139" t="n"/>
      <x:c r="AG150" s="139" t="n"/>
      <x:c r="AH150" s="139" t="n"/>
      <x:c r="AI150" s="139" t="n"/>
      <x:c r="AJ150" s="139" t="n"/>
      <x:c r="AK150" s="139" t="n"/>
      <x:c r="AL150" s="139" t="n"/>
      <x:c r="AM150" s="139" t="n"/>
      <x:c r="AN150" s="139" t="n"/>
      <x:c r="AO150" s="139" t="n"/>
      <x:c r="AP150" s="139" t="n"/>
      <x:c r="AQ150" s="139" t="n"/>
      <x:c r="AR150" s="139" t="n"/>
      <x:c r="AS150" s="139" t="n"/>
      <x:c r="AT150" s="139" t="n"/>
      <x:c r="AU150" s="139" t="n"/>
      <x:c r="AV150" s="139" t="n"/>
      <x:c r="AW150" s="139" t="n"/>
      <x:c r="AX150" s="139" t="n"/>
      <x:c r="AY150" s="139" t="n"/>
      <x:c r="AZ150" s="139" t="n"/>
    </x:row>
    <x:row r="151">
      <x:c r="A151" s="139" t="n"/>
      <x:c r="B151" s="139" t="n"/>
      <x:c r="C151" s="139" t="n"/>
      <x:c r="D151" s="139" t="n"/>
      <x:c r="E151" s="139" t="n"/>
      <x:c r="F151" s="139" t="n"/>
      <x:c r="G151" s="139" t="n"/>
      <x:c r="H151" s="139" t="n"/>
      <x:c r="I151" s="139" t="n"/>
      <x:c r="J151" s="139" t="n"/>
      <x:c r="K151" s="139" t="n"/>
      <x:c r="L151" s="139" t="n"/>
      <x:c r="M151" s="139" t="n"/>
      <x:c r="N151" s="139" t="n"/>
      <x:c r="O151" s="139" t="n"/>
      <x:c r="P151" s="139" t="n"/>
      <x:c r="Q151" s="139" t="n"/>
      <x:c r="R151" s="139" t="n"/>
      <x:c r="S151" s="139" t="n"/>
      <x:c r="T151" s="139" t="n"/>
      <x:c r="U151" s="139" t="n"/>
      <x:c r="V151" s="139" t="n"/>
      <x:c r="W151" s="139" t="n"/>
      <x:c r="X151" s="139" t="n"/>
      <x:c r="Y151" s="139" t="n"/>
      <x:c r="Z151" s="139" t="n"/>
      <x:c r="AA151" s="139" t="n"/>
      <x:c r="AB151" s="139" t="n"/>
      <x:c r="AC151" s="139" t="n"/>
      <x:c r="AD151" s="139" t="n"/>
      <x:c r="AE151" s="139" t="n"/>
      <x:c r="AF151" s="139" t="n"/>
      <x:c r="AG151" s="139" t="n"/>
      <x:c r="AH151" s="139" t="n"/>
      <x:c r="AI151" s="139" t="n"/>
      <x:c r="AJ151" s="139" t="n"/>
      <x:c r="AK151" s="139" t="n"/>
      <x:c r="AL151" s="139" t="n"/>
      <x:c r="AM151" s="139" t="n"/>
      <x:c r="AN151" s="139" t="n"/>
      <x:c r="AO151" s="139" t="n"/>
      <x:c r="AP151" s="139" t="n"/>
      <x:c r="AQ151" s="139" t="n"/>
      <x:c r="AR151" s="139" t="n"/>
      <x:c r="AS151" s="139" t="n"/>
      <x:c r="AT151" s="139" t="n"/>
      <x:c r="AU151" s="139" t="n"/>
      <x:c r="AV151" s="139" t="n"/>
      <x:c r="AW151" s="139" t="n"/>
      <x:c r="AX151" s="139" t="n"/>
      <x:c r="AY151" s="139" t="n"/>
      <x:c r="AZ151" s="139" t="n"/>
    </x:row>
    <x:row r="152">
      <x:c r="A152" s="139" t="n"/>
      <x:c r="B152" s="139" t="n"/>
      <x:c r="C152" s="139" t="n"/>
      <x:c r="D152" s="139" t="n"/>
      <x:c r="E152" s="139" t="n"/>
      <x:c r="F152" s="139" t="n"/>
      <x:c r="G152" s="139" t="n"/>
      <x:c r="H152" s="139" t="n"/>
      <x:c r="I152" s="139" t="n"/>
      <x:c r="J152" s="139" t="n"/>
      <x:c r="K152" s="139" t="n"/>
      <x:c r="L152" s="139" t="n"/>
      <x:c r="M152" s="139" t="n"/>
      <x:c r="N152" s="139" t="n"/>
      <x:c r="O152" s="139" t="n"/>
      <x:c r="P152" s="139" t="n"/>
      <x:c r="Q152" s="139" t="n"/>
      <x:c r="R152" s="139" t="n"/>
      <x:c r="S152" s="139" t="n"/>
      <x:c r="T152" s="139" t="n"/>
      <x:c r="U152" s="139" t="n"/>
      <x:c r="V152" s="139" t="n"/>
      <x:c r="W152" s="139" t="n"/>
      <x:c r="X152" s="139" t="n"/>
      <x:c r="Y152" s="139" t="n"/>
      <x:c r="Z152" s="139" t="n"/>
      <x:c r="AA152" s="139" t="n"/>
      <x:c r="AB152" s="139" t="n"/>
      <x:c r="AC152" s="139" t="n"/>
      <x:c r="AD152" s="139" t="n"/>
      <x:c r="AE152" s="139" t="n"/>
      <x:c r="AF152" s="139" t="n"/>
      <x:c r="AG152" s="139" t="n"/>
      <x:c r="AH152" s="139" t="n"/>
      <x:c r="AI152" s="139" t="n"/>
      <x:c r="AJ152" s="139" t="n"/>
      <x:c r="AK152" s="139" t="n"/>
      <x:c r="AL152" s="139" t="n"/>
      <x:c r="AM152" s="139" t="n"/>
      <x:c r="AN152" s="139" t="n"/>
      <x:c r="AO152" s="139" t="n"/>
      <x:c r="AP152" s="139" t="n"/>
      <x:c r="AQ152" s="139" t="n"/>
      <x:c r="AR152" s="139" t="n"/>
      <x:c r="AS152" s="139" t="n"/>
      <x:c r="AT152" s="139" t="n"/>
      <x:c r="AU152" s="139" t="n"/>
      <x:c r="AV152" s="139" t="n"/>
      <x:c r="AW152" s="139" t="n"/>
      <x:c r="AX152" s="139" t="n"/>
      <x:c r="AY152" s="139" t="n"/>
      <x:c r="AZ152" s="139" t="n"/>
    </x:row>
    <x:row r="153">
      <x:c r="A153" s="139" t="n"/>
      <x:c r="B153" s="139" t="n"/>
      <x:c r="C153" s="139" t="n"/>
      <x:c r="D153" s="139" t="n"/>
      <x:c r="E153" s="139" t="n"/>
      <x:c r="F153" s="139" t="n"/>
      <x:c r="G153" s="139" t="n"/>
      <x:c r="H153" s="139" t="n"/>
      <x:c r="I153" s="139" t="n"/>
      <x:c r="J153" s="139" t="n"/>
      <x:c r="K153" s="139" t="n"/>
      <x:c r="L153" s="139" t="n"/>
      <x:c r="M153" s="139" t="n"/>
      <x:c r="N153" s="139" t="n"/>
      <x:c r="O153" s="139" t="n"/>
      <x:c r="P153" s="139" t="n"/>
      <x:c r="Q153" s="139" t="n"/>
      <x:c r="R153" s="139" t="n"/>
      <x:c r="S153" s="139" t="n"/>
      <x:c r="T153" s="139" t="n"/>
      <x:c r="U153" s="139" t="n"/>
      <x:c r="V153" s="139" t="n"/>
      <x:c r="W153" s="139" t="n"/>
      <x:c r="X153" s="139" t="n"/>
      <x:c r="Y153" s="139" t="n"/>
      <x:c r="Z153" s="139" t="n"/>
      <x:c r="AA153" s="139" t="n"/>
      <x:c r="AB153" s="139" t="n"/>
      <x:c r="AC153" s="139" t="n"/>
      <x:c r="AD153" s="139" t="n"/>
      <x:c r="AE153" s="139" t="n"/>
      <x:c r="AF153" s="139" t="n"/>
      <x:c r="AG153" s="139" t="n"/>
      <x:c r="AH153" s="139" t="n"/>
      <x:c r="AI153" s="139" t="n"/>
      <x:c r="AJ153" s="139" t="n"/>
      <x:c r="AK153" s="139" t="n"/>
      <x:c r="AL153" s="139" t="n"/>
      <x:c r="AM153" s="139" t="n"/>
      <x:c r="AN153" s="139" t="n"/>
      <x:c r="AO153" s="139" t="n"/>
      <x:c r="AP153" s="139" t="n"/>
      <x:c r="AQ153" s="139" t="n"/>
      <x:c r="AR153" s="139" t="n"/>
      <x:c r="AS153" s="139" t="n"/>
      <x:c r="AT153" s="139" t="n"/>
      <x:c r="AU153" s="139" t="n"/>
      <x:c r="AV153" s="139" t="n"/>
      <x:c r="AW153" s="139" t="n"/>
      <x:c r="AX153" s="139" t="n"/>
      <x:c r="AY153" s="139" t="n"/>
      <x:c r="AZ153" s="139" t="n"/>
    </x:row>
    <x:row r="154">
      <x:c r="A154" s="139" t="n"/>
      <x:c r="B154" s="139" t="n"/>
      <x:c r="C154" s="139" t="n"/>
      <x:c r="D154" s="139" t="n"/>
      <x:c r="E154" s="139" t="n"/>
      <x:c r="F154" s="139" t="n"/>
      <x:c r="G154" s="139" t="n"/>
      <x:c r="H154" s="139" t="n"/>
      <x:c r="I154" s="139" t="n"/>
      <x:c r="J154" s="139" t="n"/>
      <x:c r="K154" s="139" t="n"/>
      <x:c r="L154" s="139" t="n"/>
      <x:c r="M154" s="139" t="n"/>
      <x:c r="N154" s="139" t="n"/>
      <x:c r="O154" s="139" t="n"/>
      <x:c r="P154" s="139" t="n"/>
      <x:c r="Q154" s="139" t="n"/>
      <x:c r="R154" s="139" t="n"/>
      <x:c r="S154" s="139" t="n"/>
      <x:c r="T154" s="139" t="n"/>
      <x:c r="U154" s="139" t="n"/>
      <x:c r="V154" s="139" t="n"/>
      <x:c r="W154" s="139" t="n"/>
      <x:c r="X154" s="139" t="n"/>
      <x:c r="Y154" s="139" t="n"/>
      <x:c r="Z154" s="139" t="n"/>
      <x:c r="AA154" s="139" t="n"/>
      <x:c r="AB154" s="139" t="n"/>
      <x:c r="AC154" s="139" t="n"/>
      <x:c r="AD154" s="139" t="n"/>
      <x:c r="AE154" s="139" t="n"/>
      <x:c r="AF154" s="139" t="n"/>
      <x:c r="AG154" s="139" t="n"/>
      <x:c r="AH154" s="139" t="n"/>
      <x:c r="AI154" s="139" t="n"/>
      <x:c r="AJ154" s="139" t="n"/>
      <x:c r="AK154" s="139" t="n"/>
      <x:c r="AL154" s="139" t="n"/>
      <x:c r="AM154" s="139" t="n"/>
      <x:c r="AN154" s="139" t="n"/>
      <x:c r="AO154" s="139" t="n"/>
      <x:c r="AP154" s="139" t="n"/>
      <x:c r="AQ154" s="139" t="n"/>
      <x:c r="AR154" s="139" t="n"/>
      <x:c r="AS154" s="139" t="n"/>
      <x:c r="AT154" s="139" t="n"/>
      <x:c r="AU154" s="139" t="n"/>
      <x:c r="AV154" s="139" t="n"/>
      <x:c r="AW154" s="139" t="n"/>
      <x:c r="AX154" s="139" t="n"/>
      <x:c r="AY154" s="139" t="n"/>
      <x:c r="AZ154" s="139" t="n"/>
    </x:row>
    <x:row r="155">
      <x:c r="A155" s="139" t="n"/>
      <x:c r="B155" s="139" t="n"/>
      <x:c r="C155" s="139" t="n"/>
      <x:c r="D155" s="139" t="n"/>
      <x:c r="E155" s="139" t="n"/>
      <x:c r="F155" s="139" t="n"/>
      <x:c r="G155" s="139" t="n"/>
      <x:c r="H155" s="139" t="n"/>
      <x:c r="I155" s="139" t="n"/>
      <x:c r="J155" s="139" t="n"/>
      <x:c r="K155" s="139" t="n"/>
      <x:c r="L155" s="139" t="n"/>
      <x:c r="M155" s="139" t="n"/>
      <x:c r="N155" s="139" t="n"/>
      <x:c r="O155" s="139" t="n"/>
      <x:c r="P155" s="139" t="n"/>
      <x:c r="Q155" s="139" t="n"/>
      <x:c r="R155" s="139" t="n"/>
      <x:c r="S155" s="139" t="n"/>
      <x:c r="T155" s="139" t="n"/>
      <x:c r="U155" s="139" t="n"/>
      <x:c r="V155" s="139" t="n"/>
      <x:c r="W155" s="139" t="n"/>
      <x:c r="X155" s="139" t="n"/>
      <x:c r="Y155" s="139" t="n"/>
      <x:c r="Z155" s="139" t="n"/>
      <x:c r="AA155" s="139" t="n"/>
      <x:c r="AB155" s="139" t="n"/>
      <x:c r="AC155" s="139" t="n"/>
      <x:c r="AD155" s="139" t="n"/>
      <x:c r="AE155" s="139" t="n"/>
      <x:c r="AF155" s="139" t="n"/>
      <x:c r="AG155" s="139" t="n"/>
      <x:c r="AH155" s="139" t="n"/>
      <x:c r="AI155" s="139" t="n"/>
      <x:c r="AJ155" s="139" t="n"/>
      <x:c r="AK155" s="139" t="n"/>
      <x:c r="AL155" s="139" t="n"/>
      <x:c r="AM155" s="139" t="n"/>
      <x:c r="AN155" s="139" t="n"/>
      <x:c r="AO155" s="139" t="n"/>
      <x:c r="AP155" s="139" t="n"/>
      <x:c r="AQ155" s="139" t="n"/>
      <x:c r="AR155" s="139" t="n"/>
      <x:c r="AS155" s="139" t="n"/>
      <x:c r="AT155" s="139" t="n"/>
      <x:c r="AU155" s="139" t="n"/>
      <x:c r="AV155" s="139" t="n"/>
      <x:c r="AW155" s="139" t="n"/>
      <x:c r="AX155" s="139" t="n"/>
      <x:c r="AY155" s="139" t="n"/>
      <x:c r="AZ155" s="139" t="n"/>
    </x:row>
    <x:row r="156">
      <x:c r="A156" s="139" t="n"/>
      <x:c r="B156" s="139" t="n"/>
      <x:c r="C156" s="139" t="n"/>
      <x:c r="D156" s="139" t="n"/>
      <x:c r="E156" s="139" t="n"/>
      <x:c r="F156" s="139" t="n"/>
      <x:c r="G156" s="139" t="n"/>
      <x:c r="H156" s="139" t="n"/>
      <x:c r="I156" s="139" t="n"/>
      <x:c r="J156" s="139" t="n"/>
      <x:c r="K156" s="139" t="n"/>
      <x:c r="L156" s="139" t="n"/>
      <x:c r="M156" s="139" t="n"/>
      <x:c r="N156" s="139" t="n"/>
      <x:c r="O156" s="139" t="n"/>
      <x:c r="P156" s="139" t="n"/>
      <x:c r="Q156" s="139" t="n"/>
      <x:c r="R156" s="139" t="n"/>
      <x:c r="S156" s="139" t="n"/>
      <x:c r="T156" s="139" t="n"/>
      <x:c r="U156" s="139" t="n"/>
      <x:c r="V156" s="139" t="n"/>
      <x:c r="W156" s="139" t="n"/>
      <x:c r="X156" s="139" t="n"/>
      <x:c r="Y156" s="139" t="n"/>
      <x:c r="Z156" s="139" t="n"/>
      <x:c r="AA156" s="139" t="n"/>
      <x:c r="AB156" s="139" t="n"/>
      <x:c r="AC156" s="139" t="n"/>
      <x:c r="AD156" s="139" t="n"/>
      <x:c r="AE156" s="139" t="n"/>
      <x:c r="AF156" s="139" t="n"/>
      <x:c r="AG156" s="139" t="n"/>
      <x:c r="AH156" s="139" t="n"/>
      <x:c r="AI156" s="139" t="n"/>
      <x:c r="AJ156" s="139" t="n"/>
      <x:c r="AK156" s="139" t="n"/>
      <x:c r="AL156" s="139" t="n"/>
      <x:c r="AM156" s="139" t="n"/>
      <x:c r="AN156" s="139" t="n"/>
      <x:c r="AO156" s="139" t="n"/>
      <x:c r="AP156" s="139" t="n"/>
      <x:c r="AQ156" s="139" t="n"/>
      <x:c r="AR156" s="139" t="n"/>
      <x:c r="AS156" s="139" t="n"/>
      <x:c r="AT156" s="139" t="n"/>
      <x:c r="AU156" s="139" t="n"/>
      <x:c r="AV156" s="139" t="n"/>
      <x:c r="AW156" s="139" t="n"/>
      <x:c r="AX156" s="139" t="n"/>
      <x:c r="AY156" s="139" t="n"/>
      <x:c r="AZ156" s="139" t="n"/>
    </x:row>
    <x:row r="157">
      <x:c r="A157" s="139" t="n"/>
      <x:c r="B157" s="139" t="n"/>
      <x:c r="C157" s="139" t="n"/>
      <x:c r="D157" s="139" t="n"/>
      <x:c r="E157" s="139" t="n"/>
      <x:c r="F157" s="139" t="n"/>
      <x:c r="G157" s="139" t="n"/>
      <x:c r="H157" s="139" t="n"/>
      <x:c r="I157" s="139" t="n"/>
      <x:c r="J157" s="139" t="n"/>
      <x:c r="K157" s="139" t="n"/>
      <x:c r="L157" s="139" t="n"/>
      <x:c r="M157" s="139" t="n"/>
      <x:c r="N157" s="139" t="n"/>
      <x:c r="O157" s="139" t="n"/>
      <x:c r="P157" s="139" t="n"/>
      <x:c r="Q157" s="139" t="n"/>
      <x:c r="R157" s="139" t="n"/>
      <x:c r="S157" s="139" t="n"/>
      <x:c r="T157" s="139" t="n"/>
      <x:c r="U157" s="139" t="n"/>
      <x:c r="V157" s="139" t="n"/>
      <x:c r="W157" s="139" t="n"/>
      <x:c r="X157" s="139" t="n"/>
      <x:c r="Y157" s="139" t="n"/>
      <x:c r="Z157" s="139" t="n"/>
      <x:c r="AA157" s="139" t="n"/>
      <x:c r="AB157" s="139" t="n"/>
      <x:c r="AC157" s="139" t="n"/>
      <x:c r="AD157" s="139" t="n"/>
      <x:c r="AE157" s="139" t="n"/>
      <x:c r="AF157" s="139" t="n"/>
      <x:c r="AG157" s="139" t="n"/>
      <x:c r="AH157" s="139" t="n"/>
      <x:c r="AI157" s="139" t="n"/>
      <x:c r="AJ157" s="139" t="n"/>
      <x:c r="AK157" s="139" t="n"/>
      <x:c r="AL157" s="139" t="n"/>
      <x:c r="AM157" s="139" t="n"/>
      <x:c r="AN157" s="139" t="n"/>
      <x:c r="AO157" s="139" t="n"/>
      <x:c r="AP157" s="139" t="n"/>
      <x:c r="AQ157" s="139" t="n"/>
      <x:c r="AR157" s="139" t="n"/>
      <x:c r="AS157" s="139" t="n"/>
      <x:c r="AT157" s="139" t="n"/>
      <x:c r="AU157" s="139" t="n"/>
      <x:c r="AV157" s="139" t="n"/>
      <x:c r="AW157" s="139" t="n"/>
      <x:c r="AX157" s="139" t="n"/>
      <x:c r="AY157" s="139" t="n"/>
      <x:c r="AZ157" s="139" t="n"/>
    </x:row>
    <x:row r="158">
      <x:c r="A158" s="139" t="n"/>
      <x:c r="B158" s="139" t="n"/>
      <x:c r="C158" s="139" t="n"/>
      <x:c r="D158" s="139" t="n"/>
      <x:c r="E158" s="139" t="n"/>
      <x:c r="F158" s="139" t="n"/>
      <x:c r="G158" s="139" t="n"/>
      <x:c r="H158" s="139" t="n"/>
      <x:c r="I158" s="139" t="n"/>
      <x:c r="J158" s="139" t="n"/>
      <x:c r="K158" s="139" t="n"/>
      <x:c r="L158" s="139" t="n"/>
      <x:c r="M158" s="139" t="n"/>
      <x:c r="N158" s="139" t="n"/>
      <x:c r="O158" s="139" t="n"/>
      <x:c r="P158" s="139" t="n"/>
      <x:c r="Q158" s="139" t="n"/>
      <x:c r="R158" s="139" t="n"/>
      <x:c r="S158" s="139" t="n"/>
      <x:c r="T158" s="139" t="n"/>
      <x:c r="U158" s="139" t="n"/>
      <x:c r="V158" s="139" t="n"/>
      <x:c r="W158" s="139" t="n"/>
      <x:c r="X158" s="139" t="n"/>
      <x:c r="Y158" s="139" t="n"/>
      <x:c r="Z158" s="139" t="n"/>
      <x:c r="AA158" s="139" t="n"/>
      <x:c r="AB158" s="139" t="n"/>
      <x:c r="AC158" s="139" t="n"/>
      <x:c r="AD158" s="139" t="n"/>
      <x:c r="AE158" s="139" t="n"/>
      <x:c r="AF158" s="139" t="n"/>
      <x:c r="AG158" s="139" t="n"/>
      <x:c r="AH158" s="139" t="n"/>
      <x:c r="AI158" s="139" t="n"/>
      <x:c r="AJ158" s="139" t="n"/>
      <x:c r="AK158" s="139" t="n"/>
      <x:c r="AL158" s="139" t="n"/>
      <x:c r="AM158" s="139" t="n"/>
      <x:c r="AN158" s="139" t="n"/>
      <x:c r="AO158" s="139" t="n"/>
      <x:c r="AP158" s="139" t="n"/>
      <x:c r="AQ158" s="139" t="n"/>
      <x:c r="AR158" s="139" t="n"/>
      <x:c r="AS158" s="139" t="n"/>
      <x:c r="AT158" s="139" t="n"/>
      <x:c r="AU158" s="139" t="n"/>
      <x:c r="AV158" s="139" t="n"/>
      <x:c r="AW158" s="139" t="n"/>
      <x:c r="AX158" s="139" t="n"/>
      <x:c r="AY158" s="139" t="n"/>
      <x:c r="AZ158" s="139" t="n"/>
    </x:row>
    <x:row r="159">
      <x:c r="A159" s="139" t="n"/>
      <x:c r="B159" s="139" t="n"/>
      <x:c r="C159" s="139" t="n"/>
      <x:c r="D159" s="139" t="n"/>
      <x:c r="E159" s="139" t="n"/>
      <x:c r="F159" s="139" t="n"/>
      <x:c r="G159" s="139" t="n"/>
      <x:c r="H159" s="139" t="n"/>
      <x:c r="I159" s="139" t="n"/>
      <x:c r="J159" s="139" t="n"/>
      <x:c r="K159" s="139" t="n"/>
      <x:c r="L159" s="139" t="n"/>
      <x:c r="M159" s="139" t="n"/>
      <x:c r="N159" s="139" t="n"/>
      <x:c r="O159" s="139" t="n"/>
      <x:c r="P159" s="139" t="n"/>
      <x:c r="Q159" s="139" t="n"/>
      <x:c r="R159" s="139" t="n"/>
      <x:c r="S159" s="139" t="n"/>
      <x:c r="T159" s="139" t="n"/>
      <x:c r="U159" s="139" t="n"/>
      <x:c r="V159" s="139" t="n"/>
      <x:c r="W159" s="139" t="n"/>
      <x:c r="X159" s="139" t="n"/>
      <x:c r="Y159" s="139" t="n"/>
      <x:c r="Z159" s="139" t="n"/>
      <x:c r="AA159" s="139" t="n"/>
      <x:c r="AB159" s="139" t="n"/>
      <x:c r="AC159" s="139" t="n"/>
      <x:c r="AD159" s="139" t="n"/>
      <x:c r="AE159" s="139" t="n"/>
      <x:c r="AF159" s="139" t="n"/>
      <x:c r="AG159" s="139" t="n"/>
      <x:c r="AH159" s="139" t="n"/>
      <x:c r="AI159" s="139" t="n"/>
      <x:c r="AJ159" s="139" t="n"/>
      <x:c r="AK159" s="139" t="n"/>
      <x:c r="AL159" s="139" t="n"/>
      <x:c r="AM159" s="139" t="n"/>
      <x:c r="AN159" s="139" t="n"/>
      <x:c r="AO159" s="139" t="n"/>
      <x:c r="AP159" s="139" t="n"/>
      <x:c r="AQ159" s="139" t="n"/>
      <x:c r="AR159" s="139" t="n"/>
      <x:c r="AS159" s="139" t="n"/>
      <x:c r="AT159" s="139" t="n"/>
      <x:c r="AU159" s="139" t="n"/>
      <x:c r="AV159" s="139" t="n"/>
      <x:c r="AW159" s="139" t="n"/>
      <x:c r="AX159" s="139" t="n"/>
      <x:c r="AY159" s="139" t="n"/>
      <x:c r="AZ159" s="139" t="n"/>
    </x:row>
    <x:row r="160">
      <x:c r="A160" s="139" t="n"/>
      <x:c r="B160" s="139" t="n"/>
      <x:c r="C160" s="139" t="n"/>
      <x:c r="D160" s="139" t="n"/>
      <x:c r="E160" s="139" t="n"/>
      <x:c r="F160" s="139" t="n"/>
      <x:c r="G160" s="139" t="n"/>
      <x:c r="H160" s="139" t="n"/>
      <x:c r="I160" s="139" t="n"/>
      <x:c r="J160" s="139" t="n"/>
      <x:c r="K160" s="139" t="n"/>
      <x:c r="L160" s="139" t="n"/>
      <x:c r="M160" s="139" t="n"/>
      <x:c r="N160" s="139" t="n"/>
      <x:c r="O160" s="139" t="n"/>
      <x:c r="P160" s="139" t="n"/>
      <x:c r="Q160" s="139" t="n"/>
      <x:c r="R160" s="139" t="n"/>
      <x:c r="S160" s="139" t="n"/>
      <x:c r="T160" s="139" t="n"/>
      <x:c r="U160" s="139" t="n"/>
      <x:c r="V160" s="139" t="n"/>
      <x:c r="W160" s="139" t="n"/>
      <x:c r="X160" s="139" t="n"/>
      <x:c r="Y160" s="139" t="n"/>
      <x:c r="Z160" s="139" t="n"/>
      <x:c r="AA160" s="139" t="n"/>
      <x:c r="AB160" s="139" t="n"/>
      <x:c r="AC160" s="139" t="n"/>
      <x:c r="AD160" s="139" t="n"/>
      <x:c r="AE160" s="139" t="n"/>
      <x:c r="AF160" s="139" t="n"/>
      <x:c r="AG160" s="139" t="n"/>
      <x:c r="AH160" s="139" t="n"/>
      <x:c r="AI160" s="139" t="n"/>
      <x:c r="AJ160" s="139" t="n"/>
      <x:c r="AK160" s="139" t="n"/>
      <x:c r="AL160" s="139" t="n"/>
      <x:c r="AM160" s="139" t="n"/>
      <x:c r="AN160" s="139" t="n"/>
      <x:c r="AO160" s="139" t="n"/>
      <x:c r="AP160" s="139" t="n"/>
      <x:c r="AQ160" s="139" t="n"/>
      <x:c r="AR160" s="139" t="n"/>
      <x:c r="AS160" s="139" t="n"/>
      <x:c r="AT160" s="139" t="n"/>
      <x:c r="AU160" s="139" t="n"/>
      <x:c r="AV160" s="139" t="n"/>
      <x:c r="AW160" s="139" t="n"/>
      <x:c r="AX160" s="139" t="n"/>
      <x:c r="AY160" s="139" t="n"/>
      <x:c r="AZ160" s="139" t="n"/>
    </x:row>
    <x:row r="161">
      <x:c r="A161" s="139" t="n"/>
      <x:c r="B161" s="139" t="n"/>
      <x:c r="C161" s="139" t="n"/>
      <x:c r="D161" s="139" t="n"/>
      <x:c r="E161" s="139" t="n"/>
      <x:c r="F161" s="139" t="n"/>
      <x:c r="G161" s="139" t="n"/>
      <x:c r="H161" s="139" t="n"/>
      <x:c r="I161" s="139" t="n"/>
      <x:c r="J161" s="139" t="n"/>
      <x:c r="K161" s="139" t="n"/>
      <x:c r="L161" s="139" t="n"/>
      <x:c r="M161" s="139" t="n"/>
      <x:c r="N161" s="139" t="n"/>
      <x:c r="O161" s="139" t="n"/>
      <x:c r="P161" s="139" t="n"/>
      <x:c r="Q161" s="139" t="n"/>
      <x:c r="R161" s="139" t="n"/>
      <x:c r="S161" s="139" t="n"/>
      <x:c r="T161" s="139" t="n"/>
      <x:c r="U161" s="139" t="n"/>
      <x:c r="V161" s="139" t="n"/>
      <x:c r="W161" s="139" t="n"/>
      <x:c r="X161" s="139" t="n"/>
      <x:c r="Y161" s="139" t="n"/>
      <x:c r="Z161" s="139" t="n"/>
      <x:c r="AA161" s="139" t="n"/>
      <x:c r="AB161" s="139" t="n"/>
      <x:c r="AC161" s="139" t="n"/>
      <x:c r="AD161" s="139" t="n"/>
      <x:c r="AE161" s="139" t="n"/>
      <x:c r="AF161" s="139" t="n"/>
      <x:c r="AG161" s="139" t="n"/>
      <x:c r="AH161" s="139" t="n"/>
      <x:c r="AI161" s="139" t="n"/>
      <x:c r="AJ161" s="139" t="n"/>
      <x:c r="AK161" s="139" t="n"/>
      <x:c r="AL161" s="139" t="n"/>
      <x:c r="AM161" s="139" t="n"/>
      <x:c r="AN161" s="139" t="n"/>
      <x:c r="AO161" s="139" t="n"/>
      <x:c r="AP161" s="139" t="n"/>
      <x:c r="AQ161" s="139" t="n"/>
      <x:c r="AR161" s="139" t="n"/>
      <x:c r="AS161" s="139" t="n"/>
      <x:c r="AT161" s="139" t="n"/>
      <x:c r="AU161" s="139" t="n"/>
      <x:c r="AV161" s="139" t="n"/>
      <x:c r="AW161" s="139" t="n"/>
      <x:c r="AX161" s="139" t="n"/>
      <x:c r="AY161" s="139" t="n"/>
      <x:c r="AZ161" s="139" t="n"/>
    </x:row>
    <x:row r="162">
      <x:c r="A162" s="139" t="n"/>
      <x:c r="B162" s="139" t="n"/>
      <x:c r="C162" s="139" t="n"/>
      <x:c r="D162" s="139" t="n"/>
      <x:c r="E162" s="139" t="n"/>
      <x:c r="F162" s="139" t="n"/>
      <x:c r="G162" s="139" t="n"/>
      <x:c r="H162" s="139" t="n"/>
      <x:c r="I162" s="139" t="n"/>
      <x:c r="J162" s="139" t="n"/>
      <x:c r="K162" s="139" t="n"/>
      <x:c r="L162" s="139" t="n"/>
      <x:c r="M162" s="139" t="n"/>
      <x:c r="N162" s="139" t="n"/>
      <x:c r="O162" s="139" t="n"/>
      <x:c r="P162" s="139" t="n"/>
      <x:c r="Q162" s="139" t="n"/>
      <x:c r="R162" s="139" t="n"/>
      <x:c r="S162" s="139" t="n"/>
      <x:c r="T162" s="139" t="n"/>
      <x:c r="U162" s="139" t="n"/>
      <x:c r="V162" s="139" t="n"/>
      <x:c r="W162" s="139" t="n"/>
      <x:c r="X162" s="139" t="n"/>
      <x:c r="Y162" s="139" t="n"/>
      <x:c r="Z162" s="139" t="n"/>
      <x:c r="AA162" s="139" t="n"/>
      <x:c r="AB162" s="139" t="n"/>
      <x:c r="AC162" s="139" t="n"/>
      <x:c r="AD162" s="139" t="n"/>
      <x:c r="AE162" s="139" t="n"/>
      <x:c r="AF162" s="139" t="n"/>
      <x:c r="AG162" s="139" t="n"/>
      <x:c r="AH162" s="139" t="n"/>
      <x:c r="AI162" s="139" t="n"/>
      <x:c r="AJ162" s="139" t="n"/>
      <x:c r="AK162" s="139" t="n"/>
      <x:c r="AL162" s="139" t="n"/>
      <x:c r="AM162" s="139" t="n"/>
      <x:c r="AN162" s="139" t="n"/>
      <x:c r="AO162" s="139" t="n"/>
      <x:c r="AP162" s="139" t="n"/>
      <x:c r="AQ162" s="139" t="n"/>
      <x:c r="AR162" s="139" t="n"/>
      <x:c r="AS162" s="139" t="n"/>
      <x:c r="AT162" s="139" t="n"/>
      <x:c r="AU162" s="139" t="n"/>
      <x:c r="AV162" s="139" t="n"/>
      <x:c r="AW162" s="139" t="n"/>
      <x:c r="AX162" s="139" t="n"/>
      <x:c r="AY162" s="139" t="n"/>
      <x:c r="AZ162" s="139" t="n"/>
    </x:row>
    <x:row r="163">
      <x:c r="A163" s="139" t="n"/>
      <x:c r="B163" s="139" t="n"/>
      <x:c r="C163" s="139" t="n"/>
      <x:c r="D163" s="139" t="n"/>
      <x:c r="E163" s="139" t="n"/>
      <x:c r="F163" s="139" t="n"/>
      <x:c r="G163" s="139" t="n"/>
      <x:c r="H163" s="139" t="n"/>
      <x:c r="I163" s="139" t="n"/>
      <x:c r="J163" s="139" t="n"/>
      <x:c r="K163" s="139" t="n"/>
      <x:c r="L163" s="139" t="n"/>
      <x:c r="M163" s="139" t="n"/>
      <x:c r="N163" s="139" t="n"/>
      <x:c r="O163" s="139" t="n"/>
      <x:c r="P163" s="139" t="n"/>
      <x:c r="Q163" s="139" t="n"/>
      <x:c r="R163" s="139" t="n"/>
      <x:c r="S163" s="139" t="n"/>
      <x:c r="T163" s="139" t="n"/>
      <x:c r="U163" s="139" t="n"/>
      <x:c r="V163" s="139" t="n"/>
      <x:c r="W163" s="139" t="n"/>
      <x:c r="X163" s="139" t="n"/>
      <x:c r="Y163" s="139" t="n"/>
      <x:c r="Z163" s="139" t="n"/>
      <x:c r="AA163" s="139" t="n"/>
      <x:c r="AB163" s="139" t="n"/>
      <x:c r="AC163" s="139" t="n"/>
      <x:c r="AD163" s="139" t="n"/>
      <x:c r="AE163" s="139" t="n"/>
      <x:c r="AF163" s="139" t="n"/>
      <x:c r="AG163" s="139" t="n"/>
      <x:c r="AH163" s="139" t="n"/>
      <x:c r="AI163" s="139" t="n"/>
      <x:c r="AJ163" s="139" t="n"/>
      <x:c r="AK163" s="139" t="n"/>
      <x:c r="AL163" s="139" t="n"/>
      <x:c r="AM163" s="139" t="n"/>
      <x:c r="AN163" s="139" t="n"/>
      <x:c r="AO163" s="139" t="n"/>
      <x:c r="AP163" s="139" t="n"/>
      <x:c r="AQ163" s="139" t="n"/>
      <x:c r="AR163" s="139" t="n"/>
      <x:c r="AS163" s="139" t="n"/>
      <x:c r="AT163" s="139" t="n"/>
      <x:c r="AU163" s="139" t="n"/>
      <x:c r="AV163" s="139" t="n"/>
      <x:c r="AW163" s="139" t="n"/>
      <x:c r="AX163" s="139" t="n"/>
      <x:c r="AY163" s="139" t="n"/>
      <x:c r="AZ163" s="139" t="n"/>
    </x:row>
    <x:row r="164">
      <x:c r="A164" s="139" t="n"/>
      <x:c r="B164" s="139" t="n"/>
      <x:c r="C164" s="139" t="n"/>
      <x:c r="D164" s="139" t="n"/>
      <x:c r="E164" s="139" t="n"/>
      <x:c r="F164" s="139" t="n"/>
      <x:c r="G164" s="139" t="n"/>
      <x:c r="H164" s="139" t="n"/>
      <x:c r="I164" s="139" t="n"/>
      <x:c r="J164" s="139" t="n"/>
      <x:c r="K164" s="139" t="n"/>
      <x:c r="L164" s="139" t="n"/>
      <x:c r="M164" s="139" t="n"/>
      <x:c r="N164" s="139" t="n"/>
      <x:c r="O164" s="139" t="n"/>
      <x:c r="P164" s="139" t="n"/>
      <x:c r="Q164" s="139" t="n"/>
      <x:c r="R164" s="139" t="n"/>
      <x:c r="S164" s="139" t="n"/>
      <x:c r="T164" s="139" t="n"/>
      <x:c r="U164" s="139" t="n"/>
      <x:c r="V164" s="139" t="n"/>
      <x:c r="W164" s="139" t="n"/>
      <x:c r="X164" s="139" t="n"/>
      <x:c r="Y164" s="139" t="n"/>
      <x:c r="Z164" s="139" t="n"/>
      <x:c r="AA164" s="139" t="n"/>
      <x:c r="AB164" s="139" t="n"/>
      <x:c r="AC164" s="139" t="n"/>
      <x:c r="AD164" s="139" t="n"/>
      <x:c r="AE164" s="139" t="n"/>
      <x:c r="AF164" s="139" t="n"/>
      <x:c r="AG164" s="139" t="n"/>
      <x:c r="AH164" s="139" t="n"/>
      <x:c r="AI164" s="139" t="n"/>
      <x:c r="AJ164" s="139" t="n"/>
      <x:c r="AK164" s="139" t="n"/>
      <x:c r="AL164" s="139" t="n"/>
      <x:c r="AM164" s="139" t="n"/>
      <x:c r="AN164" s="139" t="n"/>
      <x:c r="AO164" s="139" t="n"/>
      <x:c r="AP164" s="139" t="n"/>
      <x:c r="AQ164" s="139" t="n"/>
      <x:c r="AR164" s="139" t="n"/>
      <x:c r="AS164" s="139" t="n"/>
      <x:c r="AT164" s="139" t="n"/>
      <x:c r="AU164" s="139" t="n"/>
      <x:c r="AV164" s="139" t="n"/>
      <x:c r="AW164" s="139" t="n"/>
      <x:c r="AX164" s="139" t="n"/>
      <x:c r="AY164" s="139" t="n"/>
      <x:c r="AZ164" s="139" t="n"/>
    </x:row>
    <x:row r="165">
      <x:c r="A165" s="139" t="n"/>
      <x:c r="B165" s="139" t="n"/>
      <x:c r="C165" s="139" t="n"/>
      <x:c r="D165" s="139" t="n"/>
      <x:c r="E165" s="139" t="n"/>
      <x:c r="F165" s="139" t="n"/>
      <x:c r="G165" s="139" t="n"/>
      <x:c r="H165" s="139" t="n"/>
      <x:c r="I165" s="139" t="n"/>
      <x:c r="J165" s="139" t="n"/>
      <x:c r="K165" s="139" t="n"/>
      <x:c r="L165" s="139" t="n"/>
      <x:c r="M165" s="139" t="n"/>
      <x:c r="N165" s="139" t="n"/>
      <x:c r="O165" s="139" t="n"/>
      <x:c r="P165" s="139" t="n"/>
      <x:c r="Q165" s="139" t="n"/>
      <x:c r="R165" s="139" t="n"/>
      <x:c r="S165" s="139" t="n"/>
      <x:c r="T165" s="139" t="n"/>
      <x:c r="U165" s="139" t="n"/>
      <x:c r="V165" s="139" t="n"/>
      <x:c r="W165" s="139" t="n"/>
      <x:c r="X165" s="139" t="n"/>
      <x:c r="Y165" s="139" t="n"/>
      <x:c r="Z165" s="139" t="n"/>
      <x:c r="AA165" s="139" t="n"/>
      <x:c r="AB165" s="139" t="n"/>
      <x:c r="AC165" s="139" t="n"/>
      <x:c r="AD165" s="139" t="n"/>
      <x:c r="AE165" s="139" t="n"/>
      <x:c r="AF165" s="139" t="n"/>
      <x:c r="AG165" s="139" t="n"/>
      <x:c r="AH165" s="139" t="n"/>
      <x:c r="AI165" s="139" t="n"/>
      <x:c r="AJ165" s="139" t="n"/>
      <x:c r="AK165" s="139" t="n"/>
      <x:c r="AL165" s="139" t="n"/>
      <x:c r="AM165" s="139" t="n"/>
      <x:c r="AN165" s="139" t="n"/>
      <x:c r="AO165" s="139" t="n"/>
      <x:c r="AP165" s="139" t="n"/>
      <x:c r="AQ165" s="139" t="n"/>
      <x:c r="AR165" s="139" t="n"/>
      <x:c r="AS165" s="139" t="n"/>
      <x:c r="AT165" s="139" t="n"/>
      <x:c r="AU165" s="139" t="n"/>
      <x:c r="AV165" s="139" t="n"/>
      <x:c r="AW165" s="139" t="n"/>
      <x:c r="AX165" s="139" t="n"/>
      <x:c r="AY165" s="139" t="n"/>
      <x:c r="AZ165" s="139" t="n"/>
    </x:row>
    <x:row r="166">
      <x:c r="A166" s="139" t="n"/>
      <x:c r="B166" s="139" t="n"/>
      <x:c r="C166" s="139" t="n"/>
      <x:c r="D166" s="139" t="n"/>
      <x:c r="E166" s="139" t="n"/>
      <x:c r="F166" s="139" t="n"/>
      <x:c r="G166" s="139" t="n"/>
      <x:c r="H166" s="139" t="n"/>
      <x:c r="I166" s="139" t="n"/>
      <x:c r="J166" s="139" t="n"/>
      <x:c r="K166" s="139" t="n"/>
      <x:c r="L166" s="139" t="n"/>
      <x:c r="M166" s="139" t="n"/>
      <x:c r="N166" s="139" t="n"/>
      <x:c r="O166" s="139" t="n"/>
      <x:c r="P166" s="139" t="n"/>
      <x:c r="Q166" s="139" t="n"/>
      <x:c r="R166" s="139" t="n"/>
      <x:c r="S166" s="139" t="n"/>
      <x:c r="T166" s="139" t="n"/>
      <x:c r="U166" s="139" t="n"/>
      <x:c r="V166" s="139" t="n"/>
      <x:c r="W166" s="139" t="n"/>
      <x:c r="X166" s="139" t="n"/>
      <x:c r="Y166" s="139" t="n"/>
      <x:c r="Z166" s="139" t="n"/>
      <x:c r="AA166" s="139" t="n"/>
      <x:c r="AB166" s="139" t="n"/>
      <x:c r="AC166" s="139" t="n"/>
      <x:c r="AD166" s="139" t="n"/>
      <x:c r="AE166" s="139" t="n"/>
      <x:c r="AF166" s="139" t="n"/>
      <x:c r="AG166" s="139" t="n"/>
      <x:c r="AH166" s="139" t="n"/>
      <x:c r="AI166" s="139" t="n"/>
      <x:c r="AJ166" s="139" t="n"/>
      <x:c r="AK166" s="139" t="n"/>
      <x:c r="AL166" s="139" t="n"/>
      <x:c r="AM166" s="139" t="n"/>
      <x:c r="AN166" s="139" t="n"/>
      <x:c r="AO166" s="139" t="n"/>
      <x:c r="AP166" s="139" t="n"/>
      <x:c r="AQ166" s="139" t="n"/>
      <x:c r="AR166" s="139" t="n"/>
      <x:c r="AS166" s="139" t="n"/>
      <x:c r="AT166" s="139" t="n"/>
      <x:c r="AU166" s="139" t="n"/>
      <x:c r="AV166" s="139" t="n"/>
      <x:c r="AW166" s="139" t="n"/>
      <x:c r="AX166" s="139" t="n"/>
      <x:c r="AY166" s="139" t="n"/>
      <x:c r="AZ166" s="139" t="n"/>
    </x:row>
    <x:row r="167">
      <x:c r="A167" s="139" t="n"/>
      <x:c r="B167" s="139" t="n"/>
      <x:c r="C167" s="139" t="n"/>
      <x:c r="D167" s="139" t="n"/>
      <x:c r="E167" s="139" t="n"/>
      <x:c r="F167" s="139" t="n"/>
      <x:c r="G167" s="139" t="n"/>
      <x:c r="H167" s="139" t="n"/>
      <x:c r="I167" s="139" t="n"/>
      <x:c r="J167" s="139" t="n"/>
      <x:c r="K167" s="139" t="n"/>
      <x:c r="L167" s="139" t="n"/>
      <x:c r="M167" s="139" t="n"/>
      <x:c r="N167" s="139" t="n"/>
      <x:c r="O167" s="139" t="n"/>
      <x:c r="P167" s="139" t="n"/>
      <x:c r="Q167" s="139" t="n"/>
      <x:c r="R167" s="139" t="n"/>
      <x:c r="S167" s="139" t="n"/>
      <x:c r="T167" s="139" t="n"/>
      <x:c r="U167" s="139" t="n"/>
      <x:c r="V167" s="139" t="n"/>
      <x:c r="W167" s="139" t="n"/>
      <x:c r="X167" s="139" t="n"/>
      <x:c r="Y167" s="139" t="n"/>
      <x:c r="Z167" s="139" t="n"/>
      <x:c r="AA167" s="139" t="n"/>
      <x:c r="AB167" s="139" t="n"/>
      <x:c r="AC167" s="139" t="n"/>
      <x:c r="AD167" s="139" t="n"/>
      <x:c r="AE167" s="139" t="n"/>
      <x:c r="AF167" s="139" t="n"/>
      <x:c r="AG167" s="139" t="n"/>
      <x:c r="AH167" s="139" t="n"/>
      <x:c r="AI167" s="139" t="n"/>
      <x:c r="AJ167" s="139" t="n"/>
      <x:c r="AK167" s="139" t="n"/>
      <x:c r="AL167" s="139" t="n"/>
      <x:c r="AM167" s="139" t="n"/>
      <x:c r="AN167" s="139" t="n"/>
      <x:c r="AO167" s="139" t="n"/>
      <x:c r="AP167" s="139" t="n"/>
      <x:c r="AQ167" s="139" t="n"/>
      <x:c r="AR167" s="139" t="n"/>
      <x:c r="AS167" s="139" t="n"/>
      <x:c r="AT167" s="139" t="n"/>
      <x:c r="AU167" s="139" t="n"/>
      <x:c r="AV167" s="139" t="n"/>
      <x:c r="AW167" s="139" t="n"/>
      <x:c r="AX167" s="139" t="n"/>
      <x:c r="AY167" s="139" t="n"/>
      <x:c r="AZ167" s="139" t="n"/>
    </x:row>
    <x:row r="168">
      <x:c r="A168" s="139" t="n"/>
      <x:c r="B168" s="139" t="n"/>
      <x:c r="C168" s="139" t="n"/>
      <x:c r="D168" s="139" t="n"/>
      <x:c r="E168" s="139" t="n"/>
      <x:c r="F168" s="139" t="n"/>
      <x:c r="G168" s="139" t="n"/>
      <x:c r="H168" s="139" t="n"/>
      <x:c r="I168" s="139" t="n"/>
      <x:c r="J168" s="139" t="n"/>
      <x:c r="K168" s="139" t="n"/>
      <x:c r="L168" s="139" t="n"/>
      <x:c r="M168" s="139" t="n"/>
      <x:c r="N168" s="139" t="n"/>
      <x:c r="O168" s="139" t="n"/>
      <x:c r="P168" s="139" t="n"/>
      <x:c r="Q168" s="139" t="n"/>
      <x:c r="R168" s="139" t="n"/>
      <x:c r="S168" s="139" t="n"/>
      <x:c r="T168" s="139" t="n"/>
      <x:c r="U168" s="139" t="n"/>
      <x:c r="V168" s="139" t="n"/>
      <x:c r="W168" s="139" t="n"/>
      <x:c r="X168" s="139" t="n"/>
      <x:c r="Y168" s="139" t="n"/>
      <x:c r="Z168" s="139" t="n"/>
      <x:c r="AA168" s="139" t="n"/>
      <x:c r="AB168" s="139" t="n"/>
      <x:c r="AC168" s="139" t="n"/>
      <x:c r="AD168" s="139" t="n"/>
      <x:c r="AE168" s="139" t="n"/>
      <x:c r="AF168" s="139" t="n"/>
      <x:c r="AG168" s="139" t="n"/>
      <x:c r="AH168" s="139" t="n"/>
      <x:c r="AI168" s="139" t="n"/>
      <x:c r="AJ168" s="139" t="n"/>
      <x:c r="AK168" s="139" t="n"/>
      <x:c r="AL168" s="139" t="n"/>
      <x:c r="AM168" s="139" t="n"/>
      <x:c r="AN168" s="139" t="n"/>
      <x:c r="AO168" s="139" t="n"/>
      <x:c r="AP168" s="139" t="n"/>
      <x:c r="AQ168" s="139" t="n"/>
      <x:c r="AR168" s="139" t="n"/>
      <x:c r="AS168" s="139" t="n"/>
      <x:c r="AT168" s="139" t="n"/>
      <x:c r="AU168" s="139" t="n"/>
      <x:c r="AV168" s="139" t="n"/>
      <x:c r="AW168" s="139" t="n"/>
      <x:c r="AX168" s="139" t="n"/>
      <x:c r="AY168" s="139" t="n"/>
      <x:c r="AZ168" s="139" t="n"/>
    </x:row>
    <x:row r="169">
      <x:c r="A169" s="139" t="n"/>
      <x:c r="B169" s="139" t="n"/>
      <x:c r="C169" s="139" t="n"/>
      <x:c r="D169" s="139" t="n"/>
      <x:c r="E169" s="139" t="n"/>
      <x:c r="F169" s="139" t="n"/>
      <x:c r="G169" s="139" t="n"/>
      <x:c r="H169" s="139" t="n"/>
      <x:c r="I169" s="139" t="n"/>
      <x:c r="J169" s="139" t="n"/>
      <x:c r="K169" s="139" t="n"/>
      <x:c r="L169" s="139" t="n"/>
      <x:c r="M169" s="139" t="n"/>
      <x:c r="N169" s="139" t="n"/>
      <x:c r="O169" s="139" t="n"/>
      <x:c r="P169" s="139" t="n"/>
      <x:c r="Q169" s="139" t="n"/>
      <x:c r="R169" s="139" t="n"/>
      <x:c r="S169" s="139" t="n"/>
      <x:c r="T169" s="139" t="n"/>
      <x:c r="U169" s="139" t="n"/>
      <x:c r="V169" s="139" t="n"/>
      <x:c r="W169" s="139" t="n"/>
      <x:c r="X169" s="139" t="n"/>
      <x:c r="Y169" s="139" t="n"/>
      <x:c r="Z169" s="139" t="n"/>
      <x:c r="AA169" s="139" t="n"/>
      <x:c r="AB169" s="139" t="n"/>
      <x:c r="AC169" s="139" t="n"/>
      <x:c r="AD169" s="139" t="n"/>
      <x:c r="AE169" s="139" t="n"/>
      <x:c r="AF169" s="139" t="n"/>
      <x:c r="AG169" s="139" t="n"/>
      <x:c r="AH169" s="139" t="n"/>
      <x:c r="AI169" s="139" t="n"/>
      <x:c r="AJ169" s="139" t="n"/>
      <x:c r="AK169" s="139" t="n"/>
      <x:c r="AL169" s="139" t="n"/>
      <x:c r="AM169" s="139" t="n"/>
      <x:c r="AN169" s="139" t="n"/>
      <x:c r="AO169" s="139" t="n"/>
      <x:c r="AP169" s="139" t="n"/>
      <x:c r="AQ169" s="139" t="n"/>
      <x:c r="AR169" s="139" t="n"/>
      <x:c r="AS169" s="139" t="n"/>
      <x:c r="AT169" s="139" t="n"/>
      <x:c r="AU169" s="139" t="n"/>
      <x:c r="AV169" s="139" t="n"/>
      <x:c r="AW169" s="139" t="n"/>
      <x:c r="AX169" s="139" t="n"/>
      <x:c r="AY169" s="139" t="n"/>
      <x:c r="AZ169" s="139" t="n"/>
    </x:row>
    <x:row r="170">
      <x:c r="A170" s="139" t="n"/>
      <x:c r="B170" s="139" t="n"/>
      <x:c r="C170" s="139" t="n"/>
      <x:c r="D170" s="139" t="n"/>
      <x:c r="E170" s="139" t="n"/>
      <x:c r="F170" s="139" t="n"/>
      <x:c r="G170" s="139" t="n"/>
      <x:c r="H170" s="139" t="n"/>
      <x:c r="I170" s="139" t="n"/>
      <x:c r="J170" s="139" t="n"/>
      <x:c r="K170" s="139" t="n"/>
      <x:c r="L170" s="139" t="n"/>
      <x:c r="M170" s="139" t="n"/>
      <x:c r="N170" s="139" t="n"/>
      <x:c r="O170" s="139" t="n"/>
      <x:c r="P170" s="139" t="n"/>
      <x:c r="Q170" s="139" t="n"/>
      <x:c r="R170" s="139" t="n"/>
      <x:c r="S170" s="139" t="n"/>
      <x:c r="T170" s="139" t="n"/>
      <x:c r="U170" s="139" t="n"/>
      <x:c r="V170" s="139" t="n"/>
      <x:c r="W170" s="139" t="n"/>
      <x:c r="X170" s="139" t="n"/>
      <x:c r="Y170" s="139" t="n"/>
      <x:c r="Z170" s="139" t="n"/>
      <x:c r="AA170" s="139" t="n"/>
      <x:c r="AB170" s="139" t="n"/>
      <x:c r="AC170" s="139" t="n"/>
      <x:c r="AD170" s="139" t="n"/>
      <x:c r="AE170" s="139" t="n"/>
      <x:c r="AF170" s="139" t="n"/>
      <x:c r="AG170" s="139" t="n"/>
      <x:c r="AH170" s="139" t="n"/>
      <x:c r="AI170" s="139" t="n"/>
      <x:c r="AJ170" s="139" t="n"/>
      <x:c r="AK170" s="139" t="n"/>
      <x:c r="AL170" s="139" t="n"/>
      <x:c r="AM170" s="139" t="n"/>
      <x:c r="AN170" s="139" t="n"/>
      <x:c r="AO170" s="139" t="n"/>
      <x:c r="AP170" s="139" t="n"/>
      <x:c r="AQ170" s="139" t="n"/>
      <x:c r="AR170" s="139" t="n"/>
      <x:c r="AS170" s="139" t="n"/>
      <x:c r="AT170" s="139" t="n"/>
      <x:c r="AU170" s="139" t="n"/>
      <x:c r="AV170" s="139" t="n"/>
      <x:c r="AW170" s="139" t="n"/>
      <x:c r="AX170" s="139" t="n"/>
      <x:c r="AY170" s="139" t="n"/>
      <x:c r="AZ170" s="139" t="n"/>
    </x:row>
    <x:row r="171">
      <x:c r="A171" s="139" t="n"/>
      <x:c r="B171" s="139" t="n"/>
      <x:c r="C171" s="139" t="n"/>
      <x:c r="D171" s="139" t="n"/>
      <x:c r="E171" s="139" t="n"/>
      <x:c r="F171" s="139" t="n"/>
      <x:c r="G171" s="139" t="n"/>
      <x:c r="H171" s="139" t="n"/>
      <x:c r="I171" s="139" t="n"/>
      <x:c r="J171" s="139" t="n"/>
      <x:c r="K171" s="139" t="n"/>
      <x:c r="L171" s="139" t="n"/>
      <x:c r="M171" s="139" t="n"/>
      <x:c r="N171" s="139" t="n"/>
      <x:c r="O171" s="139" t="n"/>
      <x:c r="P171" s="139" t="n"/>
      <x:c r="Q171" s="139" t="n"/>
      <x:c r="R171" s="139" t="n"/>
      <x:c r="S171" s="139" t="n"/>
      <x:c r="T171" s="139" t="n"/>
      <x:c r="U171" s="139" t="n"/>
      <x:c r="V171" s="139" t="n"/>
      <x:c r="W171" s="139" t="n"/>
      <x:c r="X171" s="139" t="n"/>
      <x:c r="Y171" s="139" t="n"/>
      <x:c r="Z171" s="139" t="n"/>
      <x:c r="AA171" s="139" t="n"/>
      <x:c r="AB171" s="139" t="n"/>
      <x:c r="AC171" s="139" t="n"/>
      <x:c r="AD171" s="139" t="n"/>
      <x:c r="AE171" s="139" t="n"/>
      <x:c r="AF171" s="139" t="n"/>
      <x:c r="AG171" s="139" t="n"/>
      <x:c r="AH171" s="139" t="n"/>
      <x:c r="AI171" s="139" t="n"/>
      <x:c r="AJ171" s="139" t="n"/>
      <x:c r="AK171" s="139" t="n"/>
      <x:c r="AL171" s="139" t="n"/>
      <x:c r="AM171" s="139" t="n"/>
      <x:c r="AN171" s="139" t="n"/>
      <x:c r="AO171" s="139" t="n"/>
      <x:c r="AP171" s="139" t="n"/>
      <x:c r="AQ171" s="139" t="n"/>
      <x:c r="AR171" s="139" t="n"/>
      <x:c r="AS171" s="139" t="n"/>
      <x:c r="AT171" s="139" t="n"/>
      <x:c r="AU171" s="139" t="n"/>
      <x:c r="AV171" s="139" t="n"/>
      <x:c r="AW171" s="139" t="n"/>
      <x:c r="AX171" s="139" t="n"/>
      <x:c r="AY171" s="139" t="n"/>
      <x:c r="AZ171" s="139" t="n"/>
    </x:row>
    <x:row r="172">
      <x:c r="A172" s="139" t="n"/>
      <x:c r="B172" s="139" t="n"/>
      <x:c r="C172" s="139" t="n"/>
      <x:c r="D172" s="139" t="n"/>
      <x:c r="E172" s="139" t="n"/>
      <x:c r="F172" s="139" t="n"/>
      <x:c r="G172" s="139" t="n"/>
      <x:c r="H172" s="139" t="n"/>
      <x:c r="I172" s="139" t="n"/>
      <x:c r="J172" s="139" t="n"/>
      <x:c r="K172" s="139" t="n"/>
      <x:c r="L172" s="139" t="n"/>
      <x:c r="M172" s="139" t="n"/>
      <x:c r="N172" s="139" t="n"/>
      <x:c r="O172" s="139" t="n"/>
      <x:c r="P172" s="139" t="n"/>
      <x:c r="Q172" s="139" t="n"/>
      <x:c r="R172" s="139" t="n"/>
      <x:c r="S172" s="139" t="n"/>
      <x:c r="T172" s="139" t="n"/>
      <x:c r="U172" s="139" t="n"/>
      <x:c r="V172" s="139" t="n"/>
      <x:c r="W172" s="139" t="n"/>
      <x:c r="X172" s="139" t="n"/>
      <x:c r="Y172" s="139" t="n"/>
      <x:c r="Z172" s="139" t="n"/>
      <x:c r="AA172" s="139" t="n"/>
      <x:c r="AB172" s="139" t="n"/>
      <x:c r="AC172" s="139" t="n"/>
      <x:c r="AD172" s="139" t="n"/>
      <x:c r="AE172" s="139" t="n"/>
      <x:c r="AF172" s="139" t="n"/>
      <x:c r="AG172" s="139" t="n"/>
      <x:c r="AH172" s="139" t="n"/>
      <x:c r="AI172" s="139" t="n"/>
      <x:c r="AJ172" s="139" t="n"/>
      <x:c r="AK172" s="139" t="n"/>
      <x:c r="AL172" s="139" t="n"/>
      <x:c r="AM172" s="139" t="n"/>
      <x:c r="AN172" s="139" t="n"/>
      <x:c r="AO172" s="139" t="n"/>
      <x:c r="AP172" s="139" t="n"/>
      <x:c r="AQ172" s="139" t="n"/>
      <x:c r="AR172" s="139" t="n"/>
      <x:c r="AS172" s="139" t="n"/>
      <x:c r="AT172" s="139" t="n"/>
      <x:c r="AU172" s="139" t="n"/>
      <x:c r="AV172" s="139" t="n"/>
      <x:c r="AW172" s="139" t="n"/>
      <x:c r="AX172" s="139" t="n"/>
      <x:c r="AY172" s="139" t="n"/>
      <x:c r="AZ172" s="139" t="n"/>
    </x:row>
    <x:row r="173">
      <x:c r="A173" s="139" t="n"/>
      <x:c r="B173" s="139" t="n"/>
      <x:c r="C173" s="139" t="n"/>
      <x:c r="D173" s="139" t="n"/>
      <x:c r="E173" s="139" t="n"/>
      <x:c r="F173" s="139" t="n"/>
      <x:c r="G173" s="139" t="n"/>
      <x:c r="H173" s="139" t="n"/>
      <x:c r="I173" s="139" t="n"/>
      <x:c r="J173" s="139" t="n"/>
      <x:c r="K173" s="139" t="n"/>
      <x:c r="L173" s="139" t="n"/>
      <x:c r="M173" s="139" t="n"/>
      <x:c r="N173" s="139" t="n"/>
      <x:c r="O173" s="139" t="n"/>
      <x:c r="P173" s="139" t="n"/>
      <x:c r="Q173" s="139" t="n"/>
      <x:c r="R173" s="139" t="n"/>
      <x:c r="S173" s="139" t="n"/>
      <x:c r="T173" s="139" t="n"/>
      <x:c r="U173" s="139" t="n"/>
      <x:c r="V173" s="139" t="n"/>
      <x:c r="W173" s="139" t="n"/>
      <x:c r="X173" s="139" t="n"/>
      <x:c r="Y173" s="139" t="n"/>
      <x:c r="Z173" s="139" t="n"/>
      <x:c r="AA173" s="139" t="n"/>
      <x:c r="AB173" s="139" t="n"/>
      <x:c r="AC173" s="139" t="n"/>
      <x:c r="AD173" s="139" t="n"/>
      <x:c r="AE173" s="139" t="n"/>
      <x:c r="AF173" s="139" t="n"/>
      <x:c r="AG173" s="139" t="n"/>
      <x:c r="AH173" s="139" t="n"/>
      <x:c r="AI173" s="139" t="n"/>
      <x:c r="AJ173" s="139" t="n"/>
      <x:c r="AK173" s="139" t="n"/>
      <x:c r="AL173" s="139" t="n"/>
      <x:c r="AM173" s="139" t="n"/>
      <x:c r="AN173" s="139" t="n"/>
      <x:c r="AO173" s="139" t="n"/>
      <x:c r="AP173" s="139" t="n"/>
      <x:c r="AQ173" s="139" t="n"/>
      <x:c r="AR173" s="139" t="n"/>
      <x:c r="AS173" s="139" t="n"/>
      <x:c r="AT173" s="139" t="n"/>
      <x:c r="AU173" s="139" t="n"/>
      <x:c r="AV173" s="139" t="n"/>
      <x:c r="AW173" s="139" t="n"/>
      <x:c r="AX173" s="139" t="n"/>
      <x:c r="AY173" s="139" t="n"/>
      <x:c r="AZ173" s="139" t="n"/>
    </x:row>
    <x:row r="174">
      <x:c r="A174" s="139" t="n"/>
      <x:c r="B174" s="139" t="n"/>
      <x:c r="C174" s="139" t="n"/>
      <x:c r="D174" s="139" t="n"/>
      <x:c r="E174" s="139" t="n"/>
      <x:c r="F174" s="139" t="n"/>
      <x:c r="G174" s="139" t="n"/>
      <x:c r="H174" s="139" t="n"/>
      <x:c r="I174" s="139" t="n"/>
      <x:c r="J174" s="139" t="n"/>
      <x:c r="K174" s="139" t="n"/>
      <x:c r="L174" s="139" t="n"/>
      <x:c r="M174" s="139" t="n"/>
      <x:c r="N174" s="139" t="n"/>
      <x:c r="O174" s="139" t="n"/>
      <x:c r="P174" s="139" t="n"/>
      <x:c r="Q174" s="139" t="n"/>
      <x:c r="R174" s="139" t="n"/>
      <x:c r="S174" s="139" t="n"/>
      <x:c r="T174" s="139" t="n"/>
      <x:c r="U174" s="139" t="n"/>
      <x:c r="V174" s="139" t="n"/>
      <x:c r="W174" s="139" t="n"/>
      <x:c r="X174" s="139" t="n"/>
      <x:c r="Y174" s="139" t="n"/>
      <x:c r="Z174" s="139" t="n"/>
      <x:c r="AA174" s="139" t="n"/>
      <x:c r="AB174" s="139" t="n"/>
      <x:c r="AC174" s="139" t="n"/>
      <x:c r="AD174" s="139" t="n"/>
      <x:c r="AE174" s="139" t="n"/>
      <x:c r="AF174" s="139" t="n"/>
      <x:c r="AG174" s="139" t="n"/>
      <x:c r="AH174" s="139" t="n"/>
      <x:c r="AI174" s="139" t="n"/>
      <x:c r="AJ174" s="139" t="n"/>
      <x:c r="AK174" s="139" t="n"/>
      <x:c r="AL174" s="139" t="n"/>
      <x:c r="AM174" s="139" t="n"/>
      <x:c r="AN174" s="139" t="n"/>
      <x:c r="AO174" s="139" t="n"/>
      <x:c r="AP174" s="139" t="n"/>
      <x:c r="AQ174" s="139" t="n"/>
      <x:c r="AR174" s="139" t="n"/>
      <x:c r="AS174" s="139" t="n"/>
      <x:c r="AT174" s="139" t="n"/>
      <x:c r="AU174" s="139" t="n"/>
      <x:c r="AV174" s="139" t="n"/>
      <x:c r="AW174" s="139" t="n"/>
      <x:c r="AX174" s="139" t="n"/>
      <x:c r="AY174" s="139" t="n"/>
      <x:c r="AZ174" s="139" t="n"/>
    </x:row>
    <x:row r="175">
      <x:c r="A175" s="139" t="n"/>
      <x:c r="B175" s="139" t="n"/>
      <x:c r="C175" s="139" t="n"/>
      <x:c r="D175" s="139" t="n"/>
      <x:c r="E175" s="139" t="n"/>
      <x:c r="F175" s="139" t="n"/>
      <x:c r="G175" s="139" t="n"/>
      <x:c r="H175" s="139" t="n"/>
      <x:c r="I175" s="139" t="n"/>
      <x:c r="J175" s="139" t="n"/>
      <x:c r="K175" s="139" t="n"/>
      <x:c r="L175" s="139" t="n"/>
      <x:c r="M175" s="139" t="n"/>
      <x:c r="N175" s="139" t="n"/>
      <x:c r="O175" s="139" t="n"/>
      <x:c r="P175" s="139" t="n"/>
      <x:c r="Q175" s="139" t="n"/>
      <x:c r="R175" s="139" t="n"/>
      <x:c r="S175" s="139" t="n"/>
      <x:c r="T175" s="139" t="n"/>
      <x:c r="U175" s="139" t="n"/>
      <x:c r="V175" s="139" t="n"/>
      <x:c r="W175" s="139" t="n"/>
      <x:c r="X175" s="139" t="n"/>
      <x:c r="Y175" s="139" t="n"/>
      <x:c r="Z175" s="139" t="n"/>
      <x:c r="AA175" s="139" t="n"/>
      <x:c r="AB175" s="139" t="n"/>
      <x:c r="AC175" s="139" t="n"/>
      <x:c r="AD175" s="139" t="n"/>
      <x:c r="AE175" s="139" t="n"/>
      <x:c r="AF175" s="139" t="n"/>
      <x:c r="AG175" s="139" t="n"/>
      <x:c r="AH175" s="139" t="n"/>
      <x:c r="AI175" s="139" t="n"/>
      <x:c r="AJ175" s="139" t="n"/>
      <x:c r="AK175" s="139" t="n"/>
      <x:c r="AL175" s="139" t="n"/>
      <x:c r="AM175" s="139" t="n"/>
      <x:c r="AN175" s="139" t="n"/>
      <x:c r="AO175" s="139" t="n"/>
      <x:c r="AP175" s="139" t="n"/>
      <x:c r="AQ175" s="139" t="n"/>
      <x:c r="AR175" s="139" t="n"/>
      <x:c r="AS175" s="139" t="n"/>
      <x:c r="AT175" s="139" t="n"/>
      <x:c r="AU175" s="139" t="n"/>
      <x:c r="AV175" s="139" t="n"/>
      <x:c r="AW175" s="139" t="n"/>
      <x:c r="AX175" s="139" t="n"/>
      <x:c r="AY175" s="139" t="n"/>
      <x:c r="AZ175" s="139" t="n"/>
    </x:row>
    <x:row r="176">
      <x:c r="A176" s="139" t="n"/>
      <x:c r="B176" s="139" t="n"/>
      <x:c r="C176" s="139" t="n"/>
      <x:c r="D176" s="139" t="n"/>
      <x:c r="E176" s="139" t="n"/>
      <x:c r="F176" s="139" t="n"/>
      <x:c r="G176" s="139" t="n"/>
      <x:c r="H176" s="139" t="n"/>
      <x:c r="I176" s="139" t="n"/>
      <x:c r="J176" s="139" t="n"/>
      <x:c r="K176" s="139" t="n"/>
      <x:c r="L176" s="139" t="n"/>
      <x:c r="M176" s="139" t="n"/>
      <x:c r="N176" s="139" t="n"/>
      <x:c r="O176" s="139" t="n"/>
      <x:c r="P176" s="139" t="n"/>
      <x:c r="Q176" s="139" t="n"/>
      <x:c r="R176" s="139" t="n"/>
      <x:c r="S176" s="139" t="n"/>
      <x:c r="T176" s="139" t="n"/>
      <x:c r="U176" s="139" t="n"/>
      <x:c r="V176" s="139" t="n"/>
      <x:c r="W176" s="139" t="n"/>
      <x:c r="X176" s="139" t="n"/>
      <x:c r="Y176" s="139" t="n"/>
      <x:c r="Z176" s="139" t="n"/>
      <x:c r="AA176" s="139" t="n"/>
      <x:c r="AB176" s="139" t="n"/>
      <x:c r="AC176" s="139" t="n"/>
      <x:c r="AD176" s="139" t="n"/>
      <x:c r="AE176" s="139" t="n"/>
      <x:c r="AF176" s="139" t="n"/>
      <x:c r="AG176" s="139" t="n"/>
      <x:c r="AH176" s="139" t="n"/>
      <x:c r="AI176" s="139" t="n"/>
      <x:c r="AJ176" s="139" t="n"/>
      <x:c r="AK176" s="139" t="n"/>
      <x:c r="AL176" s="139" t="n"/>
      <x:c r="AM176" s="139" t="n"/>
      <x:c r="AN176" s="139" t="n"/>
      <x:c r="AO176" s="139" t="n"/>
      <x:c r="AP176" s="139" t="n"/>
      <x:c r="AQ176" s="139" t="n"/>
      <x:c r="AR176" s="139" t="n"/>
      <x:c r="AS176" s="139" t="n"/>
      <x:c r="AT176" s="139" t="n"/>
      <x:c r="AU176" s="139" t="n"/>
      <x:c r="AV176" s="139" t="n"/>
      <x:c r="AW176" s="139" t="n"/>
      <x:c r="AX176" s="139" t="n"/>
      <x:c r="AY176" s="139" t="n"/>
      <x:c r="AZ176" s="139" t="n"/>
    </x:row>
    <x:row r="177">
      <x:c r="A177" s="139" t="n"/>
      <x:c r="B177" s="139" t="n"/>
      <x:c r="C177" s="139" t="n"/>
      <x:c r="D177" s="139" t="n"/>
      <x:c r="E177" s="139" t="n"/>
      <x:c r="F177" s="139" t="n"/>
      <x:c r="G177" s="139" t="n"/>
      <x:c r="H177" s="139" t="n"/>
      <x:c r="I177" s="139" t="n"/>
      <x:c r="J177" s="139" t="n"/>
      <x:c r="K177" s="139" t="n"/>
      <x:c r="L177" s="139" t="n"/>
      <x:c r="M177" s="139" t="n"/>
      <x:c r="N177" s="139" t="n"/>
      <x:c r="O177" s="139" t="n"/>
      <x:c r="P177" s="139" t="n"/>
      <x:c r="Q177" s="139" t="n"/>
      <x:c r="R177" s="139" t="n"/>
      <x:c r="S177" s="139" t="n"/>
      <x:c r="T177" s="139" t="n"/>
      <x:c r="U177" s="139" t="n"/>
      <x:c r="V177" s="139" t="n"/>
      <x:c r="W177" s="139" t="n"/>
      <x:c r="X177" s="139" t="n"/>
      <x:c r="Y177" s="139" t="n"/>
      <x:c r="Z177" s="139" t="n"/>
      <x:c r="AA177" s="139" t="n"/>
      <x:c r="AB177" s="139" t="n"/>
      <x:c r="AC177" s="139" t="n"/>
      <x:c r="AD177" s="139" t="n"/>
      <x:c r="AE177" s="139" t="n"/>
      <x:c r="AF177" s="139" t="n"/>
      <x:c r="AG177" s="139" t="n"/>
      <x:c r="AH177" s="139" t="n"/>
      <x:c r="AI177" s="139" t="n"/>
      <x:c r="AJ177" s="139" t="n"/>
      <x:c r="AK177" s="139" t="n"/>
      <x:c r="AL177" s="139" t="n"/>
      <x:c r="AM177" s="139" t="n"/>
      <x:c r="AN177" s="139" t="n"/>
      <x:c r="AO177" s="139" t="n"/>
      <x:c r="AP177" s="139" t="n"/>
      <x:c r="AQ177" s="139" t="n"/>
      <x:c r="AR177" s="139" t="n"/>
      <x:c r="AS177" s="139" t="n"/>
      <x:c r="AT177" s="139" t="n"/>
      <x:c r="AU177" s="139" t="n"/>
      <x:c r="AV177" s="139" t="n"/>
      <x:c r="AW177" s="139" t="n"/>
      <x:c r="AX177" s="139" t="n"/>
      <x:c r="AY177" s="139" t="n"/>
      <x:c r="AZ177" s="139" t="n"/>
    </x:row>
    <x:row r="178">
      <x:c r="A178" s="139" t="n"/>
      <x:c r="B178" s="139" t="n"/>
      <x:c r="C178" s="139" t="n"/>
      <x:c r="D178" s="139" t="n"/>
      <x:c r="E178" s="139" t="n"/>
      <x:c r="F178" s="139" t="n"/>
      <x:c r="G178" s="139" t="n"/>
      <x:c r="H178" s="139" t="n"/>
      <x:c r="I178" s="139" t="n"/>
      <x:c r="J178" s="139" t="n"/>
      <x:c r="K178" s="139" t="n"/>
      <x:c r="L178" s="139" t="n"/>
      <x:c r="M178" s="139" t="n"/>
      <x:c r="N178" s="139" t="n"/>
      <x:c r="O178" s="139" t="n"/>
      <x:c r="P178" s="139" t="n"/>
      <x:c r="Q178" s="139" t="n"/>
      <x:c r="R178" s="139" t="n"/>
      <x:c r="S178" s="139" t="n"/>
      <x:c r="T178" s="139" t="n"/>
      <x:c r="U178" s="139" t="n"/>
      <x:c r="V178" s="139" t="n"/>
      <x:c r="W178" s="139" t="n"/>
      <x:c r="X178" s="139" t="n"/>
      <x:c r="Y178" s="139" t="n"/>
      <x:c r="Z178" s="139" t="n"/>
      <x:c r="AA178" s="139" t="n"/>
      <x:c r="AB178" s="139" t="n"/>
      <x:c r="AC178" s="139" t="n"/>
      <x:c r="AD178" s="139" t="n"/>
      <x:c r="AE178" s="139" t="n"/>
      <x:c r="AF178" s="139" t="n"/>
      <x:c r="AG178" s="139" t="n"/>
      <x:c r="AH178" s="139" t="n"/>
      <x:c r="AI178" s="139" t="n"/>
      <x:c r="AJ178" s="139" t="n"/>
      <x:c r="AK178" s="139" t="n"/>
      <x:c r="AL178" s="139" t="n"/>
      <x:c r="AM178" s="139" t="n"/>
      <x:c r="AN178" s="139" t="n"/>
      <x:c r="AO178" s="139" t="n"/>
      <x:c r="AP178" s="139" t="n"/>
      <x:c r="AQ178" s="139" t="n"/>
      <x:c r="AR178" s="139" t="n"/>
      <x:c r="AS178" s="139" t="n"/>
      <x:c r="AT178" s="139" t="n"/>
      <x:c r="AU178" s="139" t="n"/>
      <x:c r="AV178" s="139" t="n"/>
      <x:c r="AW178" s="139" t="n"/>
      <x:c r="AX178" s="139" t="n"/>
      <x:c r="AY178" s="139" t="n"/>
      <x:c r="AZ178" s="139" t="n"/>
    </x:row>
    <x:row r="179">
      <x:c r="A179" s="139" t="n"/>
      <x:c r="B179" s="139" t="n"/>
      <x:c r="C179" s="139" t="n"/>
      <x:c r="D179" s="139" t="n"/>
      <x:c r="E179" s="139" t="n"/>
      <x:c r="F179" s="139" t="n"/>
      <x:c r="G179" s="139" t="n"/>
      <x:c r="H179" s="139" t="n"/>
      <x:c r="I179" s="139" t="n"/>
      <x:c r="J179" s="139" t="n"/>
      <x:c r="K179" s="139" t="n"/>
      <x:c r="L179" s="139" t="n"/>
      <x:c r="M179" s="139" t="n"/>
      <x:c r="N179" s="139" t="n"/>
      <x:c r="O179" s="139" t="n"/>
      <x:c r="P179" s="139" t="n"/>
      <x:c r="Q179" s="139" t="n"/>
      <x:c r="R179" s="139" t="n"/>
      <x:c r="S179" s="139" t="n"/>
      <x:c r="T179" s="139" t="n"/>
      <x:c r="U179" s="139" t="n"/>
      <x:c r="V179" s="139" t="n"/>
      <x:c r="W179" s="139" t="n"/>
      <x:c r="X179" s="139" t="n"/>
      <x:c r="Y179" s="139" t="n"/>
      <x:c r="Z179" s="139" t="n"/>
      <x:c r="AA179" s="139" t="n"/>
      <x:c r="AB179" s="139" t="n"/>
      <x:c r="AC179" s="139" t="n"/>
      <x:c r="AD179" s="139" t="n"/>
      <x:c r="AE179" s="139" t="n"/>
      <x:c r="AF179" s="139" t="n"/>
      <x:c r="AG179" s="139" t="n"/>
      <x:c r="AH179" s="139" t="n"/>
      <x:c r="AI179" s="139" t="n"/>
      <x:c r="AJ179" s="139" t="n"/>
      <x:c r="AK179" s="139" t="n"/>
      <x:c r="AL179" s="139" t="n"/>
      <x:c r="AM179" s="139" t="n"/>
      <x:c r="AN179" s="139" t="n"/>
      <x:c r="AO179" s="139" t="n"/>
      <x:c r="AP179" s="139" t="n"/>
      <x:c r="AQ179" s="139" t="n"/>
      <x:c r="AR179" s="139" t="n"/>
      <x:c r="AS179" s="139" t="n"/>
      <x:c r="AT179" s="139" t="n"/>
      <x:c r="AU179" s="139" t="n"/>
      <x:c r="AV179" s="139" t="n"/>
      <x:c r="AW179" s="139" t="n"/>
      <x:c r="AX179" s="139" t="n"/>
      <x:c r="AY179" s="139" t="n"/>
      <x:c r="AZ179" s="139" t="n"/>
    </x:row>
    <x:row r="180">
      <x:c r="A180" s="139" t="n"/>
      <x:c r="B180" s="139" t="n"/>
      <x:c r="C180" s="139" t="n"/>
      <x:c r="D180" s="139" t="n"/>
      <x:c r="E180" s="139" t="n"/>
      <x:c r="F180" s="139" t="n"/>
      <x:c r="G180" s="139" t="n"/>
      <x:c r="H180" s="139" t="n"/>
      <x:c r="I180" s="139" t="n"/>
      <x:c r="J180" s="139" t="n"/>
      <x:c r="K180" s="139" t="n"/>
      <x:c r="L180" s="139" t="n"/>
      <x:c r="M180" s="139" t="n"/>
      <x:c r="N180" s="139" t="n"/>
      <x:c r="O180" s="139" t="n"/>
      <x:c r="P180" s="139" t="n"/>
      <x:c r="Q180" s="139" t="n"/>
      <x:c r="R180" s="139" t="n"/>
      <x:c r="S180" s="139" t="n"/>
      <x:c r="T180" s="139" t="n"/>
      <x:c r="U180" s="139" t="n"/>
      <x:c r="V180" s="139" t="n"/>
      <x:c r="W180" s="139" t="n"/>
      <x:c r="X180" s="139" t="n"/>
      <x:c r="Y180" s="139" t="n"/>
      <x:c r="Z180" s="139" t="n"/>
      <x:c r="AA180" s="139" t="n"/>
      <x:c r="AB180" s="139" t="n"/>
      <x:c r="AC180" s="139" t="n"/>
      <x:c r="AD180" s="139" t="n"/>
      <x:c r="AE180" s="139" t="n"/>
      <x:c r="AF180" s="139" t="n"/>
      <x:c r="AG180" s="139" t="n"/>
      <x:c r="AH180" s="139" t="n"/>
      <x:c r="AI180" s="139" t="n"/>
      <x:c r="AJ180" s="139" t="n"/>
      <x:c r="AK180" s="139" t="n"/>
      <x:c r="AL180" s="139" t="n"/>
      <x:c r="AM180" s="139" t="n"/>
      <x:c r="AN180" s="139" t="n"/>
      <x:c r="AO180" s="139" t="n"/>
      <x:c r="AP180" s="139" t="n"/>
      <x:c r="AQ180" s="139" t="n"/>
      <x:c r="AR180" s="139" t="n"/>
      <x:c r="AS180" s="139" t="n"/>
      <x:c r="AT180" s="139" t="n"/>
      <x:c r="AU180" s="139" t="n"/>
      <x:c r="AV180" s="139" t="n"/>
      <x:c r="AW180" s="139" t="n"/>
      <x:c r="AX180" s="139" t="n"/>
      <x:c r="AY180" s="139" t="n"/>
      <x:c r="AZ180" s="139" t="n"/>
    </x:row>
    <x:row r="181">
      <x:c r="A181" s="139" t="n"/>
      <x:c r="B181" s="139" t="n"/>
      <x:c r="C181" s="139" t="n"/>
      <x:c r="D181" s="139" t="n"/>
      <x:c r="E181" s="139" t="n"/>
      <x:c r="F181" s="139" t="n"/>
      <x:c r="G181" s="139" t="n"/>
      <x:c r="H181" s="139" t="n"/>
      <x:c r="I181" s="139" t="n"/>
      <x:c r="J181" s="139" t="n"/>
      <x:c r="K181" s="139" t="n"/>
      <x:c r="L181" s="139" t="n"/>
      <x:c r="M181" s="139" t="n"/>
      <x:c r="N181" s="139" t="n"/>
      <x:c r="O181" s="139" t="n"/>
      <x:c r="P181" s="139" t="n"/>
      <x:c r="Q181" s="139" t="n"/>
      <x:c r="R181" s="139" t="n"/>
      <x:c r="S181" s="139" t="n"/>
      <x:c r="T181" s="139" t="n"/>
      <x:c r="U181" s="139" t="n"/>
      <x:c r="V181" s="139" t="n"/>
      <x:c r="W181" s="139" t="n"/>
      <x:c r="X181" s="139" t="n"/>
      <x:c r="Y181" s="139" t="n"/>
      <x:c r="Z181" s="139" t="n"/>
      <x:c r="AA181" s="139" t="n"/>
      <x:c r="AB181" s="139" t="n"/>
      <x:c r="AC181" s="139" t="n"/>
      <x:c r="AD181" s="139" t="n"/>
      <x:c r="AE181" s="139" t="n"/>
      <x:c r="AF181" s="139" t="n"/>
      <x:c r="AG181" s="139" t="n"/>
      <x:c r="AH181" s="139" t="n"/>
      <x:c r="AI181" s="139" t="n"/>
      <x:c r="AJ181" s="139" t="n"/>
      <x:c r="AK181" s="139" t="n"/>
      <x:c r="AL181" s="139" t="n"/>
      <x:c r="AM181" s="139" t="n"/>
      <x:c r="AN181" s="139" t="n"/>
      <x:c r="AO181" s="139" t="n"/>
      <x:c r="AP181" s="139" t="n"/>
      <x:c r="AQ181" s="139" t="n"/>
      <x:c r="AR181" s="139" t="n"/>
      <x:c r="AS181" s="139" t="n"/>
      <x:c r="AT181" s="139" t="n"/>
      <x:c r="AU181" s="139" t="n"/>
      <x:c r="AV181" s="139" t="n"/>
      <x:c r="AW181" s="139" t="n"/>
      <x:c r="AX181" s="139" t="n"/>
      <x:c r="AY181" s="139" t="n"/>
      <x:c r="AZ181" s="139" t="n"/>
    </x:row>
    <x:row r="182">
      <x:c r="A182" s="139" t="n"/>
      <x:c r="B182" s="139" t="n"/>
      <x:c r="C182" s="139" t="n"/>
      <x:c r="D182" s="139" t="n"/>
      <x:c r="E182" s="139" t="n"/>
      <x:c r="F182" s="139" t="n"/>
      <x:c r="G182" s="139" t="n"/>
      <x:c r="H182" s="139" t="n"/>
      <x:c r="I182" s="139" t="n"/>
      <x:c r="J182" s="139" t="n"/>
      <x:c r="K182" s="139" t="n"/>
      <x:c r="L182" s="139" t="n"/>
      <x:c r="M182" s="139" t="n"/>
      <x:c r="N182" s="139" t="n"/>
      <x:c r="O182" s="139" t="n"/>
      <x:c r="P182" s="139" t="n"/>
      <x:c r="Q182" s="139" t="n"/>
      <x:c r="R182" s="139" t="n"/>
      <x:c r="S182" s="139" t="n"/>
      <x:c r="T182" s="139" t="n"/>
      <x:c r="U182" s="139" t="n"/>
      <x:c r="V182" s="139" t="n"/>
      <x:c r="W182" s="139" t="n"/>
      <x:c r="X182" s="139" t="n"/>
      <x:c r="Y182" s="139" t="n"/>
      <x:c r="Z182" s="139" t="n"/>
      <x:c r="AA182" s="139" t="n"/>
      <x:c r="AB182" s="139" t="n"/>
      <x:c r="AC182" s="139" t="n"/>
      <x:c r="AD182" s="139" t="n"/>
      <x:c r="AE182" s="139" t="n"/>
      <x:c r="AF182" s="139" t="n"/>
      <x:c r="AG182" s="139" t="n"/>
      <x:c r="AH182" s="139" t="n"/>
      <x:c r="AI182" s="139" t="n"/>
      <x:c r="AJ182" s="139" t="n"/>
      <x:c r="AK182" s="139" t="n"/>
      <x:c r="AL182" s="139" t="n"/>
      <x:c r="AM182" s="139" t="n"/>
      <x:c r="AN182" s="139" t="n"/>
      <x:c r="AO182" s="139" t="n"/>
      <x:c r="AP182" s="139" t="n"/>
      <x:c r="AQ182" s="139" t="n"/>
      <x:c r="AR182" s="139" t="n"/>
      <x:c r="AS182" s="139" t="n"/>
      <x:c r="AT182" s="139" t="n"/>
      <x:c r="AU182" s="139" t="n"/>
      <x:c r="AV182" s="139" t="n"/>
      <x:c r="AW182" s="139" t="n"/>
      <x:c r="AX182" s="139" t="n"/>
      <x:c r="AY182" s="139" t="n"/>
      <x:c r="AZ182" s="139" t="n"/>
    </x:row>
    <x:row r="183">
      <x:c r="A183" s="139" t="n"/>
      <x:c r="B183" s="139" t="n"/>
      <x:c r="C183" s="139" t="n"/>
      <x:c r="D183" s="139" t="n"/>
      <x:c r="E183" s="139" t="n"/>
      <x:c r="F183" s="139" t="n"/>
      <x:c r="G183" s="139" t="n"/>
      <x:c r="H183" s="139" t="n"/>
      <x:c r="I183" s="139" t="n"/>
      <x:c r="J183" s="139" t="n"/>
      <x:c r="K183" s="139" t="n"/>
      <x:c r="L183" s="139" t="n"/>
      <x:c r="M183" s="139" t="n"/>
      <x:c r="N183" s="139" t="n"/>
      <x:c r="O183" s="139" t="n"/>
      <x:c r="P183" s="139" t="n"/>
      <x:c r="Q183" s="139" t="n"/>
      <x:c r="R183" s="139" t="n"/>
      <x:c r="S183" s="139" t="n"/>
      <x:c r="T183" s="139" t="n"/>
      <x:c r="U183" s="139" t="n"/>
      <x:c r="V183" s="139" t="n"/>
      <x:c r="W183" s="139" t="n"/>
      <x:c r="X183" s="139" t="n"/>
      <x:c r="Y183" s="139" t="n"/>
      <x:c r="Z183" s="139" t="n"/>
      <x:c r="AA183" s="139" t="n"/>
      <x:c r="AB183" s="139" t="n"/>
      <x:c r="AC183" s="139" t="n"/>
      <x:c r="AD183" s="139" t="n"/>
      <x:c r="AE183" s="139" t="n"/>
      <x:c r="AF183" s="139" t="n"/>
      <x:c r="AG183" s="139" t="n"/>
      <x:c r="AH183" s="139" t="n"/>
      <x:c r="AI183" s="139" t="n"/>
      <x:c r="AJ183" s="139" t="n"/>
      <x:c r="AK183" s="139" t="n"/>
      <x:c r="AL183" s="139" t="n"/>
      <x:c r="AM183" s="139" t="n"/>
      <x:c r="AN183" s="139" t="n"/>
      <x:c r="AO183" s="139" t="n"/>
      <x:c r="AP183" s="139" t="n"/>
      <x:c r="AQ183" s="139" t="n"/>
      <x:c r="AR183" s="139" t="n"/>
      <x:c r="AS183" s="139" t="n"/>
      <x:c r="AT183" s="139" t="n"/>
      <x:c r="AU183" s="139" t="n"/>
      <x:c r="AV183" s="139" t="n"/>
      <x:c r="AW183" s="139" t="n"/>
      <x:c r="AX183" s="139" t="n"/>
      <x:c r="AY183" s="139" t="n"/>
      <x:c r="AZ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c r="V184" s="139" t="n"/>
      <x:c r="W184" s="139" t="n"/>
      <x:c r="X184" s="139" t="n"/>
      <x:c r="Y184" s="139" t="n"/>
      <x:c r="Z184" s="139" t="n"/>
      <x:c r="AA184" s="139" t="n"/>
      <x:c r="AB184" s="139" t="n"/>
      <x:c r="AC184" s="139" t="n"/>
      <x:c r="AD184" s="139" t="n"/>
      <x:c r="AE184" s="139" t="n"/>
      <x:c r="AF184" s="139" t="n"/>
      <x:c r="AG184" s="139" t="n"/>
      <x:c r="AH184" s="139" t="n"/>
      <x:c r="AI184" s="139" t="n"/>
      <x:c r="AJ184" s="139" t="n"/>
      <x:c r="AK184" s="139" t="n"/>
      <x:c r="AL184" s="139" t="n"/>
      <x:c r="AM184" s="139" t="n"/>
      <x:c r="AN184" s="139" t="n"/>
      <x:c r="AO184" s="139" t="n"/>
      <x:c r="AP184" s="139" t="n"/>
      <x:c r="AQ184" s="139" t="n"/>
      <x:c r="AR184" s="139" t="n"/>
      <x:c r="AS184" s="139" t="n"/>
      <x:c r="AT184" s="139" t="n"/>
      <x:c r="AU184" s="139" t="n"/>
      <x:c r="AV184" s="139" t="n"/>
      <x:c r="AW184" s="139" t="n"/>
      <x:c r="AX184" s="139" t="n"/>
      <x:c r="AY184" s="139" t="n"/>
      <x:c r="AZ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c r="V185" s="139" t="n"/>
      <x:c r="W185" s="139" t="n"/>
      <x:c r="X185" s="139" t="n"/>
      <x:c r="Y185" s="139" t="n"/>
      <x:c r="Z185" s="139" t="n"/>
      <x:c r="AA185" s="139" t="n"/>
      <x:c r="AB185" s="139" t="n"/>
      <x:c r="AC185" s="139" t="n"/>
      <x:c r="AD185" s="139" t="n"/>
      <x:c r="AE185" s="139" t="n"/>
      <x:c r="AF185" s="139" t="n"/>
      <x:c r="AG185" s="139" t="n"/>
      <x:c r="AH185" s="139" t="n"/>
      <x:c r="AI185" s="139" t="n"/>
      <x:c r="AJ185" s="139" t="n"/>
      <x:c r="AK185" s="139" t="n"/>
      <x:c r="AL185" s="139" t="n"/>
      <x:c r="AM185" s="139" t="n"/>
      <x:c r="AN185" s="139" t="n"/>
      <x:c r="AO185" s="139" t="n"/>
      <x:c r="AP185" s="139" t="n"/>
      <x:c r="AQ185" s="139" t="n"/>
      <x:c r="AR185" s="139" t="n"/>
      <x:c r="AS185" s="139" t="n"/>
      <x:c r="AT185" s="139" t="n"/>
      <x:c r="AU185" s="139" t="n"/>
      <x:c r="AV185" s="139" t="n"/>
      <x:c r="AW185" s="139" t="n"/>
      <x:c r="AX185" s="139" t="n"/>
      <x:c r="AY185" s="139" t="n"/>
      <x:c r="AZ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c r="V186" s="139" t="n"/>
      <x:c r="W186" s="139" t="n"/>
      <x:c r="X186" s="139" t="n"/>
      <x:c r="Y186" s="139" t="n"/>
      <x:c r="Z186" s="139" t="n"/>
      <x:c r="AA186" s="139" t="n"/>
      <x:c r="AB186" s="139" t="n"/>
      <x:c r="AC186" s="139" t="n"/>
      <x:c r="AD186" s="139" t="n"/>
      <x:c r="AE186" s="139" t="n"/>
      <x:c r="AF186" s="139" t="n"/>
      <x:c r="AG186" s="139" t="n"/>
      <x:c r="AH186" s="139" t="n"/>
      <x:c r="AI186" s="139" t="n"/>
      <x:c r="AJ186" s="139" t="n"/>
      <x:c r="AK186" s="139" t="n"/>
      <x:c r="AL186" s="139" t="n"/>
      <x:c r="AM186" s="139" t="n"/>
      <x:c r="AN186" s="139" t="n"/>
      <x:c r="AO186" s="139" t="n"/>
      <x:c r="AP186" s="139" t="n"/>
      <x:c r="AQ186" s="139" t="n"/>
      <x:c r="AR186" s="139" t="n"/>
      <x:c r="AS186" s="139" t="n"/>
      <x:c r="AT186" s="139" t="n"/>
      <x:c r="AU186" s="139" t="n"/>
      <x:c r="AV186" s="139" t="n"/>
      <x:c r="AW186" s="139" t="n"/>
      <x:c r="AX186" s="139" t="n"/>
      <x:c r="AY186" s="139" t="n"/>
      <x:c r="AZ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c r="V187" s="139" t="n"/>
      <x:c r="W187" s="139" t="n"/>
      <x:c r="X187" s="139" t="n"/>
      <x:c r="Y187" s="139" t="n"/>
      <x:c r="Z187" s="139" t="n"/>
      <x:c r="AA187" s="139" t="n"/>
      <x:c r="AB187" s="139" t="n"/>
      <x:c r="AC187" s="139" t="n"/>
      <x:c r="AD187" s="139" t="n"/>
      <x:c r="AE187" s="139" t="n"/>
      <x:c r="AF187" s="139" t="n"/>
      <x:c r="AG187" s="139" t="n"/>
      <x:c r="AH187" s="139" t="n"/>
      <x:c r="AI187" s="139" t="n"/>
      <x:c r="AJ187" s="139" t="n"/>
      <x:c r="AK187" s="139" t="n"/>
      <x:c r="AL187" s="139" t="n"/>
      <x:c r="AM187" s="139" t="n"/>
      <x:c r="AN187" s="139" t="n"/>
      <x:c r="AO187" s="139" t="n"/>
      <x:c r="AP187" s="139" t="n"/>
      <x:c r="AQ187" s="139" t="n"/>
      <x:c r="AR187" s="139" t="n"/>
      <x:c r="AS187" s="139" t="n"/>
      <x:c r="AT187" s="139" t="n"/>
      <x:c r="AU187" s="139" t="n"/>
      <x:c r="AV187" s="139" t="n"/>
      <x:c r="AW187" s="139" t="n"/>
      <x:c r="AX187" s="139" t="n"/>
      <x:c r="AY187" s="139" t="n"/>
      <x:c r="AZ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c r="V188" s="139" t="n"/>
      <x:c r="W188" s="139" t="n"/>
      <x:c r="X188" s="139" t="n"/>
      <x:c r="Y188" s="139" t="n"/>
      <x:c r="Z188" s="139" t="n"/>
      <x:c r="AA188" s="139" t="n"/>
      <x:c r="AB188" s="139" t="n"/>
      <x:c r="AC188" s="139" t="n"/>
      <x:c r="AD188" s="139" t="n"/>
      <x:c r="AE188" s="139" t="n"/>
      <x:c r="AF188" s="139" t="n"/>
      <x:c r="AG188" s="139" t="n"/>
      <x:c r="AH188" s="139" t="n"/>
      <x:c r="AI188" s="139" t="n"/>
      <x:c r="AJ188" s="139" t="n"/>
      <x:c r="AK188" s="139" t="n"/>
      <x:c r="AL188" s="139" t="n"/>
      <x:c r="AM188" s="139" t="n"/>
      <x:c r="AN188" s="139" t="n"/>
      <x:c r="AO188" s="139" t="n"/>
      <x:c r="AP188" s="139" t="n"/>
      <x:c r="AQ188" s="139" t="n"/>
      <x:c r="AR188" s="139" t="n"/>
      <x:c r="AS188" s="139" t="n"/>
      <x:c r="AT188" s="139" t="n"/>
      <x:c r="AU188" s="139" t="n"/>
      <x:c r="AV188" s="139" t="n"/>
      <x:c r="AW188" s="139" t="n"/>
      <x:c r="AX188" s="139" t="n"/>
      <x:c r="AY188" s="139" t="n"/>
      <x:c r="AZ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c r="V189" s="139" t="n"/>
      <x:c r="W189" s="139" t="n"/>
      <x:c r="X189" s="139" t="n"/>
      <x:c r="Y189" s="139" t="n"/>
      <x:c r="Z189" s="139" t="n"/>
      <x:c r="AA189" s="139" t="n"/>
      <x:c r="AB189" s="139" t="n"/>
      <x:c r="AC189" s="139" t="n"/>
      <x:c r="AD189" s="139" t="n"/>
      <x:c r="AE189" s="139" t="n"/>
      <x:c r="AF189" s="139" t="n"/>
      <x:c r="AG189" s="139" t="n"/>
      <x:c r="AH189" s="139" t="n"/>
      <x:c r="AI189" s="139" t="n"/>
      <x:c r="AJ189" s="139" t="n"/>
      <x:c r="AK189" s="139" t="n"/>
      <x:c r="AL189" s="139" t="n"/>
      <x:c r="AM189" s="139" t="n"/>
      <x:c r="AN189" s="139" t="n"/>
      <x:c r="AO189" s="139" t="n"/>
      <x:c r="AP189" s="139" t="n"/>
      <x:c r="AQ189" s="139" t="n"/>
      <x:c r="AR189" s="139" t="n"/>
      <x:c r="AS189" s="139" t="n"/>
      <x:c r="AT189" s="139" t="n"/>
      <x:c r="AU189" s="139" t="n"/>
      <x:c r="AV189" s="139" t="n"/>
      <x:c r="AW189" s="139" t="n"/>
      <x:c r="AX189" s="139" t="n"/>
      <x:c r="AY189" s="139" t="n"/>
      <x:c r="AZ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c r="V190" s="139" t="n"/>
      <x:c r="W190" s="139" t="n"/>
      <x:c r="X190" s="139" t="n"/>
      <x:c r="Y190" s="139" t="n"/>
      <x:c r="Z190" s="139" t="n"/>
      <x:c r="AA190" s="139" t="n"/>
      <x:c r="AB190" s="139" t="n"/>
      <x:c r="AC190" s="139" t="n"/>
      <x:c r="AD190" s="139" t="n"/>
      <x:c r="AE190" s="139" t="n"/>
      <x:c r="AF190" s="139" t="n"/>
      <x:c r="AG190" s="139" t="n"/>
      <x:c r="AH190" s="139" t="n"/>
      <x:c r="AI190" s="139" t="n"/>
      <x:c r="AJ190" s="139" t="n"/>
      <x:c r="AK190" s="139" t="n"/>
      <x:c r="AL190" s="139" t="n"/>
      <x:c r="AM190" s="139" t="n"/>
      <x:c r="AN190" s="139" t="n"/>
      <x:c r="AO190" s="139" t="n"/>
      <x:c r="AP190" s="139" t="n"/>
      <x:c r="AQ190" s="139" t="n"/>
      <x:c r="AR190" s="139" t="n"/>
      <x:c r="AS190" s="139" t="n"/>
      <x:c r="AT190" s="139" t="n"/>
      <x:c r="AU190" s="139" t="n"/>
      <x:c r="AV190" s="139" t="n"/>
      <x:c r="AW190" s="139" t="n"/>
      <x:c r="AX190" s="139" t="n"/>
      <x:c r="AY190" s="139" t="n"/>
      <x:c r="AZ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c r="V191" s="139" t="n"/>
      <x:c r="W191" s="139" t="n"/>
      <x:c r="X191" s="139" t="n"/>
      <x:c r="Y191" s="139" t="n"/>
      <x:c r="Z191" s="139" t="n"/>
      <x:c r="AA191" s="139" t="n"/>
      <x:c r="AB191" s="139" t="n"/>
      <x:c r="AC191" s="139" t="n"/>
      <x:c r="AD191" s="139" t="n"/>
      <x:c r="AE191" s="139" t="n"/>
      <x:c r="AF191" s="139" t="n"/>
      <x:c r="AG191" s="139" t="n"/>
      <x:c r="AH191" s="139" t="n"/>
      <x:c r="AI191" s="139" t="n"/>
      <x:c r="AJ191" s="139" t="n"/>
      <x:c r="AK191" s="139" t="n"/>
      <x:c r="AL191" s="139" t="n"/>
      <x:c r="AM191" s="139" t="n"/>
      <x:c r="AN191" s="139" t="n"/>
      <x:c r="AO191" s="139" t="n"/>
      <x:c r="AP191" s="139" t="n"/>
      <x:c r="AQ191" s="139" t="n"/>
      <x:c r="AR191" s="139" t="n"/>
      <x:c r="AS191" s="139" t="n"/>
      <x:c r="AT191" s="139" t="n"/>
      <x:c r="AU191" s="139" t="n"/>
      <x:c r="AV191" s="139" t="n"/>
      <x:c r="AW191" s="139" t="n"/>
      <x:c r="AX191" s="139" t="n"/>
      <x:c r="AY191" s="139" t="n"/>
      <x:c r="AZ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c r="V192" s="139" t="n"/>
      <x:c r="W192" s="139" t="n"/>
      <x:c r="X192" s="139" t="n"/>
      <x:c r="Y192" s="139" t="n"/>
      <x:c r="Z192" s="139" t="n"/>
      <x:c r="AA192" s="139" t="n"/>
      <x:c r="AB192" s="139" t="n"/>
      <x:c r="AC192" s="139" t="n"/>
      <x:c r="AD192" s="139" t="n"/>
      <x:c r="AE192" s="139" t="n"/>
      <x:c r="AF192" s="139" t="n"/>
      <x:c r="AG192" s="139" t="n"/>
      <x:c r="AH192" s="139" t="n"/>
      <x:c r="AI192" s="139" t="n"/>
      <x:c r="AJ192" s="139" t="n"/>
      <x:c r="AK192" s="139" t="n"/>
      <x:c r="AL192" s="139" t="n"/>
      <x:c r="AM192" s="139" t="n"/>
      <x:c r="AN192" s="139" t="n"/>
      <x:c r="AO192" s="139" t="n"/>
      <x:c r="AP192" s="139" t="n"/>
      <x:c r="AQ192" s="139" t="n"/>
      <x:c r="AR192" s="139" t="n"/>
      <x:c r="AS192" s="139" t="n"/>
      <x:c r="AT192" s="139" t="n"/>
      <x:c r="AU192" s="139" t="n"/>
      <x:c r="AV192" s="139" t="n"/>
      <x:c r="AW192" s="139" t="n"/>
      <x:c r="AX192" s="139" t="n"/>
      <x:c r="AY192" s="139" t="n"/>
      <x:c r="AZ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c r="V193" s="139" t="n"/>
      <x:c r="W193" s="139" t="n"/>
      <x:c r="X193" s="139" t="n"/>
      <x:c r="Y193" s="139" t="n"/>
      <x:c r="Z193" s="139" t="n"/>
      <x:c r="AA193" s="139" t="n"/>
      <x:c r="AB193" s="139" t="n"/>
      <x:c r="AC193" s="139" t="n"/>
      <x:c r="AD193" s="139" t="n"/>
      <x:c r="AE193" s="139" t="n"/>
      <x:c r="AF193" s="139" t="n"/>
      <x:c r="AG193" s="139" t="n"/>
      <x:c r="AH193" s="139" t="n"/>
      <x:c r="AI193" s="139" t="n"/>
      <x:c r="AJ193" s="139" t="n"/>
      <x:c r="AK193" s="139" t="n"/>
      <x:c r="AL193" s="139" t="n"/>
      <x:c r="AM193" s="139" t="n"/>
      <x:c r="AN193" s="139" t="n"/>
      <x:c r="AO193" s="139" t="n"/>
      <x:c r="AP193" s="139" t="n"/>
      <x:c r="AQ193" s="139" t="n"/>
      <x:c r="AR193" s="139" t="n"/>
      <x:c r="AS193" s="139" t="n"/>
      <x:c r="AT193" s="139" t="n"/>
      <x:c r="AU193" s="139" t="n"/>
      <x:c r="AV193" s="139" t="n"/>
      <x:c r="AW193" s="139" t="n"/>
      <x:c r="AX193" s="139" t="n"/>
      <x:c r="AY193" s="139" t="n"/>
      <x:c r="AZ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c r="V194" s="139" t="n"/>
      <x:c r="W194" s="139" t="n"/>
      <x:c r="X194" s="139" t="n"/>
      <x:c r="Y194" s="139" t="n"/>
      <x:c r="Z194" s="139" t="n"/>
      <x:c r="AA194" s="139" t="n"/>
      <x:c r="AB194" s="139" t="n"/>
      <x:c r="AC194" s="139" t="n"/>
      <x:c r="AD194" s="139" t="n"/>
      <x:c r="AE194" s="139" t="n"/>
      <x:c r="AF194" s="139" t="n"/>
      <x:c r="AG194" s="139" t="n"/>
      <x:c r="AH194" s="139" t="n"/>
      <x:c r="AI194" s="139" t="n"/>
      <x:c r="AJ194" s="139" t="n"/>
      <x:c r="AK194" s="139" t="n"/>
      <x:c r="AL194" s="139" t="n"/>
      <x:c r="AM194" s="139" t="n"/>
      <x:c r="AN194" s="139" t="n"/>
      <x:c r="AO194" s="139" t="n"/>
      <x:c r="AP194" s="139" t="n"/>
      <x:c r="AQ194" s="139" t="n"/>
      <x:c r="AR194" s="139" t="n"/>
      <x:c r="AS194" s="139" t="n"/>
      <x:c r="AT194" s="139" t="n"/>
      <x:c r="AU194" s="139" t="n"/>
      <x:c r="AV194" s="139" t="n"/>
      <x:c r="AW194" s="139" t="n"/>
      <x:c r="AX194" s="139" t="n"/>
      <x:c r="AY194" s="139" t="n"/>
      <x:c r="AZ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c r="V195" s="139" t="n"/>
      <x:c r="W195" s="139" t="n"/>
      <x:c r="X195" s="139" t="n"/>
      <x:c r="Y195" s="139" t="n"/>
      <x:c r="Z195" s="139" t="n"/>
      <x:c r="AA195" s="139" t="n"/>
      <x:c r="AB195" s="139" t="n"/>
      <x:c r="AC195" s="139" t="n"/>
      <x:c r="AD195" s="139" t="n"/>
      <x:c r="AE195" s="139" t="n"/>
      <x:c r="AF195" s="139" t="n"/>
      <x:c r="AG195" s="139" t="n"/>
      <x:c r="AH195" s="139" t="n"/>
      <x:c r="AI195" s="139" t="n"/>
      <x:c r="AJ195" s="139" t="n"/>
      <x:c r="AK195" s="139" t="n"/>
      <x:c r="AL195" s="139" t="n"/>
      <x:c r="AM195" s="139" t="n"/>
      <x:c r="AN195" s="139" t="n"/>
      <x:c r="AO195" s="139" t="n"/>
      <x:c r="AP195" s="139" t="n"/>
      <x:c r="AQ195" s="139" t="n"/>
      <x:c r="AR195" s="139" t="n"/>
      <x:c r="AS195" s="139" t="n"/>
      <x:c r="AT195" s="139" t="n"/>
      <x:c r="AU195" s="139" t="n"/>
      <x:c r="AV195" s="139" t="n"/>
      <x:c r="AW195" s="139" t="n"/>
      <x:c r="AX195" s="139" t="n"/>
      <x:c r="AY195" s="139" t="n"/>
      <x:c r="AZ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c r="V196" s="139" t="n"/>
      <x:c r="W196" s="139" t="n"/>
      <x:c r="X196" s="139" t="n"/>
      <x:c r="Y196" s="139" t="n"/>
      <x:c r="Z196" s="139" t="n"/>
      <x:c r="AA196" s="139" t="n"/>
      <x:c r="AB196" s="139" t="n"/>
      <x:c r="AC196" s="139" t="n"/>
      <x:c r="AD196" s="139" t="n"/>
      <x:c r="AE196" s="139" t="n"/>
      <x:c r="AF196" s="139" t="n"/>
      <x:c r="AG196" s="139" t="n"/>
      <x:c r="AH196" s="139" t="n"/>
      <x:c r="AI196" s="139" t="n"/>
      <x:c r="AJ196" s="139" t="n"/>
      <x:c r="AK196" s="139" t="n"/>
      <x:c r="AL196" s="139" t="n"/>
      <x:c r="AM196" s="139" t="n"/>
      <x:c r="AN196" s="139" t="n"/>
      <x:c r="AO196" s="139" t="n"/>
      <x:c r="AP196" s="139" t="n"/>
      <x:c r="AQ196" s="139" t="n"/>
      <x:c r="AR196" s="139" t="n"/>
      <x:c r="AS196" s="139" t="n"/>
      <x:c r="AT196" s="139" t="n"/>
      <x:c r="AU196" s="139" t="n"/>
      <x:c r="AV196" s="139" t="n"/>
      <x:c r="AW196" s="139" t="n"/>
      <x:c r="AX196" s="139" t="n"/>
      <x:c r="AY196" s="139" t="n"/>
      <x:c r="AZ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c r="V197" s="139" t="n"/>
      <x:c r="W197" s="139" t="n"/>
      <x:c r="X197" s="139" t="n"/>
      <x:c r="Y197" s="139" t="n"/>
      <x:c r="Z197" s="139" t="n"/>
      <x:c r="AA197" s="139" t="n"/>
      <x:c r="AB197" s="139" t="n"/>
      <x:c r="AC197" s="139" t="n"/>
      <x:c r="AD197" s="139" t="n"/>
      <x:c r="AE197" s="139" t="n"/>
      <x:c r="AF197" s="139" t="n"/>
      <x:c r="AG197" s="139" t="n"/>
      <x:c r="AH197" s="139" t="n"/>
      <x:c r="AI197" s="139" t="n"/>
      <x:c r="AJ197" s="139" t="n"/>
      <x:c r="AK197" s="139" t="n"/>
      <x:c r="AL197" s="139" t="n"/>
      <x:c r="AM197" s="139" t="n"/>
      <x:c r="AN197" s="139" t="n"/>
      <x:c r="AO197" s="139" t="n"/>
      <x:c r="AP197" s="139" t="n"/>
      <x:c r="AQ197" s="139" t="n"/>
      <x:c r="AR197" s="139" t="n"/>
      <x:c r="AS197" s="139" t="n"/>
      <x:c r="AT197" s="139" t="n"/>
      <x:c r="AU197" s="139" t="n"/>
      <x:c r="AV197" s="139" t="n"/>
      <x:c r="AW197" s="139" t="n"/>
      <x:c r="AX197" s="139" t="n"/>
      <x:c r="AY197" s="139" t="n"/>
      <x:c r="AZ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c r="V198" s="139" t="n"/>
      <x:c r="W198" s="139" t="n"/>
      <x:c r="X198" s="139" t="n"/>
      <x:c r="Y198" s="139" t="n"/>
      <x:c r="Z198" s="139" t="n"/>
      <x:c r="AA198" s="139" t="n"/>
      <x:c r="AB198" s="139" t="n"/>
      <x:c r="AC198" s="139" t="n"/>
      <x:c r="AD198" s="139" t="n"/>
      <x:c r="AE198" s="139" t="n"/>
      <x:c r="AF198" s="139" t="n"/>
      <x:c r="AG198" s="139" t="n"/>
      <x:c r="AH198" s="139" t="n"/>
      <x:c r="AI198" s="139" t="n"/>
      <x:c r="AJ198" s="139" t="n"/>
      <x:c r="AK198" s="139" t="n"/>
      <x:c r="AL198" s="139" t="n"/>
      <x:c r="AM198" s="139" t="n"/>
      <x:c r="AN198" s="139" t="n"/>
      <x:c r="AO198" s="139" t="n"/>
      <x:c r="AP198" s="139" t="n"/>
      <x:c r="AQ198" s="139" t="n"/>
      <x:c r="AR198" s="139" t="n"/>
      <x:c r="AS198" s="139" t="n"/>
      <x:c r="AT198" s="139" t="n"/>
      <x:c r="AU198" s="139" t="n"/>
      <x:c r="AV198" s="139" t="n"/>
      <x:c r="AW198" s="139" t="n"/>
      <x:c r="AX198" s="139" t="n"/>
      <x:c r="AY198" s="139" t="n"/>
      <x:c r="AZ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c r="V199" s="139" t="n"/>
      <x:c r="W199" s="139" t="n"/>
      <x:c r="X199" s="139" t="n"/>
      <x:c r="Y199" s="139" t="n"/>
      <x:c r="Z199" s="139" t="n"/>
      <x:c r="AA199" s="139" t="n"/>
      <x:c r="AB199" s="139" t="n"/>
      <x:c r="AC199" s="139" t="n"/>
      <x:c r="AD199" s="139" t="n"/>
      <x:c r="AE199" s="139" t="n"/>
      <x:c r="AF199" s="139" t="n"/>
      <x:c r="AG199" s="139" t="n"/>
      <x:c r="AH199" s="139" t="n"/>
      <x:c r="AI199" s="139" t="n"/>
      <x:c r="AJ199" s="139" t="n"/>
      <x:c r="AK199" s="139" t="n"/>
      <x:c r="AL199" s="139" t="n"/>
      <x:c r="AM199" s="139" t="n"/>
      <x:c r="AN199" s="139" t="n"/>
      <x:c r="AO199" s="139" t="n"/>
      <x:c r="AP199" s="139" t="n"/>
      <x:c r="AQ199" s="139" t="n"/>
      <x:c r="AR199" s="139" t="n"/>
      <x:c r="AS199" s="139" t="n"/>
      <x:c r="AT199" s="139" t="n"/>
      <x:c r="AU199" s="139" t="n"/>
      <x:c r="AV199" s="139" t="n"/>
      <x:c r="AW199" s="139" t="n"/>
      <x:c r="AX199" s="139" t="n"/>
      <x:c r="AY199" s="139" t="n"/>
      <x:c r="AZ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c r="V200" s="139" t="n"/>
      <x:c r="W200" s="139" t="n"/>
      <x:c r="X200" s="139" t="n"/>
      <x:c r="Y200" s="139" t="n"/>
      <x:c r="Z200" s="139" t="n"/>
      <x:c r="AA200" s="139" t="n"/>
      <x:c r="AB200" s="139" t="n"/>
      <x:c r="AC200" s="139" t="n"/>
      <x:c r="AD200" s="139" t="n"/>
      <x:c r="AE200" s="139" t="n"/>
      <x:c r="AF200" s="139" t="n"/>
      <x:c r="AG200" s="139" t="n"/>
      <x:c r="AH200" s="139" t="n"/>
      <x:c r="AI200" s="139" t="n"/>
      <x:c r="AJ200" s="139" t="n"/>
      <x:c r="AK200" s="139" t="n"/>
      <x:c r="AL200" s="139" t="n"/>
      <x:c r="AM200" s="139" t="n"/>
      <x:c r="AN200" s="139" t="n"/>
      <x:c r="AO200" s="139" t="n"/>
      <x:c r="AP200" s="139" t="n"/>
      <x:c r="AQ200" s="139" t="n"/>
      <x:c r="AR200" s="139" t="n"/>
      <x:c r="AS200" s="139" t="n"/>
      <x:c r="AT200" s="139" t="n"/>
      <x:c r="AU200" s="139" t="n"/>
      <x:c r="AV200" s="139" t="n"/>
      <x:c r="AW200" s="139" t="n"/>
      <x:c r="AX200" s="139" t="n"/>
      <x:c r="AY200" s="139" t="n"/>
      <x:c r="AZ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c r="V201" s="139" t="n"/>
      <x:c r="W201" s="139" t="n"/>
      <x:c r="X201" s="139" t="n"/>
      <x:c r="Y201" s="139" t="n"/>
      <x:c r="Z201" s="139" t="n"/>
      <x:c r="AA201" s="139" t="n"/>
      <x:c r="AB201" s="139" t="n"/>
      <x:c r="AC201" s="139" t="n"/>
      <x:c r="AD201" s="139" t="n"/>
      <x:c r="AE201" s="139" t="n"/>
      <x:c r="AF201" s="139" t="n"/>
      <x:c r="AG201" s="139" t="n"/>
      <x:c r="AH201" s="139" t="n"/>
      <x:c r="AI201" s="139" t="n"/>
      <x:c r="AJ201" s="139" t="n"/>
      <x:c r="AK201" s="139" t="n"/>
      <x:c r="AL201" s="139" t="n"/>
      <x:c r="AM201" s="139" t="n"/>
      <x:c r="AN201" s="139" t="n"/>
      <x:c r="AO201" s="139" t="n"/>
      <x:c r="AP201" s="139" t="n"/>
      <x:c r="AQ201" s="139" t="n"/>
      <x:c r="AR201" s="139" t="n"/>
      <x:c r="AS201" s="139" t="n"/>
      <x:c r="AT201" s="139" t="n"/>
      <x:c r="AU201" s="139" t="n"/>
      <x:c r="AV201" s="139" t="n"/>
      <x:c r="AW201" s="139" t="n"/>
      <x:c r="AX201" s="139" t="n"/>
      <x:c r="AY201" s="139" t="n"/>
      <x:c r="AZ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c r="V202" s="139" t="n"/>
      <x:c r="W202" s="139" t="n"/>
      <x:c r="X202" s="139" t="n"/>
      <x:c r="Y202" s="139" t="n"/>
      <x:c r="Z202" s="139" t="n"/>
      <x:c r="AA202" s="139" t="n"/>
      <x:c r="AB202" s="139" t="n"/>
      <x:c r="AC202" s="139" t="n"/>
      <x:c r="AD202" s="139" t="n"/>
      <x:c r="AE202" s="139" t="n"/>
      <x:c r="AF202" s="139" t="n"/>
      <x:c r="AG202" s="139" t="n"/>
      <x:c r="AH202" s="139" t="n"/>
      <x:c r="AI202" s="139" t="n"/>
      <x:c r="AJ202" s="139" t="n"/>
      <x:c r="AK202" s="139" t="n"/>
      <x:c r="AL202" s="139" t="n"/>
      <x:c r="AM202" s="139" t="n"/>
      <x:c r="AN202" s="139" t="n"/>
      <x:c r="AO202" s="139" t="n"/>
      <x:c r="AP202" s="139" t="n"/>
      <x:c r="AQ202" s="139" t="n"/>
      <x:c r="AR202" s="139" t="n"/>
      <x:c r="AS202" s="139" t="n"/>
      <x:c r="AT202" s="139" t="n"/>
      <x:c r="AU202" s="139" t="n"/>
      <x:c r="AV202" s="139" t="n"/>
      <x:c r="AW202" s="139" t="n"/>
      <x:c r="AX202" s="139" t="n"/>
      <x:c r="AY202" s="139" t="n"/>
      <x:c r="AZ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c r="V203" s="139" t="n"/>
      <x:c r="W203" s="139" t="n"/>
      <x:c r="X203" s="139" t="n"/>
      <x:c r="Y203" s="139" t="n"/>
      <x:c r="Z203" s="139" t="n"/>
      <x:c r="AA203" s="139" t="n"/>
      <x:c r="AB203" s="139" t="n"/>
      <x:c r="AC203" s="139" t="n"/>
      <x:c r="AD203" s="139" t="n"/>
      <x:c r="AE203" s="139" t="n"/>
      <x:c r="AF203" s="139" t="n"/>
      <x:c r="AG203" s="139" t="n"/>
      <x:c r="AH203" s="139" t="n"/>
      <x:c r="AI203" s="139" t="n"/>
      <x:c r="AJ203" s="139" t="n"/>
      <x:c r="AK203" s="139" t="n"/>
      <x:c r="AL203" s="139" t="n"/>
      <x:c r="AM203" s="139" t="n"/>
      <x:c r="AN203" s="139" t="n"/>
      <x:c r="AO203" s="139" t="n"/>
      <x:c r="AP203" s="139" t="n"/>
      <x:c r="AQ203" s="139" t="n"/>
      <x:c r="AR203" s="139" t="n"/>
      <x:c r="AS203" s="139" t="n"/>
      <x:c r="AT203" s="139" t="n"/>
      <x:c r="AU203" s="139" t="n"/>
      <x:c r="AV203" s="139" t="n"/>
      <x:c r="AW203" s="139" t="n"/>
      <x:c r="AX203" s="139" t="n"/>
      <x:c r="AY203" s="139" t="n"/>
      <x:c r="AZ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c r="V204" s="139" t="n"/>
      <x:c r="W204" s="139" t="n"/>
      <x:c r="X204" s="139" t="n"/>
      <x:c r="Y204" s="139" t="n"/>
      <x:c r="Z204" s="139" t="n"/>
      <x:c r="AA204" s="139" t="n"/>
      <x:c r="AB204" s="139" t="n"/>
      <x:c r="AC204" s="139" t="n"/>
      <x:c r="AD204" s="139" t="n"/>
      <x:c r="AE204" s="139" t="n"/>
      <x:c r="AF204" s="139" t="n"/>
      <x:c r="AG204" s="139" t="n"/>
      <x:c r="AH204" s="139" t="n"/>
      <x:c r="AI204" s="139" t="n"/>
      <x:c r="AJ204" s="139" t="n"/>
      <x:c r="AK204" s="139" t="n"/>
      <x:c r="AL204" s="139" t="n"/>
      <x:c r="AM204" s="139" t="n"/>
      <x:c r="AN204" s="139" t="n"/>
      <x:c r="AO204" s="139" t="n"/>
      <x:c r="AP204" s="139" t="n"/>
      <x:c r="AQ204" s="139" t="n"/>
      <x:c r="AR204" s="139" t="n"/>
      <x:c r="AS204" s="139" t="n"/>
      <x:c r="AT204" s="139" t="n"/>
      <x:c r="AU204" s="139" t="n"/>
      <x:c r="AV204" s="139" t="n"/>
      <x:c r="AW204" s="139" t="n"/>
      <x:c r="AX204" s="139" t="n"/>
      <x:c r="AY204" s="139" t="n"/>
      <x:c r="AZ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c r="V205" s="139" t="n"/>
      <x:c r="W205" s="139" t="n"/>
      <x:c r="X205" s="139" t="n"/>
      <x:c r="Y205" s="139" t="n"/>
      <x:c r="Z205" s="139" t="n"/>
      <x:c r="AA205" s="139" t="n"/>
      <x:c r="AB205" s="139" t="n"/>
      <x:c r="AC205" s="139" t="n"/>
      <x:c r="AD205" s="139" t="n"/>
      <x:c r="AE205" s="139" t="n"/>
      <x:c r="AF205" s="139" t="n"/>
      <x:c r="AG205" s="139" t="n"/>
      <x:c r="AH205" s="139" t="n"/>
      <x:c r="AI205" s="139" t="n"/>
      <x:c r="AJ205" s="139" t="n"/>
      <x:c r="AK205" s="139" t="n"/>
      <x:c r="AL205" s="139" t="n"/>
      <x:c r="AM205" s="139" t="n"/>
      <x:c r="AN205" s="139" t="n"/>
      <x:c r="AO205" s="139" t="n"/>
      <x:c r="AP205" s="139" t="n"/>
      <x:c r="AQ205" s="139" t="n"/>
      <x:c r="AR205" s="139" t="n"/>
      <x:c r="AS205" s="139" t="n"/>
      <x:c r="AT205" s="139" t="n"/>
      <x:c r="AU205" s="139" t="n"/>
      <x:c r="AV205" s="139" t="n"/>
      <x:c r="AW205" s="139" t="n"/>
      <x:c r="AX205" s="139" t="n"/>
      <x:c r="AY205" s="139" t="n"/>
      <x:c r="AZ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c r="V206" s="139" t="n"/>
      <x:c r="W206" s="139" t="n"/>
      <x:c r="X206" s="139" t="n"/>
      <x:c r="Y206" s="139" t="n"/>
      <x:c r="Z206" s="139" t="n"/>
      <x:c r="AA206" s="139" t="n"/>
      <x:c r="AB206" s="139" t="n"/>
      <x:c r="AC206" s="139" t="n"/>
      <x:c r="AD206" s="139" t="n"/>
      <x:c r="AE206" s="139" t="n"/>
      <x:c r="AF206" s="139" t="n"/>
      <x:c r="AG206" s="139" t="n"/>
      <x:c r="AH206" s="139" t="n"/>
      <x:c r="AI206" s="139" t="n"/>
      <x:c r="AJ206" s="139" t="n"/>
      <x:c r="AK206" s="139" t="n"/>
      <x:c r="AL206" s="139" t="n"/>
      <x:c r="AM206" s="139" t="n"/>
      <x:c r="AN206" s="139" t="n"/>
      <x:c r="AO206" s="139" t="n"/>
      <x:c r="AP206" s="139" t="n"/>
      <x:c r="AQ206" s="139" t="n"/>
      <x:c r="AR206" s="139" t="n"/>
      <x:c r="AS206" s="139" t="n"/>
      <x:c r="AT206" s="139" t="n"/>
      <x:c r="AU206" s="139" t="n"/>
      <x:c r="AV206" s="139" t="n"/>
      <x:c r="AW206" s="139" t="n"/>
      <x:c r="AX206" s="139" t="n"/>
      <x:c r="AY206" s="139" t="n"/>
      <x:c r="AZ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c r="V207" s="139" t="n"/>
      <x:c r="W207" s="139" t="n"/>
      <x:c r="X207" s="139" t="n"/>
      <x:c r="Y207" s="139" t="n"/>
      <x:c r="Z207" s="139" t="n"/>
      <x:c r="AA207" s="139" t="n"/>
      <x:c r="AB207" s="139" t="n"/>
      <x:c r="AC207" s="139" t="n"/>
      <x:c r="AD207" s="139" t="n"/>
      <x:c r="AE207" s="139" t="n"/>
      <x:c r="AF207" s="139" t="n"/>
      <x:c r="AG207" s="139" t="n"/>
      <x:c r="AH207" s="139" t="n"/>
      <x:c r="AI207" s="139" t="n"/>
      <x:c r="AJ207" s="139" t="n"/>
      <x:c r="AK207" s="139" t="n"/>
      <x:c r="AL207" s="139" t="n"/>
      <x:c r="AM207" s="139" t="n"/>
      <x:c r="AN207" s="139" t="n"/>
      <x:c r="AO207" s="139" t="n"/>
      <x:c r="AP207" s="139" t="n"/>
      <x:c r="AQ207" s="139" t="n"/>
      <x:c r="AR207" s="139" t="n"/>
      <x:c r="AS207" s="139" t="n"/>
      <x:c r="AT207" s="139" t="n"/>
      <x:c r="AU207" s="139" t="n"/>
      <x:c r="AV207" s="139" t="n"/>
      <x:c r="AW207" s="139" t="n"/>
      <x:c r="AX207" s="139" t="n"/>
      <x:c r="AY207" s="139" t="n"/>
      <x:c r="AZ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c r="V208" s="139" t="n"/>
      <x:c r="W208" s="139" t="n"/>
      <x:c r="X208" s="139" t="n"/>
      <x:c r="Y208" s="139" t="n"/>
      <x:c r="Z208" s="139" t="n"/>
      <x:c r="AA208" s="139" t="n"/>
      <x:c r="AB208" s="139" t="n"/>
      <x:c r="AC208" s="139" t="n"/>
      <x:c r="AD208" s="139" t="n"/>
      <x:c r="AE208" s="139" t="n"/>
      <x:c r="AF208" s="139" t="n"/>
      <x:c r="AG208" s="139" t="n"/>
      <x:c r="AH208" s="139" t="n"/>
      <x:c r="AI208" s="139" t="n"/>
      <x:c r="AJ208" s="139" t="n"/>
      <x:c r="AK208" s="139" t="n"/>
      <x:c r="AL208" s="139" t="n"/>
      <x:c r="AM208" s="139" t="n"/>
      <x:c r="AN208" s="139" t="n"/>
      <x:c r="AO208" s="139" t="n"/>
      <x:c r="AP208" s="139" t="n"/>
      <x:c r="AQ208" s="139" t="n"/>
      <x:c r="AR208" s="139" t="n"/>
      <x:c r="AS208" s="139" t="n"/>
      <x:c r="AT208" s="139" t="n"/>
      <x:c r="AU208" s="139" t="n"/>
      <x:c r="AV208" s="139" t="n"/>
      <x:c r="AW208" s="139" t="n"/>
      <x:c r="AX208" s="139" t="n"/>
      <x:c r="AY208" s="139" t="n"/>
      <x:c r="AZ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c r="V209" s="139" t="n"/>
      <x:c r="W209" s="139" t="n"/>
      <x:c r="X209" s="139" t="n"/>
      <x:c r="Y209" s="139" t="n"/>
      <x:c r="Z209" s="139" t="n"/>
      <x:c r="AA209" s="139" t="n"/>
      <x:c r="AB209" s="139" t="n"/>
      <x:c r="AC209" s="139" t="n"/>
      <x:c r="AD209" s="139" t="n"/>
      <x:c r="AE209" s="139" t="n"/>
      <x:c r="AF209" s="139" t="n"/>
      <x:c r="AG209" s="139" t="n"/>
      <x:c r="AH209" s="139" t="n"/>
      <x:c r="AI209" s="139" t="n"/>
      <x:c r="AJ209" s="139" t="n"/>
      <x:c r="AK209" s="139" t="n"/>
      <x:c r="AL209" s="139" t="n"/>
      <x:c r="AM209" s="139" t="n"/>
      <x:c r="AN209" s="139" t="n"/>
      <x:c r="AO209" s="139" t="n"/>
      <x:c r="AP209" s="139" t="n"/>
      <x:c r="AQ209" s="139" t="n"/>
      <x:c r="AR209" s="139" t="n"/>
      <x:c r="AS209" s="139" t="n"/>
      <x:c r="AT209" s="139" t="n"/>
      <x:c r="AU209" s="139" t="n"/>
      <x:c r="AV209" s="139" t="n"/>
      <x:c r="AW209" s="139" t="n"/>
      <x:c r="AX209" s="139" t="n"/>
      <x:c r="AY209" s="139" t="n"/>
      <x:c r="AZ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c r="V210" s="139" t="n"/>
      <x:c r="W210" s="139" t="n"/>
      <x:c r="X210" s="139" t="n"/>
      <x:c r="Y210" s="139" t="n"/>
      <x:c r="Z210" s="139" t="n"/>
      <x:c r="AA210" s="139" t="n"/>
      <x:c r="AB210" s="139" t="n"/>
      <x:c r="AC210" s="139" t="n"/>
      <x:c r="AD210" s="139" t="n"/>
      <x:c r="AE210" s="139" t="n"/>
      <x:c r="AF210" s="139" t="n"/>
      <x:c r="AG210" s="139" t="n"/>
      <x:c r="AH210" s="139" t="n"/>
      <x:c r="AI210" s="139" t="n"/>
      <x:c r="AJ210" s="139" t="n"/>
      <x:c r="AK210" s="139" t="n"/>
      <x:c r="AL210" s="139" t="n"/>
      <x:c r="AM210" s="139" t="n"/>
      <x:c r="AN210" s="139" t="n"/>
      <x:c r="AO210" s="139" t="n"/>
      <x:c r="AP210" s="139" t="n"/>
      <x:c r="AQ210" s="139" t="n"/>
      <x:c r="AR210" s="139" t="n"/>
      <x:c r="AS210" s="139" t="n"/>
      <x:c r="AT210" s="139" t="n"/>
      <x:c r="AU210" s="139" t="n"/>
      <x:c r="AV210" s="139" t="n"/>
      <x:c r="AW210" s="139" t="n"/>
      <x:c r="AX210" s="139" t="n"/>
      <x:c r="AY210" s="139" t="n"/>
      <x:c r="AZ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c r="V211" s="139" t="n"/>
      <x:c r="W211" s="139" t="n"/>
      <x:c r="X211" s="139" t="n"/>
      <x:c r="Y211" s="139" t="n"/>
      <x:c r="Z211" s="139" t="n"/>
      <x:c r="AA211" s="139" t="n"/>
      <x:c r="AB211" s="139" t="n"/>
      <x:c r="AC211" s="139" t="n"/>
      <x:c r="AD211" s="139" t="n"/>
      <x:c r="AE211" s="139" t="n"/>
      <x:c r="AF211" s="139" t="n"/>
      <x:c r="AG211" s="139" t="n"/>
      <x:c r="AH211" s="139" t="n"/>
      <x:c r="AI211" s="139" t="n"/>
      <x:c r="AJ211" s="139" t="n"/>
      <x:c r="AK211" s="139" t="n"/>
      <x:c r="AL211" s="139" t="n"/>
      <x:c r="AM211" s="139" t="n"/>
      <x:c r="AN211" s="139" t="n"/>
      <x:c r="AO211" s="139" t="n"/>
      <x:c r="AP211" s="139" t="n"/>
      <x:c r="AQ211" s="139" t="n"/>
      <x:c r="AR211" s="139" t="n"/>
      <x:c r="AS211" s="139" t="n"/>
      <x:c r="AT211" s="139" t="n"/>
      <x:c r="AU211" s="139" t="n"/>
      <x:c r="AV211" s="139" t="n"/>
      <x:c r="AW211" s="139" t="n"/>
      <x:c r="AX211" s="139" t="n"/>
      <x:c r="AY211" s="139" t="n"/>
      <x:c r="AZ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c r="V212" s="139" t="n"/>
      <x:c r="W212" s="139" t="n"/>
      <x:c r="X212" s="139" t="n"/>
      <x:c r="Y212" s="139" t="n"/>
      <x:c r="Z212" s="139" t="n"/>
      <x:c r="AA212" s="139" t="n"/>
      <x:c r="AB212" s="139" t="n"/>
      <x:c r="AC212" s="139" t="n"/>
      <x:c r="AD212" s="139" t="n"/>
      <x:c r="AE212" s="139" t="n"/>
      <x:c r="AF212" s="139" t="n"/>
      <x:c r="AG212" s="139" t="n"/>
      <x:c r="AH212" s="139" t="n"/>
      <x:c r="AI212" s="139" t="n"/>
      <x:c r="AJ212" s="139" t="n"/>
      <x:c r="AK212" s="139" t="n"/>
      <x:c r="AL212" s="139" t="n"/>
      <x:c r="AM212" s="139" t="n"/>
      <x:c r="AN212" s="139" t="n"/>
      <x:c r="AO212" s="139" t="n"/>
      <x:c r="AP212" s="139" t="n"/>
      <x:c r="AQ212" s="139" t="n"/>
      <x:c r="AR212" s="139" t="n"/>
      <x:c r="AS212" s="139" t="n"/>
      <x:c r="AT212" s="139" t="n"/>
      <x:c r="AU212" s="139" t="n"/>
      <x:c r="AV212" s="139" t="n"/>
      <x:c r="AW212" s="139" t="n"/>
      <x:c r="AX212" s="139" t="n"/>
      <x:c r="AY212" s="139" t="n"/>
      <x:c r="AZ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c r="V213" s="139" t="n"/>
      <x:c r="W213" s="139" t="n"/>
      <x:c r="X213" s="139" t="n"/>
      <x:c r="Y213" s="139" t="n"/>
      <x:c r="Z213" s="139" t="n"/>
      <x:c r="AA213" s="139" t="n"/>
      <x:c r="AB213" s="139" t="n"/>
      <x:c r="AC213" s="139" t="n"/>
      <x:c r="AD213" s="139" t="n"/>
      <x:c r="AE213" s="139" t="n"/>
      <x:c r="AF213" s="139" t="n"/>
      <x:c r="AG213" s="139" t="n"/>
      <x:c r="AH213" s="139" t="n"/>
      <x:c r="AI213" s="139" t="n"/>
      <x:c r="AJ213" s="139" t="n"/>
      <x:c r="AK213" s="139" t="n"/>
      <x:c r="AL213" s="139" t="n"/>
      <x:c r="AM213" s="139" t="n"/>
      <x:c r="AN213" s="139" t="n"/>
      <x:c r="AO213" s="139" t="n"/>
      <x:c r="AP213" s="139" t="n"/>
      <x:c r="AQ213" s="139" t="n"/>
      <x:c r="AR213" s="139" t="n"/>
      <x:c r="AS213" s="139" t="n"/>
      <x:c r="AT213" s="139" t="n"/>
      <x:c r="AU213" s="139" t="n"/>
      <x:c r="AV213" s="139" t="n"/>
      <x:c r="AW213" s="139" t="n"/>
      <x:c r="AX213" s="139" t="n"/>
      <x:c r="AY213" s="139" t="n"/>
      <x:c r="AZ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c r="V214" s="139" t="n"/>
      <x:c r="W214" s="139" t="n"/>
      <x:c r="X214" s="139" t="n"/>
      <x:c r="Y214" s="139" t="n"/>
      <x:c r="Z214" s="139" t="n"/>
      <x:c r="AA214" s="139" t="n"/>
      <x:c r="AB214" s="139" t="n"/>
      <x:c r="AC214" s="139" t="n"/>
      <x:c r="AD214" s="139" t="n"/>
      <x:c r="AE214" s="139" t="n"/>
      <x:c r="AF214" s="139" t="n"/>
      <x:c r="AG214" s="139" t="n"/>
      <x:c r="AH214" s="139" t="n"/>
      <x:c r="AI214" s="139" t="n"/>
      <x:c r="AJ214" s="139" t="n"/>
      <x:c r="AK214" s="139" t="n"/>
      <x:c r="AL214" s="139" t="n"/>
      <x:c r="AM214" s="139" t="n"/>
      <x:c r="AN214" s="139" t="n"/>
      <x:c r="AO214" s="139" t="n"/>
      <x:c r="AP214" s="139" t="n"/>
      <x:c r="AQ214" s="139" t="n"/>
      <x:c r="AR214" s="139" t="n"/>
      <x:c r="AS214" s="139" t="n"/>
      <x:c r="AT214" s="139" t="n"/>
      <x:c r="AU214" s="139" t="n"/>
      <x:c r="AV214" s="139" t="n"/>
      <x:c r="AW214" s="139" t="n"/>
      <x:c r="AX214" s="139" t="n"/>
      <x:c r="AY214" s="139" t="n"/>
      <x:c r="AZ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c r="V215" s="139" t="n"/>
      <x:c r="W215" s="139" t="n"/>
      <x:c r="X215" s="139" t="n"/>
      <x:c r="Y215" s="139" t="n"/>
      <x:c r="Z215" s="139" t="n"/>
      <x:c r="AA215" s="139" t="n"/>
      <x:c r="AB215" s="139" t="n"/>
      <x:c r="AC215" s="139" t="n"/>
      <x:c r="AD215" s="139" t="n"/>
      <x:c r="AE215" s="139" t="n"/>
      <x:c r="AF215" s="139" t="n"/>
      <x:c r="AG215" s="139" t="n"/>
      <x:c r="AH215" s="139" t="n"/>
      <x:c r="AI215" s="139" t="n"/>
      <x:c r="AJ215" s="139" t="n"/>
      <x:c r="AK215" s="139" t="n"/>
      <x:c r="AL215" s="139" t="n"/>
      <x:c r="AM215" s="139" t="n"/>
      <x:c r="AN215" s="139" t="n"/>
      <x:c r="AO215" s="139" t="n"/>
      <x:c r="AP215" s="139" t="n"/>
      <x:c r="AQ215" s="139" t="n"/>
      <x:c r="AR215" s="139" t="n"/>
      <x:c r="AS215" s="139" t="n"/>
      <x:c r="AT215" s="139" t="n"/>
      <x:c r="AU215" s="139" t="n"/>
      <x:c r="AV215" s="139" t="n"/>
      <x:c r="AW215" s="139" t="n"/>
      <x:c r="AX215" s="139" t="n"/>
      <x:c r="AY215" s="139" t="n"/>
      <x:c r="AZ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c r="V216" s="139" t="n"/>
      <x:c r="W216" s="139" t="n"/>
      <x:c r="X216" s="139" t="n"/>
      <x:c r="Y216" s="139" t="n"/>
      <x:c r="Z216" s="139" t="n"/>
      <x:c r="AA216" s="139" t="n"/>
      <x:c r="AB216" s="139" t="n"/>
      <x:c r="AC216" s="139" t="n"/>
      <x:c r="AD216" s="139" t="n"/>
      <x:c r="AE216" s="139" t="n"/>
      <x:c r="AF216" s="139" t="n"/>
      <x:c r="AG216" s="139" t="n"/>
      <x:c r="AH216" s="139" t="n"/>
      <x:c r="AI216" s="139" t="n"/>
      <x:c r="AJ216" s="139" t="n"/>
      <x:c r="AK216" s="139" t="n"/>
      <x:c r="AL216" s="139" t="n"/>
      <x:c r="AM216" s="139" t="n"/>
      <x:c r="AN216" s="139" t="n"/>
      <x:c r="AO216" s="139" t="n"/>
      <x:c r="AP216" s="139" t="n"/>
      <x:c r="AQ216" s="139" t="n"/>
      <x:c r="AR216" s="139" t="n"/>
      <x:c r="AS216" s="139" t="n"/>
      <x:c r="AT216" s="139" t="n"/>
      <x:c r="AU216" s="139" t="n"/>
      <x:c r="AV216" s="139" t="n"/>
      <x:c r="AW216" s="139" t="n"/>
      <x:c r="AX216" s="139" t="n"/>
      <x:c r="AY216" s="139" t="n"/>
      <x:c r="AZ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c r="V217" s="139" t="n"/>
      <x:c r="W217" s="139" t="n"/>
      <x:c r="X217" s="139" t="n"/>
      <x:c r="Y217" s="139" t="n"/>
      <x:c r="Z217" s="139" t="n"/>
      <x:c r="AA217" s="139" t="n"/>
      <x:c r="AB217" s="139" t="n"/>
      <x:c r="AC217" s="139" t="n"/>
      <x:c r="AD217" s="139" t="n"/>
      <x:c r="AE217" s="139" t="n"/>
      <x:c r="AF217" s="139" t="n"/>
      <x:c r="AG217" s="139" t="n"/>
      <x:c r="AH217" s="139" t="n"/>
      <x:c r="AI217" s="139" t="n"/>
      <x:c r="AJ217" s="139" t="n"/>
      <x:c r="AK217" s="139" t="n"/>
      <x:c r="AL217" s="139" t="n"/>
      <x:c r="AM217" s="139" t="n"/>
      <x:c r="AN217" s="139" t="n"/>
      <x:c r="AO217" s="139" t="n"/>
      <x:c r="AP217" s="139" t="n"/>
      <x:c r="AQ217" s="139" t="n"/>
      <x:c r="AR217" s="139" t="n"/>
      <x:c r="AS217" s="139" t="n"/>
      <x:c r="AT217" s="139" t="n"/>
      <x:c r="AU217" s="139" t="n"/>
      <x:c r="AV217" s="139" t="n"/>
      <x:c r="AW217" s="139" t="n"/>
      <x:c r="AX217" s="139" t="n"/>
      <x:c r="AY217" s="139" t="n"/>
      <x:c r="AZ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c r="V218" s="139" t="n"/>
      <x:c r="W218" s="139" t="n"/>
      <x:c r="X218" s="139" t="n"/>
      <x:c r="Y218" s="139" t="n"/>
      <x:c r="Z218" s="139" t="n"/>
      <x:c r="AA218" s="139" t="n"/>
      <x:c r="AB218" s="139" t="n"/>
      <x:c r="AC218" s="139" t="n"/>
      <x:c r="AD218" s="139" t="n"/>
      <x:c r="AE218" s="139" t="n"/>
      <x:c r="AF218" s="139" t="n"/>
      <x:c r="AG218" s="139" t="n"/>
      <x:c r="AH218" s="139" t="n"/>
      <x:c r="AI218" s="139" t="n"/>
      <x:c r="AJ218" s="139" t="n"/>
      <x:c r="AK218" s="139" t="n"/>
      <x:c r="AL218" s="139" t="n"/>
      <x:c r="AM218" s="139" t="n"/>
      <x:c r="AN218" s="139" t="n"/>
      <x:c r="AO218" s="139" t="n"/>
      <x:c r="AP218" s="139" t="n"/>
      <x:c r="AQ218" s="139" t="n"/>
      <x:c r="AR218" s="139" t="n"/>
      <x:c r="AS218" s="139" t="n"/>
      <x:c r="AT218" s="139" t="n"/>
      <x:c r="AU218" s="139" t="n"/>
      <x:c r="AV218" s="139" t="n"/>
      <x:c r="AW218" s="139" t="n"/>
      <x:c r="AX218" s="139" t="n"/>
      <x:c r="AY218" s="139" t="n"/>
      <x:c r="AZ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c r="V219" s="139" t="n"/>
      <x:c r="W219" s="139" t="n"/>
      <x:c r="X219" s="139" t="n"/>
      <x:c r="Y219" s="139" t="n"/>
      <x:c r="Z219" s="139" t="n"/>
      <x:c r="AA219" s="139" t="n"/>
      <x:c r="AB219" s="139" t="n"/>
      <x:c r="AC219" s="139" t="n"/>
      <x:c r="AD219" s="139" t="n"/>
      <x:c r="AE219" s="139" t="n"/>
      <x:c r="AF219" s="139" t="n"/>
      <x:c r="AG219" s="139" t="n"/>
      <x:c r="AH219" s="139" t="n"/>
      <x:c r="AI219" s="139" t="n"/>
      <x:c r="AJ219" s="139" t="n"/>
      <x:c r="AK219" s="139" t="n"/>
      <x:c r="AL219" s="139" t="n"/>
      <x:c r="AM219" s="139" t="n"/>
      <x:c r="AN219" s="139" t="n"/>
      <x:c r="AO219" s="139" t="n"/>
      <x:c r="AP219" s="139" t="n"/>
      <x:c r="AQ219" s="139" t="n"/>
      <x:c r="AR219" s="139" t="n"/>
      <x:c r="AS219" s="139" t="n"/>
      <x:c r="AT219" s="139" t="n"/>
      <x:c r="AU219" s="139" t="n"/>
      <x:c r="AV219" s="139" t="n"/>
      <x:c r="AW219" s="139" t="n"/>
      <x:c r="AX219" s="139" t="n"/>
      <x:c r="AY219" s="139" t="n"/>
      <x:c r="AZ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c r="V220" s="139" t="n"/>
      <x:c r="W220" s="139" t="n"/>
      <x:c r="X220" s="139" t="n"/>
      <x:c r="Y220" s="139" t="n"/>
      <x:c r="Z220" s="139" t="n"/>
      <x:c r="AA220" s="139" t="n"/>
      <x:c r="AB220" s="139" t="n"/>
      <x:c r="AC220" s="139" t="n"/>
      <x:c r="AD220" s="139" t="n"/>
      <x:c r="AE220" s="139" t="n"/>
      <x:c r="AF220" s="139" t="n"/>
      <x:c r="AG220" s="139" t="n"/>
      <x:c r="AH220" s="139" t="n"/>
      <x:c r="AI220" s="139" t="n"/>
      <x:c r="AJ220" s="139" t="n"/>
      <x:c r="AK220" s="139" t="n"/>
      <x:c r="AL220" s="139" t="n"/>
      <x:c r="AM220" s="139" t="n"/>
      <x:c r="AN220" s="139" t="n"/>
      <x:c r="AO220" s="139" t="n"/>
      <x:c r="AP220" s="139" t="n"/>
      <x:c r="AQ220" s="139" t="n"/>
      <x:c r="AR220" s="139" t="n"/>
      <x:c r="AS220" s="139" t="n"/>
      <x:c r="AT220" s="139" t="n"/>
      <x:c r="AU220" s="139" t="n"/>
      <x:c r="AV220" s="139" t="n"/>
      <x:c r="AW220" s="139" t="n"/>
      <x:c r="AX220" s="139" t="n"/>
      <x:c r="AY220" s="139" t="n"/>
      <x:c r="AZ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c r="V221" s="139" t="n"/>
      <x:c r="W221" s="139" t="n"/>
      <x:c r="X221" s="139" t="n"/>
      <x:c r="Y221" s="139" t="n"/>
      <x:c r="Z221" s="139" t="n"/>
      <x:c r="AA221" s="139" t="n"/>
      <x:c r="AB221" s="139" t="n"/>
      <x:c r="AC221" s="139" t="n"/>
      <x:c r="AD221" s="139" t="n"/>
      <x:c r="AE221" s="139" t="n"/>
      <x:c r="AF221" s="139" t="n"/>
      <x:c r="AG221" s="139" t="n"/>
      <x:c r="AH221" s="139" t="n"/>
      <x:c r="AI221" s="139" t="n"/>
      <x:c r="AJ221" s="139" t="n"/>
      <x:c r="AK221" s="139" t="n"/>
      <x:c r="AL221" s="139" t="n"/>
      <x:c r="AM221" s="139" t="n"/>
      <x:c r="AN221" s="139" t="n"/>
      <x:c r="AO221" s="139" t="n"/>
      <x:c r="AP221" s="139" t="n"/>
      <x:c r="AQ221" s="139" t="n"/>
      <x:c r="AR221" s="139" t="n"/>
      <x:c r="AS221" s="139" t="n"/>
      <x:c r="AT221" s="139" t="n"/>
      <x:c r="AU221" s="139" t="n"/>
      <x:c r="AV221" s="139" t="n"/>
      <x:c r="AW221" s="139" t="n"/>
      <x:c r="AX221" s="139" t="n"/>
      <x:c r="AY221" s="139" t="n"/>
      <x:c r="AZ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c r="V222" s="139" t="n"/>
      <x:c r="W222" s="139" t="n"/>
      <x:c r="X222" s="139" t="n"/>
      <x:c r="Y222" s="139" t="n"/>
      <x:c r="Z222" s="139" t="n"/>
      <x:c r="AA222" s="139" t="n"/>
      <x:c r="AB222" s="139" t="n"/>
      <x:c r="AC222" s="139" t="n"/>
      <x:c r="AD222" s="139" t="n"/>
      <x:c r="AE222" s="139" t="n"/>
      <x:c r="AF222" s="139" t="n"/>
      <x:c r="AG222" s="139" t="n"/>
      <x:c r="AH222" s="139" t="n"/>
      <x:c r="AI222" s="139" t="n"/>
      <x:c r="AJ222" s="139" t="n"/>
      <x:c r="AK222" s="139" t="n"/>
      <x:c r="AL222" s="139" t="n"/>
      <x:c r="AM222" s="139" t="n"/>
      <x:c r="AN222" s="139" t="n"/>
      <x:c r="AO222" s="139" t="n"/>
      <x:c r="AP222" s="139" t="n"/>
      <x:c r="AQ222" s="139" t="n"/>
      <x:c r="AR222" s="139" t="n"/>
      <x:c r="AS222" s="139" t="n"/>
      <x:c r="AT222" s="139" t="n"/>
      <x:c r="AU222" s="139" t="n"/>
      <x:c r="AV222" s="139" t="n"/>
      <x:c r="AW222" s="139" t="n"/>
      <x:c r="AX222" s="139" t="n"/>
      <x:c r="AY222" s="139" t="n"/>
      <x:c r="AZ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c r="V223" s="139" t="n"/>
      <x:c r="W223" s="139" t="n"/>
      <x:c r="X223" s="139" t="n"/>
      <x:c r="Y223" s="139" t="n"/>
      <x:c r="Z223" s="139" t="n"/>
      <x:c r="AA223" s="139" t="n"/>
      <x:c r="AB223" s="139" t="n"/>
      <x:c r="AC223" s="139" t="n"/>
      <x:c r="AD223" s="139" t="n"/>
      <x:c r="AE223" s="139" t="n"/>
      <x:c r="AF223" s="139" t="n"/>
      <x:c r="AG223" s="139" t="n"/>
      <x:c r="AH223" s="139" t="n"/>
      <x:c r="AI223" s="139" t="n"/>
      <x:c r="AJ223" s="139" t="n"/>
      <x:c r="AK223" s="139" t="n"/>
      <x:c r="AL223" s="139" t="n"/>
      <x:c r="AM223" s="139" t="n"/>
      <x:c r="AN223" s="139" t="n"/>
      <x:c r="AO223" s="139" t="n"/>
      <x:c r="AP223" s="139" t="n"/>
      <x:c r="AQ223" s="139" t="n"/>
      <x:c r="AR223" s="139" t="n"/>
      <x:c r="AS223" s="139" t="n"/>
      <x:c r="AT223" s="139" t="n"/>
      <x:c r="AU223" s="139" t="n"/>
      <x:c r="AV223" s="139" t="n"/>
      <x:c r="AW223" s="139" t="n"/>
      <x:c r="AX223" s="139" t="n"/>
      <x:c r="AY223" s="139" t="n"/>
      <x:c r="AZ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c r="V224" s="139" t="n"/>
      <x:c r="W224" s="139" t="n"/>
      <x:c r="X224" s="139" t="n"/>
      <x:c r="Y224" s="139" t="n"/>
      <x:c r="Z224" s="139" t="n"/>
      <x:c r="AA224" s="139" t="n"/>
      <x:c r="AB224" s="139" t="n"/>
      <x:c r="AC224" s="139" t="n"/>
      <x:c r="AD224" s="139" t="n"/>
      <x:c r="AE224" s="139" t="n"/>
      <x:c r="AF224" s="139" t="n"/>
      <x:c r="AG224" s="139" t="n"/>
      <x:c r="AH224" s="139" t="n"/>
      <x:c r="AI224" s="139" t="n"/>
      <x:c r="AJ224" s="139" t="n"/>
      <x:c r="AK224" s="139" t="n"/>
      <x:c r="AL224" s="139" t="n"/>
      <x:c r="AM224" s="139" t="n"/>
      <x:c r="AN224" s="139" t="n"/>
      <x:c r="AO224" s="139" t="n"/>
      <x:c r="AP224" s="139" t="n"/>
      <x:c r="AQ224" s="139" t="n"/>
      <x:c r="AR224" s="139" t="n"/>
      <x:c r="AS224" s="139" t="n"/>
      <x:c r="AT224" s="139" t="n"/>
      <x:c r="AU224" s="139" t="n"/>
      <x:c r="AV224" s="139" t="n"/>
      <x:c r="AW224" s="139" t="n"/>
      <x:c r="AX224" s="139" t="n"/>
      <x:c r="AY224" s="139" t="n"/>
      <x:c r="AZ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c r="V225" s="139" t="n"/>
      <x:c r="W225" s="139" t="n"/>
      <x:c r="X225" s="139" t="n"/>
      <x:c r="Y225" s="139" t="n"/>
      <x:c r="Z225" s="139" t="n"/>
      <x:c r="AA225" s="139" t="n"/>
      <x:c r="AB225" s="139" t="n"/>
      <x:c r="AC225" s="139" t="n"/>
      <x:c r="AD225" s="139" t="n"/>
      <x:c r="AE225" s="139" t="n"/>
      <x:c r="AF225" s="139" t="n"/>
      <x:c r="AG225" s="139" t="n"/>
      <x:c r="AH225" s="139" t="n"/>
      <x:c r="AI225" s="139" t="n"/>
      <x:c r="AJ225" s="139" t="n"/>
      <x:c r="AK225" s="139" t="n"/>
      <x:c r="AL225" s="139" t="n"/>
      <x:c r="AM225" s="139" t="n"/>
      <x:c r="AN225" s="139" t="n"/>
      <x:c r="AO225" s="139" t="n"/>
      <x:c r="AP225" s="139" t="n"/>
      <x:c r="AQ225" s="139" t="n"/>
      <x:c r="AR225" s="139" t="n"/>
      <x:c r="AS225" s="139" t="n"/>
      <x:c r="AT225" s="139" t="n"/>
      <x:c r="AU225" s="139" t="n"/>
      <x:c r="AV225" s="139" t="n"/>
      <x:c r="AW225" s="139" t="n"/>
      <x:c r="AX225" s="139" t="n"/>
      <x:c r="AY225" s="139" t="n"/>
      <x:c r="AZ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c r="V226" s="139" t="n"/>
      <x:c r="W226" s="139" t="n"/>
      <x:c r="X226" s="139" t="n"/>
      <x:c r="Y226" s="139" t="n"/>
      <x:c r="Z226" s="139" t="n"/>
      <x:c r="AA226" s="139" t="n"/>
      <x:c r="AB226" s="139" t="n"/>
      <x:c r="AC226" s="139" t="n"/>
      <x:c r="AD226" s="139" t="n"/>
      <x:c r="AE226" s="139" t="n"/>
      <x:c r="AF226" s="139" t="n"/>
      <x:c r="AG226" s="139" t="n"/>
      <x:c r="AH226" s="139" t="n"/>
      <x:c r="AI226" s="139" t="n"/>
      <x:c r="AJ226" s="139" t="n"/>
      <x:c r="AK226" s="139" t="n"/>
      <x:c r="AL226" s="139" t="n"/>
      <x:c r="AM226" s="139" t="n"/>
      <x:c r="AN226" s="139" t="n"/>
      <x:c r="AO226" s="139" t="n"/>
      <x:c r="AP226" s="139" t="n"/>
      <x:c r="AQ226" s="139" t="n"/>
      <x:c r="AR226" s="139" t="n"/>
      <x:c r="AS226" s="139" t="n"/>
      <x:c r="AT226" s="139" t="n"/>
      <x:c r="AU226" s="139" t="n"/>
      <x:c r="AV226" s="139" t="n"/>
      <x:c r="AW226" s="139" t="n"/>
      <x:c r="AX226" s="139" t="n"/>
      <x:c r="AY226" s="139" t="n"/>
      <x:c r="AZ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c r="V227" s="139" t="n"/>
      <x:c r="W227" s="139" t="n"/>
      <x:c r="X227" s="139" t="n"/>
      <x:c r="Y227" s="139" t="n"/>
      <x:c r="Z227" s="139" t="n"/>
      <x:c r="AA227" s="139" t="n"/>
      <x:c r="AB227" s="139" t="n"/>
      <x:c r="AC227" s="139" t="n"/>
      <x:c r="AD227" s="139" t="n"/>
      <x:c r="AE227" s="139" t="n"/>
      <x:c r="AF227" s="139" t="n"/>
      <x:c r="AG227" s="139" t="n"/>
      <x:c r="AH227" s="139" t="n"/>
      <x:c r="AI227" s="139" t="n"/>
      <x:c r="AJ227" s="139" t="n"/>
      <x:c r="AK227" s="139" t="n"/>
      <x:c r="AL227" s="139" t="n"/>
      <x:c r="AM227" s="139" t="n"/>
      <x:c r="AN227" s="139" t="n"/>
      <x:c r="AO227" s="139" t="n"/>
      <x:c r="AP227" s="139" t="n"/>
      <x:c r="AQ227" s="139" t="n"/>
      <x:c r="AR227" s="139" t="n"/>
      <x:c r="AS227" s="139" t="n"/>
      <x:c r="AT227" s="139" t="n"/>
      <x:c r="AU227" s="139" t="n"/>
      <x:c r="AV227" s="139" t="n"/>
      <x:c r="AW227" s="139" t="n"/>
      <x:c r="AX227" s="139" t="n"/>
      <x:c r="AY227" s="139" t="n"/>
      <x:c r="AZ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c r="V228" s="139" t="n"/>
      <x:c r="W228" s="139" t="n"/>
      <x:c r="X228" s="139" t="n"/>
      <x:c r="Y228" s="139" t="n"/>
      <x:c r="Z228" s="139" t="n"/>
      <x:c r="AA228" s="139" t="n"/>
      <x:c r="AB228" s="139" t="n"/>
      <x:c r="AC228" s="139" t="n"/>
      <x:c r="AD228" s="139" t="n"/>
      <x:c r="AE228" s="139" t="n"/>
      <x:c r="AF228" s="139" t="n"/>
      <x:c r="AG228" s="139" t="n"/>
      <x:c r="AH228" s="139" t="n"/>
      <x:c r="AI228" s="139" t="n"/>
      <x:c r="AJ228" s="139" t="n"/>
      <x:c r="AK228" s="139" t="n"/>
      <x:c r="AL228" s="139" t="n"/>
      <x:c r="AM228" s="139" t="n"/>
      <x:c r="AN228" s="139" t="n"/>
      <x:c r="AO228" s="139" t="n"/>
      <x:c r="AP228" s="139" t="n"/>
      <x:c r="AQ228" s="139" t="n"/>
      <x:c r="AR228" s="139" t="n"/>
      <x:c r="AS228" s="139" t="n"/>
      <x:c r="AT228" s="139" t="n"/>
      <x:c r="AU228" s="139" t="n"/>
      <x:c r="AV228" s="139" t="n"/>
      <x:c r="AW228" s="139" t="n"/>
      <x:c r="AX228" s="139" t="n"/>
      <x:c r="AY228" s="139" t="n"/>
      <x:c r="AZ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c r="V229" s="139" t="n"/>
      <x:c r="W229" s="139" t="n"/>
      <x:c r="X229" s="139" t="n"/>
      <x:c r="Y229" s="139" t="n"/>
      <x:c r="Z229" s="139" t="n"/>
      <x:c r="AA229" s="139" t="n"/>
      <x:c r="AB229" s="139" t="n"/>
      <x:c r="AC229" s="139" t="n"/>
      <x:c r="AD229" s="139" t="n"/>
      <x:c r="AE229" s="139" t="n"/>
      <x:c r="AF229" s="139" t="n"/>
      <x:c r="AG229" s="139" t="n"/>
      <x:c r="AH229" s="139" t="n"/>
      <x:c r="AI229" s="139" t="n"/>
      <x:c r="AJ229" s="139" t="n"/>
      <x:c r="AK229" s="139" t="n"/>
      <x:c r="AL229" s="139" t="n"/>
      <x:c r="AM229" s="139" t="n"/>
      <x:c r="AN229" s="139" t="n"/>
      <x:c r="AO229" s="139" t="n"/>
      <x:c r="AP229" s="139" t="n"/>
      <x:c r="AQ229" s="139" t="n"/>
      <x:c r="AR229" s="139" t="n"/>
      <x:c r="AS229" s="139" t="n"/>
      <x:c r="AT229" s="139" t="n"/>
      <x:c r="AU229" s="139" t="n"/>
      <x:c r="AV229" s="139" t="n"/>
      <x:c r="AW229" s="139" t="n"/>
      <x:c r="AX229" s="139" t="n"/>
      <x:c r="AY229" s="139" t="n"/>
      <x:c r="AZ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c r="V230" s="139" t="n"/>
      <x:c r="W230" s="139" t="n"/>
      <x:c r="X230" s="139" t="n"/>
      <x:c r="Y230" s="139" t="n"/>
      <x:c r="Z230" s="139" t="n"/>
      <x:c r="AA230" s="139" t="n"/>
      <x:c r="AB230" s="139" t="n"/>
      <x:c r="AC230" s="139" t="n"/>
      <x:c r="AD230" s="139" t="n"/>
      <x:c r="AE230" s="139" t="n"/>
      <x:c r="AF230" s="139" t="n"/>
      <x:c r="AG230" s="139" t="n"/>
      <x:c r="AH230" s="139" t="n"/>
      <x:c r="AI230" s="139" t="n"/>
      <x:c r="AJ230" s="139" t="n"/>
      <x:c r="AK230" s="139" t="n"/>
      <x:c r="AL230" s="139" t="n"/>
      <x:c r="AM230" s="139" t="n"/>
      <x:c r="AN230" s="139" t="n"/>
      <x:c r="AO230" s="139" t="n"/>
      <x:c r="AP230" s="139" t="n"/>
      <x:c r="AQ230" s="139" t="n"/>
      <x:c r="AR230" s="139" t="n"/>
      <x:c r="AS230" s="139" t="n"/>
      <x:c r="AT230" s="139" t="n"/>
      <x:c r="AU230" s="139" t="n"/>
      <x:c r="AV230" s="139" t="n"/>
      <x:c r="AW230" s="139" t="n"/>
      <x:c r="AX230" s="139" t="n"/>
      <x:c r="AY230" s="139" t="n"/>
      <x:c r="AZ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c r="V231" s="139" t="n"/>
      <x:c r="W231" s="139" t="n"/>
      <x:c r="X231" s="139" t="n"/>
      <x:c r="Y231" s="139" t="n"/>
      <x:c r="Z231" s="139" t="n"/>
      <x:c r="AA231" s="139" t="n"/>
      <x:c r="AB231" s="139" t="n"/>
      <x:c r="AC231" s="139" t="n"/>
      <x:c r="AD231" s="139" t="n"/>
      <x:c r="AE231" s="139" t="n"/>
      <x:c r="AF231" s="139" t="n"/>
      <x:c r="AG231" s="139" t="n"/>
      <x:c r="AH231" s="139" t="n"/>
      <x:c r="AI231" s="139" t="n"/>
      <x:c r="AJ231" s="139" t="n"/>
      <x:c r="AK231" s="139" t="n"/>
      <x:c r="AL231" s="139" t="n"/>
      <x:c r="AM231" s="139" t="n"/>
      <x:c r="AN231" s="139" t="n"/>
      <x:c r="AO231" s="139" t="n"/>
      <x:c r="AP231" s="139" t="n"/>
      <x:c r="AQ231" s="139" t="n"/>
      <x:c r="AR231" s="139" t="n"/>
      <x:c r="AS231" s="139" t="n"/>
      <x:c r="AT231" s="139" t="n"/>
      <x:c r="AU231" s="139" t="n"/>
      <x:c r="AV231" s="139" t="n"/>
      <x:c r="AW231" s="139" t="n"/>
      <x:c r="AX231" s="139" t="n"/>
      <x:c r="AY231" s="139" t="n"/>
      <x:c r="AZ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c r="V232" s="139" t="n"/>
      <x:c r="W232" s="139" t="n"/>
      <x:c r="X232" s="139" t="n"/>
      <x:c r="Y232" s="139" t="n"/>
      <x:c r="Z232" s="139" t="n"/>
      <x:c r="AA232" s="139" t="n"/>
      <x:c r="AB232" s="139" t="n"/>
      <x:c r="AC232" s="139" t="n"/>
      <x:c r="AD232" s="139" t="n"/>
      <x:c r="AE232" s="139" t="n"/>
      <x:c r="AF232" s="139" t="n"/>
      <x:c r="AG232" s="139" t="n"/>
      <x:c r="AH232" s="139" t="n"/>
      <x:c r="AI232" s="139" t="n"/>
      <x:c r="AJ232" s="139" t="n"/>
      <x:c r="AK232" s="139" t="n"/>
      <x:c r="AL232" s="139" t="n"/>
      <x:c r="AM232" s="139" t="n"/>
      <x:c r="AN232" s="139" t="n"/>
      <x:c r="AO232" s="139" t="n"/>
      <x:c r="AP232" s="139" t="n"/>
      <x:c r="AQ232" s="139" t="n"/>
      <x:c r="AR232" s="139" t="n"/>
      <x:c r="AS232" s="139" t="n"/>
      <x:c r="AT232" s="139" t="n"/>
      <x:c r="AU232" s="139" t="n"/>
      <x:c r="AV232" s="139" t="n"/>
      <x:c r="AW232" s="139" t="n"/>
      <x:c r="AX232" s="139" t="n"/>
      <x:c r="AY232" s="139" t="n"/>
      <x:c r="AZ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c r="V233" s="139" t="n"/>
      <x:c r="W233" s="139" t="n"/>
      <x:c r="X233" s="139" t="n"/>
      <x:c r="Y233" s="139" t="n"/>
      <x:c r="Z233" s="139" t="n"/>
      <x:c r="AA233" s="139" t="n"/>
      <x:c r="AB233" s="139" t="n"/>
      <x:c r="AC233" s="139" t="n"/>
      <x:c r="AD233" s="139" t="n"/>
      <x:c r="AE233" s="139" t="n"/>
      <x:c r="AF233" s="139" t="n"/>
      <x:c r="AG233" s="139" t="n"/>
      <x:c r="AH233" s="139" t="n"/>
      <x:c r="AI233" s="139" t="n"/>
      <x:c r="AJ233" s="139" t="n"/>
      <x:c r="AK233" s="139" t="n"/>
      <x:c r="AL233" s="139" t="n"/>
      <x:c r="AM233" s="139" t="n"/>
      <x:c r="AN233" s="139" t="n"/>
      <x:c r="AO233" s="139" t="n"/>
      <x:c r="AP233" s="139" t="n"/>
      <x:c r="AQ233" s="139" t="n"/>
      <x:c r="AR233" s="139" t="n"/>
      <x:c r="AS233" s="139" t="n"/>
      <x:c r="AT233" s="139" t="n"/>
      <x:c r="AU233" s="139" t="n"/>
      <x:c r="AV233" s="139" t="n"/>
      <x:c r="AW233" s="139" t="n"/>
      <x:c r="AX233" s="139" t="n"/>
      <x:c r="AY233" s="139" t="n"/>
      <x:c r="AZ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c r="V234" s="139" t="n"/>
      <x:c r="W234" s="139" t="n"/>
      <x:c r="X234" s="139" t="n"/>
      <x:c r="Y234" s="139" t="n"/>
      <x:c r="Z234" s="139" t="n"/>
      <x:c r="AA234" s="139" t="n"/>
      <x:c r="AB234" s="139" t="n"/>
      <x:c r="AC234" s="139" t="n"/>
      <x:c r="AD234" s="139" t="n"/>
      <x:c r="AE234" s="139" t="n"/>
      <x:c r="AF234" s="139" t="n"/>
      <x:c r="AG234" s="139" t="n"/>
      <x:c r="AH234" s="139" t="n"/>
      <x:c r="AI234" s="139" t="n"/>
      <x:c r="AJ234" s="139" t="n"/>
      <x:c r="AK234" s="139" t="n"/>
      <x:c r="AL234" s="139" t="n"/>
      <x:c r="AM234" s="139" t="n"/>
      <x:c r="AN234" s="139" t="n"/>
      <x:c r="AO234" s="139" t="n"/>
      <x:c r="AP234" s="139" t="n"/>
      <x:c r="AQ234" s="139" t="n"/>
      <x:c r="AR234" s="139" t="n"/>
      <x:c r="AS234" s="139" t="n"/>
      <x:c r="AT234" s="139" t="n"/>
      <x:c r="AU234" s="139" t="n"/>
      <x:c r="AV234" s="139" t="n"/>
      <x:c r="AW234" s="139" t="n"/>
      <x:c r="AX234" s="139" t="n"/>
      <x:c r="AY234" s="139" t="n"/>
      <x:c r="AZ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c r="V235" s="139" t="n"/>
      <x:c r="W235" s="139" t="n"/>
      <x:c r="X235" s="139" t="n"/>
      <x:c r="Y235" s="139" t="n"/>
      <x:c r="Z235" s="139" t="n"/>
      <x:c r="AA235" s="139" t="n"/>
      <x:c r="AB235" s="139" t="n"/>
      <x:c r="AC235" s="139" t="n"/>
      <x:c r="AD235" s="139" t="n"/>
      <x:c r="AE235" s="139" t="n"/>
      <x:c r="AF235" s="139" t="n"/>
      <x:c r="AG235" s="139" t="n"/>
      <x:c r="AH235" s="139" t="n"/>
      <x:c r="AI235" s="139" t="n"/>
      <x:c r="AJ235" s="139" t="n"/>
      <x:c r="AK235" s="139" t="n"/>
      <x:c r="AL235" s="139" t="n"/>
      <x:c r="AM235" s="139" t="n"/>
      <x:c r="AN235" s="139" t="n"/>
      <x:c r="AO235" s="139" t="n"/>
      <x:c r="AP235" s="139" t="n"/>
      <x:c r="AQ235" s="139" t="n"/>
      <x:c r="AR235" s="139" t="n"/>
      <x:c r="AS235" s="139" t="n"/>
      <x:c r="AT235" s="139" t="n"/>
      <x:c r="AU235" s="139" t="n"/>
      <x:c r="AV235" s="139" t="n"/>
      <x:c r="AW235" s="139" t="n"/>
      <x:c r="AX235" s="139" t="n"/>
      <x:c r="AY235" s="139" t="n"/>
      <x:c r="AZ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c r="V236" s="139" t="n"/>
      <x:c r="W236" s="139" t="n"/>
      <x:c r="X236" s="139" t="n"/>
      <x:c r="Y236" s="139" t="n"/>
      <x:c r="Z236" s="139" t="n"/>
      <x:c r="AA236" s="139" t="n"/>
      <x:c r="AB236" s="139" t="n"/>
      <x:c r="AC236" s="139" t="n"/>
      <x:c r="AD236" s="139" t="n"/>
      <x:c r="AE236" s="139" t="n"/>
      <x:c r="AF236" s="139" t="n"/>
      <x:c r="AG236" s="139" t="n"/>
      <x:c r="AH236" s="139" t="n"/>
      <x:c r="AI236" s="139" t="n"/>
      <x:c r="AJ236" s="139" t="n"/>
      <x:c r="AK236" s="139" t="n"/>
      <x:c r="AL236" s="139" t="n"/>
      <x:c r="AM236" s="139" t="n"/>
      <x:c r="AN236" s="139" t="n"/>
      <x:c r="AO236" s="139" t="n"/>
      <x:c r="AP236" s="139" t="n"/>
      <x:c r="AQ236" s="139" t="n"/>
      <x:c r="AR236" s="139" t="n"/>
      <x:c r="AS236" s="139" t="n"/>
      <x:c r="AT236" s="139" t="n"/>
      <x:c r="AU236" s="139" t="n"/>
      <x:c r="AV236" s="139" t="n"/>
      <x:c r="AW236" s="139" t="n"/>
      <x:c r="AX236" s="139" t="n"/>
      <x:c r="AY236" s="139" t="n"/>
      <x:c r="AZ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c r="V237" s="139" t="n"/>
      <x:c r="W237" s="139" t="n"/>
      <x:c r="X237" s="139" t="n"/>
      <x:c r="Y237" s="139" t="n"/>
      <x:c r="Z237" s="139" t="n"/>
      <x:c r="AA237" s="139" t="n"/>
      <x:c r="AB237" s="139" t="n"/>
      <x:c r="AC237" s="139" t="n"/>
      <x:c r="AD237" s="139" t="n"/>
      <x:c r="AE237" s="139" t="n"/>
      <x:c r="AF237" s="139" t="n"/>
      <x:c r="AG237" s="139" t="n"/>
      <x:c r="AH237" s="139" t="n"/>
      <x:c r="AI237" s="139" t="n"/>
      <x:c r="AJ237" s="139" t="n"/>
      <x:c r="AK237" s="139" t="n"/>
      <x:c r="AL237" s="139" t="n"/>
      <x:c r="AM237" s="139" t="n"/>
      <x:c r="AN237" s="139" t="n"/>
      <x:c r="AO237" s="139" t="n"/>
      <x:c r="AP237" s="139" t="n"/>
      <x:c r="AQ237" s="139" t="n"/>
      <x:c r="AR237" s="139" t="n"/>
      <x:c r="AS237" s="139" t="n"/>
      <x:c r="AT237" s="139" t="n"/>
      <x:c r="AU237" s="139" t="n"/>
      <x:c r="AV237" s="139" t="n"/>
      <x:c r="AW237" s="139" t="n"/>
      <x:c r="AX237" s="139" t="n"/>
      <x:c r="AY237" s="139" t="n"/>
      <x:c r="AZ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c r="V238" s="139" t="n"/>
      <x:c r="W238" s="139" t="n"/>
      <x:c r="X238" s="139" t="n"/>
      <x:c r="Y238" s="139" t="n"/>
      <x:c r="Z238" s="139" t="n"/>
      <x:c r="AA238" s="139" t="n"/>
      <x:c r="AB238" s="139" t="n"/>
      <x:c r="AC238" s="139" t="n"/>
      <x:c r="AD238" s="139" t="n"/>
      <x:c r="AE238" s="139" t="n"/>
      <x:c r="AF238" s="139" t="n"/>
      <x:c r="AG238" s="139" t="n"/>
      <x:c r="AH238" s="139" t="n"/>
      <x:c r="AI238" s="139" t="n"/>
      <x:c r="AJ238" s="139" t="n"/>
      <x:c r="AK238" s="139" t="n"/>
      <x:c r="AL238" s="139" t="n"/>
      <x:c r="AM238" s="139" t="n"/>
      <x:c r="AN238" s="139" t="n"/>
      <x:c r="AO238" s="139" t="n"/>
      <x:c r="AP238" s="139" t="n"/>
      <x:c r="AQ238" s="139" t="n"/>
      <x:c r="AR238" s="139" t="n"/>
      <x:c r="AS238" s="139" t="n"/>
      <x:c r="AT238" s="139" t="n"/>
      <x:c r="AU238" s="139" t="n"/>
      <x:c r="AV238" s="139" t="n"/>
      <x:c r="AW238" s="139" t="n"/>
      <x:c r="AX238" s="139" t="n"/>
      <x:c r="AY238" s="139" t="n"/>
      <x:c r="AZ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c r="V239" s="139" t="n"/>
      <x:c r="W239" s="139" t="n"/>
      <x:c r="X239" s="139" t="n"/>
      <x:c r="Y239" s="139" t="n"/>
      <x:c r="Z239" s="139" t="n"/>
      <x:c r="AA239" s="139" t="n"/>
      <x:c r="AB239" s="139" t="n"/>
      <x:c r="AC239" s="139" t="n"/>
      <x:c r="AD239" s="139" t="n"/>
      <x:c r="AE239" s="139" t="n"/>
      <x:c r="AF239" s="139" t="n"/>
      <x:c r="AG239" s="139" t="n"/>
      <x:c r="AH239" s="139" t="n"/>
      <x:c r="AI239" s="139" t="n"/>
      <x:c r="AJ239" s="139" t="n"/>
      <x:c r="AK239" s="139" t="n"/>
      <x:c r="AL239" s="139" t="n"/>
      <x:c r="AM239" s="139" t="n"/>
      <x:c r="AN239" s="139" t="n"/>
      <x:c r="AO239" s="139" t="n"/>
      <x:c r="AP239" s="139" t="n"/>
      <x:c r="AQ239" s="139" t="n"/>
      <x:c r="AR239" s="139" t="n"/>
      <x:c r="AS239" s="139" t="n"/>
      <x:c r="AT239" s="139" t="n"/>
      <x:c r="AU239" s="139" t="n"/>
      <x:c r="AV239" s="139" t="n"/>
      <x:c r="AW239" s="139" t="n"/>
      <x:c r="AX239" s="139" t="n"/>
      <x:c r="AY239" s="139" t="n"/>
      <x:c r="AZ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c r="V240" s="139" t="n"/>
      <x:c r="W240" s="139" t="n"/>
      <x:c r="X240" s="139" t="n"/>
      <x:c r="Y240" s="139" t="n"/>
      <x:c r="Z240" s="139" t="n"/>
      <x:c r="AA240" s="139" t="n"/>
      <x:c r="AB240" s="139" t="n"/>
      <x:c r="AC240" s="139" t="n"/>
      <x:c r="AD240" s="139" t="n"/>
      <x:c r="AE240" s="139" t="n"/>
      <x:c r="AF240" s="139" t="n"/>
      <x:c r="AG240" s="139" t="n"/>
      <x:c r="AH240" s="139" t="n"/>
      <x:c r="AI240" s="139" t="n"/>
      <x:c r="AJ240" s="139" t="n"/>
      <x:c r="AK240" s="139" t="n"/>
      <x:c r="AL240" s="139" t="n"/>
      <x:c r="AM240" s="139" t="n"/>
      <x:c r="AN240" s="139" t="n"/>
      <x:c r="AO240" s="139" t="n"/>
      <x:c r="AP240" s="139" t="n"/>
      <x:c r="AQ240" s="139" t="n"/>
      <x:c r="AR240" s="139" t="n"/>
      <x:c r="AS240" s="139" t="n"/>
      <x:c r="AT240" s="139" t="n"/>
      <x:c r="AU240" s="139" t="n"/>
      <x:c r="AV240" s="139" t="n"/>
      <x:c r="AW240" s="139" t="n"/>
      <x:c r="AX240" s="139" t="n"/>
      <x:c r="AY240" s="139" t="n"/>
      <x:c r="AZ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c r="V241" s="139" t="n"/>
      <x:c r="W241" s="139" t="n"/>
      <x:c r="X241" s="139" t="n"/>
      <x:c r="Y241" s="139" t="n"/>
      <x:c r="Z241" s="139" t="n"/>
      <x:c r="AA241" s="139" t="n"/>
      <x:c r="AB241" s="139" t="n"/>
      <x:c r="AC241" s="139" t="n"/>
      <x:c r="AD241" s="139" t="n"/>
      <x:c r="AE241" s="139" t="n"/>
      <x:c r="AF241" s="139" t="n"/>
      <x:c r="AG241" s="139" t="n"/>
      <x:c r="AH241" s="139" t="n"/>
      <x:c r="AI241" s="139" t="n"/>
      <x:c r="AJ241" s="139" t="n"/>
      <x:c r="AK241" s="139" t="n"/>
      <x:c r="AL241" s="139" t="n"/>
      <x:c r="AM241" s="139" t="n"/>
      <x:c r="AN241" s="139" t="n"/>
      <x:c r="AO241" s="139" t="n"/>
      <x:c r="AP241" s="139" t="n"/>
      <x:c r="AQ241" s="139" t="n"/>
      <x:c r="AR241" s="139" t="n"/>
      <x:c r="AS241" s="139" t="n"/>
      <x:c r="AT241" s="139" t="n"/>
      <x:c r="AU241" s="139" t="n"/>
      <x:c r="AV241" s="139" t="n"/>
      <x:c r="AW241" s="139" t="n"/>
      <x:c r="AX241" s="139" t="n"/>
      <x:c r="AY241" s="139" t="n"/>
      <x:c r="AZ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c r="V242" s="139" t="n"/>
      <x:c r="W242" s="139" t="n"/>
      <x:c r="X242" s="139" t="n"/>
      <x:c r="Y242" s="139" t="n"/>
      <x:c r="Z242" s="139" t="n"/>
      <x:c r="AA242" s="139" t="n"/>
      <x:c r="AB242" s="139" t="n"/>
      <x:c r="AC242" s="139" t="n"/>
      <x:c r="AD242" s="139" t="n"/>
      <x:c r="AE242" s="139" t="n"/>
      <x:c r="AF242" s="139" t="n"/>
      <x:c r="AG242" s="139" t="n"/>
      <x:c r="AH242" s="139" t="n"/>
      <x:c r="AI242" s="139" t="n"/>
      <x:c r="AJ242" s="139" t="n"/>
      <x:c r="AK242" s="139" t="n"/>
      <x:c r="AL242" s="139" t="n"/>
      <x:c r="AM242" s="139" t="n"/>
      <x:c r="AN242" s="139" t="n"/>
      <x:c r="AO242" s="139" t="n"/>
      <x:c r="AP242" s="139" t="n"/>
      <x:c r="AQ242" s="139" t="n"/>
      <x:c r="AR242" s="139" t="n"/>
      <x:c r="AS242" s="139" t="n"/>
      <x:c r="AT242" s="139" t="n"/>
      <x:c r="AU242" s="139" t="n"/>
      <x:c r="AV242" s="139" t="n"/>
      <x:c r="AW242" s="139" t="n"/>
      <x:c r="AX242" s="139" t="n"/>
      <x:c r="AY242" s="139" t="n"/>
      <x:c r="AZ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c r="V243" s="139" t="n"/>
      <x:c r="W243" s="139" t="n"/>
      <x:c r="X243" s="139" t="n"/>
      <x:c r="Y243" s="139" t="n"/>
      <x:c r="Z243" s="139" t="n"/>
      <x:c r="AA243" s="139" t="n"/>
      <x:c r="AB243" s="139" t="n"/>
      <x:c r="AC243" s="139" t="n"/>
      <x:c r="AD243" s="139" t="n"/>
      <x:c r="AE243" s="139" t="n"/>
      <x:c r="AF243" s="139" t="n"/>
      <x:c r="AG243" s="139" t="n"/>
      <x:c r="AH243" s="139" t="n"/>
      <x:c r="AI243" s="139" t="n"/>
      <x:c r="AJ243" s="139" t="n"/>
      <x:c r="AK243" s="139" t="n"/>
      <x:c r="AL243" s="139" t="n"/>
      <x:c r="AM243" s="139" t="n"/>
      <x:c r="AN243" s="139" t="n"/>
      <x:c r="AO243" s="139" t="n"/>
      <x:c r="AP243" s="139" t="n"/>
      <x:c r="AQ243" s="139" t="n"/>
      <x:c r="AR243" s="139" t="n"/>
      <x:c r="AS243" s="139" t="n"/>
      <x:c r="AT243" s="139" t="n"/>
      <x:c r="AU243" s="139" t="n"/>
      <x:c r="AV243" s="139" t="n"/>
      <x:c r="AW243" s="139" t="n"/>
      <x:c r="AX243" s="139" t="n"/>
      <x:c r="AY243" s="139" t="n"/>
      <x:c r="AZ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c r="V244" s="139" t="n"/>
      <x:c r="W244" s="139" t="n"/>
      <x:c r="X244" s="139" t="n"/>
      <x:c r="Y244" s="139" t="n"/>
      <x:c r="Z244" s="139" t="n"/>
      <x:c r="AA244" s="139" t="n"/>
      <x:c r="AB244" s="139" t="n"/>
      <x:c r="AC244" s="139" t="n"/>
      <x:c r="AD244" s="139" t="n"/>
      <x:c r="AE244" s="139" t="n"/>
      <x:c r="AF244" s="139" t="n"/>
      <x:c r="AG244" s="139" t="n"/>
      <x:c r="AH244" s="139" t="n"/>
      <x:c r="AI244" s="139" t="n"/>
      <x:c r="AJ244" s="139" t="n"/>
      <x:c r="AK244" s="139" t="n"/>
      <x:c r="AL244" s="139" t="n"/>
      <x:c r="AM244" s="139" t="n"/>
      <x:c r="AN244" s="139" t="n"/>
      <x:c r="AO244" s="139" t="n"/>
      <x:c r="AP244" s="139" t="n"/>
      <x:c r="AQ244" s="139" t="n"/>
      <x:c r="AR244" s="139" t="n"/>
      <x:c r="AS244" s="139" t="n"/>
      <x:c r="AT244" s="139" t="n"/>
      <x:c r="AU244" s="139" t="n"/>
      <x:c r="AV244" s="139" t="n"/>
      <x:c r="AW244" s="139" t="n"/>
      <x:c r="AX244" s="139" t="n"/>
      <x:c r="AY244" s="139" t="n"/>
      <x:c r="AZ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c r="V245" s="139" t="n"/>
      <x:c r="W245" s="139" t="n"/>
      <x:c r="X245" s="139" t="n"/>
      <x:c r="Y245" s="139" t="n"/>
      <x:c r="Z245" s="139" t="n"/>
      <x:c r="AA245" s="139" t="n"/>
      <x:c r="AB245" s="139" t="n"/>
      <x:c r="AC245" s="139" t="n"/>
      <x:c r="AD245" s="139" t="n"/>
      <x:c r="AE245" s="139" t="n"/>
      <x:c r="AF245" s="139" t="n"/>
      <x:c r="AG245" s="139" t="n"/>
      <x:c r="AH245" s="139" t="n"/>
      <x:c r="AI245" s="139" t="n"/>
      <x:c r="AJ245" s="139" t="n"/>
      <x:c r="AK245" s="139" t="n"/>
      <x:c r="AL245" s="139" t="n"/>
      <x:c r="AM245" s="139" t="n"/>
      <x:c r="AN245" s="139" t="n"/>
      <x:c r="AO245" s="139" t="n"/>
      <x:c r="AP245" s="139" t="n"/>
      <x:c r="AQ245" s="139" t="n"/>
      <x:c r="AR245" s="139" t="n"/>
      <x:c r="AS245" s="139" t="n"/>
      <x:c r="AT245" s="139" t="n"/>
      <x:c r="AU245" s="139" t="n"/>
      <x:c r="AV245" s="139" t="n"/>
      <x:c r="AW245" s="139" t="n"/>
      <x:c r="AX245" s="139" t="n"/>
      <x:c r="AY245" s="139" t="n"/>
      <x:c r="AZ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c r="V246" s="139" t="n"/>
      <x:c r="W246" s="139" t="n"/>
      <x:c r="X246" s="139" t="n"/>
      <x:c r="Y246" s="139" t="n"/>
      <x:c r="Z246" s="139" t="n"/>
      <x:c r="AA246" s="139" t="n"/>
      <x:c r="AB246" s="139" t="n"/>
      <x:c r="AC246" s="139" t="n"/>
      <x:c r="AD246" s="139" t="n"/>
      <x:c r="AE246" s="139" t="n"/>
      <x:c r="AF246" s="139" t="n"/>
      <x:c r="AG246" s="139" t="n"/>
      <x:c r="AH246" s="139" t="n"/>
      <x:c r="AI246" s="139" t="n"/>
      <x:c r="AJ246" s="139" t="n"/>
      <x:c r="AK246" s="139" t="n"/>
      <x:c r="AL246" s="139" t="n"/>
      <x:c r="AM246" s="139" t="n"/>
      <x:c r="AN246" s="139" t="n"/>
      <x:c r="AO246" s="139" t="n"/>
      <x:c r="AP246" s="139" t="n"/>
      <x:c r="AQ246" s="139" t="n"/>
      <x:c r="AR246" s="139" t="n"/>
      <x:c r="AS246" s="139" t="n"/>
      <x:c r="AT246" s="139" t="n"/>
      <x:c r="AU246" s="139" t="n"/>
      <x:c r="AV246" s="139" t="n"/>
      <x:c r="AW246" s="139" t="n"/>
      <x:c r="AX246" s="139" t="n"/>
      <x:c r="AY246" s="139" t="n"/>
      <x:c r="AZ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c r="V247" s="139" t="n"/>
      <x:c r="W247" s="139" t="n"/>
      <x:c r="X247" s="139" t="n"/>
      <x:c r="Y247" s="139" t="n"/>
      <x:c r="Z247" s="139" t="n"/>
      <x:c r="AA247" s="139" t="n"/>
      <x:c r="AB247" s="139" t="n"/>
      <x:c r="AC247" s="139" t="n"/>
      <x:c r="AD247" s="139" t="n"/>
      <x:c r="AE247" s="139" t="n"/>
      <x:c r="AF247" s="139" t="n"/>
      <x:c r="AG247" s="139" t="n"/>
      <x:c r="AH247" s="139" t="n"/>
      <x:c r="AI247" s="139" t="n"/>
      <x:c r="AJ247" s="139" t="n"/>
      <x:c r="AK247" s="139" t="n"/>
      <x:c r="AL247" s="139" t="n"/>
      <x:c r="AM247" s="139" t="n"/>
      <x:c r="AN247" s="139" t="n"/>
      <x:c r="AO247" s="139" t="n"/>
      <x:c r="AP247" s="139" t="n"/>
      <x:c r="AQ247" s="139" t="n"/>
      <x:c r="AR247" s="139" t="n"/>
      <x:c r="AS247" s="139" t="n"/>
      <x:c r="AT247" s="139" t="n"/>
      <x:c r="AU247" s="139" t="n"/>
      <x:c r="AV247" s="139" t="n"/>
      <x:c r="AW247" s="139" t="n"/>
      <x:c r="AX247" s="139" t="n"/>
      <x:c r="AY247" s="139" t="n"/>
      <x:c r="AZ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c r="V248" s="139" t="n"/>
      <x:c r="W248" s="139" t="n"/>
      <x:c r="X248" s="139" t="n"/>
      <x:c r="Y248" s="139" t="n"/>
      <x:c r="Z248" s="139" t="n"/>
      <x:c r="AA248" s="139" t="n"/>
      <x:c r="AB248" s="139" t="n"/>
      <x:c r="AC248" s="139" t="n"/>
      <x:c r="AD248" s="139" t="n"/>
      <x:c r="AE248" s="139" t="n"/>
      <x:c r="AF248" s="139" t="n"/>
      <x:c r="AG248" s="139" t="n"/>
      <x:c r="AH248" s="139" t="n"/>
      <x:c r="AI248" s="139" t="n"/>
      <x:c r="AJ248" s="139" t="n"/>
      <x:c r="AK248" s="139" t="n"/>
      <x:c r="AL248" s="139" t="n"/>
      <x:c r="AM248" s="139" t="n"/>
      <x:c r="AN248" s="139" t="n"/>
      <x:c r="AO248" s="139" t="n"/>
      <x:c r="AP248" s="139" t="n"/>
      <x:c r="AQ248" s="139" t="n"/>
      <x:c r="AR248" s="139" t="n"/>
      <x:c r="AS248" s="139" t="n"/>
      <x:c r="AT248" s="139" t="n"/>
      <x:c r="AU248" s="139" t="n"/>
      <x:c r="AV248" s="139" t="n"/>
      <x:c r="AW248" s="139" t="n"/>
      <x:c r="AX248" s="139" t="n"/>
      <x:c r="AY248" s="139" t="n"/>
      <x:c r="AZ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c r="V249" s="139" t="n"/>
      <x:c r="W249" s="139" t="n"/>
      <x:c r="X249" s="139" t="n"/>
      <x:c r="Y249" s="139" t="n"/>
      <x:c r="Z249" s="139" t="n"/>
      <x:c r="AA249" s="139" t="n"/>
      <x:c r="AB249" s="139" t="n"/>
      <x:c r="AC249" s="139" t="n"/>
      <x:c r="AD249" s="139" t="n"/>
      <x:c r="AE249" s="139" t="n"/>
      <x:c r="AF249" s="139" t="n"/>
      <x:c r="AG249" s="139" t="n"/>
      <x:c r="AH249" s="139" t="n"/>
      <x:c r="AI249" s="139" t="n"/>
      <x:c r="AJ249" s="139" t="n"/>
      <x:c r="AK249" s="139" t="n"/>
      <x:c r="AL249" s="139" t="n"/>
      <x:c r="AM249" s="139" t="n"/>
      <x:c r="AN249" s="139" t="n"/>
      <x:c r="AO249" s="139" t="n"/>
      <x:c r="AP249" s="139" t="n"/>
      <x:c r="AQ249" s="139" t="n"/>
      <x:c r="AR249" s="139" t="n"/>
      <x:c r="AS249" s="139" t="n"/>
      <x:c r="AT249" s="139" t="n"/>
      <x:c r="AU249" s="139" t="n"/>
      <x:c r="AV249" s="139" t="n"/>
      <x:c r="AW249" s="139" t="n"/>
      <x:c r="AX249" s="139" t="n"/>
      <x:c r="AY249" s="139" t="n"/>
      <x:c r="AZ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c r="V250" s="139" t="n"/>
      <x:c r="W250" s="139" t="n"/>
      <x:c r="X250" s="139" t="n"/>
      <x:c r="Y250" s="139" t="n"/>
      <x:c r="Z250" s="139" t="n"/>
      <x:c r="AA250" s="139" t="n"/>
      <x:c r="AB250" s="139" t="n"/>
      <x:c r="AC250" s="139" t="n"/>
      <x:c r="AD250" s="139" t="n"/>
      <x:c r="AE250" s="139" t="n"/>
      <x:c r="AF250" s="139" t="n"/>
      <x:c r="AG250" s="139" t="n"/>
      <x:c r="AH250" s="139" t="n"/>
      <x:c r="AI250" s="139" t="n"/>
      <x:c r="AJ250" s="139" t="n"/>
      <x:c r="AK250" s="139" t="n"/>
      <x:c r="AL250" s="139" t="n"/>
      <x:c r="AM250" s="139" t="n"/>
      <x:c r="AN250" s="139" t="n"/>
      <x:c r="AO250" s="139" t="n"/>
      <x:c r="AP250" s="139" t="n"/>
      <x:c r="AQ250" s="139" t="n"/>
      <x:c r="AR250" s="139" t="n"/>
      <x:c r="AS250" s="139" t="n"/>
      <x:c r="AT250" s="139" t="n"/>
      <x:c r="AU250" s="139" t="n"/>
      <x:c r="AV250" s="139" t="n"/>
      <x:c r="AW250" s="139" t="n"/>
      <x:c r="AX250" s="139" t="n"/>
      <x:c r="AY250" s="139" t="n"/>
      <x:c r="AZ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c r="V251" s="139" t="n"/>
      <x:c r="W251" s="139" t="n"/>
      <x:c r="X251" s="139" t="n"/>
      <x:c r="Y251" s="139" t="n"/>
      <x:c r="Z251" s="139" t="n"/>
      <x:c r="AA251" s="139" t="n"/>
      <x:c r="AB251" s="139" t="n"/>
      <x:c r="AC251" s="139" t="n"/>
      <x:c r="AD251" s="139" t="n"/>
      <x:c r="AE251" s="139" t="n"/>
      <x:c r="AF251" s="139" t="n"/>
      <x:c r="AG251" s="139" t="n"/>
      <x:c r="AH251" s="139" t="n"/>
      <x:c r="AI251" s="139" t="n"/>
      <x:c r="AJ251" s="139" t="n"/>
      <x:c r="AK251" s="139" t="n"/>
      <x:c r="AL251" s="139" t="n"/>
      <x:c r="AM251" s="139" t="n"/>
      <x:c r="AN251" s="139" t="n"/>
      <x:c r="AO251" s="139" t="n"/>
      <x:c r="AP251" s="139" t="n"/>
      <x:c r="AQ251" s="139" t="n"/>
      <x:c r="AR251" s="139" t="n"/>
      <x:c r="AS251" s="139" t="n"/>
      <x:c r="AT251" s="139" t="n"/>
      <x:c r="AU251" s="139" t="n"/>
      <x:c r="AV251" s="139" t="n"/>
      <x:c r="AW251" s="139" t="n"/>
      <x:c r="AX251" s="139" t="n"/>
      <x:c r="AY251" s="139" t="n"/>
      <x:c r="AZ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c r="V252" s="139" t="n"/>
      <x:c r="W252" s="139" t="n"/>
      <x:c r="X252" s="139" t="n"/>
      <x:c r="Y252" s="139" t="n"/>
      <x:c r="Z252" s="139" t="n"/>
      <x:c r="AA252" s="139" t="n"/>
      <x:c r="AB252" s="139" t="n"/>
      <x:c r="AC252" s="139" t="n"/>
      <x:c r="AD252" s="139" t="n"/>
      <x:c r="AE252" s="139" t="n"/>
      <x:c r="AF252" s="139" t="n"/>
      <x:c r="AG252" s="139" t="n"/>
      <x:c r="AH252" s="139" t="n"/>
      <x:c r="AI252" s="139" t="n"/>
      <x:c r="AJ252" s="139" t="n"/>
      <x:c r="AK252" s="139" t="n"/>
      <x:c r="AL252" s="139" t="n"/>
      <x:c r="AM252" s="139" t="n"/>
      <x:c r="AN252" s="139" t="n"/>
      <x:c r="AO252" s="139" t="n"/>
      <x:c r="AP252" s="139" t="n"/>
      <x:c r="AQ252" s="139" t="n"/>
      <x:c r="AR252" s="139" t="n"/>
      <x:c r="AS252" s="139" t="n"/>
      <x:c r="AT252" s="139" t="n"/>
      <x:c r="AU252" s="139" t="n"/>
      <x:c r="AV252" s="139" t="n"/>
      <x:c r="AW252" s="139" t="n"/>
      <x:c r="AX252" s="139" t="n"/>
      <x:c r="AY252" s="139" t="n"/>
      <x:c r="AZ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c r="V253" s="139" t="n"/>
      <x:c r="W253" s="139" t="n"/>
      <x:c r="X253" s="139" t="n"/>
      <x:c r="Y253" s="139" t="n"/>
      <x:c r="Z253" s="139" t="n"/>
      <x:c r="AA253" s="139" t="n"/>
      <x:c r="AB253" s="139" t="n"/>
      <x:c r="AC253" s="139" t="n"/>
      <x:c r="AD253" s="139" t="n"/>
      <x:c r="AE253" s="139" t="n"/>
      <x:c r="AF253" s="139" t="n"/>
      <x:c r="AG253" s="139" t="n"/>
      <x:c r="AH253" s="139" t="n"/>
      <x:c r="AI253" s="139" t="n"/>
      <x:c r="AJ253" s="139" t="n"/>
      <x:c r="AK253" s="139" t="n"/>
      <x:c r="AL253" s="139" t="n"/>
      <x:c r="AM253" s="139" t="n"/>
      <x:c r="AN253" s="139" t="n"/>
      <x:c r="AO253" s="139" t="n"/>
      <x:c r="AP253" s="139" t="n"/>
      <x:c r="AQ253" s="139" t="n"/>
      <x:c r="AR253" s="139" t="n"/>
      <x:c r="AS253" s="139" t="n"/>
      <x:c r="AT253" s="139" t="n"/>
      <x:c r="AU253" s="139" t="n"/>
      <x:c r="AV253" s="139" t="n"/>
      <x:c r="AW253" s="139" t="n"/>
      <x:c r="AX253" s="139" t="n"/>
      <x:c r="AY253" s="139" t="n"/>
      <x:c r="AZ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c r="V254" s="139" t="n"/>
      <x:c r="W254" s="139" t="n"/>
      <x:c r="X254" s="139" t="n"/>
      <x:c r="Y254" s="139" t="n"/>
      <x:c r="Z254" s="139" t="n"/>
      <x:c r="AA254" s="139" t="n"/>
      <x:c r="AB254" s="139" t="n"/>
      <x:c r="AC254" s="139" t="n"/>
      <x:c r="AD254" s="139" t="n"/>
      <x:c r="AE254" s="139" t="n"/>
      <x:c r="AF254" s="139" t="n"/>
      <x:c r="AG254" s="139" t="n"/>
      <x:c r="AH254" s="139" t="n"/>
      <x:c r="AI254" s="139" t="n"/>
      <x:c r="AJ254" s="139" t="n"/>
      <x:c r="AK254" s="139" t="n"/>
      <x:c r="AL254" s="139" t="n"/>
      <x:c r="AM254" s="139" t="n"/>
      <x:c r="AN254" s="139" t="n"/>
      <x:c r="AO254" s="139" t="n"/>
      <x:c r="AP254" s="139" t="n"/>
      <x:c r="AQ254" s="139" t="n"/>
      <x:c r="AR254" s="139" t="n"/>
      <x:c r="AS254" s="139" t="n"/>
      <x:c r="AT254" s="139" t="n"/>
      <x:c r="AU254" s="139" t="n"/>
      <x:c r="AV254" s="139" t="n"/>
      <x:c r="AW254" s="139" t="n"/>
      <x:c r="AX254" s="139" t="n"/>
      <x:c r="AY254" s="139" t="n"/>
      <x:c r="AZ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c r="V255" s="139" t="n"/>
      <x:c r="W255" s="139" t="n"/>
      <x:c r="X255" s="139" t="n"/>
      <x:c r="Y255" s="139" t="n"/>
      <x:c r="Z255" s="139" t="n"/>
      <x:c r="AA255" s="139" t="n"/>
      <x:c r="AB255" s="139" t="n"/>
      <x:c r="AC255" s="139" t="n"/>
      <x:c r="AD255" s="139" t="n"/>
      <x:c r="AE255" s="139" t="n"/>
      <x:c r="AF255" s="139" t="n"/>
      <x:c r="AG255" s="139" t="n"/>
      <x:c r="AH255" s="139" t="n"/>
      <x:c r="AI255" s="139" t="n"/>
      <x:c r="AJ255" s="139" t="n"/>
      <x:c r="AK255" s="139" t="n"/>
      <x:c r="AL255" s="139" t="n"/>
      <x:c r="AM255" s="139" t="n"/>
      <x:c r="AN255" s="139" t="n"/>
      <x:c r="AO255" s="139" t="n"/>
      <x:c r="AP255" s="139" t="n"/>
      <x:c r="AQ255" s="139" t="n"/>
      <x:c r="AR255" s="139" t="n"/>
      <x:c r="AS255" s="139" t="n"/>
      <x:c r="AT255" s="139" t="n"/>
      <x:c r="AU255" s="139" t="n"/>
      <x:c r="AV255" s="139" t="n"/>
      <x:c r="AW255" s="139" t="n"/>
      <x:c r="AX255" s="139" t="n"/>
      <x:c r="AY255" s="139" t="n"/>
      <x:c r="AZ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c r="V256" s="139" t="n"/>
      <x:c r="W256" s="139" t="n"/>
      <x:c r="X256" s="139" t="n"/>
      <x:c r="Y256" s="139" t="n"/>
      <x:c r="Z256" s="139" t="n"/>
      <x:c r="AA256" s="139" t="n"/>
      <x:c r="AB256" s="139" t="n"/>
      <x:c r="AC256" s="139" t="n"/>
      <x:c r="AD256" s="139" t="n"/>
      <x:c r="AE256" s="139" t="n"/>
      <x:c r="AF256" s="139" t="n"/>
      <x:c r="AG256" s="139" t="n"/>
      <x:c r="AH256" s="139" t="n"/>
      <x:c r="AI256" s="139" t="n"/>
      <x:c r="AJ256" s="139" t="n"/>
      <x:c r="AK256" s="139" t="n"/>
      <x:c r="AL256" s="139" t="n"/>
      <x:c r="AM256" s="139" t="n"/>
      <x:c r="AN256" s="139" t="n"/>
      <x:c r="AO256" s="139" t="n"/>
      <x:c r="AP256" s="139" t="n"/>
      <x:c r="AQ256" s="139" t="n"/>
      <x:c r="AR256" s="139" t="n"/>
      <x:c r="AS256" s="139" t="n"/>
      <x:c r="AT256" s="139" t="n"/>
      <x:c r="AU256" s="139" t="n"/>
      <x:c r="AV256" s="139" t="n"/>
      <x:c r="AW256" s="139" t="n"/>
      <x:c r="AX256" s="139" t="n"/>
      <x:c r="AY256" s="139" t="n"/>
      <x:c r="AZ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c r="V257" s="139" t="n"/>
      <x:c r="W257" s="139" t="n"/>
      <x:c r="X257" s="139" t="n"/>
      <x:c r="Y257" s="139" t="n"/>
      <x:c r="Z257" s="139" t="n"/>
      <x:c r="AA257" s="139" t="n"/>
      <x:c r="AB257" s="139" t="n"/>
      <x:c r="AC257" s="139" t="n"/>
      <x:c r="AD257" s="139" t="n"/>
      <x:c r="AE257" s="139" t="n"/>
      <x:c r="AF257" s="139" t="n"/>
      <x:c r="AG257" s="139" t="n"/>
      <x:c r="AH257" s="139" t="n"/>
      <x:c r="AI257" s="139" t="n"/>
      <x:c r="AJ257" s="139" t="n"/>
      <x:c r="AK257" s="139" t="n"/>
      <x:c r="AL257" s="139" t="n"/>
      <x:c r="AM257" s="139" t="n"/>
      <x:c r="AN257" s="139" t="n"/>
      <x:c r="AO257" s="139" t="n"/>
      <x:c r="AP257" s="139" t="n"/>
      <x:c r="AQ257" s="139" t="n"/>
      <x:c r="AR257" s="139" t="n"/>
      <x:c r="AS257" s="139" t="n"/>
      <x:c r="AT257" s="139" t="n"/>
      <x:c r="AU257" s="139" t="n"/>
      <x:c r="AV257" s="139" t="n"/>
      <x:c r="AW257" s="139" t="n"/>
      <x:c r="AX257" s="139" t="n"/>
      <x:c r="AY257" s="139" t="n"/>
      <x:c r="AZ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c r="V258" s="139" t="n"/>
      <x:c r="W258" s="139" t="n"/>
      <x:c r="X258" s="139" t="n"/>
      <x:c r="Y258" s="139" t="n"/>
      <x:c r="Z258" s="139" t="n"/>
      <x:c r="AA258" s="139" t="n"/>
      <x:c r="AB258" s="139" t="n"/>
      <x:c r="AC258" s="139" t="n"/>
      <x:c r="AD258" s="139" t="n"/>
      <x:c r="AE258" s="139" t="n"/>
      <x:c r="AF258" s="139" t="n"/>
      <x:c r="AG258" s="139" t="n"/>
      <x:c r="AH258" s="139" t="n"/>
      <x:c r="AI258" s="139" t="n"/>
      <x:c r="AJ258" s="139" t="n"/>
      <x:c r="AK258" s="139" t="n"/>
      <x:c r="AL258" s="139" t="n"/>
      <x:c r="AM258" s="139" t="n"/>
      <x:c r="AN258" s="139" t="n"/>
      <x:c r="AO258" s="139" t="n"/>
      <x:c r="AP258" s="139" t="n"/>
      <x:c r="AQ258" s="139" t="n"/>
      <x:c r="AR258" s="139" t="n"/>
      <x:c r="AS258" s="139" t="n"/>
      <x:c r="AT258" s="139" t="n"/>
      <x:c r="AU258" s="139" t="n"/>
      <x:c r="AV258" s="139" t="n"/>
      <x:c r="AW258" s="139" t="n"/>
      <x:c r="AX258" s="139" t="n"/>
      <x:c r="AY258" s="139" t="n"/>
      <x:c r="AZ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c r="V259" s="139" t="n"/>
      <x:c r="W259" s="139" t="n"/>
      <x:c r="X259" s="139" t="n"/>
      <x:c r="Y259" s="139" t="n"/>
      <x:c r="Z259" s="139" t="n"/>
      <x:c r="AA259" s="139" t="n"/>
      <x:c r="AB259" s="139" t="n"/>
      <x:c r="AC259" s="139" t="n"/>
      <x:c r="AD259" s="139" t="n"/>
      <x:c r="AE259" s="139" t="n"/>
      <x:c r="AF259" s="139" t="n"/>
      <x:c r="AG259" s="139" t="n"/>
      <x:c r="AH259" s="139" t="n"/>
      <x:c r="AI259" s="139" t="n"/>
      <x:c r="AJ259" s="139" t="n"/>
      <x:c r="AK259" s="139" t="n"/>
      <x:c r="AL259" s="139" t="n"/>
      <x:c r="AM259" s="139" t="n"/>
      <x:c r="AN259" s="139" t="n"/>
      <x:c r="AO259" s="139" t="n"/>
      <x:c r="AP259" s="139" t="n"/>
      <x:c r="AQ259" s="139" t="n"/>
      <x:c r="AR259" s="139" t="n"/>
      <x:c r="AS259" s="139" t="n"/>
      <x:c r="AT259" s="139" t="n"/>
      <x:c r="AU259" s="139" t="n"/>
      <x:c r="AV259" s="139" t="n"/>
      <x:c r="AW259" s="139" t="n"/>
      <x:c r="AX259" s="139" t="n"/>
      <x:c r="AY259" s="139" t="n"/>
      <x:c r="AZ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c r="V260" s="139" t="n"/>
      <x:c r="W260" s="139" t="n"/>
      <x:c r="X260" s="139" t="n"/>
      <x:c r="Y260" s="139" t="n"/>
      <x:c r="Z260" s="139" t="n"/>
      <x:c r="AA260" s="139" t="n"/>
      <x:c r="AB260" s="139" t="n"/>
      <x:c r="AC260" s="139" t="n"/>
      <x:c r="AD260" s="139" t="n"/>
      <x:c r="AE260" s="139" t="n"/>
      <x:c r="AF260" s="139" t="n"/>
      <x:c r="AG260" s="139" t="n"/>
      <x:c r="AH260" s="139" t="n"/>
      <x:c r="AI260" s="139" t="n"/>
      <x:c r="AJ260" s="139" t="n"/>
      <x:c r="AK260" s="139" t="n"/>
      <x:c r="AL260" s="139" t="n"/>
      <x:c r="AM260" s="139" t="n"/>
      <x:c r="AN260" s="139" t="n"/>
      <x:c r="AO260" s="139" t="n"/>
      <x:c r="AP260" s="139" t="n"/>
      <x:c r="AQ260" s="139" t="n"/>
      <x:c r="AR260" s="139" t="n"/>
      <x:c r="AS260" s="139" t="n"/>
      <x:c r="AT260" s="139" t="n"/>
      <x:c r="AU260" s="139" t="n"/>
      <x:c r="AV260" s="139" t="n"/>
      <x:c r="AW260" s="139" t="n"/>
      <x:c r="AX260" s="139" t="n"/>
      <x:c r="AY260" s="139" t="n"/>
      <x:c r="AZ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c r="V261" s="139" t="n"/>
      <x:c r="W261" s="139" t="n"/>
      <x:c r="X261" s="139" t="n"/>
      <x:c r="Y261" s="139" t="n"/>
      <x:c r="Z261" s="139" t="n"/>
      <x:c r="AA261" s="139" t="n"/>
      <x:c r="AB261" s="139" t="n"/>
      <x:c r="AC261" s="139" t="n"/>
      <x:c r="AD261" s="139" t="n"/>
      <x:c r="AE261" s="139" t="n"/>
      <x:c r="AF261" s="139" t="n"/>
      <x:c r="AG261" s="139" t="n"/>
      <x:c r="AH261" s="139" t="n"/>
      <x:c r="AI261" s="139" t="n"/>
      <x:c r="AJ261" s="139" t="n"/>
      <x:c r="AK261" s="139" t="n"/>
      <x:c r="AL261" s="139" t="n"/>
      <x:c r="AM261" s="139" t="n"/>
      <x:c r="AN261" s="139" t="n"/>
      <x:c r="AO261" s="139" t="n"/>
      <x:c r="AP261" s="139" t="n"/>
      <x:c r="AQ261" s="139" t="n"/>
      <x:c r="AR261" s="139" t="n"/>
      <x:c r="AS261" s="139" t="n"/>
      <x:c r="AT261" s="139" t="n"/>
      <x:c r="AU261" s="139" t="n"/>
      <x:c r="AV261" s="139" t="n"/>
      <x:c r="AW261" s="139" t="n"/>
      <x:c r="AX261" s="139" t="n"/>
      <x:c r="AY261" s="139" t="n"/>
      <x:c r="AZ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c r="V262" s="139" t="n"/>
      <x:c r="W262" s="139" t="n"/>
      <x:c r="X262" s="139" t="n"/>
      <x:c r="Y262" s="139" t="n"/>
      <x:c r="Z262" s="139" t="n"/>
      <x:c r="AA262" s="139" t="n"/>
      <x:c r="AB262" s="139" t="n"/>
      <x:c r="AC262" s="139" t="n"/>
      <x:c r="AD262" s="139" t="n"/>
      <x:c r="AE262" s="139" t="n"/>
      <x:c r="AF262" s="139" t="n"/>
      <x:c r="AG262" s="139" t="n"/>
      <x:c r="AH262" s="139" t="n"/>
      <x:c r="AI262" s="139" t="n"/>
      <x:c r="AJ262" s="139" t="n"/>
      <x:c r="AK262" s="139" t="n"/>
      <x:c r="AL262" s="139" t="n"/>
      <x:c r="AM262" s="139" t="n"/>
      <x:c r="AN262" s="139" t="n"/>
      <x:c r="AO262" s="139" t="n"/>
      <x:c r="AP262" s="139" t="n"/>
      <x:c r="AQ262" s="139" t="n"/>
      <x:c r="AR262" s="139" t="n"/>
      <x:c r="AS262" s="139" t="n"/>
      <x:c r="AT262" s="139" t="n"/>
      <x:c r="AU262" s="139" t="n"/>
      <x:c r="AV262" s="139" t="n"/>
      <x:c r="AW262" s="139" t="n"/>
      <x:c r="AX262" s="139" t="n"/>
      <x:c r="AY262" s="139" t="n"/>
      <x:c r="AZ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c r="V263" s="139" t="n"/>
      <x:c r="W263" s="139" t="n"/>
      <x:c r="X263" s="139" t="n"/>
      <x:c r="Y263" s="139" t="n"/>
      <x:c r="Z263" s="139" t="n"/>
      <x:c r="AA263" s="139" t="n"/>
      <x:c r="AB263" s="139" t="n"/>
      <x:c r="AC263" s="139" t="n"/>
      <x:c r="AD263" s="139" t="n"/>
      <x:c r="AE263" s="139" t="n"/>
      <x:c r="AF263" s="139" t="n"/>
      <x:c r="AG263" s="139" t="n"/>
      <x:c r="AH263" s="139" t="n"/>
      <x:c r="AI263" s="139" t="n"/>
      <x:c r="AJ263" s="139" t="n"/>
      <x:c r="AK263" s="139" t="n"/>
      <x:c r="AL263" s="139" t="n"/>
      <x:c r="AM263" s="139" t="n"/>
      <x:c r="AN263" s="139" t="n"/>
      <x:c r="AO263" s="139" t="n"/>
      <x:c r="AP263" s="139" t="n"/>
      <x:c r="AQ263" s="139" t="n"/>
      <x:c r="AR263" s="139" t="n"/>
      <x:c r="AS263" s="139" t="n"/>
      <x:c r="AT263" s="139" t="n"/>
      <x:c r="AU263" s="139" t="n"/>
      <x:c r="AV263" s="139" t="n"/>
      <x:c r="AW263" s="139" t="n"/>
      <x:c r="AX263" s="139" t="n"/>
      <x:c r="AY263" s="139" t="n"/>
      <x:c r="AZ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c r="V264" s="139" t="n"/>
      <x:c r="W264" s="139" t="n"/>
      <x:c r="X264" s="139" t="n"/>
      <x:c r="Y264" s="139" t="n"/>
      <x:c r="Z264" s="139" t="n"/>
      <x:c r="AA264" s="139" t="n"/>
      <x:c r="AB264" s="139" t="n"/>
      <x:c r="AC264" s="139" t="n"/>
      <x:c r="AD264" s="139" t="n"/>
      <x:c r="AE264" s="139" t="n"/>
      <x:c r="AF264" s="139" t="n"/>
      <x:c r="AG264" s="139" t="n"/>
      <x:c r="AH264" s="139" t="n"/>
      <x:c r="AI264" s="139" t="n"/>
      <x:c r="AJ264" s="139" t="n"/>
      <x:c r="AK264" s="139" t="n"/>
      <x:c r="AL264" s="139" t="n"/>
      <x:c r="AM264" s="139" t="n"/>
      <x:c r="AN264" s="139" t="n"/>
      <x:c r="AO264" s="139" t="n"/>
      <x:c r="AP264" s="139" t="n"/>
      <x:c r="AQ264" s="139" t="n"/>
      <x:c r="AR264" s="139" t="n"/>
      <x:c r="AS264" s="139" t="n"/>
      <x:c r="AT264" s="139" t="n"/>
      <x:c r="AU264" s="139" t="n"/>
      <x:c r="AV264" s="139" t="n"/>
      <x:c r="AW264" s="139" t="n"/>
      <x:c r="AX264" s="139" t="n"/>
      <x:c r="AY264" s="139" t="n"/>
      <x:c r="AZ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c r="V265" s="139" t="n"/>
      <x:c r="W265" s="139" t="n"/>
      <x:c r="X265" s="139" t="n"/>
      <x:c r="Y265" s="139" t="n"/>
      <x:c r="Z265" s="139" t="n"/>
      <x:c r="AA265" s="139" t="n"/>
      <x:c r="AB265" s="139" t="n"/>
      <x:c r="AC265" s="139" t="n"/>
      <x:c r="AD265" s="139" t="n"/>
      <x:c r="AE265" s="139" t="n"/>
      <x:c r="AF265" s="139" t="n"/>
      <x:c r="AG265" s="139" t="n"/>
      <x:c r="AH265" s="139" t="n"/>
      <x:c r="AI265" s="139" t="n"/>
      <x:c r="AJ265" s="139" t="n"/>
      <x:c r="AK265" s="139" t="n"/>
      <x:c r="AL265" s="139" t="n"/>
      <x:c r="AM265" s="139" t="n"/>
      <x:c r="AN265" s="139" t="n"/>
      <x:c r="AO265" s="139" t="n"/>
      <x:c r="AP265" s="139" t="n"/>
      <x:c r="AQ265" s="139" t="n"/>
      <x:c r="AR265" s="139" t="n"/>
      <x:c r="AS265" s="139" t="n"/>
      <x:c r="AT265" s="139" t="n"/>
      <x:c r="AU265" s="139" t="n"/>
      <x:c r="AV265" s="139" t="n"/>
      <x:c r="AW265" s="139" t="n"/>
      <x:c r="AX265" s="139" t="n"/>
      <x:c r="AY265" s="139" t="n"/>
      <x:c r="AZ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c r="V266" s="139" t="n"/>
      <x:c r="W266" s="139" t="n"/>
      <x:c r="X266" s="139" t="n"/>
      <x:c r="Y266" s="139" t="n"/>
      <x:c r="Z266" s="139" t="n"/>
      <x:c r="AA266" s="139" t="n"/>
      <x:c r="AB266" s="139" t="n"/>
      <x:c r="AC266" s="139" t="n"/>
      <x:c r="AD266" s="139" t="n"/>
      <x:c r="AE266" s="139" t="n"/>
      <x:c r="AF266" s="139" t="n"/>
      <x:c r="AG266" s="139" t="n"/>
      <x:c r="AH266" s="139" t="n"/>
      <x:c r="AI266" s="139" t="n"/>
      <x:c r="AJ266" s="139" t="n"/>
      <x:c r="AK266" s="139" t="n"/>
      <x:c r="AL266" s="139" t="n"/>
      <x:c r="AM266" s="139" t="n"/>
      <x:c r="AN266" s="139" t="n"/>
      <x:c r="AO266" s="139" t="n"/>
      <x:c r="AP266" s="139" t="n"/>
      <x:c r="AQ266" s="139" t="n"/>
      <x:c r="AR266" s="139" t="n"/>
      <x:c r="AS266" s="139" t="n"/>
      <x:c r="AT266" s="139" t="n"/>
      <x:c r="AU266" s="139" t="n"/>
      <x:c r="AV266" s="139" t="n"/>
      <x:c r="AW266" s="139" t="n"/>
      <x:c r="AX266" s="139" t="n"/>
      <x:c r="AY266" s="139" t="n"/>
      <x:c r="AZ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c r="V267" s="139" t="n"/>
      <x:c r="W267" s="139" t="n"/>
      <x:c r="X267" s="139" t="n"/>
      <x:c r="Y267" s="139" t="n"/>
      <x:c r="Z267" s="139" t="n"/>
      <x:c r="AA267" s="139" t="n"/>
      <x:c r="AB267" s="139" t="n"/>
      <x:c r="AC267" s="139" t="n"/>
      <x:c r="AD267" s="139" t="n"/>
      <x:c r="AE267" s="139" t="n"/>
      <x:c r="AF267" s="139" t="n"/>
      <x:c r="AG267" s="139" t="n"/>
      <x:c r="AH267" s="139" t="n"/>
      <x:c r="AI267" s="139" t="n"/>
      <x:c r="AJ267" s="139" t="n"/>
      <x:c r="AK267" s="139" t="n"/>
      <x:c r="AL267" s="139" t="n"/>
      <x:c r="AM267" s="139" t="n"/>
      <x:c r="AN267" s="139" t="n"/>
      <x:c r="AO267" s="139" t="n"/>
      <x:c r="AP267" s="139" t="n"/>
      <x:c r="AQ267" s="139" t="n"/>
      <x:c r="AR267" s="139" t="n"/>
      <x:c r="AS267" s="139" t="n"/>
      <x:c r="AT267" s="139" t="n"/>
      <x:c r="AU267" s="139" t="n"/>
      <x:c r="AV267" s="139" t="n"/>
      <x:c r="AW267" s="139" t="n"/>
      <x:c r="AX267" s="139" t="n"/>
      <x:c r="AY267" s="139" t="n"/>
      <x:c r="AZ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c r="V268" s="139" t="n"/>
      <x:c r="W268" s="139" t="n"/>
      <x:c r="X268" s="139" t="n"/>
      <x:c r="Y268" s="139" t="n"/>
      <x:c r="Z268" s="139" t="n"/>
      <x:c r="AA268" s="139" t="n"/>
      <x:c r="AB268" s="139" t="n"/>
      <x:c r="AC268" s="139" t="n"/>
      <x:c r="AD268" s="139" t="n"/>
      <x:c r="AE268" s="139" t="n"/>
      <x:c r="AF268" s="139" t="n"/>
      <x:c r="AG268" s="139" t="n"/>
      <x:c r="AH268" s="139" t="n"/>
      <x:c r="AI268" s="139" t="n"/>
      <x:c r="AJ268" s="139" t="n"/>
      <x:c r="AK268" s="139" t="n"/>
      <x:c r="AL268" s="139" t="n"/>
      <x:c r="AM268" s="139" t="n"/>
      <x:c r="AN268" s="139" t="n"/>
      <x:c r="AO268" s="139" t="n"/>
      <x:c r="AP268" s="139" t="n"/>
      <x:c r="AQ268" s="139" t="n"/>
      <x:c r="AR268" s="139" t="n"/>
      <x:c r="AS268" s="139" t="n"/>
      <x:c r="AT268" s="139" t="n"/>
      <x:c r="AU268" s="139" t="n"/>
      <x:c r="AV268" s="139" t="n"/>
      <x:c r="AW268" s="139" t="n"/>
      <x:c r="AX268" s="139" t="n"/>
      <x:c r="AY268" s="139" t="n"/>
      <x:c r="AZ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c r="V269" s="139" t="n"/>
      <x:c r="W269" s="139" t="n"/>
      <x:c r="X269" s="139" t="n"/>
      <x:c r="Y269" s="139" t="n"/>
      <x:c r="Z269" s="139" t="n"/>
      <x:c r="AA269" s="139" t="n"/>
      <x:c r="AB269" s="139" t="n"/>
      <x:c r="AC269" s="139" t="n"/>
      <x:c r="AD269" s="139" t="n"/>
      <x:c r="AE269" s="139" t="n"/>
      <x:c r="AF269" s="139" t="n"/>
      <x:c r="AG269" s="139" t="n"/>
      <x:c r="AH269" s="139" t="n"/>
      <x:c r="AI269" s="139" t="n"/>
      <x:c r="AJ269" s="139" t="n"/>
      <x:c r="AK269" s="139" t="n"/>
      <x:c r="AL269" s="139" t="n"/>
      <x:c r="AM269" s="139" t="n"/>
      <x:c r="AN269" s="139" t="n"/>
      <x:c r="AO269" s="139" t="n"/>
      <x:c r="AP269" s="139" t="n"/>
      <x:c r="AQ269" s="139" t="n"/>
      <x:c r="AR269" s="139" t="n"/>
      <x:c r="AS269" s="139" t="n"/>
      <x:c r="AT269" s="139" t="n"/>
      <x:c r="AU269" s="139" t="n"/>
      <x:c r="AV269" s="139" t="n"/>
      <x:c r="AW269" s="139" t="n"/>
      <x:c r="AX269" s="139" t="n"/>
      <x:c r="AY269" s="139" t="n"/>
      <x:c r="AZ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c r="V270" s="139" t="n"/>
      <x:c r="W270" s="139" t="n"/>
      <x:c r="X270" s="139" t="n"/>
      <x:c r="Y270" s="139" t="n"/>
      <x:c r="Z270" s="139" t="n"/>
      <x:c r="AA270" s="139" t="n"/>
      <x:c r="AB270" s="139" t="n"/>
      <x:c r="AC270" s="139" t="n"/>
      <x:c r="AD270" s="139" t="n"/>
      <x:c r="AE270" s="139" t="n"/>
      <x:c r="AF270" s="139" t="n"/>
      <x:c r="AG270" s="139" t="n"/>
      <x:c r="AH270" s="139" t="n"/>
      <x:c r="AI270" s="139" t="n"/>
      <x:c r="AJ270" s="139" t="n"/>
      <x:c r="AK270" s="139" t="n"/>
      <x:c r="AL270" s="139" t="n"/>
      <x:c r="AM270" s="139" t="n"/>
      <x:c r="AN270" s="139" t="n"/>
      <x:c r="AO270" s="139" t="n"/>
      <x:c r="AP270" s="139" t="n"/>
      <x:c r="AQ270" s="139" t="n"/>
      <x:c r="AR270" s="139" t="n"/>
      <x:c r="AS270" s="139" t="n"/>
      <x:c r="AT270" s="139" t="n"/>
      <x:c r="AU270" s="139" t="n"/>
      <x:c r="AV270" s="139" t="n"/>
      <x:c r="AW270" s="139" t="n"/>
      <x:c r="AX270" s="139" t="n"/>
      <x:c r="AY270" s="139" t="n"/>
      <x:c r="AZ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c r="V271" s="139" t="n"/>
      <x:c r="W271" s="139" t="n"/>
      <x:c r="X271" s="139" t="n"/>
      <x:c r="Y271" s="139" t="n"/>
      <x:c r="Z271" s="139" t="n"/>
      <x:c r="AA271" s="139" t="n"/>
      <x:c r="AB271" s="139" t="n"/>
      <x:c r="AC271" s="139" t="n"/>
      <x:c r="AD271" s="139" t="n"/>
      <x:c r="AE271" s="139" t="n"/>
      <x:c r="AF271" s="139" t="n"/>
      <x:c r="AG271" s="139" t="n"/>
      <x:c r="AH271" s="139" t="n"/>
      <x:c r="AI271" s="139" t="n"/>
      <x:c r="AJ271" s="139" t="n"/>
      <x:c r="AK271" s="139" t="n"/>
      <x:c r="AL271" s="139" t="n"/>
      <x:c r="AM271" s="139" t="n"/>
      <x:c r="AN271" s="139" t="n"/>
      <x:c r="AO271" s="139" t="n"/>
      <x:c r="AP271" s="139" t="n"/>
      <x:c r="AQ271" s="139" t="n"/>
      <x:c r="AR271" s="139" t="n"/>
      <x:c r="AS271" s="139" t="n"/>
      <x:c r="AT271" s="139" t="n"/>
      <x:c r="AU271" s="139" t="n"/>
      <x:c r="AV271" s="139" t="n"/>
      <x:c r="AW271" s="139" t="n"/>
      <x:c r="AX271" s="139" t="n"/>
      <x:c r="AY271" s="139" t="n"/>
      <x:c r="AZ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c r="V272" s="139" t="n"/>
      <x:c r="W272" s="139" t="n"/>
      <x:c r="X272" s="139" t="n"/>
      <x:c r="Y272" s="139" t="n"/>
      <x:c r="Z272" s="139" t="n"/>
      <x:c r="AA272" s="139" t="n"/>
      <x:c r="AB272" s="139" t="n"/>
      <x:c r="AC272" s="139" t="n"/>
      <x:c r="AD272" s="139" t="n"/>
      <x:c r="AE272" s="139" t="n"/>
      <x:c r="AF272" s="139" t="n"/>
      <x:c r="AG272" s="139" t="n"/>
      <x:c r="AH272" s="139" t="n"/>
      <x:c r="AI272" s="139" t="n"/>
      <x:c r="AJ272" s="139" t="n"/>
      <x:c r="AK272" s="139" t="n"/>
      <x:c r="AL272" s="139" t="n"/>
      <x:c r="AM272" s="139" t="n"/>
      <x:c r="AN272" s="139" t="n"/>
      <x:c r="AO272" s="139" t="n"/>
      <x:c r="AP272" s="139" t="n"/>
      <x:c r="AQ272" s="139" t="n"/>
      <x:c r="AR272" s="139" t="n"/>
      <x:c r="AS272" s="139" t="n"/>
      <x:c r="AT272" s="139" t="n"/>
      <x:c r="AU272" s="139" t="n"/>
      <x:c r="AV272" s="139" t="n"/>
      <x:c r="AW272" s="139" t="n"/>
      <x:c r="AX272" s="139" t="n"/>
      <x:c r="AY272" s="139" t="n"/>
      <x:c r="AZ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c r="V273" s="139" t="n"/>
      <x:c r="W273" s="139" t="n"/>
      <x:c r="X273" s="139" t="n"/>
      <x:c r="Y273" s="139" t="n"/>
      <x:c r="Z273" s="139" t="n"/>
      <x:c r="AA273" s="139" t="n"/>
      <x:c r="AB273" s="139" t="n"/>
      <x:c r="AC273" s="139" t="n"/>
      <x:c r="AD273" s="139" t="n"/>
      <x:c r="AE273" s="139" t="n"/>
      <x:c r="AF273" s="139" t="n"/>
      <x:c r="AG273" s="139" t="n"/>
      <x:c r="AH273" s="139" t="n"/>
      <x:c r="AI273" s="139" t="n"/>
      <x:c r="AJ273" s="139" t="n"/>
      <x:c r="AK273" s="139" t="n"/>
      <x:c r="AL273" s="139" t="n"/>
      <x:c r="AM273" s="139" t="n"/>
      <x:c r="AN273" s="139" t="n"/>
      <x:c r="AO273" s="139" t="n"/>
      <x:c r="AP273" s="139" t="n"/>
      <x:c r="AQ273" s="139" t="n"/>
      <x:c r="AR273" s="139" t="n"/>
      <x:c r="AS273" s="139" t="n"/>
      <x:c r="AT273" s="139" t="n"/>
      <x:c r="AU273" s="139" t="n"/>
      <x:c r="AV273" s="139" t="n"/>
      <x:c r="AW273" s="139" t="n"/>
      <x:c r="AX273" s="139" t="n"/>
      <x:c r="AY273" s="139" t="n"/>
      <x:c r="AZ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c r="V274" s="139" t="n"/>
      <x:c r="W274" s="139" t="n"/>
      <x:c r="X274" s="139" t="n"/>
      <x:c r="Y274" s="139" t="n"/>
      <x:c r="Z274" s="139" t="n"/>
      <x:c r="AA274" s="139" t="n"/>
      <x:c r="AB274" s="139" t="n"/>
      <x:c r="AC274" s="139" t="n"/>
      <x:c r="AD274" s="139" t="n"/>
      <x:c r="AE274" s="139" t="n"/>
      <x:c r="AF274" s="139" t="n"/>
      <x:c r="AG274" s="139" t="n"/>
      <x:c r="AH274" s="139" t="n"/>
      <x:c r="AI274" s="139" t="n"/>
      <x:c r="AJ274" s="139" t="n"/>
      <x:c r="AK274" s="139" t="n"/>
      <x:c r="AL274" s="139" t="n"/>
      <x:c r="AM274" s="139" t="n"/>
      <x:c r="AN274" s="139" t="n"/>
      <x:c r="AO274" s="139" t="n"/>
      <x:c r="AP274" s="139" t="n"/>
      <x:c r="AQ274" s="139" t="n"/>
      <x:c r="AR274" s="139" t="n"/>
      <x:c r="AS274" s="139" t="n"/>
      <x:c r="AT274" s="139" t="n"/>
      <x:c r="AU274" s="139" t="n"/>
      <x:c r="AV274" s="139" t="n"/>
      <x:c r="AW274" s="139" t="n"/>
      <x:c r="AX274" s="139" t="n"/>
      <x:c r="AY274" s="139" t="n"/>
      <x:c r="AZ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c r="V275" s="139" t="n"/>
      <x:c r="W275" s="139" t="n"/>
      <x:c r="X275" s="139" t="n"/>
      <x:c r="Y275" s="139" t="n"/>
      <x:c r="Z275" s="139" t="n"/>
      <x:c r="AA275" s="139" t="n"/>
      <x:c r="AB275" s="139" t="n"/>
      <x:c r="AC275" s="139" t="n"/>
      <x:c r="AD275" s="139" t="n"/>
      <x:c r="AE275" s="139" t="n"/>
      <x:c r="AF275" s="139" t="n"/>
      <x:c r="AG275" s="139" t="n"/>
      <x:c r="AH275" s="139" t="n"/>
      <x:c r="AI275" s="139" t="n"/>
      <x:c r="AJ275" s="139" t="n"/>
      <x:c r="AK275" s="139" t="n"/>
      <x:c r="AL275" s="139" t="n"/>
      <x:c r="AM275" s="139" t="n"/>
      <x:c r="AN275" s="139" t="n"/>
      <x:c r="AO275" s="139" t="n"/>
      <x:c r="AP275" s="139" t="n"/>
      <x:c r="AQ275" s="139" t="n"/>
      <x:c r="AR275" s="139" t="n"/>
      <x:c r="AS275" s="139" t="n"/>
      <x:c r="AT275" s="139" t="n"/>
      <x:c r="AU275" s="139" t="n"/>
      <x:c r="AV275" s="139" t="n"/>
      <x:c r="AW275" s="139" t="n"/>
      <x:c r="AX275" s="139" t="n"/>
      <x:c r="AY275" s="139" t="n"/>
      <x:c r="AZ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c r="V276" s="139" t="n"/>
      <x:c r="W276" s="139" t="n"/>
      <x:c r="X276" s="139" t="n"/>
      <x:c r="Y276" s="139" t="n"/>
      <x:c r="Z276" s="139" t="n"/>
      <x:c r="AA276" s="139" t="n"/>
      <x:c r="AB276" s="139" t="n"/>
      <x:c r="AC276" s="139" t="n"/>
      <x:c r="AD276" s="139" t="n"/>
      <x:c r="AE276" s="139" t="n"/>
      <x:c r="AF276" s="139" t="n"/>
      <x:c r="AG276" s="139" t="n"/>
      <x:c r="AH276" s="139" t="n"/>
      <x:c r="AI276" s="139" t="n"/>
      <x:c r="AJ276" s="139" t="n"/>
      <x:c r="AK276" s="139" t="n"/>
      <x:c r="AL276" s="139" t="n"/>
      <x:c r="AM276" s="139" t="n"/>
      <x:c r="AN276" s="139" t="n"/>
      <x:c r="AO276" s="139" t="n"/>
      <x:c r="AP276" s="139" t="n"/>
      <x:c r="AQ276" s="139" t="n"/>
      <x:c r="AR276" s="139" t="n"/>
      <x:c r="AS276" s="139" t="n"/>
      <x:c r="AT276" s="139" t="n"/>
      <x:c r="AU276" s="139" t="n"/>
      <x:c r="AV276" s="139" t="n"/>
      <x:c r="AW276" s="139" t="n"/>
      <x:c r="AX276" s="139" t="n"/>
      <x:c r="AY276" s="139" t="n"/>
      <x:c r="AZ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c r="V277" s="139" t="n"/>
      <x:c r="W277" s="139" t="n"/>
      <x:c r="X277" s="139" t="n"/>
      <x:c r="Y277" s="139" t="n"/>
      <x:c r="Z277" s="139" t="n"/>
      <x:c r="AA277" s="139" t="n"/>
      <x:c r="AB277" s="139" t="n"/>
      <x:c r="AC277" s="139" t="n"/>
      <x:c r="AD277" s="139" t="n"/>
      <x:c r="AE277" s="139" t="n"/>
      <x:c r="AF277" s="139" t="n"/>
      <x:c r="AG277" s="139" t="n"/>
      <x:c r="AH277" s="139" t="n"/>
      <x:c r="AI277" s="139" t="n"/>
      <x:c r="AJ277" s="139" t="n"/>
      <x:c r="AK277" s="139" t="n"/>
      <x:c r="AL277" s="139" t="n"/>
      <x:c r="AM277" s="139" t="n"/>
      <x:c r="AN277" s="139" t="n"/>
      <x:c r="AO277" s="139" t="n"/>
      <x:c r="AP277" s="139" t="n"/>
      <x:c r="AQ277" s="139" t="n"/>
      <x:c r="AR277" s="139" t="n"/>
      <x:c r="AS277" s="139" t="n"/>
      <x:c r="AT277" s="139" t="n"/>
      <x:c r="AU277" s="139" t="n"/>
      <x:c r="AV277" s="139" t="n"/>
      <x:c r="AW277" s="139" t="n"/>
      <x:c r="AX277" s="139" t="n"/>
      <x:c r="AY277" s="139" t="n"/>
      <x:c r="AZ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c r="V278" s="139" t="n"/>
      <x:c r="W278" s="139" t="n"/>
      <x:c r="X278" s="139" t="n"/>
      <x:c r="Y278" s="139" t="n"/>
      <x:c r="Z278" s="139" t="n"/>
      <x:c r="AA278" s="139" t="n"/>
      <x:c r="AB278" s="139" t="n"/>
      <x:c r="AC278" s="139" t="n"/>
      <x:c r="AD278" s="139" t="n"/>
      <x:c r="AE278" s="139" t="n"/>
      <x:c r="AF278" s="139" t="n"/>
      <x:c r="AG278" s="139" t="n"/>
      <x:c r="AH278" s="139" t="n"/>
      <x:c r="AI278" s="139" t="n"/>
      <x:c r="AJ278" s="139" t="n"/>
      <x:c r="AK278" s="139" t="n"/>
      <x:c r="AL278" s="139" t="n"/>
      <x:c r="AM278" s="139" t="n"/>
      <x:c r="AN278" s="139" t="n"/>
      <x:c r="AO278" s="139" t="n"/>
      <x:c r="AP278" s="139" t="n"/>
      <x:c r="AQ278" s="139" t="n"/>
      <x:c r="AR278" s="139" t="n"/>
      <x:c r="AS278" s="139" t="n"/>
      <x:c r="AT278" s="139" t="n"/>
      <x:c r="AU278" s="139" t="n"/>
      <x:c r="AV278" s="139" t="n"/>
      <x:c r="AW278" s="139" t="n"/>
      <x:c r="AX278" s="139" t="n"/>
      <x:c r="AY278" s="139" t="n"/>
      <x:c r="AZ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c r="V279" s="139" t="n"/>
      <x:c r="W279" s="139" t="n"/>
      <x:c r="X279" s="139" t="n"/>
      <x:c r="Y279" s="139" t="n"/>
      <x:c r="Z279" s="139" t="n"/>
      <x:c r="AA279" s="139" t="n"/>
      <x:c r="AB279" s="139" t="n"/>
      <x:c r="AC279" s="139" t="n"/>
      <x:c r="AD279" s="139" t="n"/>
      <x:c r="AE279" s="139" t="n"/>
      <x:c r="AF279" s="139" t="n"/>
      <x:c r="AG279" s="139" t="n"/>
      <x:c r="AH279" s="139" t="n"/>
      <x:c r="AI279" s="139" t="n"/>
      <x:c r="AJ279" s="139" t="n"/>
      <x:c r="AK279" s="139" t="n"/>
      <x:c r="AL279" s="139" t="n"/>
      <x:c r="AM279" s="139" t="n"/>
      <x:c r="AN279" s="139" t="n"/>
      <x:c r="AO279" s="139" t="n"/>
      <x:c r="AP279" s="139" t="n"/>
      <x:c r="AQ279" s="139" t="n"/>
      <x:c r="AR279" s="139" t="n"/>
      <x:c r="AS279" s="139" t="n"/>
      <x:c r="AT279" s="139" t="n"/>
      <x:c r="AU279" s="139" t="n"/>
      <x:c r="AV279" s="139" t="n"/>
      <x:c r="AW279" s="139" t="n"/>
      <x:c r="AX279" s="139" t="n"/>
      <x:c r="AY279" s="139" t="n"/>
      <x:c r="AZ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c r="V280" s="139" t="n"/>
      <x:c r="W280" s="139" t="n"/>
      <x:c r="X280" s="139" t="n"/>
      <x:c r="Y280" s="139" t="n"/>
      <x:c r="Z280" s="139" t="n"/>
      <x:c r="AA280" s="139" t="n"/>
      <x:c r="AB280" s="139" t="n"/>
      <x:c r="AC280" s="139" t="n"/>
      <x:c r="AD280" s="139" t="n"/>
      <x:c r="AE280" s="139" t="n"/>
      <x:c r="AF280" s="139" t="n"/>
      <x:c r="AG280" s="139" t="n"/>
      <x:c r="AH280" s="139" t="n"/>
      <x:c r="AI280" s="139" t="n"/>
      <x:c r="AJ280" s="139" t="n"/>
      <x:c r="AK280" s="139" t="n"/>
      <x:c r="AL280" s="139" t="n"/>
      <x:c r="AM280" s="139" t="n"/>
      <x:c r="AN280" s="139" t="n"/>
      <x:c r="AO280" s="139" t="n"/>
      <x:c r="AP280" s="139" t="n"/>
      <x:c r="AQ280" s="139" t="n"/>
      <x:c r="AR280" s="139" t="n"/>
      <x:c r="AS280" s="139" t="n"/>
      <x:c r="AT280" s="139" t="n"/>
      <x:c r="AU280" s="139" t="n"/>
      <x:c r="AV280" s="139" t="n"/>
      <x:c r="AW280" s="139" t="n"/>
      <x:c r="AX280" s="139" t="n"/>
      <x:c r="AY280" s="139" t="n"/>
      <x:c r="AZ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c r="V281" s="139" t="n"/>
      <x:c r="W281" s="139" t="n"/>
      <x:c r="X281" s="139" t="n"/>
      <x:c r="Y281" s="139" t="n"/>
      <x:c r="Z281" s="139" t="n"/>
      <x:c r="AA281" s="139" t="n"/>
      <x:c r="AB281" s="139" t="n"/>
      <x:c r="AC281" s="139" t="n"/>
      <x:c r="AD281" s="139" t="n"/>
      <x:c r="AE281" s="139" t="n"/>
      <x:c r="AF281" s="139" t="n"/>
      <x:c r="AG281" s="139" t="n"/>
      <x:c r="AH281" s="139" t="n"/>
      <x:c r="AI281" s="139" t="n"/>
      <x:c r="AJ281" s="139" t="n"/>
      <x:c r="AK281" s="139" t="n"/>
      <x:c r="AL281" s="139" t="n"/>
      <x:c r="AM281" s="139" t="n"/>
      <x:c r="AN281" s="139" t="n"/>
      <x:c r="AO281" s="139" t="n"/>
      <x:c r="AP281" s="139" t="n"/>
      <x:c r="AQ281" s="139" t="n"/>
      <x:c r="AR281" s="139" t="n"/>
      <x:c r="AS281" s="139" t="n"/>
      <x:c r="AT281" s="139" t="n"/>
      <x:c r="AU281" s="139" t="n"/>
      <x:c r="AV281" s="139" t="n"/>
      <x:c r="AW281" s="139" t="n"/>
      <x:c r="AX281" s="139" t="n"/>
      <x:c r="AY281" s="139" t="n"/>
      <x:c r="AZ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c r="V282" s="139" t="n"/>
      <x:c r="W282" s="139" t="n"/>
      <x:c r="X282" s="139" t="n"/>
      <x:c r="Y282" s="139" t="n"/>
      <x:c r="Z282" s="139" t="n"/>
      <x:c r="AA282" s="139" t="n"/>
      <x:c r="AB282" s="139" t="n"/>
      <x:c r="AC282" s="139" t="n"/>
      <x:c r="AD282" s="139" t="n"/>
      <x:c r="AE282" s="139" t="n"/>
      <x:c r="AF282" s="139" t="n"/>
      <x:c r="AG282" s="139" t="n"/>
      <x:c r="AH282" s="139" t="n"/>
      <x:c r="AI282" s="139" t="n"/>
      <x:c r="AJ282" s="139" t="n"/>
      <x:c r="AK282" s="139" t="n"/>
      <x:c r="AL282" s="139" t="n"/>
      <x:c r="AM282" s="139" t="n"/>
      <x:c r="AN282" s="139" t="n"/>
      <x:c r="AO282" s="139" t="n"/>
      <x:c r="AP282" s="139" t="n"/>
      <x:c r="AQ282" s="139" t="n"/>
      <x:c r="AR282" s="139" t="n"/>
      <x:c r="AS282" s="139" t="n"/>
      <x:c r="AT282" s="139" t="n"/>
      <x:c r="AU282" s="139" t="n"/>
      <x:c r="AV282" s="139" t="n"/>
      <x:c r="AW282" s="139" t="n"/>
      <x:c r="AX282" s="139" t="n"/>
      <x:c r="AY282" s="139" t="n"/>
      <x:c r="AZ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c r="V283" s="139" t="n"/>
      <x:c r="W283" s="139" t="n"/>
      <x:c r="X283" s="139" t="n"/>
      <x:c r="Y283" s="139" t="n"/>
      <x:c r="Z283" s="139" t="n"/>
      <x:c r="AA283" s="139" t="n"/>
      <x:c r="AB283" s="139" t="n"/>
      <x:c r="AC283" s="139" t="n"/>
      <x:c r="AD283" s="139" t="n"/>
      <x:c r="AE283" s="139" t="n"/>
      <x:c r="AF283" s="139" t="n"/>
      <x:c r="AG283" s="139" t="n"/>
      <x:c r="AH283" s="139" t="n"/>
      <x:c r="AI283" s="139" t="n"/>
      <x:c r="AJ283" s="139" t="n"/>
      <x:c r="AK283" s="139" t="n"/>
      <x:c r="AL283" s="139" t="n"/>
      <x:c r="AM283" s="139" t="n"/>
      <x:c r="AN283" s="139" t="n"/>
      <x:c r="AO283" s="139" t="n"/>
      <x:c r="AP283" s="139" t="n"/>
      <x:c r="AQ283" s="139" t="n"/>
      <x:c r="AR283" s="139" t="n"/>
      <x:c r="AS283" s="139" t="n"/>
      <x:c r="AT283" s="139" t="n"/>
      <x:c r="AU283" s="139" t="n"/>
      <x:c r="AV283" s="139" t="n"/>
      <x:c r="AW283" s="139" t="n"/>
      <x:c r="AX283" s="139" t="n"/>
      <x:c r="AY283" s="139" t="n"/>
      <x:c r="AZ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c r="V284" s="139" t="n"/>
      <x:c r="W284" s="139" t="n"/>
      <x:c r="X284" s="139" t="n"/>
      <x:c r="Y284" s="139" t="n"/>
      <x:c r="Z284" s="139" t="n"/>
      <x:c r="AA284" s="139" t="n"/>
      <x:c r="AB284" s="139" t="n"/>
      <x:c r="AC284" s="139" t="n"/>
      <x:c r="AD284" s="139" t="n"/>
      <x:c r="AE284" s="139" t="n"/>
      <x:c r="AF284" s="139" t="n"/>
      <x:c r="AG284" s="139" t="n"/>
      <x:c r="AH284" s="139" t="n"/>
      <x:c r="AI284" s="139" t="n"/>
      <x:c r="AJ284" s="139" t="n"/>
      <x:c r="AK284" s="139" t="n"/>
      <x:c r="AL284" s="139" t="n"/>
      <x:c r="AM284" s="139" t="n"/>
      <x:c r="AN284" s="139" t="n"/>
      <x:c r="AO284" s="139" t="n"/>
      <x:c r="AP284" s="139" t="n"/>
      <x:c r="AQ284" s="139" t="n"/>
      <x:c r="AR284" s="139" t="n"/>
      <x:c r="AS284" s="139" t="n"/>
      <x:c r="AT284" s="139" t="n"/>
      <x:c r="AU284" s="139" t="n"/>
      <x:c r="AV284" s="139" t="n"/>
      <x:c r="AW284" s="139" t="n"/>
      <x:c r="AX284" s="139" t="n"/>
      <x:c r="AY284" s="139" t="n"/>
      <x:c r="AZ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c r="V285" s="139" t="n"/>
      <x:c r="W285" s="139" t="n"/>
      <x:c r="X285" s="139" t="n"/>
      <x:c r="Y285" s="139" t="n"/>
      <x:c r="Z285" s="139" t="n"/>
      <x:c r="AA285" s="139" t="n"/>
      <x:c r="AB285" s="139" t="n"/>
      <x:c r="AC285" s="139" t="n"/>
      <x:c r="AD285" s="139" t="n"/>
      <x:c r="AE285" s="139" t="n"/>
      <x:c r="AF285" s="139" t="n"/>
      <x:c r="AG285" s="139" t="n"/>
      <x:c r="AH285" s="139" t="n"/>
      <x:c r="AI285" s="139" t="n"/>
      <x:c r="AJ285" s="139" t="n"/>
      <x:c r="AK285" s="139" t="n"/>
      <x:c r="AL285" s="139" t="n"/>
      <x:c r="AM285" s="139" t="n"/>
      <x:c r="AN285" s="139" t="n"/>
      <x:c r="AO285" s="139" t="n"/>
      <x:c r="AP285" s="139" t="n"/>
      <x:c r="AQ285" s="139" t="n"/>
      <x:c r="AR285" s="139" t="n"/>
      <x:c r="AS285" s="139" t="n"/>
      <x:c r="AT285" s="139" t="n"/>
      <x:c r="AU285" s="139" t="n"/>
      <x:c r="AV285" s="139" t="n"/>
      <x:c r="AW285" s="139" t="n"/>
      <x:c r="AX285" s="139" t="n"/>
      <x:c r="AY285" s="139" t="n"/>
      <x:c r="AZ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c r="V286" s="139" t="n"/>
      <x:c r="W286" s="139" t="n"/>
      <x:c r="X286" s="139" t="n"/>
      <x:c r="Y286" s="139" t="n"/>
      <x:c r="Z286" s="139" t="n"/>
      <x:c r="AA286" s="139" t="n"/>
      <x:c r="AB286" s="139" t="n"/>
      <x:c r="AC286" s="139" t="n"/>
      <x:c r="AD286" s="139" t="n"/>
      <x:c r="AE286" s="139" t="n"/>
      <x:c r="AF286" s="139" t="n"/>
      <x:c r="AG286" s="139" t="n"/>
      <x:c r="AH286" s="139" t="n"/>
      <x:c r="AI286" s="139" t="n"/>
      <x:c r="AJ286" s="139" t="n"/>
      <x:c r="AK286" s="139" t="n"/>
      <x:c r="AL286" s="139" t="n"/>
      <x:c r="AM286" s="139" t="n"/>
      <x:c r="AN286" s="139" t="n"/>
      <x:c r="AO286" s="139" t="n"/>
      <x:c r="AP286" s="139" t="n"/>
      <x:c r="AQ286" s="139" t="n"/>
      <x:c r="AR286" s="139" t="n"/>
      <x:c r="AS286" s="139" t="n"/>
      <x:c r="AT286" s="139" t="n"/>
      <x:c r="AU286" s="139" t="n"/>
      <x:c r="AV286" s="139" t="n"/>
      <x:c r="AW286" s="139" t="n"/>
      <x:c r="AX286" s="139" t="n"/>
      <x:c r="AY286" s="139" t="n"/>
      <x:c r="AZ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c r="V287" s="139" t="n"/>
      <x:c r="W287" s="139" t="n"/>
      <x:c r="X287" s="139" t="n"/>
      <x:c r="Y287" s="139" t="n"/>
      <x:c r="Z287" s="139" t="n"/>
      <x:c r="AA287" s="139" t="n"/>
      <x:c r="AB287" s="139" t="n"/>
      <x:c r="AC287" s="139" t="n"/>
      <x:c r="AD287" s="139" t="n"/>
      <x:c r="AE287" s="139" t="n"/>
      <x:c r="AF287" s="139" t="n"/>
      <x:c r="AG287" s="139" t="n"/>
      <x:c r="AH287" s="139" t="n"/>
      <x:c r="AI287" s="139" t="n"/>
      <x:c r="AJ287" s="139" t="n"/>
      <x:c r="AK287" s="139" t="n"/>
      <x:c r="AL287" s="139" t="n"/>
      <x:c r="AM287" s="139" t="n"/>
      <x:c r="AN287" s="139" t="n"/>
      <x:c r="AO287" s="139" t="n"/>
      <x:c r="AP287" s="139" t="n"/>
      <x:c r="AQ287" s="139" t="n"/>
      <x:c r="AR287" s="139" t="n"/>
      <x:c r="AS287" s="139" t="n"/>
      <x:c r="AT287" s="139" t="n"/>
      <x:c r="AU287" s="139" t="n"/>
      <x:c r="AV287" s="139" t="n"/>
      <x:c r="AW287" s="139" t="n"/>
      <x:c r="AX287" s="139" t="n"/>
      <x:c r="AY287" s="139" t="n"/>
      <x:c r="AZ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c r="V288" s="139" t="n"/>
      <x:c r="W288" s="139" t="n"/>
      <x:c r="X288" s="139" t="n"/>
      <x:c r="Y288" s="139" t="n"/>
      <x:c r="Z288" s="139" t="n"/>
      <x:c r="AA288" s="139" t="n"/>
      <x:c r="AB288" s="139" t="n"/>
      <x:c r="AC288" s="139" t="n"/>
      <x:c r="AD288" s="139" t="n"/>
      <x:c r="AE288" s="139" t="n"/>
      <x:c r="AF288" s="139" t="n"/>
      <x:c r="AG288" s="139" t="n"/>
      <x:c r="AH288" s="139" t="n"/>
      <x:c r="AI288" s="139" t="n"/>
      <x:c r="AJ288" s="139" t="n"/>
      <x:c r="AK288" s="139" t="n"/>
      <x:c r="AL288" s="139" t="n"/>
      <x:c r="AM288" s="139" t="n"/>
      <x:c r="AN288" s="139" t="n"/>
      <x:c r="AO288" s="139" t="n"/>
      <x:c r="AP288" s="139" t="n"/>
      <x:c r="AQ288" s="139" t="n"/>
      <x:c r="AR288" s="139" t="n"/>
      <x:c r="AS288" s="139" t="n"/>
      <x:c r="AT288" s="139" t="n"/>
      <x:c r="AU288" s="139" t="n"/>
      <x:c r="AV288" s="139" t="n"/>
      <x:c r="AW288" s="139" t="n"/>
      <x:c r="AX288" s="139" t="n"/>
      <x:c r="AY288" s="139" t="n"/>
      <x:c r="AZ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c r="V289" s="139" t="n"/>
      <x:c r="W289" s="139" t="n"/>
      <x:c r="X289" s="139" t="n"/>
      <x:c r="Y289" s="139" t="n"/>
      <x:c r="Z289" s="139" t="n"/>
      <x:c r="AA289" s="139" t="n"/>
      <x:c r="AB289" s="139" t="n"/>
      <x:c r="AC289" s="139" t="n"/>
      <x:c r="AD289" s="139" t="n"/>
      <x:c r="AE289" s="139" t="n"/>
      <x:c r="AF289" s="139" t="n"/>
      <x:c r="AG289" s="139" t="n"/>
      <x:c r="AH289" s="139" t="n"/>
      <x:c r="AI289" s="139" t="n"/>
      <x:c r="AJ289" s="139" t="n"/>
      <x:c r="AK289" s="139" t="n"/>
      <x:c r="AL289" s="139" t="n"/>
      <x:c r="AM289" s="139" t="n"/>
      <x:c r="AN289" s="139" t="n"/>
      <x:c r="AO289" s="139" t="n"/>
      <x:c r="AP289" s="139" t="n"/>
      <x:c r="AQ289" s="139" t="n"/>
      <x:c r="AR289" s="139" t="n"/>
      <x:c r="AS289" s="139" t="n"/>
      <x:c r="AT289" s="139" t="n"/>
      <x:c r="AU289" s="139" t="n"/>
      <x:c r="AV289" s="139" t="n"/>
      <x:c r="AW289" s="139" t="n"/>
      <x:c r="AX289" s="139" t="n"/>
      <x:c r="AY289" s="139" t="n"/>
      <x:c r="AZ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c r="V290" s="139" t="n"/>
      <x:c r="W290" s="139" t="n"/>
      <x:c r="X290" s="139" t="n"/>
      <x:c r="Y290" s="139" t="n"/>
      <x:c r="Z290" s="139" t="n"/>
      <x:c r="AA290" s="139" t="n"/>
      <x:c r="AB290" s="139" t="n"/>
      <x:c r="AC290" s="139" t="n"/>
      <x:c r="AD290" s="139" t="n"/>
      <x:c r="AE290" s="139" t="n"/>
      <x:c r="AF290" s="139" t="n"/>
      <x:c r="AG290" s="139" t="n"/>
      <x:c r="AH290" s="139" t="n"/>
      <x:c r="AI290" s="139" t="n"/>
      <x:c r="AJ290" s="139" t="n"/>
      <x:c r="AK290" s="139" t="n"/>
      <x:c r="AL290" s="139" t="n"/>
      <x:c r="AM290" s="139" t="n"/>
      <x:c r="AN290" s="139" t="n"/>
      <x:c r="AO290" s="139" t="n"/>
      <x:c r="AP290" s="139" t="n"/>
      <x:c r="AQ290" s="139" t="n"/>
      <x:c r="AR290" s="139" t="n"/>
      <x:c r="AS290" s="139" t="n"/>
      <x:c r="AT290" s="139" t="n"/>
      <x:c r="AU290" s="139" t="n"/>
      <x:c r="AV290" s="139" t="n"/>
      <x:c r="AW290" s="139" t="n"/>
      <x:c r="AX290" s="139" t="n"/>
      <x:c r="AY290" s="139" t="n"/>
      <x:c r="AZ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c r="V291" s="139" t="n"/>
      <x:c r="W291" s="139" t="n"/>
      <x:c r="X291" s="139" t="n"/>
      <x:c r="Y291" s="139" t="n"/>
      <x:c r="Z291" s="139" t="n"/>
      <x:c r="AA291" s="139" t="n"/>
      <x:c r="AB291" s="139" t="n"/>
      <x:c r="AC291" s="139" t="n"/>
      <x:c r="AD291" s="139" t="n"/>
      <x:c r="AE291" s="139" t="n"/>
      <x:c r="AF291" s="139" t="n"/>
      <x:c r="AG291" s="139" t="n"/>
      <x:c r="AH291" s="139" t="n"/>
      <x:c r="AI291" s="139" t="n"/>
      <x:c r="AJ291" s="139" t="n"/>
      <x:c r="AK291" s="139" t="n"/>
      <x:c r="AL291" s="139" t="n"/>
      <x:c r="AM291" s="139" t="n"/>
      <x:c r="AN291" s="139" t="n"/>
      <x:c r="AO291" s="139" t="n"/>
      <x:c r="AP291" s="139" t="n"/>
      <x:c r="AQ291" s="139" t="n"/>
      <x:c r="AR291" s="139" t="n"/>
      <x:c r="AS291" s="139" t="n"/>
      <x:c r="AT291" s="139" t="n"/>
      <x:c r="AU291" s="139" t="n"/>
      <x:c r="AV291" s="139" t="n"/>
      <x:c r="AW291" s="139" t="n"/>
      <x:c r="AX291" s="139" t="n"/>
      <x:c r="AY291" s="139" t="n"/>
      <x:c r="AZ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c r="V292" s="139" t="n"/>
      <x:c r="W292" s="139" t="n"/>
      <x:c r="X292" s="139" t="n"/>
      <x:c r="Y292" s="139" t="n"/>
      <x:c r="Z292" s="139" t="n"/>
      <x:c r="AA292" s="139" t="n"/>
      <x:c r="AB292" s="139" t="n"/>
      <x:c r="AC292" s="139" t="n"/>
      <x:c r="AD292" s="139" t="n"/>
      <x:c r="AE292" s="139" t="n"/>
      <x:c r="AF292" s="139" t="n"/>
      <x:c r="AG292" s="139" t="n"/>
      <x:c r="AH292" s="139" t="n"/>
      <x:c r="AI292" s="139" t="n"/>
      <x:c r="AJ292" s="139" t="n"/>
      <x:c r="AK292" s="139" t="n"/>
      <x:c r="AL292" s="139" t="n"/>
      <x:c r="AM292" s="139" t="n"/>
      <x:c r="AN292" s="139" t="n"/>
      <x:c r="AO292" s="139" t="n"/>
      <x:c r="AP292" s="139" t="n"/>
      <x:c r="AQ292" s="139" t="n"/>
      <x:c r="AR292" s="139" t="n"/>
      <x:c r="AS292" s="139" t="n"/>
      <x:c r="AT292" s="139" t="n"/>
      <x:c r="AU292" s="139" t="n"/>
      <x:c r="AV292" s="139" t="n"/>
      <x:c r="AW292" s="139" t="n"/>
      <x:c r="AX292" s="139" t="n"/>
      <x:c r="AY292" s="139" t="n"/>
      <x:c r="AZ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c r="V293" s="139" t="n"/>
      <x:c r="W293" s="139" t="n"/>
      <x:c r="X293" s="139" t="n"/>
      <x:c r="Y293" s="139" t="n"/>
      <x:c r="Z293" s="139" t="n"/>
      <x:c r="AA293" s="139" t="n"/>
      <x:c r="AB293" s="139" t="n"/>
      <x:c r="AC293" s="139" t="n"/>
      <x:c r="AD293" s="139" t="n"/>
      <x:c r="AE293" s="139" t="n"/>
      <x:c r="AF293" s="139" t="n"/>
      <x:c r="AG293" s="139" t="n"/>
      <x:c r="AH293" s="139" t="n"/>
      <x:c r="AI293" s="139" t="n"/>
      <x:c r="AJ293" s="139" t="n"/>
      <x:c r="AK293" s="139" t="n"/>
      <x:c r="AL293" s="139" t="n"/>
      <x:c r="AM293" s="139" t="n"/>
      <x:c r="AN293" s="139" t="n"/>
      <x:c r="AO293" s="139" t="n"/>
      <x:c r="AP293" s="139" t="n"/>
      <x:c r="AQ293" s="139" t="n"/>
      <x:c r="AR293" s="139" t="n"/>
      <x:c r="AS293" s="139" t="n"/>
      <x:c r="AT293" s="139" t="n"/>
      <x:c r="AU293" s="139" t="n"/>
      <x:c r="AV293" s="139" t="n"/>
      <x:c r="AW293" s="139" t="n"/>
      <x:c r="AX293" s="139" t="n"/>
      <x:c r="AY293" s="139" t="n"/>
      <x:c r="AZ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c r="V294" s="139" t="n"/>
      <x:c r="W294" s="139" t="n"/>
      <x:c r="X294" s="139" t="n"/>
      <x:c r="Y294" s="139" t="n"/>
      <x:c r="Z294" s="139" t="n"/>
      <x:c r="AA294" s="139" t="n"/>
      <x:c r="AB294" s="139" t="n"/>
      <x:c r="AC294" s="139" t="n"/>
      <x:c r="AD294" s="139" t="n"/>
      <x:c r="AE294" s="139" t="n"/>
      <x:c r="AF294" s="139" t="n"/>
      <x:c r="AG294" s="139" t="n"/>
      <x:c r="AH294" s="139" t="n"/>
      <x:c r="AI294" s="139" t="n"/>
      <x:c r="AJ294" s="139" t="n"/>
      <x:c r="AK294" s="139" t="n"/>
      <x:c r="AL294" s="139" t="n"/>
      <x:c r="AM294" s="139" t="n"/>
      <x:c r="AN294" s="139" t="n"/>
      <x:c r="AO294" s="139" t="n"/>
      <x:c r="AP294" s="139" t="n"/>
      <x:c r="AQ294" s="139" t="n"/>
      <x:c r="AR294" s="139" t="n"/>
      <x:c r="AS294" s="139" t="n"/>
      <x:c r="AT294" s="139" t="n"/>
      <x:c r="AU294" s="139" t="n"/>
      <x:c r="AV294" s="139" t="n"/>
      <x:c r="AW294" s="139" t="n"/>
      <x:c r="AX294" s="139" t="n"/>
      <x:c r="AY294" s="139" t="n"/>
      <x:c r="AZ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c r="V295" s="139" t="n"/>
      <x:c r="W295" s="139" t="n"/>
      <x:c r="X295" s="139" t="n"/>
      <x:c r="Y295" s="139" t="n"/>
      <x:c r="Z295" s="139" t="n"/>
      <x:c r="AA295" s="139" t="n"/>
      <x:c r="AB295" s="139" t="n"/>
      <x:c r="AC295" s="139" t="n"/>
      <x:c r="AD295" s="139" t="n"/>
      <x:c r="AE295" s="139" t="n"/>
      <x:c r="AF295" s="139" t="n"/>
      <x:c r="AG295" s="139" t="n"/>
      <x:c r="AH295" s="139" t="n"/>
      <x:c r="AI295" s="139" t="n"/>
      <x:c r="AJ295" s="139" t="n"/>
      <x:c r="AK295" s="139" t="n"/>
      <x:c r="AL295" s="139" t="n"/>
      <x:c r="AM295" s="139" t="n"/>
      <x:c r="AN295" s="139" t="n"/>
      <x:c r="AO295" s="139" t="n"/>
      <x:c r="AP295" s="139" t="n"/>
      <x:c r="AQ295" s="139" t="n"/>
      <x:c r="AR295" s="139" t="n"/>
      <x:c r="AS295" s="139" t="n"/>
      <x:c r="AT295" s="139" t="n"/>
      <x:c r="AU295" s="139" t="n"/>
      <x:c r="AV295" s="139" t="n"/>
      <x:c r="AW295" s="139" t="n"/>
      <x:c r="AX295" s="139" t="n"/>
      <x:c r="AY295" s="139" t="n"/>
      <x:c r="AZ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c r="V296" s="139" t="n"/>
      <x:c r="W296" s="139" t="n"/>
      <x:c r="X296" s="139" t="n"/>
      <x:c r="Y296" s="139" t="n"/>
      <x:c r="Z296" s="139" t="n"/>
      <x:c r="AA296" s="139" t="n"/>
      <x:c r="AB296" s="139" t="n"/>
      <x:c r="AC296" s="139" t="n"/>
      <x:c r="AD296" s="139" t="n"/>
      <x:c r="AE296" s="139" t="n"/>
      <x:c r="AF296" s="139" t="n"/>
      <x:c r="AG296" s="139" t="n"/>
      <x:c r="AH296" s="139" t="n"/>
      <x:c r="AI296" s="139" t="n"/>
      <x:c r="AJ296" s="139" t="n"/>
      <x:c r="AK296" s="139" t="n"/>
      <x:c r="AL296" s="139" t="n"/>
      <x:c r="AM296" s="139" t="n"/>
      <x:c r="AN296" s="139" t="n"/>
      <x:c r="AO296" s="139" t="n"/>
      <x:c r="AP296" s="139" t="n"/>
      <x:c r="AQ296" s="139" t="n"/>
      <x:c r="AR296" s="139" t="n"/>
      <x:c r="AS296" s="139" t="n"/>
      <x:c r="AT296" s="139" t="n"/>
      <x:c r="AU296" s="139" t="n"/>
      <x:c r="AV296" s="139" t="n"/>
      <x:c r="AW296" s="139" t="n"/>
      <x:c r="AX296" s="139" t="n"/>
      <x:c r="AY296" s="139" t="n"/>
      <x:c r="AZ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c r="V297" s="139" t="n"/>
      <x:c r="W297" s="139" t="n"/>
      <x:c r="X297" s="139" t="n"/>
      <x:c r="Y297" s="139" t="n"/>
      <x:c r="Z297" s="139" t="n"/>
      <x:c r="AA297" s="139" t="n"/>
      <x:c r="AB297" s="139" t="n"/>
      <x:c r="AC297" s="139" t="n"/>
      <x:c r="AD297" s="139" t="n"/>
      <x:c r="AE297" s="139" t="n"/>
      <x:c r="AF297" s="139" t="n"/>
      <x:c r="AG297" s="139" t="n"/>
      <x:c r="AH297" s="139" t="n"/>
      <x:c r="AI297" s="139" t="n"/>
      <x:c r="AJ297" s="139" t="n"/>
      <x:c r="AK297" s="139" t="n"/>
      <x:c r="AL297" s="139" t="n"/>
      <x:c r="AM297" s="139" t="n"/>
      <x:c r="AN297" s="139" t="n"/>
      <x:c r="AO297" s="139" t="n"/>
      <x:c r="AP297" s="139" t="n"/>
      <x:c r="AQ297" s="139" t="n"/>
      <x:c r="AR297" s="139" t="n"/>
      <x:c r="AS297" s="139" t="n"/>
      <x:c r="AT297" s="139" t="n"/>
      <x:c r="AU297" s="139" t="n"/>
      <x:c r="AV297" s="139" t="n"/>
      <x:c r="AW297" s="139" t="n"/>
      <x:c r="AX297" s="139" t="n"/>
      <x:c r="AY297" s="139" t="n"/>
      <x:c r="AZ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c r="V298" s="139" t="n"/>
      <x:c r="W298" s="139" t="n"/>
      <x:c r="X298" s="139" t="n"/>
      <x:c r="Y298" s="139" t="n"/>
      <x:c r="Z298" s="139" t="n"/>
      <x:c r="AA298" s="139" t="n"/>
      <x:c r="AB298" s="139" t="n"/>
      <x:c r="AC298" s="139" t="n"/>
      <x:c r="AD298" s="139" t="n"/>
      <x:c r="AE298" s="139" t="n"/>
      <x:c r="AF298" s="139" t="n"/>
      <x:c r="AG298" s="139" t="n"/>
      <x:c r="AH298" s="139" t="n"/>
      <x:c r="AI298" s="139" t="n"/>
      <x:c r="AJ298" s="139" t="n"/>
      <x:c r="AK298" s="139" t="n"/>
      <x:c r="AL298" s="139" t="n"/>
      <x:c r="AM298" s="139" t="n"/>
      <x:c r="AN298" s="139" t="n"/>
      <x:c r="AO298" s="139" t="n"/>
      <x:c r="AP298" s="139" t="n"/>
      <x:c r="AQ298" s="139" t="n"/>
      <x:c r="AR298" s="139" t="n"/>
      <x:c r="AS298" s="139" t="n"/>
      <x:c r="AT298" s="139" t="n"/>
      <x:c r="AU298" s="139" t="n"/>
      <x:c r="AV298" s="139" t="n"/>
      <x:c r="AW298" s="139" t="n"/>
      <x:c r="AX298" s="139" t="n"/>
      <x:c r="AY298" s="139" t="n"/>
      <x:c r="AZ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c r="V299" s="139" t="n"/>
      <x:c r="W299" s="139" t="n"/>
      <x:c r="X299" s="139" t="n"/>
      <x:c r="Y299" s="139" t="n"/>
      <x:c r="Z299" s="139" t="n"/>
      <x:c r="AA299" s="139" t="n"/>
      <x:c r="AB299" s="139" t="n"/>
      <x:c r="AC299" s="139" t="n"/>
      <x:c r="AD299" s="139" t="n"/>
      <x:c r="AE299" s="139" t="n"/>
      <x:c r="AF299" s="139" t="n"/>
      <x:c r="AG299" s="139" t="n"/>
      <x:c r="AH299" s="139" t="n"/>
      <x:c r="AI299" s="139" t="n"/>
      <x:c r="AJ299" s="139" t="n"/>
      <x:c r="AK299" s="139" t="n"/>
      <x:c r="AL299" s="139" t="n"/>
      <x:c r="AM299" s="139" t="n"/>
      <x:c r="AN299" s="139" t="n"/>
      <x:c r="AO299" s="139" t="n"/>
      <x:c r="AP299" s="139" t="n"/>
      <x:c r="AQ299" s="139" t="n"/>
      <x:c r="AR299" s="139" t="n"/>
      <x:c r="AS299" s="139" t="n"/>
      <x:c r="AT299" s="139" t="n"/>
      <x:c r="AU299" s="139" t="n"/>
      <x:c r="AV299" s="139" t="n"/>
      <x:c r="AW299" s="139" t="n"/>
      <x:c r="AX299" s="139" t="n"/>
      <x:c r="AY299" s="139" t="n"/>
      <x:c r="AZ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c r="V300" s="139" t="n"/>
      <x:c r="W300" s="139" t="n"/>
      <x:c r="X300" s="139" t="n"/>
      <x:c r="Y300" s="139" t="n"/>
      <x:c r="Z300" s="139" t="n"/>
      <x:c r="AA300" s="139" t="n"/>
      <x:c r="AB300" s="139" t="n"/>
      <x:c r="AC300" s="139" t="n"/>
      <x:c r="AD300" s="139" t="n"/>
      <x:c r="AE300" s="139" t="n"/>
      <x:c r="AF300" s="139" t="n"/>
      <x:c r="AG300" s="139" t="n"/>
      <x:c r="AH300" s="139" t="n"/>
      <x:c r="AI300" s="139" t="n"/>
      <x:c r="AJ300" s="139" t="n"/>
      <x:c r="AK300" s="139" t="n"/>
      <x:c r="AL300" s="139" t="n"/>
      <x:c r="AM300" s="139" t="n"/>
      <x:c r="AN300" s="139" t="n"/>
      <x:c r="AO300" s="139" t="n"/>
      <x:c r="AP300" s="139" t="n"/>
      <x:c r="AQ300" s="139" t="n"/>
      <x:c r="AR300" s="139" t="n"/>
      <x:c r="AS300" s="139" t="n"/>
      <x:c r="AT300" s="139" t="n"/>
      <x:c r="AU300" s="139" t="n"/>
      <x:c r="AV300" s="139" t="n"/>
      <x:c r="AW300" s="139" t="n"/>
      <x:c r="AX300" s="139" t="n"/>
      <x:c r="AY300" s="139" t="n"/>
      <x:c r="AZ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c r="V301" s="139" t="n"/>
      <x:c r="W301" s="139" t="n"/>
      <x:c r="X301" s="139" t="n"/>
      <x:c r="Y301" s="139" t="n"/>
      <x:c r="Z301" s="139" t="n"/>
      <x:c r="AA301" s="139" t="n"/>
      <x:c r="AB301" s="139" t="n"/>
      <x:c r="AC301" s="139" t="n"/>
      <x:c r="AD301" s="139" t="n"/>
      <x:c r="AE301" s="139" t="n"/>
      <x:c r="AF301" s="139" t="n"/>
      <x:c r="AG301" s="139" t="n"/>
      <x:c r="AH301" s="139" t="n"/>
      <x:c r="AI301" s="139" t="n"/>
      <x:c r="AJ301" s="139" t="n"/>
      <x:c r="AK301" s="139" t="n"/>
      <x:c r="AL301" s="139" t="n"/>
      <x:c r="AM301" s="139" t="n"/>
      <x:c r="AN301" s="139" t="n"/>
      <x:c r="AO301" s="139" t="n"/>
      <x:c r="AP301" s="139" t="n"/>
      <x:c r="AQ301" s="139" t="n"/>
      <x:c r="AR301" s="139" t="n"/>
      <x:c r="AS301" s="139" t="n"/>
      <x:c r="AT301" s="139" t="n"/>
      <x:c r="AU301" s="139" t="n"/>
      <x:c r="AV301" s="139" t="n"/>
      <x:c r="AW301" s="139" t="n"/>
      <x:c r="AX301" s="139" t="n"/>
      <x:c r="AY301" s="139" t="n"/>
      <x:c r="AZ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c r="V302" s="139" t="n"/>
      <x:c r="W302" s="139" t="n"/>
      <x:c r="X302" s="139" t="n"/>
      <x:c r="Y302" s="139" t="n"/>
      <x:c r="Z302" s="139" t="n"/>
      <x:c r="AA302" s="139" t="n"/>
      <x:c r="AB302" s="139" t="n"/>
      <x:c r="AC302" s="139" t="n"/>
      <x:c r="AD302" s="139" t="n"/>
      <x:c r="AE302" s="139" t="n"/>
      <x:c r="AF302" s="139" t="n"/>
      <x:c r="AG302" s="139" t="n"/>
      <x:c r="AH302" s="139" t="n"/>
      <x:c r="AI302" s="139" t="n"/>
      <x:c r="AJ302" s="139" t="n"/>
      <x:c r="AK302" s="139" t="n"/>
      <x:c r="AL302" s="139" t="n"/>
      <x:c r="AM302" s="139" t="n"/>
      <x:c r="AN302" s="139" t="n"/>
      <x:c r="AO302" s="139" t="n"/>
      <x:c r="AP302" s="139" t="n"/>
      <x:c r="AQ302" s="139" t="n"/>
      <x:c r="AR302" s="139" t="n"/>
      <x:c r="AS302" s="139" t="n"/>
      <x:c r="AT302" s="139" t="n"/>
      <x:c r="AU302" s="139" t="n"/>
      <x:c r="AV302" s="139" t="n"/>
      <x:c r="AW302" s="139" t="n"/>
      <x:c r="AX302" s="139" t="n"/>
      <x:c r="AY302" s="139" t="n"/>
      <x:c r="AZ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c r="V303" s="139" t="n"/>
      <x:c r="W303" s="139" t="n"/>
      <x:c r="X303" s="139" t="n"/>
      <x:c r="Y303" s="139" t="n"/>
      <x:c r="Z303" s="139" t="n"/>
      <x:c r="AA303" s="139" t="n"/>
      <x:c r="AB303" s="139" t="n"/>
      <x:c r="AC303" s="139" t="n"/>
      <x:c r="AD303" s="139" t="n"/>
      <x:c r="AE303" s="139" t="n"/>
      <x:c r="AF303" s="139" t="n"/>
      <x:c r="AG303" s="139" t="n"/>
      <x:c r="AH303" s="139" t="n"/>
      <x:c r="AI303" s="139" t="n"/>
      <x:c r="AJ303" s="139" t="n"/>
      <x:c r="AK303" s="139" t="n"/>
      <x:c r="AL303" s="139" t="n"/>
      <x:c r="AM303" s="139" t="n"/>
      <x:c r="AN303" s="139" t="n"/>
      <x:c r="AO303" s="139" t="n"/>
      <x:c r="AP303" s="139" t="n"/>
      <x:c r="AQ303" s="139" t="n"/>
      <x:c r="AR303" s="139" t="n"/>
      <x:c r="AS303" s="139" t="n"/>
      <x:c r="AT303" s="139" t="n"/>
      <x:c r="AU303" s="139" t="n"/>
      <x:c r="AV303" s="139" t="n"/>
      <x:c r="AW303" s="139" t="n"/>
      <x:c r="AX303" s="139" t="n"/>
      <x:c r="AY303" s="139" t="n"/>
      <x:c r="AZ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c r="V304" s="139" t="n"/>
      <x:c r="W304" s="139" t="n"/>
      <x:c r="X304" s="139" t="n"/>
      <x:c r="Y304" s="139" t="n"/>
      <x:c r="Z304" s="139" t="n"/>
      <x:c r="AA304" s="139" t="n"/>
      <x:c r="AB304" s="139" t="n"/>
      <x:c r="AC304" s="139" t="n"/>
      <x:c r="AD304" s="139" t="n"/>
      <x:c r="AE304" s="139" t="n"/>
      <x:c r="AF304" s="139" t="n"/>
      <x:c r="AG304" s="139" t="n"/>
      <x:c r="AH304" s="139" t="n"/>
      <x:c r="AI304" s="139" t="n"/>
      <x:c r="AJ304" s="139" t="n"/>
      <x:c r="AK304" s="139" t="n"/>
      <x:c r="AL304" s="139" t="n"/>
      <x:c r="AM304" s="139" t="n"/>
      <x:c r="AN304" s="139" t="n"/>
      <x:c r="AO304" s="139" t="n"/>
      <x:c r="AP304" s="139" t="n"/>
      <x:c r="AQ304" s="139" t="n"/>
      <x:c r="AR304" s="139" t="n"/>
      <x:c r="AS304" s="139" t="n"/>
      <x:c r="AT304" s="139" t="n"/>
      <x:c r="AU304" s="139" t="n"/>
      <x:c r="AV304" s="139" t="n"/>
      <x:c r="AW304" s="139" t="n"/>
      <x:c r="AX304" s="139" t="n"/>
      <x:c r="AY304" s="139" t="n"/>
      <x:c r="AZ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c r="V305" s="139" t="n"/>
      <x:c r="W305" s="139" t="n"/>
      <x:c r="X305" s="139" t="n"/>
      <x:c r="Y305" s="139" t="n"/>
      <x:c r="Z305" s="139" t="n"/>
      <x:c r="AA305" s="139" t="n"/>
      <x:c r="AB305" s="139" t="n"/>
      <x:c r="AC305" s="139" t="n"/>
      <x:c r="AD305" s="139" t="n"/>
      <x:c r="AE305" s="139" t="n"/>
      <x:c r="AF305" s="139" t="n"/>
      <x:c r="AG305" s="139" t="n"/>
      <x:c r="AH305" s="139" t="n"/>
      <x:c r="AI305" s="139" t="n"/>
      <x:c r="AJ305" s="139" t="n"/>
      <x:c r="AK305" s="139" t="n"/>
      <x:c r="AL305" s="139" t="n"/>
      <x:c r="AM305" s="139" t="n"/>
      <x:c r="AN305" s="139" t="n"/>
      <x:c r="AO305" s="139" t="n"/>
      <x:c r="AP305" s="139" t="n"/>
      <x:c r="AQ305" s="139" t="n"/>
      <x:c r="AR305" s="139" t="n"/>
      <x:c r="AS305" s="139" t="n"/>
      <x:c r="AT305" s="139" t="n"/>
      <x:c r="AU305" s="139" t="n"/>
      <x:c r="AV305" s="139" t="n"/>
      <x:c r="AW305" s="139" t="n"/>
      <x:c r="AX305" s="139" t="n"/>
      <x:c r="AY305" s="139" t="n"/>
      <x:c r="AZ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c r="V306" s="139" t="n"/>
      <x:c r="W306" s="139" t="n"/>
      <x:c r="X306" s="139" t="n"/>
      <x:c r="Y306" s="139" t="n"/>
      <x:c r="Z306" s="139" t="n"/>
      <x:c r="AA306" s="139" t="n"/>
      <x:c r="AB306" s="139" t="n"/>
      <x:c r="AC306" s="139" t="n"/>
      <x:c r="AD306" s="139" t="n"/>
      <x:c r="AE306" s="139" t="n"/>
      <x:c r="AF306" s="139" t="n"/>
      <x:c r="AG306" s="139" t="n"/>
      <x:c r="AH306" s="139" t="n"/>
      <x:c r="AI306" s="139" t="n"/>
      <x:c r="AJ306" s="139" t="n"/>
      <x:c r="AK306" s="139" t="n"/>
      <x:c r="AL306" s="139" t="n"/>
      <x:c r="AM306" s="139" t="n"/>
      <x:c r="AN306" s="139" t="n"/>
      <x:c r="AO306" s="139" t="n"/>
      <x:c r="AP306" s="139" t="n"/>
      <x:c r="AQ306" s="139" t="n"/>
      <x:c r="AR306" s="139" t="n"/>
      <x:c r="AS306" s="139" t="n"/>
      <x:c r="AT306" s="139" t="n"/>
      <x:c r="AU306" s="139" t="n"/>
      <x:c r="AV306" s="139" t="n"/>
      <x:c r="AW306" s="139" t="n"/>
      <x:c r="AX306" s="139" t="n"/>
      <x:c r="AY306" s="139" t="n"/>
      <x:c r="AZ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c r="V307" s="139" t="n"/>
      <x:c r="W307" s="139" t="n"/>
      <x:c r="X307" s="139" t="n"/>
      <x:c r="Y307" s="139" t="n"/>
      <x:c r="Z307" s="139" t="n"/>
      <x:c r="AA307" s="139" t="n"/>
      <x:c r="AB307" s="139" t="n"/>
      <x:c r="AC307" s="139" t="n"/>
      <x:c r="AD307" s="139" t="n"/>
      <x:c r="AE307" s="139" t="n"/>
      <x:c r="AF307" s="139" t="n"/>
      <x:c r="AG307" s="139" t="n"/>
      <x:c r="AH307" s="139" t="n"/>
      <x:c r="AI307" s="139" t="n"/>
      <x:c r="AJ307" s="139" t="n"/>
      <x:c r="AK307" s="139" t="n"/>
      <x:c r="AL307" s="139" t="n"/>
      <x:c r="AM307" s="139" t="n"/>
      <x:c r="AN307" s="139" t="n"/>
      <x:c r="AO307" s="139" t="n"/>
      <x:c r="AP307" s="139" t="n"/>
      <x:c r="AQ307" s="139" t="n"/>
      <x:c r="AR307" s="139" t="n"/>
      <x:c r="AS307" s="139" t="n"/>
      <x:c r="AT307" s="139" t="n"/>
      <x:c r="AU307" s="139" t="n"/>
      <x:c r="AV307" s="139" t="n"/>
      <x:c r="AW307" s="139" t="n"/>
      <x:c r="AX307" s="139" t="n"/>
      <x:c r="AY307" s="139" t="n"/>
      <x:c r="AZ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c r="V308" s="139" t="n"/>
      <x:c r="W308" s="139" t="n"/>
      <x:c r="X308" s="139" t="n"/>
      <x:c r="Y308" s="139" t="n"/>
      <x:c r="Z308" s="139" t="n"/>
      <x:c r="AA308" s="139" t="n"/>
      <x:c r="AB308" s="139" t="n"/>
      <x:c r="AC308" s="139" t="n"/>
      <x:c r="AD308" s="139" t="n"/>
      <x:c r="AE308" s="139" t="n"/>
      <x:c r="AF308" s="139" t="n"/>
      <x:c r="AG308" s="139" t="n"/>
      <x:c r="AH308" s="139" t="n"/>
      <x:c r="AI308" s="139" t="n"/>
      <x:c r="AJ308" s="139" t="n"/>
      <x:c r="AK308" s="139" t="n"/>
      <x:c r="AL308" s="139" t="n"/>
      <x:c r="AM308" s="139" t="n"/>
      <x:c r="AN308" s="139" t="n"/>
      <x:c r="AO308" s="139" t="n"/>
      <x:c r="AP308" s="139" t="n"/>
      <x:c r="AQ308" s="139" t="n"/>
      <x:c r="AR308" s="139" t="n"/>
      <x:c r="AS308" s="139" t="n"/>
      <x:c r="AT308" s="139" t="n"/>
      <x:c r="AU308" s="139" t="n"/>
      <x:c r="AV308" s="139" t="n"/>
      <x:c r="AW308" s="139" t="n"/>
      <x:c r="AX308" s="139" t="n"/>
      <x:c r="AY308" s="139" t="n"/>
      <x:c r="AZ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c r="V309" s="139" t="n"/>
      <x:c r="W309" s="139" t="n"/>
      <x:c r="X309" s="139" t="n"/>
      <x:c r="Y309" s="139" t="n"/>
      <x:c r="Z309" s="139" t="n"/>
      <x:c r="AA309" s="139" t="n"/>
      <x:c r="AB309" s="139" t="n"/>
      <x:c r="AC309" s="139" t="n"/>
      <x:c r="AD309" s="139" t="n"/>
      <x:c r="AE309" s="139" t="n"/>
      <x:c r="AF309" s="139" t="n"/>
      <x:c r="AG309" s="139" t="n"/>
      <x:c r="AH309" s="139" t="n"/>
      <x:c r="AI309" s="139" t="n"/>
      <x:c r="AJ309" s="139" t="n"/>
      <x:c r="AK309" s="139" t="n"/>
      <x:c r="AL309" s="139" t="n"/>
      <x:c r="AM309" s="139" t="n"/>
      <x:c r="AN309" s="139" t="n"/>
      <x:c r="AO309" s="139" t="n"/>
      <x:c r="AP309" s="139" t="n"/>
      <x:c r="AQ309" s="139" t="n"/>
      <x:c r="AR309" s="139" t="n"/>
      <x:c r="AS309" s="139" t="n"/>
      <x:c r="AT309" s="139" t="n"/>
      <x:c r="AU309" s="139" t="n"/>
      <x:c r="AV309" s="139" t="n"/>
      <x:c r="AW309" s="139" t="n"/>
      <x:c r="AX309" s="139" t="n"/>
      <x:c r="AY309" s="139" t="n"/>
      <x:c r="AZ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c r="V310" s="139" t="n"/>
      <x:c r="W310" s="139" t="n"/>
      <x:c r="X310" s="139" t="n"/>
      <x:c r="Y310" s="139" t="n"/>
      <x:c r="Z310" s="139" t="n"/>
      <x:c r="AA310" s="139" t="n"/>
      <x:c r="AB310" s="139" t="n"/>
      <x:c r="AC310" s="139" t="n"/>
      <x:c r="AD310" s="139" t="n"/>
      <x:c r="AE310" s="139" t="n"/>
      <x:c r="AF310" s="139" t="n"/>
      <x:c r="AG310" s="139" t="n"/>
      <x:c r="AH310" s="139" t="n"/>
      <x:c r="AI310" s="139" t="n"/>
      <x:c r="AJ310" s="139" t="n"/>
      <x:c r="AK310" s="139" t="n"/>
      <x:c r="AL310" s="139" t="n"/>
      <x:c r="AM310" s="139" t="n"/>
      <x:c r="AN310" s="139" t="n"/>
      <x:c r="AO310" s="139" t="n"/>
      <x:c r="AP310" s="139" t="n"/>
      <x:c r="AQ310" s="139" t="n"/>
      <x:c r="AR310" s="139" t="n"/>
      <x:c r="AS310" s="139" t="n"/>
      <x:c r="AT310" s="139" t="n"/>
      <x:c r="AU310" s="139" t="n"/>
      <x:c r="AV310" s="139" t="n"/>
      <x:c r="AW310" s="139" t="n"/>
      <x:c r="AX310" s="139" t="n"/>
      <x:c r="AY310" s="139" t="n"/>
      <x:c r="AZ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c r="V311" s="139" t="n"/>
      <x:c r="W311" s="139" t="n"/>
      <x:c r="X311" s="139" t="n"/>
      <x:c r="Y311" s="139" t="n"/>
      <x:c r="Z311" s="139" t="n"/>
      <x:c r="AA311" s="139" t="n"/>
      <x:c r="AB311" s="139" t="n"/>
      <x:c r="AC311" s="139" t="n"/>
      <x:c r="AD311" s="139" t="n"/>
      <x:c r="AE311" s="139" t="n"/>
      <x:c r="AF311" s="139" t="n"/>
      <x:c r="AG311" s="139" t="n"/>
      <x:c r="AH311" s="139" t="n"/>
      <x:c r="AI311" s="139" t="n"/>
      <x:c r="AJ311" s="139" t="n"/>
      <x:c r="AK311" s="139" t="n"/>
      <x:c r="AL311" s="139" t="n"/>
      <x:c r="AM311" s="139" t="n"/>
      <x:c r="AN311" s="139" t="n"/>
      <x:c r="AO311" s="139" t="n"/>
      <x:c r="AP311" s="139" t="n"/>
      <x:c r="AQ311" s="139" t="n"/>
      <x:c r="AR311" s="139" t="n"/>
      <x:c r="AS311" s="139" t="n"/>
      <x:c r="AT311" s="139" t="n"/>
      <x:c r="AU311" s="139" t="n"/>
      <x:c r="AV311" s="139" t="n"/>
      <x:c r="AW311" s="139" t="n"/>
      <x:c r="AX311" s="139" t="n"/>
      <x:c r="AY311" s="139" t="n"/>
      <x:c r="AZ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c r="V312" s="139" t="n"/>
      <x:c r="W312" s="139" t="n"/>
      <x:c r="X312" s="139" t="n"/>
      <x:c r="Y312" s="139" t="n"/>
      <x:c r="Z312" s="139" t="n"/>
      <x:c r="AA312" s="139" t="n"/>
      <x:c r="AB312" s="139" t="n"/>
      <x:c r="AC312" s="139" t="n"/>
      <x:c r="AD312" s="139" t="n"/>
      <x:c r="AE312" s="139" t="n"/>
      <x:c r="AF312" s="139" t="n"/>
      <x:c r="AG312" s="139" t="n"/>
      <x:c r="AH312" s="139" t="n"/>
      <x:c r="AI312" s="139" t="n"/>
      <x:c r="AJ312" s="139" t="n"/>
      <x:c r="AK312" s="139" t="n"/>
      <x:c r="AL312" s="139" t="n"/>
      <x:c r="AM312" s="139" t="n"/>
      <x:c r="AN312" s="139" t="n"/>
      <x:c r="AO312" s="139" t="n"/>
      <x:c r="AP312" s="139" t="n"/>
      <x:c r="AQ312" s="139" t="n"/>
      <x:c r="AR312" s="139" t="n"/>
      <x:c r="AS312" s="139" t="n"/>
      <x:c r="AT312" s="139" t="n"/>
      <x:c r="AU312" s="139" t="n"/>
      <x:c r="AV312" s="139" t="n"/>
      <x:c r="AW312" s="139" t="n"/>
      <x:c r="AX312" s="139" t="n"/>
      <x:c r="AY312" s="139" t="n"/>
      <x:c r="AZ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c r="V313" s="139" t="n"/>
      <x:c r="W313" s="139" t="n"/>
      <x:c r="X313" s="139" t="n"/>
      <x:c r="Y313" s="139" t="n"/>
      <x:c r="Z313" s="139" t="n"/>
      <x:c r="AA313" s="139" t="n"/>
      <x:c r="AB313" s="139" t="n"/>
      <x:c r="AC313" s="139" t="n"/>
      <x:c r="AD313" s="139" t="n"/>
      <x:c r="AE313" s="139" t="n"/>
      <x:c r="AF313" s="139" t="n"/>
      <x:c r="AG313" s="139" t="n"/>
      <x:c r="AH313" s="139" t="n"/>
      <x:c r="AI313" s="139" t="n"/>
      <x:c r="AJ313" s="139" t="n"/>
      <x:c r="AK313" s="139" t="n"/>
      <x:c r="AL313" s="139" t="n"/>
      <x:c r="AM313" s="139" t="n"/>
      <x:c r="AN313" s="139" t="n"/>
      <x:c r="AO313" s="139" t="n"/>
      <x:c r="AP313" s="139" t="n"/>
      <x:c r="AQ313" s="139" t="n"/>
      <x:c r="AR313" s="139" t="n"/>
      <x:c r="AS313" s="139" t="n"/>
      <x:c r="AT313" s="139" t="n"/>
      <x:c r="AU313" s="139" t="n"/>
      <x:c r="AV313" s="139" t="n"/>
      <x:c r="AW313" s="139" t="n"/>
      <x:c r="AX313" s="139" t="n"/>
      <x:c r="AY313" s="139" t="n"/>
      <x:c r="AZ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c r="V314" s="139" t="n"/>
      <x:c r="W314" s="139" t="n"/>
      <x:c r="X314" s="139" t="n"/>
      <x:c r="Y314" s="139" t="n"/>
      <x:c r="Z314" s="139" t="n"/>
      <x:c r="AA314" s="139" t="n"/>
      <x:c r="AB314" s="139" t="n"/>
      <x:c r="AC314" s="139" t="n"/>
      <x:c r="AD314" s="139" t="n"/>
      <x:c r="AE314" s="139" t="n"/>
      <x:c r="AF314" s="139" t="n"/>
      <x:c r="AG314" s="139" t="n"/>
      <x:c r="AH314" s="139" t="n"/>
      <x:c r="AI314" s="139" t="n"/>
      <x:c r="AJ314" s="139" t="n"/>
      <x:c r="AK314" s="139" t="n"/>
      <x:c r="AL314" s="139" t="n"/>
      <x:c r="AM314" s="139" t="n"/>
      <x:c r="AN314" s="139" t="n"/>
      <x:c r="AO314" s="139" t="n"/>
      <x:c r="AP314" s="139" t="n"/>
      <x:c r="AQ314" s="139" t="n"/>
      <x:c r="AR314" s="139" t="n"/>
      <x:c r="AS314" s="139" t="n"/>
      <x:c r="AT314" s="139" t="n"/>
      <x:c r="AU314" s="139" t="n"/>
      <x:c r="AV314" s="139" t="n"/>
      <x:c r="AW314" s="139" t="n"/>
      <x:c r="AX314" s="139" t="n"/>
      <x:c r="AY314" s="139" t="n"/>
      <x:c r="AZ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c r="V315" s="139" t="n"/>
      <x:c r="W315" s="139" t="n"/>
      <x:c r="X315" s="139" t="n"/>
      <x:c r="Y315" s="139" t="n"/>
      <x:c r="Z315" s="139" t="n"/>
      <x:c r="AA315" s="139" t="n"/>
      <x:c r="AB315" s="139" t="n"/>
      <x:c r="AC315" s="139" t="n"/>
      <x:c r="AD315" s="139" t="n"/>
      <x:c r="AE315" s="139" t="n"/>
      <x:c r="AF315" s="139" t="n"/>
      <x:c r="AG315" s="139" t="n"/>
      <x:c r="AH315" s="139" t="n"/>
      <x:c r="AI315" s="139" t="n"/>
      <x:c r="AJ315" s="139" t="n"/>
      <x:c r="AK315" s="139" t="n"/>
      <x:c r="AL315" s="139" t="n"/>
      <x:c r="AM315" s="139" t="n"/>
      <x:c r="AN315" s="139" t="n"/>
      <x:c r="AO315" s="139" t="n"/>
      <x:c r="AP315" s="139" t="n"/>
      <x:c r="AQ315" s="139" t="n"/>
      <x:c r="AR315" s="139" t="n"/>
      <x:c r="AS315" s="139" t="n"/>
      <x:c r="AT315" s="139" t="n"/>
      <x:c r="AU315" s="139" t="n"/>
      <x:c r="AV315" s="139" t="n"/>
      <x:c r="AW315" s="139" t="n"/>
      <x:c r="AX315" s="139" t="n"/>
      <x:c r="AY315" s="139" t="n"/>
      <x:c r="AZ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c r="V316" s="139" t="n"/>
      <x:c r="W316" s="139" t="n"/>
      <x:c r="X316" s="139" t="n"/>
      <x:c r="Y316" s="139" t="n"/>
      <x:c r="Z316" s="139" t="n"/>
      <x:c r="AA316" s="139" t="n"/>
      <x:c r="AB316" s="139" t="n"/>
      <x:c r="AC316" s="139" t="n"/>
      <x:c r="AD316" s="139" t="n"/>
      <x:c r="AE316" s="139" t="n"/>
      <x:c r="AF316" s="139" t="n"/>
      <x:c r="AG316" s="139" t="n"/>
      <x:c r="AH316" s="139" t="n"/>
      <x:c r="AI316" s="139" t="n"/>
      <x:c r="AJ316" s="139" t="n"/>
      <x:c r="AK316" s="139" t="n"/>
      <x:c r="AL316" s="139" t="n"/>
      <x:c r="AM316" s="139" t="n"/>
      <x:c r="AN316" s="139" t="n"/>
      <x:c r="AO316" s="139" t="n"/>
      <x:c r="AP316" s="139" t="n"/>
      <x:c r="AQ316" s="139" t="n"/>
      <x:c r="AR316" s="139" t="n"/>
      <x:c r="AS316" s="139" t="n"/>
      <x:c r="AT316" s="139" t="n"/>
      <x:c r="AU316" s="139" t="n"/>
      <x:c r="AV316" s="139" t="n"/>
      <x:c r="AW316" s="139" t="n"/>
      <x:c r="AX316" s="139" t="n"/>
      <x:c r="AY316" s="139" t="n"/>
      <x:c r="AZ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c r="V317" s="139" t="n"/>
      <x:c r="W317" s="139" t="n"/>
      <x:c r="X317" s="139" t="n"/>
      <x:c r="Y317" s="139" t="n"/>
      <x:c r="Z317" s="139" t="n"/>
      <x:c r="AA317" s="139" t="n"/>
      <x:c r="AB317" s="139" t="n"/>
      <x:c r="AC317" s="139" t="n"/>
      <x:c r="AD317" s="139" t="n"/>
      <x:c r="AE317" s="139" t="n"/>
      <x:c r="AF317" s="139" t="n"/>
      <x:c r="AG317" s="139" t="n"/>
      <x:c r="AH317" s="139" t="n"/>
      <x:c r="AI317" s="139" t="n"/>
      <x:c r="AJ317" s="139" t="n"/>
      <x:c r="AK317" s="139" t="n"/>
      <x:c r="AL317" s="139" t="n"/>
      <x:c r="AM317" s="139" t="n"/>
      <x:c r="AN317" s="139" t="n"/>
      <x:c r="AO317" s="139" t="n"/>
      <x:c r="AP317" s="139" t="n"/>
      <x:c r="AQ317" s="139" t="n"/>
      <x:c r="AR317" s="139" t="n"/>
      <x:c r="AS317" s="139" t="n"/>
      <x:c r="AT317" s="139" t="n"/>
      <x:c r="AU317" s="139" t="n"/>
      <x:c r="AV317" s="139" t="n"/>
      <x:c r="AW317" s="139" t="n"/>
      <x:c r="AX317" s="139" t="n"/>
      <x:c r="AY317" s="139" t="n"/>
      <x:c r="AZ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c r="V318" s="139" t="n"/>
      <x:c r="W318" s="139" t="n"/>
      <x:c r="X318" s="139" t="n"/>
      <x:c r="Y318" s="139" t="n"/>
      <x:c r="Z318" s="139" t="n"/>
      <x:c r="AA318" s="139" t="n"/>
      <x:c r="AB318" s="139" t="n"/>
      <x:c r="AC318" s="139" t="n"/>
      <x:c r="AD318" s="139" t="n"/>
      <x:c r="AE318" s="139" t="n"/>
      <x:c r="AF318" s="139" t="n"/>
      <x:c r="AG318" s="139" t="n"/>
      <x:c r="AH318" s="139" t="n"/>
      <x:c r="AI318" s="139" t="n"/>
      <x:c r="AJ318" s="139" t="n"/>
      <x:c r="AK318" s="139" t="n"/>
      <x:c r="AL318" s="139" t="n"/>
      <x:c r="AM318" s="139" t="n"/>
      <x:c r="AN318" s="139" t="n"/>
      <x:c r="AO318" s="139" t="n"/>
      <x:c r="AP318" s="139" t="n"/>
      <x:c r="AQ318" s="139" t="n"/>
      <x:c r="AR318" s="139" t="n"/>
      <x:c r="AS318" s="139" t="n"/>
      <x:c r="AT318" s="139" t="n"/>
      <x:c r="AU318" s="139" t="n"/>
      <x:c r="AV318" s="139" t="n"/>
      <x:c r="AW318" s="139" t="n"/>
      <x:c r="AX318" s="139" t="n"/>
      <x:c r="AY318" s="139" t="n"/>
      <x:c r="AZ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c r="V319" s="139" t="n"/>
      <x:c r="W319" s="139" t="n"/>
      <x:c r="X319" s="139" t="n"/>
      <x:c r="Y319" s="139" t="n"/>
      <x:c r="Z319" s="139" t="n"/>
      <x:c r="AA319" s="139" t="n"/>
      <x:c r="AB319" s="139" t="n"/>
      <x:c r="AC319" s="139" t="n"/>
      <x:c r="AD319" s="139" t="n"/>
      <x:c r="AE319" s="139" t="n"/>
      <x:c r="AF319" s="139" t="n"/>
      <x:c r="AG319" s="139" t="n"/>
      <x:c r="AH319" s="139" t="n"/>
      <x:c r="AI319" s="139" t="n"/>
      <x:c r="AJ319" s="139" t="n"/>
      <x:c r="AK319" s="139" t="n"/>
      <x:c r="AL319" s="139" t="n"/>
      <x:c r="AM319" s="139" t="n"/>
      <x:c r="AN319" s="139" t="n"/>
      <x:c r="AO319" s="139" t="n"/>
      <x:c r="AP319" s="139" t="n"/>
      <x:c r="AQ319" s="139" t="n"/>
      <x:c r="AR319" s="139" t="n"/>
      <x:c r="AS319" s="139" t="n"/>
      <x:c r="AT319" s="139" t="n"/>
      <x:c r="AU319" s="139" t="n"/>
      <x:c r="AV319" s="139" t="n"/>
      <x:c r="AW319" s="139" t="n"/>
      <x:c r="AX319" s="139" t="n"/>
      <x:c r="AY319" s="139" t="n"/>
      <x:c r="AZ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c r="V320" s="139" t="n"/>
      <x:c r="W320" s="139" t="n"/>
      <x:c r="X320" s="139" t="n"/>
      <x:c r="Y320" s="139" t="n"/>
      <x:c r="Z320" s="139" t="n"/>
      <x:c r="AA320" s="139" t="n"/>
      <x:c r="AB320" s="139" t="n"/>
      <x:c r="AC320" s="139" t="n"/>
      <x:c r="AD320" s="139" t="n"/>
      <x:c r="AE320" s="139" t="n"/>
      <x:c r="AF320" s="139" t="n"/>
      <x:c r="AG320" s="139" t="n"/>
      <x:c r="AH320" s="139" t="n"/>
      <x:c r="AI320" s="139" t="n"/>
      <x:c r="AJ320" s="139" t="n"/>
      <x:c r="AK320" s="139" t="n"/>
      <x:c r="AL320" s="139" t="n"/>
      <x:c r="AM320" s="139" t="n"/>
      <x:c r="AN320" s="139" t="n"/>
      <x:c r="AO320" s="139" t="n"/>
      <x:c r="AP320" s="139" t="n"/>
      <x:c r="AQ320" s="139" t="n"/>
      <x:c r="AR320" s="139" t="n"/>
      <x:c r="AS320" s="139" t="n"/>
      <x:c r="AT320" s="139" t="n"/>
      <x:c r="AU320" s="139" t="n"/>
      <x:c r="AV320" s="139" t="n"/>
      <x:c r="AW320" s="139" t="n"/>
      <x:c r="AX320" s="139" t="n"/>
      <x:c r="AY320" s="139" t="n"/>
      <x:c r="AZ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c r="V321" s="139" t="n"/>
      <x:c r="W321" s="139" t="n"/>
      <x:c r="X321" s="139" t="n"/>
      <x:c r="Y321" s="139" t="n"/>
      <x:c r="Z321" s="139" t="n"/>
      <x:c r="AA321" s="139" t="n"/>
      <x:c r="AB321" s="139" t="n"/>
      <x:c r="AC321" s="139" t="n"/>
      <x:c r="AD321" s="139" t="n"/>
      <x:c r="AE321" s="139" t="n"/>
      <x:c r="AF321" s="139" t="n"/>
      <x:c r="AG321" s="139" t="n"/>
      <x:c r="AH321" s="139" t="n"/>
      <x:c r="AI321" s="139" t="n"/>
      <x:c r="AJ321" s="139" t="n"/>
      <x:c r="AK321" s="139" t="n"/>
      <x:c r="AL321" s="139" t="n"/>
      <x:c r="AM321" s="139" t="n"/>
      <x:c r="AN321" s="139" t="n"/>
      <x:c r="AO321" s="139" t="n"/>
      <x:c r="AP321" s="139" t="n"/>
      <x:c r="AQ321" s="139" t="n"/>
      <x:c r="AR321" s="139" t="n"/>
      <x:c r="AS321" s="139" t="n"/>
      <x:c r="AT321" s="139" t="n"/>
      <x:c r="AU321" s="139" t="n"/>
      <x:c r="AV321" s="139" t="n"/>
      <x:c r="AW321" s="139" t="n"/>
      <x:c r="AX321" s="139" t="n"/>
      <x:c r="AY321" s="139" t="n"/>
      <x:c r="AZ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c r="V322" s="139" t="n"/>
      <x:c r="W322" s="139" t="n"/>
      <x:c r="X322" s="139" t="n"/>
      <x:c r="Y322" s="139" t="n"/>
      <x:c r="Z322" s="139" t="n"/>
      <x:c r="AA322" s="139" t="n"/>
      <x:c r="AB322" s="139" t="n"/>
      <x:c r="AC322" s="139" t="n"/>
      <x:c r="AD322" s="139" t="n"/>
      <x:c r="AE322" s="139" t="n"/>
      <x:c r="AF322" s="139" t="n"/>
      <x:c r="AG322" s="139" t="n"/>
      <x:c r="AH322" s="139" t="n"/>
      <x:c r="AI322" s="139" t="n"/>
      <x:c r="AJ322" s="139" t="n"/>
      <x:c r="AK322" s="139" t="n"/>
      <x:c r="AL322" s="139" t="n"/>
      <x:c r="AM322" s="139" t="n"/>
      <x:c r="AN322" s="139" t="n"/>
      <x:c r="AO322" s="139" t="n"/>
      <x:c r="AP322" s="139" t="n"/>
      <x:c r="AQ322" s="139" t="n"/>
      <x:c r="AR322" s="139" t="n"/>
      <x:c r="AS322" s="139" t="n"/>
      <x:c r="AT322" s="139" t="n"/>
      <x:c r="AU322" s="139" t="n"/>
      <x:c r="AV322" s="139" t="n"/>
      <x:c r="AW322" s="139" t="n"/>
      <x:c r="AX322" s="139" t="n"/>
      <x:c r="AY322" s="139" t="n"/>
      <x:c r="AZ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c r="V323" s="139" t="n"/>
      <x:c r="W323" s="139" t="n"/>
      <x:c r="X323" s="139" t="n"/>
      <x:c r="Y323" s="139" t="n"/>
      <x:c r="Z323" s="139" t="n"/>
      <x:c r="AA323" s="139" t="n"/>
      <x:c r="AB323" s="139" t="n"/>
      <x:c r="AC323" s="139" t="n"/>
      <x:c r="AD323" s="139" t="n"/>
      <x:c r="AE323" s="139" t="n"/>
      <x:c r="AF323" s="139" t="n"/>
      <x:c r="AG323" s="139" t="n"/>
      <x:c r="AH323" s="139" t="n"/>
      <x:c r="AI323" s="139" t="n"/>
      <x:c r="AJ323" s="139" t="n"/>
      <x:c r="AK323" s="139" t="n"/>
      <x:c r="AL323" s="139" t="n"/>
      <x:c r="AM323" s="139" t="n"/>
      <x:c r="AN323" s="139" t="n"/>
      <x:c r="AO323" s="139" t="n"/>
      <x:c r="AP323" s="139" t="n"/>
      <x:c r="AQ323" s="139" t="n"/>
      <x:c r="AR323" s="139" t="n"/>
      <x:c r="AS323" s="139" t="n"/>
      <x:c r="AT323" s="139" t="n"/>
      <x:c r="AU323" s="139" t="n"/>
      <x:c r="AV323" s="139" t="n"/>
      <x:c r="AW323" s="139" t="n"/>
      <x:c r="AX323" s="139" t="n"/>
      <x:c r="AY323" s="139" t="n"/>
      <x:c r="AZ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c r="V324" s="139" t="n"/>
      <x:c r="W324" s="139" t="n"/>
      <x:c r="X324" s="139" t="n"/>
      <x:c r="Y324" s="139" t="n"/>
      <x:c r="Z324" s="139" t="n"/>
      <x:c r="AA324" s="139" t="n"/>
      <x:c r="AB324" s="139" t="n"/>
      <x:c r="AC324" s="139" t="n"/>
      <x:c r="AD324" s="139" t="n"/>
      <x:c r="AE324" s="139" t="n"/>
      <x:c r="AF324" s="139" t="n"/>
      <x:c r="AG324" s="139" t="n"/>
      <x:c r="AH324" s="139" t="n"/>
      <x:c r="AI324" s="139" t="n"/>
      <x:c r="AJ324" s="139" t="n"/>
      <x:c r="AK324" s="139" t="n"/>
      <x:c r="AL324" s="139" t="n"/>
      <x:c r="AM324" s="139" t="n"/>
      <x:c r="AN324" s="139" t="n"/>
      <x:c r="AO324" s="139" t="n"/>
      <x:c r="AP324" s="139" t="n"/>
      <x:c r="AQ324" s="139" t="n"/>
      <x:c r="AR324" s="139" t="n"/>
      <x:c r="AS324" s="139" t="n"/>
      <x:c r="AT324" s="139" t="n"/>
      <x:c r="AU324" s="139" t="n"/>
      <x:c r="AV324" s="139" t="n"/>
      <x:c r="AW324" s="139" t="n"/>
      <x:c r="AX324" s="139" t="n"/>
      <x:c r="AY324" s="139" t="n"/>
      <x:c r="AZ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c r="V325" s="139" t="n"/>
      <x:c r="W325" s="139" t="n"/>
      <x:c r="X325" s="139" t="n"/>
      <x:c r="Y325" s="139" t="n"/>
      <x:c r="Z325" s="139" t="n"/>
      <x:c r="AA325" s="139" t="n"/>
      <x:c r="AB325" s="139" t="n"/>
      <x:c r="AC325" s="139" t="n"/>
      <x:c r="AD325" s="139" t="n"/>
      <x:c r="AE325" s="139" t="n"/>
      <x:c r="AF325" s="139" t="n"/>
      <x:c r="AG325" s="139" t="n"/>
      <x:c r="AH325" s="139" t="n"/>
      <x:c r="AI325" s="139" t="n"/>
      <x:c r="AJ325" s="139" t="n"/>
      <x:c r="AK325" s="139" t="n"/>
      <x:c r="AL325" s="139" t="n"/>
      <x:c r="AM325" s="139" t="n"/>
      <x:c r="AN325" s="139" t="n"/>
      <x:c r="AO325" s="139" t="n"/>
      <x:c r="AP325" s="139" t="n"/>
      <x:c r="AQ325" s="139" t="n"/>
      <x:c r="AR325" s="139" t="n"/>
      <x:c r="AS325" s="139" t="n"/>
      <x:c r="AT325" s="139" t="n"/>
      <x:c r="AU325" s="139" t="n"/>
      <x:c r="AV325" s="139" t="n"/>
      <x:c r="AW325" s="139" t="n"/>
      <x:c r="AX325" s="139" t="n"/>
      <x:c r="AY325" s="139" t="n"/>
      <x:c r="AZ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c r="V326" s="139" t="n"/>
      <x:c r="W326" s="139" t="n"/>
      <x:c r="X326" s="139" t="n"/>
      <x:c r="Y326" s="139" t="n"/>
      <x:c r="Z326" s="139" t="n"/>
      <x:c r="AA326" s="139" t="n"/>
      <x:c r="AB326" s="139" t="n"/>
      <x:c r="AC326" s="139" t="n"/>
      <x:c r="AD326" s="139" t="n"/>
      <x:c r="AE326" s="139" t="n"/>
      <x:c r="AF326" s="139" t="n"/>
      <x:c r="AG326" s="139" t="n"/>
      <x:c r="AH326" s="139" t="n"/>
      <x:c r="AI326" s="139" t="n"/>
      <x:c r="AJ326" s="139" t="n"/>
      <x:c r="AK326" s="139" t="n"/>
      <x:c r="AL326" s="139" t="n"/>
      <x:c r="AM326" s="139" t="n"/>
      <x:c r="AN326" s="139" t="n"/>
      <x:c r="AO326" s="139" t="n"/>
      <x:c r="AP326" s="139" t="n"/>
      <x:c r="AQ326" s="139" t="n"/>
      <x:c r="AR326" s="139" t="n"/>
      <x:c r="AS326" s="139" t="n"/>
      <x:c r="AT326" s="139" t="n"/>
      <x:c r="AU326" s="139" t="n"/>
      <x:c r="AV326" s="139" t="n"/>
      <x:c r="AW326" s="139" t="n"/>
      <x:c r="AX326" s="139" t="n"/>
      <x:c r="AY326" s="139" t="n"/>
      <x:c r="AZ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c r="V327" s="139" t="n"/>
      <x:c r="W327" s="139" t="n"/>
      <x:c r="X327" s="139" t="n"/>
      <x:c r="Y327" s="139" t="n"/>
      <x:c r="Z327" s="139" t="n"/>
      <x:c r="AA327" s="139" t="n"/>
      <x:c r="AB327" s="139" t="n"/>
      <x:c r="AC327" s="139" t="n"/>
      <x:c r="AD327" s="139" t="n"/>
      <x:c r="AE327" s="139" t="n"/>
      <x:c r="AF327" s="139" t="n"/>
      <x:c r="AG327" s="139" t="n"/>
      <x:c r="AH327" s="139" t="n"/>
      <x:c r="AI327" s="139" t="n"/>
      <x:c r="AJ327" s="139" t="n"/>
      <x:c r="AK327" s="139" t="n"/>
      <x:c r="AL327" s="139" t="n"/>
      <x:c r="AM327" s="139" t="n"/>
      <x:c r="AN327" s="139" t="n"/>
      <x:c r="AO327" s="139" t="n"/>
      <x:c r="AP327" s="139" t="n"/>
      <x:c r="AQ327" s="139" t="n"/>
      <x:c r="AR327" s="139" t="n"/>
      <x:c r="AS327" s="139" t="n"/>
      <x:c r="AT327" s="139" t="n"/>
      <x:c r="AU327" s="139" t="n"/>
      <x:c r="AV327" s="139" t="n"/>
      <x:c r="AW327" s="139" t="n"/>
      <x:c r="AX327" s="139" t="n"/>
      <x:c r="AY327" s="139" t="n"/>
      <x:c r="AZ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c r="V328" s="139" t="n"/>
      <x:c r="W328" s="139" t="n"/>
      <x:c r="X328" s="139" t="n"/>
      <x:c r="Y328" s="139" t="n"/>
      <x:c r="Z328" s="139" t="n"/>
      <x:c r="AA328" s="139" t="n"/>
      <x:c r="AB328" s="139" t="n"/>
      <x:c r="AC328" s="139" t="n"/>
      <x:c r="AD328" s="139" t="n"/>
      <x:c r="AE328" s="139" t="n"/>
      <x:c r="AF328" s="139" t="n"/>
      <x:c r="AG328" s="139" t="n"/>
      <x:c r="AH328" s="139" t="n"/>
      <x:c r="AI328" s="139" t="n"/>
      <x:c r="AJ328" s="139" t="n"/>
      <x:c r="AK328" s="139" t="n"/>
      <x:c r="AL328" s="139" t="n"/>
      <x:c r="AM328" s="139" t="n"/>
      <x:c r="AN328" s="139" t="n"/>
      <x:c r="AO328" s="139" t="n"/>
      <x:c r="AP328" s="139" t="n"/>
      <x:c r="AQ328" s="139" t="n"/>
      <x:c r="AR328" s="139" t="n"/>
      <x:c r="AS328" s="139" t="n"/>
      <x:c r="AT328" s="139" t="n"/>
      <x:c r="AU328" s="139" t="n"/>
      <x:c r="AV328" s="139" t="n"/>
      <x:c r="AW328" s="139" t="n"/>
      <x:c r="AX328" s="139" t="n"/>
      <x:c r="AY328" s="139" t="n"/>
      <x:c r="AZ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c r="V329" s="139" t="n"/>
      <x:c r="W329" s="139" t="n"/>
      <x:c r="X329" s="139" t="n"/>
      <x:c r="Y329" s="139" t="n"/>
      <x:c r="Z329" s="139" t="n"/>
      <x:c r="AA329" s="139" t="n"/>
      <x:c r="AB329" s="139" t="n"/>
      <x:c r="AC329" s="139" t="n"/>
      <x:c r="AD329" s="139" t="n"/>
      <x:c r="AE329" s="139" t="n"/>
      <x:c r="AF329" s="139" t="n"/>
      <x:c r="AG329" s="139" t="n"/>
      <x:c r="AH329" s="139" t="n"/>
      <x:c r="AI329" s="139" t="n"/>
      <x:c r="AJ329" s="139" t="n"/>
      <x:c r="AK329" s="139" t="n"/>
      <x:c r="AL329" s="139" t="n"/>
      <x:c r="AM329" s="139" t="n"/>
      <x:c r="AN329" s="139" t="n"/>
      <x:c r="AO329" s="139" t="n"/>
      <x:c r="AP329" s="139" t="n"/>
      <x:c r="AQ329" s="139" t="n"/>
      <x:c r="AR329" s="139" t="n"/>
      <x:c r="AS329" s="139" t="n"/>
      <x:c r="AT329" s="139" t="n"/>
      <x:c r="AU329" s="139" t="n"/>
      <x:c r="AV329" s="139" t="n"/>
      <x:c r="AW329" s="139" t="n"/>
      <x:c r="AX329" s="139" t="n"/>
      <x:c r="AY329" s="139" t="n"/>
      <x:c r="AZ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c r="V330" s="139" t="n"/>
      <x:c r="W330" s="139" t="n"/>
      <x:c r="X330" s="139" t="n"/>
      <x:c r="Y330" s="139" t="n"/>
      <x:c r="Z330" s="139" t="n"/>
      <x:c r="AA330" s="139" t="n"/>
      <x:c r="AB330" s="139" t="n"/>
      <x:c r="AC330" s="139" t="n"/>
      <x:c r="AD330" s="139" t="n"/>
      <x:c r="AE330" s="139" t="n"/>
      <x:c r="AF330" s="139" t="n"/>
      <x:c r="AG330" s="139" t="n"/>
      <x:c r="AH330" s="139" t="n"/>
      <x:c r="AI330" s="139" t="n"/>
      <x:c r="AJ330" s="139" t="n"/>
      <x:c r="AK330" s="139" t="n"/>
      <x:c r="AL330" s="139" t="n"/>
      <x:c r="AM330" s="139" t="n"/>
      <x:c r="AN330" s="139" t="n"/>
      <x:c r="AO330" s="139" t="n"/>
      <x:c r="AP330" s="139" t="n"/>
      <x:c r="AQ330" s="139" t="n"/>
      <x:c r="AR330" s="139" t="n"/>
      <x:c r="AS330" s="139" t="n"/>
      <x:c r="AT330" s="139" t="n"/>
      <x:c r="AU330" s="139" t="n"/>
      <x:c r="AV330" s="139" t="n"/>
      <x:c r="AW330" s="139" t="n"/>
      <x:c r="AX330" s="139" t="n"/>
      <x:c r="AY330" s="139" t="n"/>
      <x:c r="AZ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c r="V331" s="139" t="n"/>
      <x:c r="W331" s="139" t="n"/>
      <x:c r="X331" s="139" t="n"/>
      <x:c r="Y331" s="139" t="n"/>
      <x:c r="Z331" s="139" t="n"/>
      <x:c r="AA331" s="139" t="n"/>
      <x:c r="AB331" s="139" t="n"/>
      <x:c r="AC331" s="139" t="n"/>
      <x:c r="AD331" s="139" t="n"/>
      <x:c r="AE331" s="139" t="n"/>
      <x:c r="AF331" s="139" t="n"/>
      <x:c r="AG331" s="139" t="n"/>
      <x:c r="AH331" s="139" t="n"/>
      <x:c r="AI331" s="139" t="n"/>
      <x:c r="AJ331" s="139" t="n"/>
      <x:c r="AK331" s="139" t="n"/>
      <x:c r="AL331" s="139" t="n"/>
      <x:c r="AM331" s="139" t="n"/>
      <x:c r="AN331" s="139" t="n"/>
      <x:c r="AO331" s="139" t="n"/>
      <x:c r="AP331" s="139" t="n"/>
      <x:c r="AQ331" s="139" t="n"/>
      <x:c r="AR331" s="139" t="n"/>
      <x:c r="AS331" s="139" t="n"/>
      <x:c r="AT331" s="139" t="n"/>
      <x:c r="AU331" s="139" t="n"/>
      <x:c r="AV331" s="139" t="n"/>
      <x:c r="AW331" s="139" t="n"/>
      <x:c r="AX331" s="139" t="n"/>
      <x:c r="AY331" s="139" t="n"/>
      <x:c r="AZ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c r="V332" s="139" t="n"/>
      <x:c r="W332" s="139" t="n"/>
      <x:c r="X332" s="139" t="n"/>
      <x:c r="Y332" s="139" t="n"/>
      <x:c r="Z332" s="139" t="n"/>
      <x:c r="AA332" s="139" t="n"/>
      <x:c r="AB332" s="139" t="n"/>
      <x:c r="AC332" s="139" t="n"/>
      <x:c r="AD332" s="139" t="n"/>
      <x:c r="AE332" s="139" t="n"/>
      <x:c r="AF332" s="139" t="n"/>
      <x:c r="AG332" s="139" t="n"/>
      <x:c r="AH332" s="139" t="n"/>
      <x:c r="AI332" s="139" t="n"/>
      <x:c r="AJ332" s="139" t="n"/>
      <x:c r="AK332" s="139" t="n"/>
      <x:c r="AL332" s="139" t="n"/>
      <x:c r="AM332" s="139" t="n"/>
      <x:c r="AN332" s="139" t="n"/>
      <x:c r="AO332" s="139" t="n"/>
      <x:c r="AP332" s="139" t="n"/>
      <x:c r="AQ332" s="139" t="n"/>
      <x:c r="AR332" s="139" t="n"/>
      <x:c r="AS332" s="139" t="n"/>
      <x:c r="AT332" s="139" t="n"/>
      <x:c r="AU332" s="139" t="n"/>
      <x:c r="AV332" s="139" t="n"/>
      <x:c r="AW332" s="139" t="n"/>
      <x:c r="AX332" s="139" t="n"/>
      <x:c r="AY332" s="139" t="n"/>
      <x:c r="AZ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c r="V333" s="139" t="n"/>
      <x:c r="W333" s="139" t="n"/>
      <x:c r="X333" s="139" t="n"/>
      <x:c r="Y333" s="139" t="n"/>
      <x:c r="Z333" s="139" t="n"/>
      <x:c r="AA333" s="139" t="n"/>
      <x:c r="AB333" s="139" t="n"/>
      <x:c r="AC333" s="139" t="n"/>
      <x:c r="AD333" s="139" t="n"/>
      <x:c r="AE333" s="139" t="n"/>
      <x:c r="AF333" s="139" t="n"/>
      <x:c r="AG333" s="139" t="n"/>
      <x:c r="AH333" s="139" t="n"/>
      <x:c r="AI333" s="139" t="n"/>
      <x:c r="AJ333" s="139" t="n"/>
      <x:c r="AK333" s="139" t="n"/>
      <x:c r="AL333" s="139" t="n"/>
      <x:c r="AM333" s="139" t="n"/>
      <x:c r="AN333" s="139" t="n"/>
      <x:c r="AO333" s="139" t="n"/>
      <x:c r="AP333" s="139" t="n"/>
      <x:c r="AQ333" s="139" t="n"/>
      <x:c r="AR333" s="139" t="n"/>
      <x:c r="AS333" s="139" t="n"/>
      <x:c r="AT333" s="139" t="n"/>
      <x:c r="AU333" s="139" t="n"/>
      <x:c r="AV333" s="139" t="n"/>
      <x:c r="AW333" s="139" t="n"/>
      <x:c r="AX333" s="139" t="n"/>
      <x:c r="AY333" s="139" t="n"/>
      <x:c r="AZ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c r="V334" s="139" t="n"/>
      <x:c r="W334" s="139" t="n"/>
      <x:c r="X334" s="139" t="n"/>
      <x:c r="Y334" s="139" t="n"/>
      <x:c r="Z334" s="139" t="n"/>
      <x:c r="AA334" s="139" t="n"/>
      <x:c r="AB334" s="139" t="n"/>
      <x:c r="AC334" s="139" t="n"/>
      <x:c r="AD334" s="139" t="n"/>
      <x:c r="AE334" s="139" t="n"/>
      <x:c r="AF334" s="139" t="n"/>
      <x:c r="AG334" s="139" t="n"/>
      <x:c r="AH334" s="139" t="n"/>
      <x:c r="AI334" s="139" t="n"/>
      <x:c r="AJ334" s="139" t="n"/>
      <x:c r="AK334" s="139" t="n"/>
      <x:c r="AL334" s="139" t="n"/>
      <x:c r="AM334" s="139" t="n"/>
      <x:c r="AN334" s="139" t="n"/>
      <x:c r="AO334" s="139" t="n"/>
      <x:c r="AP334" s="139" t="n"/>
      <x:c r="AQ334" s="139" t="n"/>
      <x:c r="AR334" s="139" t="n"/>
      <x:c r="AS334" s="139" t="n"/>
      <x:c r="AT334" s="139" t="n"/>
      <x:c r="AU334" s="139" t="n"/>
      <x:c r="AV334" s="139" t="n"/>
      <x:c r="AW334" s="139" t="n"/>
      <x:c r="AX334" s="139" t="n"/>
      <x:c r="AY334" s="139" t="n"/>
      <x:c r="AZ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c r="V335" s="139" t="n"/>
      <x:c r="W335" s="139" t="n"/>
      <x:c r="X335" s="139" t="n"/>
      <x:c r="Y335" s="139" t="n"/>
      <x:c r="Z335" s="139" t="n"/>
      <x:c r="AA335" s="139" t="n"/>
      <x:c r="AB335" s="139" t="n"/>
      <x:c r="AC335" s="139" t="n"/>
      <x:c r="AD335" s="139" t="n"/>
      <x:c r="AE335" s="139" t="n"/>
      <x:c r="AF335" s="139" t="n"/>
      <x:c r="AG335" s="139" t="n"/>
      <x:c r="AH335" s="139" t="n"/>
      <x:c r="AI335" s="139" t="n"/>
      <x:c r="AJ335" s="139" t="n"/>
      <x:c r="AK335" s="139" t="n"/>
      <x:c r="AL335" s="139" t="n"/>
      <x:c r="AM335" s="139" t="n"/>
      <x:c r="AN335" s="139" t="n"/>
      <x:c r="AO335" s="139" t="n"/>
      <x:c r="AP335" s="139" t="n"/>
      <x:c r="AQ335" s="139" t="n"/>
      <x:c r="AR335" s="139" t="n"/>
      <x:c r="AS335" s="139" t="n"/>
      <x:c r="AT335" s="139" t="n"/>
      <x:c r="AU335" s="139" t="n"/>
      <x:c r="AV335" s="139" t="n"/>
      <x:c r="AW335" s="139" t="n"/>
      <x:c r="AX335" s="139" t="n"/>
      <x:c r="AY335" s="139" t="n"/>
      <x:c r="AZ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c r="V336" s="139" t="n"/>
      <x:c r="W336" s="139" t="n"/>
      <x:c r="X336" s="139" t="n"/>
      <x:c r="Y336" s="139" t="n"/>
      <x:c r="Z336" s="139" t="n"/>
      <x:c r="AA336" s="139" t="n"/>
      <x:c r="AB336" s="139" t="n"/>
      <x:c r="AC336" s="139" t="n"/>
      <x:c r="AD336" s="139" t="n"/>
      <x:c r="AE336" s="139" t="n"/>
      <x:c r="AF336" s="139" t="n"/>
      <x:c r="AG336" s="139" t="n"/>
      <x:c r="AH336" s="139" t="n"/>
      <x:c r="AI336" s="139" t="n"/>
      <x:c r="AJ336" s="139" t="n"/>
      <x:c r="AK336" s="139" t="n"/>
      <x:c r="AL336" s="139" t="n"/>
      <x:c r="AM336" s="139" t="n"/>
      <x:c r="AN336" s="139" t="n"/>
      <x:c r="AO336" s="139" t="n"/>
      <x:c r="AP336" s="139" t="n"/>
      <x:c r="AQ336" s="139" t="n"/>
      <x:c r="AR336" s="139" t="n"/>
      <x:c r="AS336" s="139" t="n"/>
      <x:c r="AT336" s="139" t="n"/>
      <x:c r="AU336" s="139" t="n"/>
      <x:c r="AV336" s="139" t="n"/>
      <x:c r="AW336" s="139" t="n"/>
      <x:c r="AX336" s="139" t="n"/>
      <x:c r="AY336" s="139" t="n"/>
      <x:c r="AZ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c r="V337" s="139" t="n"/>
      <x:c r="W337" s="139" t="n"/>
      <x:c r="X337" s="139" t="n"/>
      <x:c r="Y337" s="139" t="n"/>
      <x:c r="Z337" s="139" t="n"/>
      <x:c r="AA337" s="139" t="n"/>
      <x:c r="AB337" s="139" t="n"/>
      <x:c r="AC337" s="139" t="n"/>
      <x:c r="AD337" s="139" t="n"/>
      <x:c r="AE337" s="139" t="n"/>
      <x:c r="AF337" s="139" t="n"/>
      <x:c r="AG337" s="139" t="n"/>
      <x:c r="AH337" s="139" t="n"/>
      <x:c r="AI337" s="139" t="n"/>
      <x:c r="AJ337" s="139" t="n"/>
      <x:c r="AK337" s="139" t="n"/>
      <x:c r="AL337" s="139" t="n"/>
      <x:c r="AM337" s="139" t="n"/>
      <x:c r="AN337" s="139" t="n"/>
      <x:c r="AO337" s="139" t="n"/>
      <x:c r="AP337" s="139" t="n"/>
      <x:c r="AQ337" s="139" t="n"/>
      <x:c r="AR337" s="139" t="n"/>
      <x:c r="AS337" s="139" t="n"/>
      <x:c r="AT337" s="139" t="n"/>
      <x:c r="AU337" s="139" t="n"/>
      <x:c r="AV337" s="139" t="n"/>
      <x:c r="AW337" s="139" t="n"/>
      <x:c r="AX337" s="139" t="n"/>
      <x:c r="AY337" s="139" t="n"/>
      <x:c r="AZ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c r="V338" s="139" t="n"/>
      <x:c r="W338" s="139" t="n"/>
      <x:c r="X338" s="139" t="n"/>
      <x:c r="Y338" s="139" t="n"/>
      <x:c r="Z338" s="139" t="n"/>
      <x:c r="AA338" s="139" t="n"/>
      <x:c r="AB338" s="139" t="n"/>
      <x:c r="AC338" s="139" t="n"/>
      <x:c r="AD338" s="139" t="n"/>
      <x:c r="AE338" s="139" t="n"/>
      <x:c r="AF338" s="139" t="n"/>
      <x:c r="AG338" s="139" t="n"/>
      <x:c r="AH338" s="139" t="n"/>
      <x:c r="AI338" s="139" t="n"/>
      <x:c r="AJ338" s="139" t="n"/>
      <x:c r="AK338" s="139" t="n"/>
      <x:c r="AL338" s="139" t="n"/>
      <x:c r="AM338" s="139" t="n"/>
      <x:c r="AN338" s="139" t="n"/>
      <x:c r="AO338" s="139" t="n"/>
      <x:c r="AP338" s="139" t="n"/>
      <x:c r="AQ338" s="139" t="n"/>
      <x:c r="AR338" s="139" t="n"/>
      <x:c r="AS338" s="139" t="n"/>
      <x:c r="AT338" s="139" t="n"/>
      <x:c r="AU338" s="139" t="n"/>
      <x:c r="AV338" s="139" t="n"/>
      <x:c r="AW338" s="139" t="n"/>
      <x:c r="AX338" s="139" t="n"/>
      <x:c r="AY338" s="139" t="n"/>
      <x:c r="AZ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c r="V339" s="139" t="n"/>
      <x:c r="W339" s="139" t="n"/>
      <x:c r="X339" s="139" t="n"/>
      <x:c r="Y339" s="139" t="n"/>
      <x:c r="Z339" s="139" t="n"/>
      <x:c r="AA339" s="139" t="n"/>
      <x:c r="AB339" s="139" t="n"/>
      <x:c r="AC339" s="139" t="n"/>
      <x:c r="AD339" s="139" t="n"/>
      <x:c r="AE339" s="139" t="n"/>
      <x:c r="AF339" s="139" t="n"/>
      <x:c r="AG339" s="139" t="n"/>
      <x:c r="AH339" s="139" t="n"/>
      <x:c r="AI339" s="139" t="n"/>
      <x:c r="AJ339" s="139" t="n"/>
      <x:c r="AK339" s="139" t="n"/>
      <x:c r="AL339" s="139" t="n"/>
      <x:c r="AM339" s="139" t="n"/>
      <x:c r="AN339" s="139" t="n"/>
      <x:c r="AO339" s="139" t="n"/>
      <x:c r="AP339" s="139" t="n"/>
      <x:c r="AQ339" s="139" t="n"/>
      <x:c r="AR339" s="139" t="n"/>
      <x:c r="AS339" s="139" t="n"/>
      <x:c r="AT339" s="139" t="n"/>
      <x:c r="AU339" s="139" t="n"/>
      <x:c r="AV339" s="139" t="n"/>
      <x:c r="AW339" s="139" t="n"/>
      <x:c r="AX339" s="139" t="n"/>
      <x:c r="AY339" s="139" t="n"/>
      <x:c r="AZ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c r="V340" s="139" t="n"/>
      <x:c r="W340" s="139" t="n"/>
      <x:c r="X340" s="139" t="n"/>
      <x:c r="Y340" s="139" t="n"/>
      <x:c r="Z340" s="139" t="n"/>
      <x:c r="AA340" s="139" t="n"/>
      <x:c r="AB340" s="139" t="n"/>
      <x:c r="AC340" s="139" t="n"/>
      <x:c r="AD340" s="139" t="n"/>
      <x:c r="AE340" s="139" t="n"/>
      <x:c r="AF340" s="139" t="n"/>
      <x:c r="AG340" s="139" t="n"/>
      <x:c r="AH340" s="139" t="n"/>
      <x:c r="AI340" s="139" t="n"/>
      <x:c r="AJ340" s="139" t="n"/>
      <x:c r="AK340" s="139" t="n"/>
      <x:c r="AL340" s="139" t="n"/>
      <x:c r="AM340" s="139" t="n"/>
      <x:c r="AN340" s="139" t="n"/>
      <x:c r="AO340" s="139" t="n"/>
      <x:c r="AP340" s="139" t="n"/>
      <x:c r="AQ340" s="139" t="n"/>
      <x:c r="AR340" s="139" t="n"/>
      <x:c r="AS340" s="139" t="n"/>
      <x:c r="AT340" s="139" t="n"/>
      <x:c r="AU340" s="139" t="n"/>
      <x:c r="AV340" s="139" t="n"/>
      <x:c r="AW340" s="139" t="n"/>
      <x:c r="AX340" s="139" t="n"/>
      <x:c r="AY340" s="139" t="n"/>
      <x:c r="AZ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c r="V341" s="139" t="n"/>
      <x:c r="W341" s="139" t="n"/>
      <x:c r="X341" s="139" t="n"/>
      <x:c r="Y341" s="139" t="n"/>
      <x:c r="Z341" s="139" t="n"/>
      <x:c r="AA341" s="139" t="n"/>
      <x:c r="AB341" s="139" t="n"/>
      <x:c r="AC341" s="139" t="n"/>
      <x:c r="AD341" s="139" t="n"/>
      <x:c r="AE341" s="139" t="n"/>
      <x:c r="AF341" s="139" t="n"/>
      <x:c r="AG341" s="139" t="n"/>
      <x:c r="AH341" s="139" t="n"/>
      <x:c r="AI341" s="139" t="n"/>
      <x:c r="AJ341" s="139" t="n"/>
      <x:c r="AK341" s="139" t="n"/>
      <x:c r="AL341" s="139" t="n"/>
      <x:c r="AM341" s="139" t="n"/>
      <x:c r="AN341" s="139" t="n"/>
      <x:c r="AO341" s="139" t="n"/>
      <x:c r="AP341" s="139" t="n"/>
      <x:c r="AQ341" s="139" t="n"/>
      <x:c r="AR341" s="139" t="n"/>
      <x:c r="AS341" s="139" t="n"/>
      <x:c r="AT341" s="139" t="n"/>
      <x:c r="AU341" s="139" t="n"/>
      <x:c r="AV341" s="139" t="n"/>
      <x:c r="AW341" s="139" t="n"/>
      <x:c r="AX341" s="139" t="n"/>
      <x:c r="AY341" s="139" t="n"/>
      <x:c r="AZ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c r="V342" s="139" t="n"/>
      <x:c r="W342" s="139" t="n"/>
      <x:c r="X342" s="139" t="n"/>
      <x:c r="Y342" s="139" t="n"/>
      <x:c r="Z342" s="139" t="n"/>
      <x:c r="AA342" s="139" t="n"/>
      <x:c r="AB342" s="139" t="n"/>
      <x:c r="AC342" s="139" t="n"/>
      <x:c r="AD342" s="139" t="n"/>
      <x:c r="AE342" s="139" t="n"/>
      <x:c r="AF342" s="139" t="n"/>
      <x:c r="AG342" s="139" t="n"/>
      <x:c r="AH342" s="139" t="n"/>
      <x:c r="AI342" s="139" t="n"/>
      <x:c r="AJ342" s="139" t="n"/>
      <x:c r="AK342" s="139" t="n"/>
      <x:c r="AL342" s="139" t="n"/>
      <x:c r="AM342" s="139" t="n"/>
      <x:c r="AN342" s="139" t="n"/>
      <x:c r="AO342" s="139" t="n"/>
      <x:c r="AP342" s="139" t="n"/>
      <x:c r="AQ342" s="139" t="n"/>
      <x:c r="AR342" s="139" t="n"/>
      <x:c r="AS342" s="139" t="n"/>
      <x:c r="AT342" s="139" t="n"/>
      <x:c r="AU342" s="139" t="n"/>
      <x:c r="AV342" s="139" t="n"/>
      <x:c r="AW342" s="139" t="n"/>
      <x:c r="AX342" s="139" t="n"/>
      <x:c r="AY342" s="139" t="n"/>
      <x:c r="AZ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c r="V343" s="139" t="n"/>
      <x:c r="W343" s="139" t="n"/>
      <x:c r="X343" s="139" t="n"/>
      <x:c r="Y343" s="139" t="n"/>
      <x:c r="Z343" s="139" t="n"/>
      <x:c r="AA343" s="139" t="n"/>
      <x:c r="AB343" s="139" t="n"/>
      <x:c r="AC343" s="139" t="n"/>
      <x:c r="AD343" s="139" t="n"/>
      <x:c r="AE343" s="139" t="n"/>
      <x:c r="AF343" s="139" t="n"/>
      <x:c r="AG343" s="139" t="n"/>
      <x:c r="AH343" s="139" t="n"/>
      <x:c r="AI343" s="139" t="n"/>
      <x:c r="AJ343" s="139" t="n"/>
      <x:c r="AK343" s="139" t="n"/>
      <x:c r="AL343" s="139" t="n"/>
      <x:c r="AM343" s="139" t="n"/>
      <x:c r="AN343" s="139" t="n"/>
      <x:c r="AO343" s="139" t="n"/>
      <x:c r="AP343" s="139" t="n"/>
      <x:c r="AQ343" s="139" t="n"/>
      <x:c r="AR343" s="139" t="n"/>
      <x:c r="AS343" s="139" t="n"/>
      <x:c r="AT343" s="139" t="n"/>
      <x:c r="AU343" s="139" t="n"/>
      <x:c r="AV343" s="139" t="n"/>
      <x:c r="AW343" s="139" t="n"/>
      <x:c r="AX343" s="139" t="n"/>
      <x:c r="AY343" s="139" t="n"/>
      <x:c r="AZ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c r="V344" s="139" t="n"/>
      <x:c r="W344" s="139" t="n"/>
      <x:c r="X344" s="139" t="n"/>
      <x:c r="Y344" s="139" t="n"/>
      <x:c r="Z344" s="139" t="n"/>
      <x:c r="AA344" s="139" t="n"/>
      <x:c r="AB344" s="139" t="n"/>
      <x:c r="AC344" s="139" t="n"/>
      <x:c r="AD344" s="139" t="n"/>
      <x:c r="AE344" s="139" t="n"/>
      <x:c r="AF344" s="139" t="n"/>
      <x:c r="AG344" s="139" t="n"/>
      <x:c r="AH344" s="139" t="n"/>
      <x:c r="AI344" s="139" t="n"/>
      <x:c r="AJ344" s="139" t="n"/>
      <x:c r="AK344" s="139" t="n"/>
      <x:c r="AL344" s="139" t="n"/>
      <x:c r="AM344" s="139" t="n"/>
      <x:c r="AN344" s="139" t="n"/>
      <x:c r="AO344" s="139" t="n"/>
      <x:c r="AP344" s="139" t="n"/>
      <x:c r="AQ344" s="139" t="n"/>
      <x:c r="AR344" s="139" t="n"/>
      <x:c r="AS344" s="139" t="n"/>
      <x:c r="AT344" s="139" t="n"/>
      <x:c r="AU344" s="139" t="n"/>
      <x:c r="AV344" s="139" t="n"/>
      <x:c r="AW344" s="139" t="n"/>
      <x:c r="AX344" s="139" t="n"/>
      <x:c r="AY344" s="139" t="n"/>
      <x:c r="AZ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c r="V345" s="139" t="n"/>
      <x:c r="W345" s="139" t="n"/>
      <x:c r="X345" s="139" t="n"/>
      <x:c r="Y345" s="139" t="n"/>
      <x:c r="Z345" s="139" t="n"/>
      <x:c r="AA345" s="139" t="n"/>
      <x:c r="AB345" s="139" t="n"/>
      <x:c r="AC345" s="139" t="n"/>
      <x:c r="AD345" s="139" t="n"/>
      <x:c r="AE345" s="139" t="n"/>
      <x:c r="AF345" s="139" t="n"/>
      <x:c r="AG345" s="139" t="n"/>
      <x:c r="AH345" s="139" t="n"/>
      <x:c r="AI345" s="139" t="n"/>
      <x:c r="AJ345" s="139" t="n"/>
      <x:c r="AK345" s="139" t="n"/>
      <x:c r="AL345" s="139" t="n"/>
      <x:c r="AM345" s="139" t="n"/>
      <x:c r="AN345" s="139" t="n"/>
      <x:c r="AO345" s="139" t="n"/>
      <x:c r="AP345" s="139" t="n"/>
      <x:c r="AQ345" s="139" t="n"/>
      <x:c r="AR345" s="139" t="n"/>
      <x:c r="AS345" s="139" t="n"/>
      <x:c r="AT345" s="139" t="n"/>
      <x:c r="AU345" s="139" t="n"/>
      <x:c r="AV345" s="139" t="n"/>
      <x:c r="AW345" s="139" t="n"/>
      <x:c r="AX345" s="139" t="n"/>
      <x:c r="AY345" s="139" t="n"/>
      <x:c r="AZ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c r="V346" s="139" t="n"/>
      <x:c r="W346" s="139" t="n"/>
      <x:c r="X346" s="139" t="n"/>
      <x:c r="Y346" s="139" t="n"/>
      <x:c r="Z346" s="139" t="n"/>
      <x:c r="AA346" s="139" t="n"/>
      <x:c r="AB346" s="139" t="n"/>
      <x:c r="AC346" s="139" t="n"/>
      <x:c r="AD346" s="139" t="n"/>
      <x:c r="AE346" s="139" t="n"/>
      <x:c r="AF346" s="139" t="n"/>
      <x:c r="AG346" s="139" t="n"/>
      <x:c r="AH346" s="139" t="n"/>
      <x:c r="AI346" s="139" t="n"/>
      <x:c r="AJ346" s="139" t="n"/>
      <x:c r="AK346" s="139" t="n"/>
      <x:c r="AL346" s="139" t="n"/>
      <x:c r="AM346" s="139" t="n"/>
      <x:c r="AN346" s="139" t="n"/>
      <x:c r="AO346" s="139" t="n"/>
      <x:c r="AP346" s="139" t="n"/>
      <x:c r="AQ346" s="139" t="n"/>
      <x:c r="AR346" s="139" t="n"/>
      <x:c r="AS346" s="139" t="n"/>
      <x:c r="AT346" s="139" t="n"/>
      <x:c r="AU346" s="139" t="n"/>
      <x:c r="AV346" s="139" t="n"/>
      <x:c r="AW346" s="139" t="n"/>
      <x:c r="AX346" s="139" t="n"/>
      <x:c r="AY346" s="139" t="n"/>
      <x:c r="AZ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c r="V347" s="139" t="n"/>
      <x:c r="W347" s="139" t="n"/>
      <x:c r="X347" s="139" t="n"/>
      <x:c r="Y347" s="139" t="n"/>
      <x:c r="Z347" s="139" t="n"/>
      <x:c r="AA347" s="139" t="n"/>
      <x:c r="AB347" s="139" t="n"/>
      <x:c r="AC347" s="139" t="n"/>
      <x:c r="AD347" s="139" t="n"/>
      <x:c r="AE347" s="139" t="n"/>
      <x:c r="AF347" s="139" t="n"/>
      <x:c r="AG347" s="139" t="n"/>
      <x:c r="AH347" s="139" t="n"/>
      <x:c r="AI347" s="139" t="n"/>
      <x:c r="AJ347" s="139" t="n"/>
      <x:c r="AK347" s="139" t="n"/>
      <x:c r="AL347" s="139" t="n"/>
      <x:c r="AM347" s="139" t="n"/>
      <x:c r="AN347" s="139" t="n"/>
      <x:c r="AO347" s="139" t="n"/>
      <x:c r="AP347" s="139" t="n"/>
      <x:c r="AQ347" s="139" t="n"/>
      <x:c r="AR347" s="139" t="n"/>
      <x:c r="AS347" s="139" t="n"/>
      <x:c r="AT347" s="139" t="n"/>
      <x:c r="AU347" s="139" t="n"/>
      <x:c r="AV347" s="139" t="n"/>
      <x:c r="AW347" s="139" t="n"/>
      <x:c r="AX347" s="139" t="n"/>
      <x:c r="AY347" s="139" t="n"/>
      <x:c r="AZ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c r="V348" s="139" t="n"/>
      <x:c r="W348" s="139" t="n"/>
      <x:c r="X348" s="139" t="n"/>
      <x:c r="Y348" s="139" t="n"/>
      <x:c r="Z348" s="139" t="n"/>
      <x:c r="AA348" s="139" t="n"/>
      <x:c r="AB348" s="139" t="n"/>
      <x:c r="AC348" s="139" t="n"/>
      <x:c r="AD348" s="139" t="n"/>
      <x:c r="AE348" s="139" t="n"/>
      <x:c r="AF348" s="139" t="n"/>
      <x:c r="AG348" s="139" t="n"/>
      <x:c r="AH348" s="139" t="n"/>
      <x:c r="AI348" s="139" t="n"/>
      <x:c r="AJ348" s="139" t="n"/>
      <x:c r="AK348" s="139" t="n"/>
      <x:c r="AL348" s="139" t="n"/>
      <x:c r="AM348" s="139" t="n"/>
      <x:c r="AN348" s="139" t="n"/>
      <x:c r="AO348" s="139" t="n"/>
      <x:c r="AP348" s="139" t="n"/>
      <x:c r="AQ348" s="139" t="n"/>
      <x:c r="AR348" s="139" t="n"/>
      <x:c r="AS348" s="139" t="n"/>
      <x:c r="AT348" s="139" t="n"/>
      <x:c r="AU348" s="139" t="n"/>
      <x:c r="AV348" s="139" t="n"/>
      <x:c r="AW348" s="139" t="n"/>
      <x:c r="AX348" s="139" t="n"/>
      <x:c r="AY348" s="139" t="n"/>
      <x:c r="AZ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c r="V349" s="139" t="n"/>
      <x:c r="W349" s="139" t="n"/>
      <x:c r="X349" s="139" t="n"/>
      <x:c r="Y349" s="139" t="n"/>
      <x:c r="Z349" s="139" t="n"/>
      <x:c r="AA349" s="139" t="n"/>
      <x:c r="AB349" s="139" t="n"/>
      <x:c r="AC349" s="139" t="n"/>
      <x:c r="AD349" s="139" t="n"/>
      <x:c r="AE349" s="139" t="n"/>
      <x:c r="AF349" s="139" t="n"/>
      <x:c r="AG349" s="139" t="n"/>
      <x:c r="AH349" s="139" t="n"/>
      <x:c r="AI349" s="139" t="n"/>
      <x:c r="AJ349" s="139" t="n"/>
      <x:c r="AK349" s="139" t="n"/>
      <x:c r="AL349" s="139" t="n"/>
      <x:c r="AM349" s="139" t="n"/>
      <x:c r="AN349" s="139" t="n"/>
      <x:c r="AO349" s="139" t="n"/>
      <x:c r="AP349" s="139" t="n"/>
      <x:c r="AQ349" s="139" t="n"/>
      <x:c r="AR349" s="139" t="n"/>
      <x:c r="AS349" s="139" t="n"/>
      <x:c r="AT349" s="139" t="n"/>
      <x:c r="AU349" s="139" t="n"/>
      <x:c r="AV349" s="139" t="n"/>
      <x:c r="AW349" s="139" t="n"/>
      <x:c r="AX349" s="139" t="n"/>
      <x:c r="AY349" s="139" t="n"/>
      <x:c r="AZ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c r="V350" s="139" t="n"/>
      <x:c r="W350" s="139" t="n"/>
      <x:c r="X350" s="139" t="n"/>
      <x:c r="Y350" s="139" t="n"/>
      <x:c r="Z350" s="139" t="n"/>
      <x:c r="AA350" s="139" t="n"/>
      <x:c r="AB350" s="139" t="n"/>
      <x:c r="AC350" s="139" t="n"/>
      <x:c r="AD350" s="139" t="n"/>
      <x:c r="AE350" s="139" t="n"/>
      <x:c r="AF350" s="139" t="n"/>
      <x:c r="AG350" s="139" t="n"/>
      <x:c r="AH350" s="139" t="n"/>
      <x:c r="AI350" s="139" t="n"/>
      <x:c r="AJ350" s="139" t="n"/>
      <x:c r="AK350" s="139" t="n"/>
      <x:c r="AL350" s="139" t="n"/>
      <x:c r="AM350" s="139" t="n"/>
      <x:c r="AN350" s="139" t="n"/>
      <x:c r="AO350" s="139" t="n"/>
      <x:c r="AP350" s="139" t="n"/>
      <x:c r="AQ350" s="139" t="n"/>
      <x:c r="AR350" s="139" t="n"/>
      <x:c r="AS350" s="139" t="n"/>
      <x:c r="AT350" s="139" t="n"/>
      <x:c r="AU350" s="139" t="n"/>
      <x:c r="AV350" s="139" t="n"/>
      <x:c r="AW350" s="139" t="n"/>
      <x:c r="AX350" s="139" t="n"/>
      <x:c r="AY350" s="139" t="n"/>
      <x:c r="AZ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c r="V351" s="139" t="n"/>
      <x:c r="W351" s="139" t="n"/>
      <x:c r="X351" s="139" t="n"/>
      <x:c r="Y351" s="139" t="n"/>
      <x:c r="Z351" s="139" t="n"/>
      <x:c r="AA351" s="139" t="n"/>
      <x:c r="AB351" s="139" t="n"/>
      <x:c r="AC351" s="139" t="n"/>
      <x:c r="AD351" s="139" t="n"/>
      <x:c r="AE351" s="139" t="n"/>
      <x:c r="AF351" s="139" t="n"/>
      <x:c r="AG351" s="139" t="n"/>
      <x:c r="AH351" s="139" t="n"/>
      <x:c r="AI351" s="139" t="n"/>
      <x:c r="AJ351" s="139" t="n"/>
      <x:c r="AK351" s="139" t="n"/>
      <x:c r="AL351" s="139" t="n"/>
      <x:c r="AM351" s="139" t="n"/>
      <x:c r="AN351" s="139" t="n"/>
      <x:c r="AO351" s="139" t="n"/>
      <x:c r="AP351" s="139" t="n"/>
      <x:c r="AQ351" s="139" t="n"/>
      <x:c r="AR351" s="139" t="n"/>
      <x:c r="AS351" s="139" t="n"/>
      <x:c r="AT351" s="139" t="n"/>
      <x:c r="AU351" s="139" t="n"/>
      <x:c r="AV351" s="139" t="n"/>
      <x:c r="AW351" s="139" t="n"/>
      <x:c r="AX351" s="139" t="n"/>
      <x:c r="AY351" s="139" t="n"/>
      <x:c r="AZ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c r="V352" s="139" t="n"/>
      <x:c r="W352" s="139" t="n"/>
      <x:c r="X352" s="139" t="n"/>
      <x:c r="Y352" s="139" t="n"/>
      <x:c r="Z352" s="139" t="n"/>
      <x:c r="AA352" s="139" t="n"/>
      <x:c r="AB352" s="139" t="n"/>
      <x:c r="AC352" s="139" t="n"/>
      <x:c r="AD352" s="139" t="n"/>
      <x:c r="AE352" s="139" t="n"/>
      <x:c r="AF352" s="139" t="n"/>
      <x:c r="AG352" s="139" t="n"/>
      <x:c r="AH352" s="139" t="n"/>
      <x:c r="AI352" s="139" t="n"/>
      <x:c r="AJ352" s="139" t="n"/>
      <x:c r="AK352" s="139" t="n"/>
      <x:c r="AL352" s="139" t="n"/>
      <x:c r="AM352" s="139" t="n"/>
      <x:c r="AN352" s="139" t="n"/>
      <x:c r="AO352" s="139" t="n"/>
      <x:c r="AP352" s="139" t="n"/>
      <x:c r="AQ352" s="139" t="n"/>
      <x:c r="AR352" s="139" t="n"/>
      <x:c r="AS352" s="139" t="n"/>
      <x:c r="AT352" s="139" t="n"/>
      <x:c r="AU352" s="139" t="n"/>
      <x:c r="AV352" s="139" t="n"/>
      <x:c r="AW352" s="139" t="n"/>
      <x:c r="AX352" s="139" t="n"/>
      <x:c r="AY352" s="139" t="n"/>
      <x:c r="AZ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c r="V353" s="139" t="n"/>
      <x:c r="W353" s="139" t="n"/>
      <x:c r="X353" s="139" t="n"/>
      <x:c r="Y353" s="139" t="n"/>
      <x:c r="Z353" s="139" t="n"/>
      <x:c r="AA353" s="139" t="n"/>
      <x:c r="AB353" s="139" t="n"/>
      <x:c r="AC353" s="139" t="n"/>
      <x:c r="AD353" s="139" t="n"/>
      <x:c r="AE353" s="139" t="n"/>
      <x:c r="AF353" s="139" t="n"/>
      <x:c r="AG353" s="139" t="n"/>
      <x:c r="AH353" s="139" t="n"/>
      <x:c r="AI353" s="139" t="n"/>
      <x:c r="AJ353" s="139" t="n"/>
      <x:c r="AK353" s="139" t="n"/>
      <x:c r="AL353" s="139" t="n"/>
      <x:c r="AM353" s="139" t="n"/>
      <x:c r="AN353" s="139" t="n"/>
      <x:c r="AO353" s="139" t="n"/>
      <x:c r="AP353" s="139" t="n"/>
      <x:c r="AQ353" s="139" t="n"/>
      <x:c r="AR353" s="139" t="n"/>
      <x:c r="AS353" s="139" t="n"/>
      <x:c r="AT353" s="139" t="n"/>
      <x:c r="AU353" s="139" t="n"/>
      <x:c r="AV353" s="139" t="n"/>
      <x:c r="AW353" s="139" t="n"/>
      <x:c r="AX353" s="139" t="n"/>
      <x:c r="AY353" s="139" t="n"/>
      <x:c r="AZ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c r="V354" s="139" t="n"/>
      <x:c r="W354" s="139" t="n"/>
      <x:c r="X354" s="139" t="n"/>
      <x:c r="Y354" s="139" t="n"/>
      <x:c r="Z354" s="139" t="n"/>
      <x:c r="AA354" s="139" t="n"/>
      <x:c r="AB354" s="139" t="n"/>
      <x:c r="AC354" s="139" t="n"/>
      <x:c r="AD354" s="139" t="n"/>
      <x:c r="AE354" s="139" t="n"/>
      <x:c r="AF354" s="139" t="n"/>
      <x:c r="AG354" s="139" t="n"/>
      <x:c r="AH354" s="139" t="n"/>
      <x:c r="AI354" s="139" t="n"/>
      <x:c r="AJ354" s="139" t="n"/>
      <x:c r="AK354" s="139" t="n"/>
      <x:c r="AL354" s="139" t="n"/>
      <x:c r="AM354" s="139" t="n"/>
      <x:c r="AN354" s="139" t="n"/>
      <x:c r="AO354" s="139" t="n"/>
      <x:c r="AP354" s="139" t="n"/>
      <x:c r="AQ354" s="139" t="n"/>
      <x:c r="AR354" s="139" t="n"/>
      <x:c r="AS354" s="139" t="n"/>
      <x:c r="AT354" s="139" t="n"/>
      <x:c r="AU354" s="139" t="n"/>
      <x:c r="AV354" s="139" t="n"/>
      <x:c r="AW354" s="139" t="n"/>
      <x:c r="AX354" s="139" t="n"/>
      <x:c r="AY354" s="139" t="n"/>
      <x:c r="AZ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c r="V355" s="139" t="n"/>
      <x:c r="W355" s="139" t="n"/>
      <x:c r="X355" s="139" t="n"/>
      <x:c r="Y355" s="139" t="n"/>
      <x:c r="Z355" s="139" t="n"/>
      <x:c r="AA355" s="139" t="n"/>
      <x:c r="AB355" s="139" t="n"/>
      <x:c r="AC355" s="139" t="n"/>
      <x:c r="AD355" s="139" t="n"/>
      <x:c r="AE355" s="139" t="n"/>
      <x:c r="AF355" s="139" t="n"/>
      <x:c r="AG355" s="139" t="n"/>
      <x:c r="AH355" s="139" t="n"/>
      <x:c r="AI355" s="139" t="n"/>
      <x:c r="AJ355" s="139" t="n"/>
      <x:c r="AK355" s="139" t="n"/>
      <x:c r="AL355" s="139" t="n"/>
      <x:c r="AM355" s="139" t="n"/>
      <x:c r="AN355" s="139" t="n"/>
      <x:c r="AO355" s="139" t="n"/>
      <x:c r="AP355" s="139" t="n"/>
      <x:c r="AQ355" s="139" t="n"/>
      <x:c r="AR355" s="139" t="n"/>
      <x:c r="AS355" s="139" t="n"/>
      <x:c r="AT355" s="139" t="n"/>
      <x:c r="AU355" s="139" t="n"/>
      <x:c r="AV355" s="139" t="n"/>
      <x:c r="AW355" s="139" t="n"/>
      <x:c r="AX355" s="139" t="n"/>
      <x:c r="AY355" s="139" t="n"/>
      <x:c r="AZ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c r="V356" s="139" t="n"/>
      <x:c r="W356" s="139" t="n"/>
      <x:c r="X356" s="139" t="n"/>
      <x:c r="Y356" s="139" t="n"/>
      <x:c r="Z356" s="139" t="n"/>
      <x:c r="AA356" s="139" t="n"/>
      <x:c r="AB356" s="139" t="n"/>
      <x:c r="AC356" s="139" t="n"/>
      <x:c r="AD356" s="139" t="n"/>
      <x:c r="AE356" s="139" t="n"/>
      <x:c r="AF356" s="139" t="n"/>
      <x:c r="AG356" s="139" t="n"/>
      <x:c r="AH356" s="139" t="n"/>
      <x:c r="AI356" s="139" t="n"/>
      <x:c r="AJ356" s="139" t="n"/>
      <x:c r="AK356" s="139" t="n"/>
      <x:c r="AL356" s="139" t="n"/>
      <x:c r="AM356" s="139" t="n"/>
      <x:c r="AN356" s="139" t="n"/>
      <x:c r="AO356" s="139" t="n"/>
      <x:c r="AP356" s="139" t="n"/>
      <x:c r="AQ356" s="139" t="n"/>
      <x:c r="AR356" s="139" t="n"/>
      <x:c r="AS356" s="139" t="n"/>
      <x:c r="AT356" s="139" t="n"/>
      <x:c r="AU356" s="139" t="n"/>
      <x:c r="AV356" s="139" t="n"/>
      <x:c r="AW356" s="139" t="n"/>
      <x:c r="AX356" s="139" t="n"/>
      <x:c r="AY356" s="139" t="n"/>
      <x:c r="AZ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c r="V357" s="139" t="n"/>
      <x:c r="W357" s="139" t="n"/>
      <x:c r="X357" s="139" t="n"/>
      <x:c r="Y357" s="139" t="n"/>
      <x:c r="Z357" s="139" t="n"/>
      <x:c r="AA357" s="139" t="n"/>
      <x:c r="AB357" s="139" t="n"/>
      <x:c r="AC357" s="139" t="n"/>
      <x:c r="AD357" s="139" t="n"/>
      <x:c r="AE357" s="139" t="n"/>
      <x:c r="AF357" s="139" t="n"/>
      <x:c r="AG357" s="139" t="n"/>
      <x:c r="AH357" s="139" t="n"/>
      <x:c r="AI357" s="139" t="n"/>
      <x:c r="AJ357" s="139" t="n"/>
      <x:c r="AK357" s="139" t="n"/>
      <x:c r="AL357" s="139" t="n"/>
      <x:c r="AM357" s="139" t="n"/>
      <x:c r="AN357" s="139" t="n"/>
      <x:c r="AO357" s="139" t="n"/>
      <x:c r="AP357" s="139" t="n"/>
      <x:c r="AQ357" s="139" t="n"/>
      <x:c r="AR357" s="139" t="n"/>
      <x:c r="AS357" s="139" t="n"/>
      <x:c r="AT357" s="139" t="n"/>
      <x:c r="AU357" s="139" t="n"/>
      <x:c r="AV357" s="139" t="n"/>
      <x:c r="AW357" s="139" t="n"/>
      <x:c r="AX357" s="139" t="n"/>
      <x:c r="AY357" s="139" t="n"/>
      <x:c r="AZ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c r="V358" s="139" t="n"/>
      <x:c r="W358" s="139" t="n"/>
      <x:c r="X358" s="139" t="n"/>
      <x:c r="Y358" s="139" t="n"/>
      <x:c r="Z358" s="139" t="n"/>
      <x:c r="AA358" s="139" t="n"/>
      <x:c r="AB358" s="139" t="n"/>
      <x:c r="AC358" s="139" t="n"/>
      <x:c r="AD358" s="139" t="n"/>
      <x:c r="AE358" s="139" t="n"/>
      <x:c r="AF358" s="139" t="n"/>
      <x:c r="AG358" s="139" t="n"/>
      <x:c r="AH358" s="139" t="n"/>
      <x:c r="AI358" s="139" t="n"/>
      <x:c r="AJ358" s="139" t="n"/>
      <x:c r="AK358" s="139" t="n"/>
      <x:c r="AL358" s="139" t="n"/>
      <x:c r="AM358" s="139" t="n"/>
      <x:c r="AN358" s="139" t="n"/>
      <x:c r="AO358" s="139" t="n"/>
      <x:c r="AP358" s="139" t="n"/>
      <x:c r="AQ358" s="139" t="n"/>
      <x:c r="AR358" s="139" t="n"/>
      <x:c r="AS358" s="139" t="n"/>
      <x:c r="AT358" s="139" t="n"/>
      <x:c r="AU358" s="139" t="n"/>
      <x:c r="AV358" s="139" t="n"/>
      <x:c r="AW358" s="139" t="n"/>
      <x:c r="AX358" s="139" t="n"/>
      <x:c r="AY358" s="139" t="n"/>
      <x:c r="AZ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c r="V359" s="139" t="n"/>
      <x:c r="W359" s="139" t="n"/>
      <x:c r="X359" s="139" t="n"/>
      <x:c r="Y359" s="139" t="n"/>
      <x:c r="Z359" s="139" t="n"/>
      <x:c r="AA359" s="139" t="n"/>
      <x:c r="AB359" s="139" t="n"/>
      <x:c r="AC359" s="139" t="n"/>
      <x:c r="AD359" s="139" t="n"/>
      <x:c r="AE359" s="139" t="n"/>
      <x:c r="AF359" s="139" t="n"/>
      <x:c r="AG359" s="139" t="n"/>
      <x:c r="AH359" s="139" t="n"/>
      <x:c r="AI359" s="139" t="n"/>
      <x:c r="AJ359" s="139" t="n"/>
      <x:c r="AK359" s="139" t="n"/>
      <x:c r="AL359" s="139" t="n"/>
      <x:c r="AM359" s="139" t="n"/>
      <x:c r="AN359" s="139" t="n"/>
      <x:c r="AO359" s="139" t="n"/>
      <x:c r="AP359" s="139" t="n"/>
      <x:c r="AQ359" s="139" t="n"/>
      <x:c r="AR359" s="139" t="n"/>
      <x:c r="AS359" s="139" t="n"/>
      <x:c r="AT359" s="139" t="n"/>
      <x:c r="AU359" s="139" t="n"/>
      <x:c r="AV359" s="139" t="n"/>
      <x:c r="AW359" s="139" t="n"/>
      <x:c r="AX359" s="139" t="n"/>
      <x:c r="AY359" s="139" t="n"/>
      <x:c r="AZ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c r="V360" s="139" t="n"/>
      <x:c r="W360" s="139" t="n"/>
      <x:c r="X360" s="139" t="n"/>
      <x:c r="Y360" s="139" t="n"/>
      <x:c r="Z360" s="139" t="n"/>
      <x:c r="AA360" s="139" t="n"/>
      <x:c r="AB360" s="139" t="n"/>
      <x:c r="AC360" s="139" t="n"/>
      <x:c r="AD360" s="139" t="n"/>
      <x:c r="AE360" s="139" t="n"/>
      <x:c r="AF360" s="139" t="n"/>
      <x:c r="AG360" s="139" t="n"/>
      <x:c r="AH360" s="139" t="n"/>
      <x:c r="AI360" s="139" t="n"/>
      <x:c r="AJ360" s="139" t="n"/>
      <x:c r="AK360" s="139" t="n"/>
      <x:c r="AL360" s="139" t="n"/>
      <x:c r="AM360" s="139" t="n"/>
      <x:c r="AN360" s="139" t="n"/>
      <x:c r="AO360" s="139" t="n"/>
      <x:c r="AP360" s="139" t="n"/>
      <x:c r="AQ360" s="139" t="n"/>
      <x:c r="AR360" s="139" t="n"/>
      <x:c r="AS360" s="139" t="n"/>
      <x:c r="AT360" s="139" t="n"/>
      <x:c r="AU360" s="139" t="n"/>
      <x:c r="AV360" s="139" t="n"/>
      <x:c r="AW360" s="139" t="n"/>
      <x:c r="AX360" s="139" t="n"/>
      <x:c r="AY360" s="139" t="n"/>
      <x:c r="AZ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c r="V361" s="139" t="n"/>
      <x:c r="W361" s="139" t="n"/>
      <x:c r="X361" s="139" t="n"/>
      <x:c r="Y361" s="139" t="n"/>
      <x:c r="Z361" s="139" t="n"/>
      <x:c r="AA361" s="139" t="n"/>
      <x:c r="AB361" s="139" t="n"/>
      <x:c r="AC361" s="139" t="n"/>
      <x:c r="AD361" s="139" t="n"/>
      <x:c r="AE361" s="139" t="n"/>
      <x:c r="AF361" s="139" t="n"/>
      <x:c r="AG361" s="139" t="n"/>
      <x:c r="AH361" s="139" t="n"/>
      <x:c r="AI361" s="139" t="n"/>
      <x:c r="AJ361" s="139" t="n"/>
      <x:c r="AK361" s="139" t="n"/>
      <x:c r="AL361" s="139" t="n"/>
      <x:c r="AM361" s="139" t="n"/>
      <x:c r="AN361" s="139" t="n"/>
      <x:c r="AO361" s="139" t="n"/>
      <x:c r="AP361" s="139" t="n"/>
      <x:c r="AQ361" s="139" t="n"/>
      <x:c r="AR361" s="139" t="n"/>
      <x:c r="AS361" s="139" t="n"/>
      <x:c r="AT361" s="139" t="n"/>
      <x:c r="AU361" s="139" t="n"/>
      <x:c r="AV361" s="139" t="n"/>
      <x:c r="AW361" s="139" t="n"/>
      <x:c r="AX361" s="139" t="n"/>
      <x:c r="AY361" s="139" t="n"/>
      <x:c r="AZ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c r="V362" s="139" t="n"/>
      <x:c r="W362" s="139" t="n"/>
      <x:c r="X362" s="139" t="n"/>
      <x:c r="Y362" s="139" t="n"/>
      <x:c r="Z362" s="139" t="n"/>
      <x:c r="AA362" s="139" t="n"/>
      <x:c r="AB362" s="139" t="n"/>
      <x:c r="AC362" s="139" t="n"/>
      <x:c r="AD362" s="139" t="n"/>
      <x:c r="AE362" s="139" t="n"/>
      <x:c r="AF362" s="139" t="n"/>
      <x:c r="AG362" s="139" t="n"/>
      <x:c r="AH362" s="139" t="n"/>
      <x:c r="AI362" s="139" t="n"/>
      <x:c r="AJ362" s="139" t="n"/>
      <x:c r="AK362" s="139" t="n"/>
      <x:c r="AL362" s="139" t="n"/>
      <x:c r="AM362" s="139" t="n"/>
      <x:c r="AN362" s="139" t="n"/>
      <x:c r="AO362" s="139" t="n"/>
      <x:c r="AP362" s="139" t="n"/>
      <x:c r="AQ362" s="139" t="n"/>
      <x:c r="AR362" s="139" t="n"/>
      <x:c r="AS362" s="139" t="n"/>
      <x:c r="AT362" s="139" t="n"/>
      <x:c r="AU362" s="139" t="n"/>
      <x:c r="AV362" s="139" t="n"/>
      <x:c r="AW362" s="139" t="n"/>
      <x:c r="AX362" s="139" t="n"/>
      <x:c r="AY362" s="139" t="n"/>
      <x:c r="AZ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c r="V363" s="139" t="n"/>
      <x:c r="W363" s="139" t="n"/>
      <x:c r="X363" s="139" t="n"/>
      <x:c r="Y363" s="139" t="n"/>
      <x:c r="Z363" s="139" t="n"/>
      <x:c r="AA363" s="139" t="n"/>
      <x:c r="AB363" s="139" t="n"/>
      <x:c r="AC363" s="139" t="n"/>
      <x:c r="AD363" s="139" t="n"/>
      <x:c r="AE363" s="139" t="n"/>
      <x:c r="AF363" s="139" t="n"/>
      <x:c r="AG363" s="139" t="n"/>
      <x:c r="AH363" s="139" t="n"/>
      <x:c r="AI363" s="139" t="n"/>
      <x:c r="AJ363" s="139" t="n"/>
      <x:c r="AK363" s="139" t="n"/>
      <x:c r="AL363" s="139" t="n"/>
      <x:c r="AM363" s="139" t="n"/>
      <x:c r="AN363" s="139" t="n"/>
      <x:c r="AO363" s="139" t="n"/>
      <x:c r="AP363" s="139" t="n"/>
      <x:c r="AQ363" s="139" t="n"/>
      <x:c r="AR363" s="139" t="n"/>
      <x:c r="AS363" s="139" t="n"/>
      <x:c r="AT363" s="139" t="n"/>
      <x:c r="AU363" s="139" t="n"/>
      <x:c r="AV363" s="139" t="n"/>
      <x:c r="AW363" s="139" t="n"/>
      <x:c r="AX363" s="139" t="n"/>
      <x:c r="AY363" s="139" t="n"/>
      <x:c r="AZ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c r="V364" s="139" t="n"/>
      <x:c r="W364" s="139" t="n"/>
      <x:c r="X364" s="139" t="n"/>
      <x:c r="Y364" s="139" t="n"/>
      <x:c r="Z364" s="139" t="n"/>
      <x:c r="AA364" s="139" t="n"/>
      <x:c r="AB364" s="139" t="n"/>
      <x:c r="AC364" s="139" t="n"/>
      <x:c r="AD364" s="139" t="n"/>
      <x:c r="AE364" s="139" t="n"/>
      <x:c r="AF364" s="139" t="n"/>
      <x:c r="AG364" s="139" t="n"/>
      <x:c r="AH364" s="139" t="n"/>
      <x:c r="AI364" s="139" t="n"/>
      <x:c r="AJ364" s="139" t="n"/>
      <x:c r="AK364" s="139" t="n"/>
      <x:c r="AL364" s="139" t="n"/>
      <x:c r="AM364" s="139" t="n"/>
      <x:c r="AN364" s="139" t="n"/>
      <x:c r="AO364" s="139" t="n"/>
      <x:c r="AP364" s="139" t="n"/>
      <x:c r="AQ364" s="139" t="n"/>
      <x:c r="AR364" s="139" t="n"/>
      <x:c r="AS364" s="139" t="n"/>
      <x:c r="AT364" s="139" t="n"/>
      <x:c r="AU364" s="139" t="n"/>
      <x:c r="AV364" s="139" t="n"/>
      <x:c r="AW364" s="139" t="n"/>
      <x:c r="AX364" s="139" t="n"/>
      <x:c r="AY364" s="139" t="n"/>
      <x:c r="AZ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c r="V365" s="139" t="n"/>
      <x:c r="W365" s="139" t="n"/>
      <x:c r="X365" s="139" t="n"/>
      <x:c r="Y365" s="139" t="n"/>
      <x:c r="Z365" s="139" t="n"/>
      <x:c r="AA365" s="139" t="n"/>
      <x:c r="AB365" s="139" t="n"/>
      <x:c r="AC365" s="139" t="n"/>
      <x:c r="AD365" s="139" t="n"/>
      <x:c r="AE365" s="139" t="n"/>
      <x:c r="AF365" s="139" t="n"/>
      <x:c r="AG365" s="139" t="n"/>
      <x:c r="AH365" s="139" t="n"/>
      <x:c r="AI365" s="139" t="n"/>
      <x:c r="AJ365" s="139" t="n"/>
      <x:c r="AK365" s="139" t="n"/>
      <x:c r="AL365" s="139" t="n"/>
      <x:c r="AM365" s="139" t="n"/>
      <x:c r="AN365" s="139" t="n"/>
      <x:c r="AO365" s="139" t="n"/>
      <x:c r="AP365" s="139" t="n"/>
      <x:c r="AQ365" s="139" t="n"/>
      <x:c r="AR365" s="139" t="n"/>
      <x:c r="AS365" s="139" t="n"/>
      <x:c r="AT365" s="139" t="n"/>
      <x:c r="AU365" s="139" t="n"/>
      <x:c r="AV365" s="139" t="n"/>
      <x:c r="AW365" s="139" t="n"/>
      <x:c r="AX365" s="139" t="n"/>
      <x:c r="AY365" s="139" t="n"/>
      <x:c r="AZ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c r="V366" s="139" t="n"/>
      <x:c r="W366" s="139" t="n"/>
      <x:c r="X366" s="139" t="n"/>
      <x:c r="Y366" s="139" t="n"/>
      <x:c r="Z366" s="139" t="n"/>
      <x:c r="AA366" s="139" t="n"/>
      <x:c r="AB366" s="139" t="n"/>
      <x:c r="AC366" s="139" t="n"/>
      <x:c r="AD366" s="139" t="n"/>
      <x:c r="AE366" s="139" t="n"/>
      <x:c r="AF366" s="139" t="n"/>
      <x:c r="AG366" s="139" t="n"/>
      <x:c r="AH366" s="139" t="n"/>
      <x:c r="AI366" s="139" t="n"/>
      <x:c r="AJ366" s="139" t="n"/>
      <x:c r="AK366" s="139" t="n"/>
      <x:c r="AL366" s="139" t="n"/>
      <x:c r="AM366" s="139" t="n"/>
      <x:c r="AN366" s="139" t="n"/>
      <x:c r="AO366" s="139" t="n"/>
      <x:c r="AP366" s="139" t="n"/>
      <x:c r="AQ366" s="139" t="n"/>
      <x:c r="AR366" s="139" t="n"/>
      <x:c r="AS366" s="139" t="n"/>
      <x:c r="AT366" s="139" t="n"/>
      <x:c r="AU366" s="139" t="n"/>
      <x:c r="AV366" s="139" t="n"/>
      <x:c r="AW366" s="139" t="n"/>
      <x:c r="AX366" s="139" t="n"/>
      <x:c r="AY366" s="139" t="n"/>
      <x:c r="AZ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c r="V367" s="139" t="n"/>
      <x:c r="W367" s="139" t="n"/>
      <x:c r="X367" s="139" t="n"/>
      <x:c r="Y367" s="139" t="n"/>
      <x:c r="Z367" s="139" t="n"/>
      <x:c r="AA367" s="139" t="n"/>
      <x:c r="AB367" s="139" t="n"/>
      <x:c r="AC367" s="139" t="n"/>
      <x:c r="AD367" s="139" t="n"/>
      <x:c r="AE367" s="139" t="n"/>
      <x:c r="AF367" s="139" t="n"/>
      <x:c r="AG367" s="139" t="n"/>
      <x:c r="AH367" s="139" t="n"/>
      <x:c r="AI367" s="139" t="n"/>
      <x:c r="AJ367" s="139" t="n"/>
      <x:c r="AK367" s="139" t="n"/>
      <x:c r="AL367" s="139" t="n"/>
      <x:c r="AM367" s="139" t="n"/>
      <x:c r="AN367" s="139" t="n"/>
      <x:c r="AO367" s="139" t="n"/>
      <x:c r="AP367" s="139" t="n"/>
      <x:c r="AQ367" s="139" t="n"/>
      <x:c r="AR367" s="139" t="n"/>
      <x:c r="AS367" s="139" t="n"/>
      <x:c r="AT367" s="139" t="n"/>
      <x:c r="AU367" s="139" t="n"/>
      <x:c r="AV367" s="139" t="n"/>
      <x:c r="AW367" s="139" t="n"/>
      <x:c r="AX367" s="139" t="n"/>
      <x:c r="AY367" s="139" t="n"/>
      <x:c r="AZ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c r="V368" s="139" t="n"/>
      <x:c r="W368" s="139" t="n"/>
      <x:c r="X368" s="139" t="n"/>
      <x:c r="Y368" s="139" t="n"/>
      <x:c r="Z368" s="139" t="n"/>
      <x:c r="AA368" s="139" t="n"/>
      <x:c r="AB368" s="139" t="n"/>
      <x:c r="AC368" s="139" t="n"/>
      <x:c r="AD368" s="139" t="n"/>
      <x:c r="AE368" s="139" t="n"/>
      <x:c r="AF368" s="139" t="n"/>
      <x:c r="AG368" s="139" t="n"/>
      <x:c r="AH368" s="139" t="n"/>
      <x:c r="AI368" s="139" t="n"/>
      <x:c r="AJ368" s="139" t="n"/>
      <x:c r="AK368" s="139" t="n"/>
      <x:c r="AL368" s="139" t="n"/>
      <x:c r="AM368" s="139" t="n"/>
      <x:c r="AN368" s="139" t="n"/>
      <x:c r="AO368" s="139" t="n"/>
      <x:c r="AP368" s="139" t="n"/>
      <x:c r="AQ368" s="139" t="n"/>
      <x:c r="AR368" s="139" t="n"/>
      <x:c r="AS368" s="139" t="n"/>
      <x:c r="AT368" s="139" t="n"/>
      <x:c r="AU368" s="139" t="n"/>
      <x:c r="AV368" s="139" t="n"/>
      <x:c r="AW368" s="139" t="n"/>
      <x:c r="AX368" s="139" t="n"/>
      <x:c r="AY368" s="139" t="n"/>
      <x:c r="AZ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c r="V369" s="139" t="n"/>
      <x:c r="W369" s="139" t="n"/>
      <x:c r="X369" s="139" t="n"/>
      <x:c r="Y369" s="139" t="n"/>
      <x:c r="Z369" s="139" t="n"/>
      <x:c r="AA369" s="139" t="n"/>
      <x:c r="AB369" s="139" t="n"/>
      <x:c r="AC369" s="139" t="n"/>
      <x:c r="AD369" s="139" t="n"/>
      <x:c r="AE369" s="139" t="n"/>
      <x:c r="AF369" s="139" t="n"/>
      <x:c r="AG369" s="139" t="n"/>
      <x:c r="AH369" s="139" t="n"/>
      <x:c r="AI369" s="139" t="n"/>
      <x:c r="AJ369" s="139" t="n"/>
      <x:c r="AK369" s="139" t="n"/>
      <x:c r="AL369" s="139" t="n"/>
      <x:c r="AM369" s="139" t="n"/>
      <x:c r="AN369" s="139" t="n"/>
      <x:c r="AO369" s="139" t="n"/>
      <x:c r="AP369" s="139" t="n"/>
      <x:c r="AQ369" s="139" t="n"/>
      <x:c r="AR369" s="139" t="n"/>
      <x:c r="AS369" s="139" t="n"/>
      <x:c r="AT369" s="139" t="n"/>
      <x:c r="AU369" s="139" t="n"/>
      <x:c r="AV369" s="139" t="n"/>
      <x:c r="AW369" s="139" t="n"/>
      <x:c r="AX369" s="139" t="n"/>
      <x:c r="AY369" s="139" t="n"/>
      <x:c r="AZ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c r="V370" s="139" t="n"/>
      <x:c r="W370" s="139" t="n"/>
      <x:c r="X370" s="139" t="n"/>
      <x:c r="Y370" s="139" t="n"/>
      <x:c r="Z370" s="139" t="n"/>
      <x:c r="AA370" s="139" t="n"/>
      <x:c r="AB370" s="139" t="n"/>
      <x:c r="AC370" s="139" t="n"/>
      <x:c r="AD370" s="139" t="n"/>
      <x:c r="AE370" s="139" t="n"/>
      <x:c r="AF370" s="139" t="n"/>
      <x:c r="AG370" s="139" t="n"/>
      <x:c r="AH370" s="139" t="n"/>
      <x:c r="AI370" s="139" t="n"/>
      <x:c r="AJ370" s="139" t="n"/>
      <x:c r="AK370" s="139" t="n"/>
      <x:c r="AL370" s="139" t="n"/>
      <x:c r="AM370" s="139" t="n"/>
      <x:c r="AN370" s="139" t="n"/>
      <x:c r="AO370" s="139" t="n"/>
      <x:c r="AP370" s="139" t="n"/>
      <x:c r="AQ370" s="139" t="n"/>
      <x:c r="AR370" s="139" t="n"/>
      <x:c r="AS370" s="139" t="n"/>
      <x:c r="AT370" s="139" t="n"/>
      <x:c r="AU370" s="139" t="n"/>
      <x:c r="AV370" s="139" t="n"/>
      <x:c r="AW370" s="139" t="n"/>
      <x:c r="AX370" s="139" t="n"/>
      <x:c r="AY370" s="139" t="n"/>
      <x:c r="AZ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c r="V371" s="139" t="n"/>
      <x:c r="W371" s="139" t="n"/>
      <x:c r="X371" s="139" t="n"/>
      <x:c r="Y371" s="139" t="n"/>
      <x:c r="Z371" s="139" t="n"/>
      <x:c r="AA371" s="139" t="n"/>
      <x:c r="AB371" s="139" t="n"/>
      <x:c r="AC371" s="139" t="n"/>
      <x:c r="AD371" s="139" t="n"/>
      <x:c r="AE371" s="139" t="n"/>
      <x:c r="AF371" s="139" t="n"/>
      <x:c r="AG371" s="139" t="n"/>
      <x:c r="AH371" s="139" t="n"/>
      <x:c r="AI371" s="139" t="n"/>
      <x:c r="AJ371" s="139" t="n"/>
      <x:c r="AK371" s="139" t="n"/>
      <x:c r="AL371" s="139" t="n"/>
      <x:c r="AM371" s="139" t="n"/>
      <x:c r="AN371" s="139" t="n"/>
      <x:c r="AO371" s="139" t="n"/>
      <x:c r="AP371" s="139" t="n"/>
      <x:c r="AQ371" s="139" t="n"/>
      <x:c r="AR371" s="139" t="n"/>
      <x:c r="AS371" s="139" t="n"/>
      <x:c r="AT371" s="139" t="n"/>
      <x:c r="AU371" s="139" t="n"/>
      <x:c r="AV371" s="139" t="n"/>
      <x:c r="AW371" s="139" t="n"/>
      <x:c r="AX371" s="139" t="n"/>
      <x:c r="AY371" s="139" t="n"/>
      <x:c r="AZ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c r="V372" s="139" t="n"/>
      <x:c r="W372" s="139" t="n"/>
      <x:c r="X372" s="139" t="n"/>
      <x:c r="Y372" s="139" t="n"/>
      <x:c r="Z372" s="139" t="n"/>
      <x:c r="AA372" s="139" t="n"/>
      <x:c r="AB372" s="139" t="n"/>
      <x:c r="AC372" s="139" t="n"/>
      <x:c r="AD372" s="139" t="n"/>
      <x:c r="AE372" s="139" t="n"/>
      <x:c r="AF372" s="139" t="n"/>
      <x:c r="AG372" s="139" t="n"/>
      <x:c r="AH372" s="139" t="n"/>
      <x:c r="AI372" s="139" t="n"/>
      <x:c r="AJ372" s="139" t="n"/>
      <x:c r="AK372" s="139" t="n"/>
      <x:c r="AL372" s="139" t="n"/>
      <x:c r="AM372" s="139" t="n"/>
      <x:c r="AN372" s="139" t="n"/>
      <x:c r="AO372" s="139" t="n"/>
      <x:c r="AP372" s="139" t="n"/>
      <x:c r="AQ372" s="139" t="n"/>
      <x:c r="AR372" s="139" t="n"/>
      <x:c r="AS372" s="139" t="n"/>
      <x:c r="AT372" s="139" t="n"/>
      <x:c r="AU372" s="139" t="n"/>
      <x:c r="AV372" s="139" t="n"/>
      <x:c r="AW372" s="139" t="n"/>
      <x:c r="AX372" s="139" t="n"/>
      <x:c r="AY372" s="139" t="n"/>
      <x:c r="AZ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c r="V373" s="139" t="n"/>
      <x:c r="W373" s="139" t="n"/>
      <x:c r="X373" s="139" t="n"/>
      <x:c r="Y373" s="139" t="n"/>
      <x:c r="Z373" s="139" t="n"/>
      <x:c r="AA373" s="139" t="n"/>
      <x:c r="AB373" s="139" t="n"/>
      <x:c r="AC373" s="139" t="n"/>
      <x:c r="AD373" s="139" t="n"/>
      <x:c r="AE373" s="139" t="n"/>
      <x:c r="AF373" s="139" t="n"/>
      <x:c r="AG373" s="139" t="n"/>
      <x:c r="AH373" s="139" t="n"/>
      <x:c r="AI373" s="139" t="n"/>
      <x:c r="AJ373" s="139" t="n"/>
      <x:c r="AK373" s="139" t="n"/>
      <x:c r="AL373" s="139" t="n"/>
      <x:c r="AM373" s="139" t="n"/>
      <x:c r="AN373" s="139" t="n"/>
      <x:c r="AO373" s="139" t="n"/>
      <x:c r="AP373" s="139" t="n"/>
      <x:c r="AQ373" s="139" t="n"/>
      <x:c r="AR373" s="139" t="n"/>
      <x:c r="AS373" s="139" t="n"/>
      <x:c r="AT373" s="139" t="n"/>
      <x:c r="AU373" s="139" t="n"/>
      <x:c r="AV373" s="139" t="n"/>
      <x:c r="AW373" s="139" t="n"/>
      <x:c r="AX373" s="139" t="n"/>
      <x:c r="AY373" s="139" t="n"/>
      <x:c r="AZ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c r="V374" s="139" t="n"/>
      <x:c r="W374" s="139" t="n"/>
      <x:c r="X374" s="139" t="n"/>
      <x:c r="Y374" s="139" t="n"/>
      <x:c r="Z374" s="139" t="n"/>
      <x:c r="AA374" s="139" t="n"/>
      <x:c r="AB374" s="139" t="n"/>
      <x:c r="AC374" s="139" t="n"/>
      <x:c r="AD374" s="139" t="n"/>
      <x:c r="AE374" s="139" t="n"/>
      <x:c r="AF374" s="139" t="n"/>
      <x:c r="AG374" s="139" t="n"/>
      <x:c r="AH374" s="139" t="n"/>
      <x:c r="AI374" s="139" t="n"/>
      <x:c r="AJ374" s="139" t="n"/>
      <x:c r="AK374" s="139" t="n"/>
      <x:c r="AL374" s="139" t="n"/>
      <x:c r="AM374" s="139" t="n"/>
      <x:c r="AN374" s="139" t="n"/>
      <x:c r="AO374" s="139" t="n"/>
      <x:c r="AP374" s="139" t="n"/>
      <x:c r="AQ374" s="139" t="n"/>
      <x:c r="AR374" s="139" t="n"/>
      <x:c r="AS374" s="139" t="n"/>
      <x:c r="AT374" s="139" t="n"/>
      <x:c r="AU374" s="139" t="n"/>
      <x:c r="AV374" s="139" t="n"/>
      <x:c r="AW374" s="139" t="n"/>
      <x:c r="AX374" s="139" t="n"/>
      <x:c r="AY374" s="139" t="n"/>
      <x:c r="AZ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c r="V375" s="139" t="n"/>
      <x:c r="W375" s="139" t="n"/>
      <x:c r="X375" s="139" t="n"/>
      <x:c r="Y375" s="139" t="n"/>
      <x:c r="Z375" s="139" t="n"/>
      <x:c r="AA375" s="139" t="n"/>
      <x:c r="AB375" s="139" t="n"/>
      <x:c r="AC375" s="139" t="n"/>
      <x:c r="AD375" s="139" t="n"/>
      <x:c r="AE375" s="139" t="n"/>
      <x:c r="AF375" s="139" t="n"/>
      <x:c r="AG375" s="139" t="n"/>
      <x:c r="AH375" s="139" t="n"/>
      <x:c r="AI375" s="139" t="n"/>
      <x:c r="AJ375" s="139" t="n"/>
      <x:c r="AK375" s="139" t="n"/>
      <x:c r="AL375" s="139" t="n"/>
      <x:c r="AM375" s="139" t="n"/>
      <x:c r="AN375" s="139" t="n"/>
      <x:c r="AO375" s="139" t="n"/>
      <x:c r="AP375" s="139" t="n"/>
      <x:c r="AQ375" s="139" t="n"/>
      <x:c r="AR375" s="139" t="n"/>
      <x:c r="AS375" s="139" t="n"/>
      <x:c r="AT375" s="139" t="n"/>
      <x:c r="AU375" s="139" t="n"/>
      <x:c r="AV375" s="139" t="n"/>
      <x:c r="AW375" s="139" t="n"/>
      <x:c r="AX375" s="139" t="n"/>
      <x:c r="AY375" s="139" t="n"/>
      <x:c r="AZ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c r="V376" s="139" t="n"/>
      <x:c r="W376" s="139" t="n"/>
      <x:c r="X376" s="139" t="n"/>
      <x:c r="Y376" s="139" t="n"/>
      <x:c r="Z376" s="139" t="n"/>
      <x:c r="AA376" s="139" t="n"/>
      <x:c r="AB376" s="139" t="n"/>
      <x:c r="AC376" s="139" t="n"/>
      <x:c r="AD376" s="139" t="n"/>
      <x:c r="AE376" s="139" t="n"/>
      <x:c r="AF376" s="139" t="n"/>
      <x:c r="AG376" s="139" t="n"/>
      <x:c r="AH376" s="139" t="n"/>
      <x:c r="AI376" s="139" t="n"/>
      <x:c r="AJ376" s="139" t="n"/>
      <x:c r="AK376" s="139" t="n"/>
      <x:c r="AL376" s="139" t="n"/>
      <x:c r="AM376" s="139" t="n"/>
      <x:c r="AN376" s="139" t="n"/>
      <x:c r="AO376" s="139" t="n"/>
      <x:c r="AP376" s="139" t="n"/>
      <x:c r="AQ376" s="139" t="n"/>
      <x:c r="AR376" s="139" t="n"/>
      <x:c r="AS376" s="139" t="n"/>
      <x:c r="AT376" s="139" t="n"/>
      <x:c r="AU376" s="139" t="n"/>
      <x:c r="AV376" s="139" t="n"/>
      <x:c r="AW376" s="139" t="n"/>
      <x:c r="AX376" s="139" t="n"/>
      <x:c r="AY376" s="139" t="n"/>
      <x:c r="AZ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c r="V377" s="139" t="n"/>
      <x:c r="W377" s="139" t="n"/>
      <x:c r="X377" s="139" t="n"/>
      <x:c r="Y377" s="139" t="n"/>
      <x:c r="Z377" s="139" t="n"/>
      <x:c r="AA377" s="139" t="n"/>
      <x:c r="AB377" s="139" t="n"/>
      <x:c r="AC377" s="139" t="n"/>
      <x:c r="AD377" s="139" t="n"/>
      <x:c r="AE377" s="139" t="n"/>
      <x:c r="AF377" s="139" t="n"/>
      <x:c r="AG377" s="139" t="n"/>
      <x:c r="AH377" s="139" t="n"/>
      <x:c r="AI377" s="139" t="n"/>
      <x:c r="AJ377" s="139" t="n"/>
      <x:c r="AK377" s="139" t="n"/>
      <x:c r="AL377" s="139" t="n"/>
      <x:c r="AM377" s="139" t="n"/>
      <x:c r="AN377" s="139" t="n"/>
      <x:c r="AO377" s="139" t="n"/>
      <x:c r="AP377" s="139" t="n"/>
      <x:c r="AQ377" s="139" t="n"/>
      <x:c r="AR377" s="139" t="n"/>
      <x:c r="AS377" s="139" t="n"/>
      <x:c r="AT377" s="139" t="n"/>
      <x:c r="AU377" s="139" t="n"/>
      <x:c r="AV377" s="139" t="n"/>
      <x:c r="AW377" s="139" t="n"/>
      <x:c r="AX377" s="139" t="n"/>
      <x:c r="AY377" s="139" t="n"/>
      <x:c r="AZ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c r="V378" s="139" t="n"/>
      <x:c r="W378" s="139" t="n"/>
      <x:c r="X378" s="139" t="n"/>
      <x:c r="Y378" s="139" t="n"/>
      <x:c r="Z378" s="139" t="n"/>
      <x:c r="AA378" s="139" t="n"/>
      <x:c r="AB378" s="139" t="n"/>
      <x:c r="AC378" s="139" t="n"/>
      <x:c r="AD378" s="139" t="n"/>
      <x:c r="AE378" s="139" t="n"/>
      <x:c r="AF378" s="139" t="n"/>
      <x:c r="AG378" s="139" t="n"/>
      <x:c r="AH378" s="139" t="n"/>
      <x:c r="AI378" s="139" t="n"/>
      <x:c r="AJ378" s="139" t="n"/>
      <x:c r="AK378" s="139" t="n"/>
      <x:c r="AL378" s="139" t="n"/>
      <x:c r="AM378" s="139" t="n"/>
      <x:c r="AN378" s="139" t="n"/>
      <x:c r="AO378" s="139" t="n"/>
      <x:c r="AP378" s="139" t="n"/>
      <x:c r="AQ378" s="139" t="n"/>
      <x:c r="AR378" s="139" t="n"/>
      <x:c r="AS378" s="139" t="n"/>
      <x:c r="AT378" s="139" t="n"/>
      <x:c r="AU378" s="139" t="n"/>
      <x:c r="AV378" s="139" t="n"/>
      <x:c r="AW378" s="139" t="n"/>
      <x:c r="AX378" s="139" t="n"/>
      <x:c r="AY378" s="139" t="n"/>
      <x:c r="AZ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c r="V379" s="139" t="n"/>
      <x:c r="W379" s="139" t="n"/>
      <x:c r="X379" s="139" t="n"/>
      <x:c r="Y379" s="139" t="n"/>
      <x:c r="Z379" s="139" t="n"/>
      <x:c r="AA379" s="139" t="n"/>
      <x:c r="AB379" s="139" t="n"/>
      <x:c r="AC379" s="139" t="n"/>
      <x:c r="AD379" s="139" t="n"/>
      <x:c r="AE379" s="139" t="n"/>
      <x:c r="AF379" s="139" t="n"/>
      <x:c r="AG379" s="139" t="n"/>
      <x:c r="AH379" s="139" t="n"/>
      <x:c r="AI379" s="139" t="n"/>
      <x:c r="AJ379" s="139" t="n"/>
      <x:c r="AK379" s="139" t="n"/>
      <x:c r="AL379" s="139" t="n"/>
      <x:c r="AM379" s="139" t="n"/>
      <x:c r="AN379" s="139" t="n"/>
      <x:c r="AO379" s="139" t="n"/>
      <x:c r="AP379" s="139" t="n"/>
      <x:c r="AQ379" s="139" t="n"/>
      <x:c r="AR379" s="139" t="n"/>
      <x:c r="AS379" s="139" t="n"/>
      <x:c r="AT379" s="139" t="n"/>
      <x:c r="AU379" s="139" t="n"/>
      <x:c r="AV379" s="139" t="n"/>
      <x:c r="AW379" s="139" t="n"/>
      <x:c r="AX379" s="139" t="n"/>
      <x:c r="AY379" s="139" t="n"/>
      <x:c r="AZ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c r="V380" s="139" t="n"/>
      <x:c r="W380" s="139" t="n"/>
      <x:c r="X380" s="139" t="n"/>
      <x:c r="Y380" s="139" t="n"/>
      <x:c r="Z380" s="139" t="n"/>
      <x:c r="AA380" s="139" t="n"/>
      <x:c r="AB380" s="139" t="n"/>
      <x:c r="AC380" s="139" t="n"/>
      <x:c r="AD380" s="139" t="n"/>
      <x:c r="AE380" s="139" t="n"/>
      <x:c r="AF380" s="139" t="n"/>
      <x:c r="AG380" s="139" t="n"/>
      <x:c r="AH380" s="139" t="n"/>
      <x:c r="AI380" s="139" t="n"/>
      <x:c r="AJ380" s="139" t="n"/>
      <x:c r="AK380" s="139" t="n"/>
      <x:c r="AL380" s="139" t="n"/>
      <x:c r="AM380" s="139" t="n"/>
      <x:c r="AN380" s="139" t="n"/>
      <x:c r="AO380" s="139" t="n"/>
      <x:c r="AP380" s="139" t="n"/>
      <x:c r="AQ380" s="139" t="n"/>
      <x:c r="AR380" s="139" t="n"/>
      <x:c r="AS380" s="139" t="n"/>
      <x:c r="AT380" s="139" t="n"/>
      <x:c r="AU380" s="139" t="n"/>
      <x:c r="AV380" s="139" t="n"/>
      <x:c r="AW380" s="139" t="n"/>
      <x:c r="AX380" s="139" t="n"/>
      <x:c r="AY380" s="139" t="n"/>
      <x:c r="AZ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c r="V381" s="139" t="n"/>
      <x:c r="W381" s="139" t="n"/>
      <x:c r="X381" s="139" t="n"/>
      <x:c r="Y381" s="139" t="n"/>
      <x:c r="Z381" s="139" t="n"/>
      <x:c r="AA381" s="139" t="n"/>
      <x:c r="AB381" s="139" t="n"/>
      <x:c r="AC381" s="139" t="n"/>
      <x:c r="AD381" s="139" t="n"/>
      <x:c r="AE381" s="139" t="n"/>
      <x:c r="AF381" s="139" t="n"/>
      <x:c r="AG381" s="139" t="n"/>
      <x:c r="AH381" s="139" t="n"/>
      <x:c r="AI381" s="139" t="n"/>
      <x:c r="AJ381" s="139" t="n"/>
      <x:c r="AK381" s="139" t="n"/>
      <x:c r="AL381" s="139" t="n"/>
      <x:c r="AM381" s="139" t="n"/>
      <x:c r="AN381" s="139" t="n"/>
      <x:c r="AO381" s="139" t="n"/>
      <x:c r="AP381" s="139" t="n"/>
      <x:c r="AQ381" s="139" t="n"/>
      <x:c r="AR381" s="139" t="n"/>
      <x:c r="AS381" s="139" t="n"/>
      <x:c r="AT381" s="139" t="n"/>
      <x:c r="AU381" s="139" t="n"/>
      <x:c r="AV381" s="139" t="n"/>
      <x:c r="AW381" s="139" t="n"/>
      <x:c r="AX381" s="139" t="n"/>
      <x:c r="AY381" s="139" t="n"/>
      <x:c r="AZ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c r="V382" s="139" t="n"/>
      <x:c r="W382" s="139" t="n"/>
      <x:c r="X382" s="139" t="n"/>
      <x:c r="Y382" s="139" t="n"/>
      <x:c r="Z382" s="139" t="n"/>
      <x:c r="AA382" s="139" t="n"/>
      <x:c r="AB382" s="139" t="n"/>
      <x:c r="AC382" s="139" t="n"/>
      <x:c r="AD382" s="139" t="n"/>
      <x:c r="AE382" s="139" t="n"/>
      <x:c r="AF382" s="139" t="n"/>
      <x:c r="AG382" s="139" t="n"/>
      <x:c r="AH382" s="139" t="n"/>
      <x:c r="AI382" s="139" t="n"/>
      <x:c r="AJ382" s="139" t="n"/>
      <x:c r="AK382" s="139" t="n"/>
      <x:c r="AL382" s="139" t="n"/>
      <x:c r="AM382" s="139" t="n"/>
      <x:c r="AN382" s="139" t="n"/>
      <x:c r="AO382" s="139" t="n"/>
      <x:c r="AP382" s="139" t="n"/>
      <x:c r="AQ382" s="139" t="n"/>
      <x:c r="AR382" s="139" t="n"/>
      <x:c r="AS382" s="139" t="n"/>
      <x:c r="AT382" s="139" t="n"/>
      <x:c r="AU382" s="139" t="n"/>
      <x:c r="AV382" s="139" t="n"/>
      <x:c r="AW382" s="139" t="n"/>
      <x:c r="AX382" s="139" t="n"/>
      <x:c r="AY382" s="139" t="n"/>
      <x:c r="AZ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c r="V383" s="139" t="n"/>
      <x:c r="W383" s="139" t="n"/>
      <x:c r="X383" s="139" t="n"/>
      <x:c r="Y383" s="139" t="n"/>
      <x:c r="Z383" s="139" t="n"/>
      <x:c r="AA383" s="139" t="n"/>
      <x:c r="AB383" s="139" t="n"/>
      <x:c r="AC383" s="139" t="n"/>
      <x:c r="AD383" s="139" t="n"/>
      <x:c r="AE383" s="139" t="n"/>
      <x:c r="AF383" s="139" t="n"/>
      <x:c r="AG383" s="139" t="n"/>
      <x:c r="AH383" s="139" t="n"/>
      <x:c r="AI383" s="139" t="n"/>
      <x:c r="AJ383" s="139" t="n"/>
      <x:c r="AK383" s="139" t="n"/>
      <x:c r="AL383" s="139" t="n"/>
      <x:c r="AM383" s="139" t="n"/>
      <x:c r="AN383" s="139" t="n"/>
      <x:c r="AO383" s="139" t="n"/>
      <x:c r="AP383" s="139" t="n"/>
      <x:c r="AQ383" s="139" t="n"/>
      <x:c r="AR383" s="139" t="n"/>
      <x:c r="AS383" s="139" t="n"/>
      <x:c r="AT383" s="139" t="n"/>
      <x:c r="AU383" s="139" t="n"/>
      <x:c r="AV383" s="139" t="n"/>
      <x:c r="AW383" s="139" t="n"/>
      <x:c r="AX383" s="139" t="n"/>
      <x:c r="AY383" s="139" t="n"/>
      <x:c r="AZ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c r="V384" s="139" t="n"/>
      <x:c r="W384" s="139" t="n"/>
      <x:c r="X384" s="139" t="n"/>
      <x:c r="Y384" s="139" t="n"/>
      <x:c r="Z384" s="139" t="n"/>
      <x:c r="AA384" s="139" t="n"/>
      <x:c r="AB384" s="139" t="n"/>
      <x:c r="AC384" s="139" t="n"/>
      <x:c r="AD384" s="139" t="n"/>
      <x:c r="AE384" s="139" t="n"/>
      <x:c r="AF384" s="139" t="n"/>
      <x:c r="AG384" s="139" t="n"/>
      <x:c r="AH384" s="139" t="n"/>
      <x:c r="AI384" s="139" t="n"/>
      <x:c r="AJ384" s="139" t="n"/>
      <x:c r="AK384" s="139" t="n"/>
      <x:c r="AL384" s="139" t="n"/>
      <x:c r="AM384" s="139" t="n"/>
      <x:c r="AN384" s="139" t="n"/>
      <x:c r="AO384" s="139" t="n"/>
      <x:c r="AP384" s="139" t="n"/>
      <x:c r="AQ384" s="139" t="n"/>
      <x:c r="AR384" s="139" t="n"/>
      <x:c r="AS384" s="139" t="n"/>
      <x:c r="AT384" s="139" t="n"/>
      <x:c r="AU384" s="139" t="n"/>
      <x:c r="AV384" s="139" t="n"/>
      <x:c r="AW384" s="139" t="n"/>
      <x:c r="AX384" s="139" t="n"/>
      <x:c r="AY384" s="139" t="n"/>
      <x:c r="AZ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c r="V385" s="139" t="n"/>
      <x:c r="W385" s="139" t="n"/>
      <x:c r="X385" s="139" t="n"/>
      <x:c r="Y385" s="139" t="n"/>
      <x:c r="Z385" s="139" t="n"/>
      <x:c r="AA385" s="139" t="n"/>
      <x:c r="AB385" s="139" t="n"/>
      <x:c r="AC385" s="139" t="n"/>
      <x:c r="AD385" s="139" t="n"/>
      <x:c r="AE385" s="139" t="n"/>
      <x:c r="AF385" s="139" t="n"/>
      <x:c r="AG385" s="139" t="n"/>
      <x:c r="AH385" s="139" t="n"/>
      <x:c r="AI385" s="139" t="n"/>
      <x:c r="AJ385" s="139" t="n"/>
      <x:c r="AK385" s="139" t="n"/>
      <x:c r="AL385" s="139" t="n"/>
      <x:c r="AM385" s="139" t="n"/>
      <x:c r="AN385" s="139" t="n"/>
      <x:c r="AO385" s="139" t="n"/>
      <x:c r="AP385" s="139" t="n"/>
      <x:c r="AQ385" s="139" t="n"/>
      <x:c r="AR385" s="139" t="n"/>
      <x:c r="AS385" s="139" t="n"/>
      <x:c r="AT385" s="139" t="n"/>
      <x:c r="AU385" s="139" t="n"/>
      <x:c r="AV385" s="139" t="n"/>
      <x:c r="AW385" s="139" t="n"/>
      <x:c r="AX385" s="139" t="n"/>
      <x:c r="AY385" s="139" t="n"/>
      <x:c r="AZ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c r="V386" s="139" t="n"/>
      <x:c r="W386" s="139" t="n"/>
      <x:c r="X386" s="139" t="n"/>
      <x:c r="Y386" s="139" t="n"/>
      <x:c r="Z386" s="139" t="n"/>
      <x:c r="AA386" s="139" t="n"/>
      <x:c r="AB386" s="139" t="n"/>
      <x:c r="AC386" s="139" t="n"/>
      <x:c r="AD386" s="139" t="n"/>
      <x:c r="AE386" s="139" t="n"/>
      <x:c r="AF386" s="139" t="n"/>
      <x:c r="AG386" s="139" t="n"/>
      <x:c r="AH386" s="139" t="n"/>
      <x:c r="AI386" s="139" t="n"/>
      <x:c r="AJ386" s="139" t="n"/>
      <x:c r="AK386" s="139" t="n"/>
      <x:c r="AL386" s="139" t="n"/>
      <x:c r="AM386" s="139" t="n"/>
      <x:c r="AN386" s="139" t="n"/>
      <x:c r="AO386" s="139" t="n"/>
      <x:c r="AP386" s="139" t="n"/>
      <x:c r="AQ386" s="139" t="n"/>
      <x:c r="AR386" s="139" t="n"/>
      <x:c r="AS386" s="139" t="n"/>
      <x:c r="AT386" s="139" t="n"/>
      <x:c r="AU386" s="139" t="n"/>
      <x:c r="AV386" s="139" t="n"/>
      <x:c r="AW386" s="139" t="n"/>
      <x:c r="AX386" s="139" t="n"/>
      <x:c r="AY386" s="139" t="n"/>
      <x:c r="AZ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c r="V387" s="139" t="n"/>
      <x:c r="W387" s="139" t="n"/>
      <x:c r="X387" s="139" t="n"/>
      <x:c r="Y387" s="139" t="n"/>
      <x:c r="Z387" s="139" t="n"/>
      <x:c r="AA387" s="139" t="n"/>
      <x:c r="AB387" s="139" t="n"/>
      <x:c r="AC387" s="139" t="n"/>
      <x:c r="AD387" s="139" t="n"/>
      <x:c r="AE387" s="139" t="n"/>
      <x:c r="AF387" s="139" t="n"/>
      <x:c r="AG387" s="139" t="n"/>
      <x:c r="AH387" s="139" t="n"/>
      <x:c r="AI387" s="139" t="n"/>
      <x:c r="AJ387" s="139" t="n"/>
      <x:c r="AK387" s="139" t="n"/>
      <x:c r="AL387" s="139" t="n"/>
      <x:c r="AM387" s="139" t="n"/>
      <x:c r="AN387" s="139" t="n"/>
      <x:c r="AO387" s="139" t="n"/>
      <x:c r="AP387" s="139" t="n"/>
      <x:c r="AQ387" s="139" t="n"/>
      <x:c r="AR387" s="139" t="n"/>
      <x:c r="AS387" s="139" t="n"/>
      <x:c r="AT387" s="139" t="n"/>
      <x:c r="AU387" s="139" t="n"/>
      <x:c r="AV387" s="139" t="n"/>
      <x:c r="AW387" s="139" t="n"/>
      <x:c r="AX387" s="139" t="n"/>
      <x:c r="AY387" s="139" t="n"/>
      <x:c r="AZ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c r="V388" s="139" t="n"/>
      <x:c r="W388" s="139" t="n"/>
      <x:c r="X388" s="139" t="n"/>
      <x:c r="Y388" s="139" t="n"/>
      <x:c r="Z388" s="139" t="n"/>
      <x:c r="AA388" s="139" t="n"/>
      <x:c r="AB388" s="139" t="n"/>
      <x:c r="AC388" s="139" t="n"/>
      <x:c r="AD388" s="139" t="n"/>
      <x:c r="AE388" s="139" t="n"/>
      <x:c r="AF388" s="139" t="n"/>
      <x:c r="AG388" s="139" t="n"/>
      <x:c r="AH388" s="139" t="n"/>
      <x:c r="AI388" s="139" t="n"/>
      <x:c r="AJ388" s="139" t="n"/>
      <x:c r="AK388" s="139" t="n"/>
      <x:c r="AL388" s="139" t="n"/>
      <x:c r="AM388" s="139" t="n"/>
      <x:c r="AN388" s="139" t="n"/>
      <x:c r="AO388" s="139" t="n"/>
      <x:c r="AP388" s="139" t="n"/>
      <x:c r="AQ388" s="139" t="n"/>
      <x:c r="AR388" s="139" t="n"/>
      <x:c r="AS388" s="139" t="n"/>
      <x:c r="AT388" s="139" t="n"/>
      <x:c r="AU388" s="139" t="n"/>
      <x:c r="AV388" s="139" t="n"/>
      <x:c r="AW388" s="139" t="n"/>
      <x:c r="AX388" s="139" t="n"/>
      <x:c r="AY388" s="139" t="n"/>
      <x:c r="AZ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c r="V389" s="139" t="n"/>
      <x:c r="W389" s="139" t="n"/>
      <x:c r="X389" s="139" t="n"/>
      <x:c r="Y389" s="139" t="n"/>
      <x:c r="Z389" s="139" t="n"/>
      <x:c r="AA389" s="139" t="n"/>
      <x:c r="AB389" s="139" t="n"/>
      <x:c r="AC389" s="139" t="n"/>
      <x:c r="AD389" s="139" t="n"/>
      <x:c r="AE389" s="139" t="n"/>
      <x:c r="AF389" s="139" t="n"/>
      <x:c r="AG389" s="139" t="n"/>
      <x:c r="AH389" s="139" t="n"/>
      <x:c r="AI389" s="139" t="n"/>
      <x:c r="AJ389" s="139" t="n"/>
      <x:c r="AK389" s="139" t="n"/>
      <x:c r="AL389" s="139" t="n"/>
      <x:c r="AM389" s="139" t="n"/>
      <x:c r="AN389" s="139" t="n"/>
      <x:c r="AO389" s="139" t="n"/>
      <x:c r="AP389" s="139" t="n"/>
      <x:c r="AQ389" s="139" t="n"/>
      <x:c r="AR389" s="139" t="n"/>
      <x:c r="AS389" s="139" t="n"/>
      <x:c r="AT389" s="139" t="n"/>
      <x:c r="AU389" s="139" t="n"/>
      <x:c r="AV389" s="139" t="n"/>
      <x:c r="AW389" s="139" t="n"/>
      <x:c r="AX389" s="139" t="n"/>
      <x:c r="AY389" s="139" t="n"/>
      <x:c r="AZ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c r="V390" s="139" t="n"/>
      <x:c r="W390" s="139" t="n"/>
      <x:c r="X390" s="139" t="n"/>
      <x:c r="Y390" s="139" t="n"/>
      <x:c r="Z390" s="139" t="n"/>
      <x:c r="AA390" s="139" t="n"/>
      <x:c r="AB390" s="139" t="n"/>
      <x:c r="AC390" s="139" t="n"/>
      <x:c r="AD390" s="139" t="n"/>
      <x:c r="AE390" s="139" t="n"/>
      <x:c r="AF390" s="139" t="n"/>
      <x:c r="AG390" s="139" t="n"/>
      <x:c r="AH390" s="139" t="n"/>
      <x:c r="AI390" s="139" t="n"/>
      <x:c r="AJ390" s="139" t="n"/>
      <x:c r="AK390" s="139" t="n"/>
      <x:c r="AL390" s="139" t="n"/>
      <x:c r="AM390" s="139" t="n"/>
      <x:c r="AN390" s="139" t="n"/>
      <x:c r="AO390" s="139" t="n"/>
      <x:c r="AP390" s="139" t="n"/>
      <x:c r="AQ390" s="139" t="n"/>
      <x:c r="AR390" s="139" t="n"/>
      <x:c r="AS390" s="139" t="n"/>
      <x:c r="AT390" s="139" t="n"/>
      <x:c r="AU390" s="139" t="n"/>
      <x:c r="AV390" s="139" t="n"/>
      <x:c r="AW390" s="139" t="n"/>
      <x:c r="AX390" s="139" t="n"/>
      <x:c r="AY390" s="139" t="n"/>
      <x:c r="AZ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c r="V391" s="139" t="n"/>
      <x:c r="W391" s="139" t="n"/>
      <x:c r="X391" s="139" t="n"/>
      <x:c r="Y391" s="139" t="n"/>
      <x:c r="Z391" s="139" t="n"/>
      <x:c r="AA391" s="139" t="n"/>
      <x:c r="AB391" s="139" t="n"/>
      <x:c r="AC391" s="139" t="n"/>
      <x:c r="AD391" s="139" t="n"/>
      <x:c r="AE391" s="139" t="n"/>
      <x:c r="AF391" s="139" t="n"/>
      <x:c r="AG391" s="139" t="n"/>
      <x:c r="AH391" s="139" t="n"/>
      <x:c r="AI391" s="139" t="n"/>
      <x:c r="AJ391" s="139" t="n"/>
      <x:c r="AK391" s="139" t="n"/>
      <x:c r="AL391" s="139" t="n"/>
      <x:c r="AM391" s="139" t="n"/>
      <x:c r="AN391" s="139" t="n"/>
      <x:c r="AO391" s="139" t="n"/>
      <x:c r="AP391" s="139" t="n"/>
      <x:c r="AQ391" s="139" t="n"/>
      <x:c r="AR391" s="139" t="n"/>
      <x:c r="AS391" s="139" t="n"/>
      <x:c r="AT391" s="139" t="n"/>
      <x:c r="AU391" s="139" t="n"/>
      <x:c r="AV391" s="139" t="n"/>
      <x:c r="AW391" s="139" t="n"/>
      <x:c r="AX391" s="139" t="n"/>
      <x:c r="AY391" s="139" t="n"/>
      <x:c r="AZ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c r="V392" s="139" t="n"/>
      <x:c r="W392" s="139" t="n"/>
      <x:c r="X392" s="139" t="n"/>
      <x:c r="Y392" s="139" t="n"/>
      <x:c r="Z392" s="139" t="n"/>
      <x:c r="AA392" s="139" t="n"/>
      <x:c r="AB392" s="139" t="n"/>
      <x:c r="AC392" s="139" t="n"/>
      <x:c r="AD392" s="139" t="n"/>
      <x:c r="AE392" s="139" t="n"/>
      <x:c r="AF392" s="139" t="n"/>
      <x:c r="AG392" s="139" t="n"/>
      <x:c r="AH392" s="139" t="n"/>
      <x:c r="AI392" s="139" t="n"/>
      <x:c r="AJ392" s="139" t="n"/>
      <x:c r="AK392" s="139" t="n"/>
      <x:c r="AL392" s="139" t="n"/>
      <x:c r="AM392" s="139" t="n"/>
      <x:c r="AN392" s="139" t="n"/>
      <x:c r="AO392" s="139" t="n"/>
      <x:c r="AP392" s="139" t="n"/>
      <x:c r="AQ392" s="139" t="n"/>
      <x:c r="AR392" s="139" t="n"/>
      <x:c r="AS392" s="139" t="n"/>
      <x:c r="AT392" s="139" t="n"/>
      <x:c r="AU392" s="139" t="n"/>
      <x:c r="AV392" s="139" t="n"/>
      <x:c r="AW392" s="139" t="n"/>
      <x:c r="AX392" s="139" t="n"/>
      <x:c r="AY392" s="139" t="n"/>
      <x:c r="AZ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c r="V393" s="139" t="n"/>
      <x:c r="W393" s="139" t="n"/>
      <x:c r="X393" s="139" t="n"/>
      <x:c r="Y393" s="139" t="n"/>
      <x:c r="Z393" s="139" t="n"/>
      <x:c r="AA393" s="139" t="n"/>
      <x:c r="AB393" s="139" t="n"/>
      <x:c r="AC393" s="139" t="n"/>
      <x:c r="AD393" s="139" t="n"/>
      <x:c r="AE393" s="139" t="n"/>
      <x:c r="AF393" s="139" t="n"/>
      <x:c r="AG393" s="139" t="n"/>
      <x:c r="AH393" s="139" t="n"/>
      <x:c r="AI393" s="139" t="n"/>
      <x:c r="AJ393" s="139" t="n"/>
      <x:c r="AK393" s="139" t="n"/>
      <x:c r="AL393" s="139" t="n"/>
      <x:c r="AM393" s="139" t="n"/>
      <x:c r="AN393" s="139" t="n"/>
      <x:c r="AO393" s="139" t="n"/>
      <x:c r="AP393" s="139" t="n"/>
      <x:c r="AQ393" s="139" t="n"/>
      <x:c r="AR393" s="139" t="n"/>
      <x:c r="AS393" s="139" t="n"/>
      <x:c r="AT393" s="139" t="n"/>
      <x:c r="AU393" s="139" t="n"/>
      <x:c r="AV393" s="139" t="n"/>
      <x:c r="AW393" s="139" t="n"/>
      <x:c r="AX393" s="139" t="n"/>
      <x:c r="AY393" s="139" t="n"/>
      <x:c r="AZ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c r="V394" s="139" t="n"/>
      <x:c r="W394" s="139" t="n"/>
      <x:c r="X394" s="139" t="n"/>
      <x:c r="Y394" s="139" t="n"/>
      <x:c r="Z394" s="139" t="n"/>
      <x:c r="AA394" s="139" t="n"/>
      <x:c r="AB394" s="139" t="n"/>
      <x:c r="AC394" s="139" t="n"/>
      <x:c r="AD394" s="139" t="n"/>
      <x:c r="AE394" s="139" t="n"/>
      <x:c r="AF394" s="139" t="n"/>
      <x:c r="AG394" s="139" t="n"/>
      <x:c r="AH394" s="139" t="n"/>
      <x:c r="AI394" s="139" t="n"/>
      <x:c r="AJ394" s="139" t="n"/>
      <x:c r="AK394" s="139" t="n"/>
      <x:c r="AL394" s="139" t="n"/>
      <x:c r="AM394" s="139" t="n"/>
      <x:c r="AN394" s="139" t="n"/>
      <x:c r="AO394" s="139" t="n"/>
      <x:c r="AP394" s="139" t="n"/>
      <x:c r="AQ394" s="139" t="n"/>
      <x:c r="AR394" s="139" t="n"/>
      <x:c r="AS394" s="139" t="n"/>
      <x:c r="AT394" s="139" t="n"/>
      <x:c r="AU394" s="139" t="n"/>
      <x:c r="AV394" s="139" t="n"/>
      <x:c r="AW394" s="139" t="n"/>
      <x:c r="AX394" s="139" t="n"/>
      <x:c r="AY394" s="139" t="n"/>
      <x:c r="AZ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c r="V395" s="139" t="n"/>
      <x:c r="W395" s="139" t="n"/>
      <x:c r="X395" s="139" t="n"/>
      <x:c r="Y395" s="139" t="n"/>
      <x:c r="Z395" s="139" t="n"/>
      <x:c r="AA395" s="139" t="n"/>
      <x:c r="AB395" s="139" t="n"/>
      <x:c r="AC395" s="139" t="n"/>
      <x:c r="AD395" s="139" t="n"/>
      <x:c r="AE395" s="139" t="n"/>
      <x:c r="AF395" s="139" t="n"/>
      <x:c r="AG395" s="139" t="n"/>
      <x:c r="AH395" s="139" t="n"/>
      <x:c r="AI395" s="139" t="n"/>
      <x:c r="AJ395" s="139" t="n"/>
      <x:c r="AK395" s="139" t="n"/>
      <x:c r="AL395" s="139" t="n"/>
      <x:c r="AM395" s="139" t="n"/>
      <x:c r="AN395" s="139" t="n"/>
      <x:c r="AO395" s="139" t="n"/>
      <x:c r="AP395" s="139" t="n"/>
      <x:c r="AQ395" s="139" t="n"/>
      <x:c r="AR395" s="139" t="n"/>
      <x:c r="AS395" s="139" t="n"/>
      <x:c r="AT395" s="139" t="n"/>
      <x:c r="AU395" s="139" t="n"/>
      <x:c r="AV395" s="139" t="n"/>
      <x:c r="AW395" s="139" t="n"/>
      <x:c r="AX395" s="139" t="n"/>
      <x:c r="AY395" s="139" t="n"/>
      <x:c r="AZ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c r="V396" s="139" t="n"/>
      <x:c r="W396" s="139" t="n"/>
      <x:c r="X396" s="139" t="n"/>
      <x:c r="Y396" s="139" t="n"/>
      <x:c r="Z396" s="139" t="n"/>
      <x:c r="AA396" s="139" t="n"/>
      <x:c r="AB396" s="139" t="n"/>
      <x:c r="AC396" s="139" t="n"/>
      <x:c r="AD396" s="139" t="n"/>
      <x:c r="AE396" s="139" t="n"/>
      <x:c r="AF396" s="139" t="n"/>
      <x:c r="AG396" s="139" t="n"/>
      <x:c r="AH396" s="139" t="n"/>
      <x:c r="AI396" s="139" t="n"/>
      <x:c r="AJ396" s="139" t="n"/>
      <x:c r="AK396" s="139" t="n"/>
      <x:c r="AL396" s="139" t="n"/>
      <x:c r="AM396" s="139" t="n"/>
      <x:c r="AN396" s="139" t="n"/>
      <x:c r="AO396" s="139" t="n"/>
      <x:c r="AP396" s="139" t="n"/>
      <x:c r="AQ396" s="139" t="n"/>
      <x:c r="AR396" s="139" t="n"/>
      <x:c r="AS396" s="139" t="n"/>
      <x:c r="AT396" s="139" t="n"/>
      <x:c r="AU396" s="139" t="n"/>
      <x:c r="AV396" s="139" t="n"/>
      <x:c r="AW396" s="139" t="n"/>
      <x:c r="AX396" s="139" t="n"/>
      <x:c r="AY396" s="139" t="n"/>
      <x:c r="AZ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c r="V397" s="139" t="n"/>
      <x:c r="W397" s="139" t="n"/>
      <x:c r="X397" s="139" t="n"/>
      <x:c r="Y397" s="139" t="n"/>
      <x:c r="Z397" s="139" t="n"/>
      <x:c r="AA397" s="139" t="n"/>
      <x:c r="AB397" s="139" t="n"/>
      <x:c r="AC397" s="139" t="n"/>
      <x:c r="AD397" s="139" t="n"/>
      <x:c r="AE397" s="139" t="n"/>
      <x:c r="AF397" s="139" t="n"/>
      <x:c r="AG397" s="139" t="n"/>
      <x:c r="AH397" s="139" t="n"/>
      <x:c r="AI397" s="139" t="n"/>
      <x:c r="AJ397" s="139" t="n"/>
      <x:c r="AK397" s="139" t="n"/>
      <x:c r="AL397" s="139" t="n"/>
      <x:c r="AM397" s="139" t="n"/>
      <x:c r="AN397" s="139" t="n"/>
      <x:c r="AO397" s="139" t="n"/>
      <x:c r="AP397" s="139" t="n"/>
      <x:c r="AQ397" s="139" t="n"/>
      <x:c r="AR397" s="139" t="n"/>
      <x:c r="AS397" s="139" t="n"/>
      <x:c r="AT397" s="139" t="n"/>
      <x:c r="AU397" s="139" t="n"/>
      <x:c r="AV397" s="139" t="n"/>
      <x:c r="AW397" s="139" t="n"/>
      <x:c r="AX397" s="139" t="n"/>
      <x:c r="AY397" s="139" t="n"/>
      <x:c r="AZ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c r="V398" s="139" t="n"/>
      <x:c r="W398" s="139" t="n"/>
      <x:c r="X398" s="139" t="n"/>
      <x:c r="Y398" s="139" t="n"/>
      <x:c r="Z398" s="139" t="n"/>
      <x:c r="AA398" s="139" t="n"/>
      <x:c r="AB398" s="139" t="n"/>
      <x:c r="AC398" s="139" t="n"/>
      <x:c r="AD398" s="139" t="n"/>
      <x:c r="AE398" s="139" t="n"/>
      <x:c r="AF398" s="139" t="n"/>
      <x:c r="AG398" s="139" t="n"/>
      <x:c r="AH398" s="139" t="n"/>
      <x:c r="AI398" s="139" t="n"/>
      <x:c r="AJ398" s="139" t="n"/>
      <x:c r="AK398" s="139" t="n"/>
      <x:c r="AL398" s="139" t="n"/>
      <x:c r="AM398" s="139" t="n"/>
      <x:c r="AN398" s="139" t="n"/>
      <x:c r="AO398" s="139" t="n"/>
      <x:c r="AP398" s="139" t="n"/>
      <x:c r="AQ398" s="139" t="n"/>
      <x:c r="AR398" s="139" t="n"/>
      <x:c r="AS398" s="139" t="n"/>
      <x:c r="AT398" s="139" t="n"/>
      <x:c r="AU398" s="139" t="n"/>
      <x:c r="AV398" s="139" t="n"/>
      <x:c r="AW398" s="139" t="n"/>
      <x:c r="AX398" s="139" t="n"/>
      <x:c r="AY398" s="139" t="n"/>
      <x:c r="AZ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c r="V399" s="139" t="n"/>
      <x:c r="W399" s="139" t="n"/>
      <x:c r="X399" s="139" t="n"/>
      <x:c r="Y399" s="139" t="n"/>
      <x:c r="Z399" s="139" t="n"/>
      <x:c r="AA399" s="139" t="n"/>
      <x:c r="AB399" s="139" t="n"/>
      <x:c r="AC399" s="139" t="n"/>
      <x:c r="AD399" s="139" t="n"/>
      <x:c r="AE399" s="139" t="n"/>
      <x:c r="AF399" s="139" t="n"/>
      <x:c r="AG399" s="139" t="n"/>
      <x:c r="AH399" s="139" t="n"/>
      <x:c r="AI399" s="139" t="n"/>
      <x:c r="AJ399" s="139" t="n"/>
      <x:c r="AK399" s="139" t="n"/>
      <x:c r="AL399" s="139" t="n"/>
      <x:c r="AM399" s="139" t="n"/>
      <x:c r="AN399" s="139" t="n"/>
      <x:c r="AO399" s="139" t="n"/>
      <x:c r="AP399" s="139" t="n"/>
      <x:c r="AQ399" s="139" t="n"/>
      <x:c r="AR399" s="139" t="n"/>
      <x:c r="AS399" s="139" t="n"/>
      <x:c r="AT399" s="139" t="n"/>
      <x:c r="AU399" s="139" t="n"/>
      <x:c r="AV399" s="139" t="n"/>
      <x:c r="AW399" s="139" t="n"/>
      <x:c r="AX399" s="139" t="n"/>
      <x:c r="AY399" s="139" t="n"/>
      <x:c r="AZ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c r="V400" s="139" t="n"/>
      <x:c r="W400" s="139" t="n"/>
      <x:c r="X400" s="139" t="n"/>
      <x:c r="Y400" s="139" t="n"/>
      <x:c r="Z400" s="139" t="n"/>
      <x:c r="AA400" s="139" t="n"/>
      <x:c r="AB400" s="139" t="n"/>
      <x:c r="AC400" s="139" t="n"/>
      <x:c r="AD400" s="139" t="n"/>
      <x:c r="AE400" s="139" t="n"/>
      <x:c r="AF400" s="139" t="n"/>
      <x:c r="AG400" s="139" t="n"/>
      <x:c r="AH400" s="139" t="n"/>
      <x:c r="AI400" s="139" t="n"/>
      <x:c r="AJ400" s="139" t="n"/>
      <x:c r="AK400" s="139" t="n"/>
      <x:c r="AL400" s="139" t="n"/>
      <x:c r="AM400" s="139" t="n"/>
      <x:c r="AN400" s="139" t="n"/>
      <x:c r="AO400" s="139" t="n"/>
      <x:c r="AP400" s="139" t="n"/>
      <x:c r="AQ400" s="139" t="n"/>
      <x:c r="AR400" s="139" t="n"/>
      <x:c r="AS400" s="139" t="n"/>
      <x:c r="AT400" s="139" t="n"/>
      <x:c r="AU400" s="139" t="n"/>
      <x:c r="AV400" s="139" t="n"/>
      <x:c r="AW400" s="139" t="n"/>
      <x:c r="AX400" s="139" t="n"/>
      <x:c r="AY400" s="139" t="n"/>
      <x:c r="AZ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c r="V401" s="139" t="n"/>
      <x:c r="W401" s="139" t="n"/>
      <x:c r="X401" s="139" t="n"/>
      <x:c r="Y401" s="139" t="n"/>
      <x:c r="Z401" s="139" t="n"/>
      <x:c r="AA401" s="139" t="n"/>
      <x:c r="AB401" s="139" t="n"/>
      <x:c r="AC401" s="139" t="n"/>
      <x:c r="AD401" s="139" t="n"/>
      <x:c r="AE401" s="139" t="n"/>
      <x:c r="AF401" s="139" t="n"/>
      <x:c r="AG401" s="139" t="n"/>
      <x:c r="AH401" s="139" t="n"/>
      <x:c r="AI401" s="139" t="n"/>
      <x:c r="AJ401" s="139" t="n"/>
      <x:c r="AK401" s="139" t="n"/>
      <x:c r="AL401" s="139" t="n"/>
      <x:c r="AM401" s="139" t="n"/>
      <x:c r="AN401" s="139" t="n"/>
      <x:c r="AO401" s="139" t="n"/>
      <x:c r="AP401" s="139" t="n"/>
      <x:c r="AQ401" s="139" t="n"/>
      <x:c r="AR401" s="139" t="n"/>
      <x:c r="AS401" s="139" t="n"/>
      <x:c r="AT401" s="139" t="n"/>
      <x:c r="AU401" s="139" t="n"/>
      <x:c r="AV401" s="139" t="n"/>
      <x:c r="AW401" s="139" t="n"/>
      <x:c r="AX401" s="139" t="n"/>
      <x:c r="AY401" s="139" t="n"/>
      <x:c r="AZ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c r="V402" s="139" t="n"/>
      <x:c r="W402" s="139" t="n"/>
      <x:c r="X402" s="139" t="n"/>
      <x:c r="Y402" s="139" t="n"/>
      <x:c r="Z402" s="139" t="n"/>
      <x:c r="AA402" s="139" t="n"/>
      <x:c r="AB402" s="139" t="n"/>
      <x:c r="AC402" s="139" t="n"/>
      <x:c r="AD402" s="139" t="n"/>
      <x:c r="AE402" s="139" t="n"/>
      <x:c r="AF402" s="139" t="n"/>
      <x:c r="AG402" s="139" t="n"/>
      <x:c r="AH402" s="139" t="n"/>
      <x:c r="AI402" s="139" t="n"/>
      <x:c r="AJ402" s="139" t="n"/>
      <x:c r="AK402" s="139" t="n"/>
      <x:c r="AL402" s="139" t="n"/>
      <x:c r="AM402" s="139" t="n"/>
      <x:c r="AN402" s="139" t="n"/>
      <x:c r="AO402" s="139" t="n"/>
      <x:c r="AP402" s="139" t="n"/>
      <x:c r="AQ402" s="139" t="n"/>
      <x:c r="AR402" s="139" t="n"/>
      <x:c r="AS402" s="139" t="n"/>
      <x:c r="AT402" s="139" t="n"/>
      <x:c r="AU402" s="139" t="n"/>
      <x:c r="AV402" s="139" t="n"/>
      <x:c r="AW402" s="139" t="n"/>
      <x:c r="AX402" s="139" t="n"/>
      <x:c r="AY402" s="139" t="n"/>
      <x:c r="AZ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c r="V403" s="139" t="n"/>
      <x:c r="W403" s="139" t="n"/>
      <x:c r="X403" s="139" t="n"/>
      <x:c r="Y403" s="139" t="n"/>
      <x:c r="Z403" s="139" t="n"/>
      <x:c r="AA403" s="139" t="n"/>
      <x:c r="AB403" s="139" t="n"/>
      <x:c r="AC403" s="139" t="n"/>
      <x:c r="AD403" s="139" t="n"/>
      <x:c r="AE403" s="139" t="n"/>
      <x:c r="AF403" s="139" t="n"/>
      <x:c r="AG403" s="139" t="n"/>
      <x:c r="AH403" s="139" t="n"/>
      <x:c r="AI403" s="139" t="n"/>
      <x:c r="AJ403" s="139" t="n"/>
      <x:c r="AK403" s="139" t="n"/>
      <x:c r="AL403" s="139" t="n"/>
      <x:c r="AM403" s="139" t="n"/>
      <x:c r="AN403" s="139" t="n"/>
      <x:c r="AO403" s="139" t="n"/>
      <x:c r="AP403" s="139" t="n"/>
      <x:c r="AQ403" s="139" t="n"/>
      <x:c r="AR403" s="139" t="n"/>
      <x:c r="AS403" s="139" t="n"/>
      <x:c r="AT403" s="139" t="n"/>
      <x:c r="AU403" s="139" t="n"/>
      <x:c r="AV403" s="139" t="n"/>
      <x:c r="AW403" s="139" t="n"/>
      <x:c r="AX403" s="139" t="n"/>
      <x:c r="AY403" s="139" t="n"/>
      <x:c r="AZ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c r="V404" s="139" t="n"/>
      <x:c r="W404" s="139" t="n"/>
      <x:c r="X404" s="139" t="n"/>
      <x:c r="Y404" s="139" t="n"/>
      <x:c r="Z404" s="139" t="n"/>
      <x:c r="AA404" s="139" t="n"/>
      <x:c r="AB404" s="139" t="n"/>
      <x:c r="AC404" s="139" t="n"/>
      <x:c r="AD404" s="139" t="n"/>
      <x:c r="AE404" s="139" t="n"/>
      <x:c r="AF404" s="139" t="n"/>
      <x:c r="AG404" s="139" t="n"/>
      <x:c r="AH404" s="139" t="n"/>
      <x:c r="AI404" s="139" t="n"/>
      <x:c r="AJ404" s="139" t="n"/>
      <x:c r="AK404" s="139" t="n"/>
      <x:c r="AL404" s="139" t="n"/>
      <x:c r="AM404" s="139" t="n"/>
      <x:c r="AN404" s="139" t="n"/>
      <x:c r="AO404" s="139" t="n"/>
      <x:c r="AP404" s="139" t="n"/>
      <x:c r="AQ404" s="139" t="n"/>
      <x:c r="AR404" s="139" t="n"/>
      <x:c r="AS404" s="139" t="n"/>
      <x:c r="AT404" s="139" t="n"/>
      <x:c r="AU404" s="139" t="n"/>
      <x:c r="AV404" s="139" t="n"/>
      <x:c r="AW404" s="139" t="n"/>
      <x:c r="AX404" s="139" t="n"/>
      <x:c r="AY404" s="139" t="n"/>
      <x:c r="AZ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c r="V405" s="139" t="n"/>
      <x:c r="W405" s="139" t="n"/>
      <x:c r="X405" s="139" t="n"/>
      <x:c r="Y405" s="139" t="n"/>
      <x:c r="Z405" s="139" t="n"/>
      <x:c r="AA405" s="139" t="n"/>
      <x:c r="AB405" s="139" t="n"/>
      <x:c r="AC405" s="139" t="n"/>
      <x:c r="AD405" s="139" t="n"/>
      <x:c r="AE405" s="139" t="n"/>
      <x:c r="AF405" s="139" t="n"/>
      <x:c r="AG405" s="139" t="n"/>
      <x:c r="AH405" s="139" t="n"/>
      <x:c r="AI405" s="139" t="n"/>
      <x:c r="AJ405" s="139" t="n"/>
      <x:c r="AK405" s="139" t="n"/>
      <x:c r="AL405" s="139" t="n"/>
      <x:c r="AM405" s="139" t="n"/>
      <x:c r="AN405" s="139" t="n"/>
      <x:c r="AO405" s="139" t="n"/>
      <x:c r="AP405" s="139" t="n"/>
      <x:c r="AQ405" s="139" t="n"/>
      <x:c r="AR405" s="139" t="n"/>
      <x:c r="AS405" s="139" t="n"/>
      <x:c r="AT405" s="139" t="n"/>
      <x:c r="AU405" s="139" t="n"/>
      <x:c r="AV405" s="139" t="n"/>
      <x:c r="AW405" s="139" t="n"/>
      <x:c r="AX405" s="139" t="n"/>
      <x:c r="AY405" s="139" t="n"/>
      <x:c r="AZ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c r="V406" s="139" t="n"/>
      <x:c r="W406" s="139" t="n"/>
      <x:c r="X406" s="139" t="n"/>
      <x:c r="Y406" s="139" t="n"/>
      <x:c r="Z406" s="139" t="n"/>
      <x:c r="AA406" s="139" t="n"/>
      <x:c r="AB406" s="139" t="n"/>
      <x:c r="AC406" s="139" t="n"/>
      <x:c r="AD406" s="139" t="n"/>
      <x:c r="AE406" s="139" t="n"/>
      <x:c r="AF406" s="139" t="n"/>
      <x:c r="AG406" s="139" t="n"/>
      <x:c r="AH406" s="139" t="n"/>
      <x:c r="AI406" s="139" t="n"/>
      <x:c r="AJ406" s="139" t="n"/>
      <x:c r="AK406" s="139" t="n"/>
      <x:c r="AL406" s="139" t="n"/>
      <x:c r="AM406" s="139" t="n"/>
      <x:c r="AN406" s="139" t="n"/>
      <x:c r="AO406" s="139" t="n"/>
      <x:c r="AP406" s="139" t="n"/>
      <x:c r="AQ406" s="139" t="n"/>
      <x:c r="AR406" s="139" t="n"/>
      <x:c r="AS406" s="139" t="n"/>
      <x:c r="AT406" s="139" t="n"/>
      <x:c r="AU406" s="139" t="n"/>
      <x:c r="AV406" s="139" t="n"/>
      <x:c r="AW406" s="139" t="n"/>
      <x:c r="AX406" s="139" t="n"/>
      <x:c r="AY406" s="139" t="n"/>
      <x:c r="AZ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c r="V407" s="139" t="n"/>
      <x:c r="W407" s="139" t="n"/>
      <x:c r="X407" s="139" t="n"/>
      <x:c r="Y407" s="139" t="n"/>
      <x:c r="Z407" s="139" t="n"/>
      <x:c r="AA407" s="139" t="n"/>
      <x:c r="AB407" s="139" t="n"/>
      <x:c r="AC407" s="139" t="n"/>
      <x:c r="AD407" s="139" t="n"/>
      <x:c r="AE407" s="139" t="n"/>
      <x:c r="AF407" s="139" t="n"/>
      <x:c r="AG407" s="139" t="n"/>
      <x:c r="AH407" s="139" t="n"/>
      <x:c r="AI407" s="139" t="n"/>
      <x:c r="AJ407" s="139" t="n"/>
      <x:c r="AK407" s="139" t="n"/>
      <x:c r="AL407" s="139" t="n"/>
      <x:c r="AM407" s="139" t="n"/>
      <x:c r="AN407" s="139" t="n"/>
      <x:c r="AO407" s="139" t="n"/>
      <x:c r="AP407" s="139" t="n"/>
      <x:c r="AQ407" s="139" t="n"/>
      <x:c r="AR407" s="139" t="n"/>
      <x:c r="AS407" s="139" t="n"/>
      <x:c r="AT407" s="139" t="n"/>
      <x:c r="AU407" s="139" t="n"/>
      <x:c r="AV407" s="139" t="n"/>
      <x:c r="AW407" s="139" t="n"/>
      <x:c r="AX407" s="139" t="n"/>
      <x:c r="AY407" s="139" t="n"/>
      <x:c r="AZ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c r="V408" s="139" t="n"/>
      <x:c r="W408" s="139" t="n"/>
      <x:c r="X408" s="139" t="n"/>
      <x:c r="Y408" s="139" t="n"/>
      <x:c r="Z408" s="139" t="n"/>
      <x:c r="AA408" s="139" t="n"/>
      <x:c r="AB408" s="139" t="n"/>
      <x:c r="AC408" s="139" t="n"/>
      <x:c r="AD408" s="139" t="n"/>
      <x:c r="AE408" s="139" t="n"/>
      <x:c r="AF408" s="139" t="n"/>
      <x:c r="AG408" s="139" t="n"/>
      <x:c r="AH408" s="139" t="n"/>
      <x:c r="AI408" s="139" t="n"/>
      <x:c r="AJ408" s="139" t="n"/>
      <x:c r="AK408" s="139" t="n"/>
      <x:c r="AL408" s="139" t="n"/>
      <x:c r="AM408" s="139" t="n"/>
      <x:c r="AN408" s="139" t="n"/>
      <x:c r="AO408" s="139" t="n"/>
      <x:c r="AP408" s="139" t="n"/>
      <x:c r="AQ408" s="139" t="n"/>
      <x:c r="AR408" s="139" t="n"/>
      <x:c r="AS408" s="139" t="n"/>
      <x:c r="AT408" s="139" t="n"/>
      <x:c r="AU408" s="139" t="n"/>
      <x:c r="AV408" s="139" t="n"/>
      <x:c r="AW408" s="139" t="n"/>
      <x:c r="AX408" s="139" t="n"/>
      <x:c r="AY408" s="139" t="n"/>
      <x:c r="AZ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c r="V409" s="139" t="n"/>
      <x:c r="W409" s="139" t="n"/>
      <x:c r="X409" s="139" t="n"/>
      <x:c r="Y409" s="139" t="n"/>
      <x:c r="Z409" s="139" t="n"/>
      <x:c r="AA409" s="139" t="n"/>
      <x:c r="AB409" s="139" t="n"/>
      <x:c r="AC409" s="139" t="n"/>
      <x:c r="AD409" s="139" t="n"/>
      <x:c r="AE409" s="139" t="n"/>
      <x:c r="AF409" s="139" t="n"/>
      <x:c r="AG409" s="139" t="n"/>
      <x:c r="AH409" s="139" t="n"/>
      <x:c r="AI409" s="139" t="n"/>
      <x:c r="AJ409" s="139" t="n"/>
      <x:c r="AK409" s="139" t="n"/>
      <x:c r="AL409" s="139" t="n"/>
      <x:c r="AM409" s="139" t="n"/>
      <x:c r="AN409" s="139" t="n"/>
      <x:c r="AO409" s="139" t="n"/>
      <x:c r="AP409" s="139" t="n"/>
      <x:c r="AQ409" s="139" t="n"/>
      <x:c r="AR409" s="139" t="n"/>
      <x:c r="AS409" s="139" t="n"/>
      <x:c r="AT409" s="139" t="n"/>
      <x:c r="AU409" s="139" t="n"/>
      <x:c r="AV409" s="139" t="n"/>
      <x:c r="AW409" s="139" t="n"/>
      <x:c r="AX409" s="139" t="n"/>
      <x:c r="AY409" s="139" t="n"/>
      <x:c r="AZ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c r="V410" s="139" t="n"/>
      <x:c r="W410" s="139" t="n"/>
      <x:c r="X410" s="139" t="n"/>
      <x:c r="Y410" s="139" t="n"/>
      <x:c r="Z410" s="139" t="n"/>
      <x:c r="AA410" s="139" t="n"/>
      <x:c r="AB410" s="139" t="n"/>
      <x:c r="AC410" s="139" t="n"/>
      <x:c r="AD410" s="139" t="n"/>
      <x:c r="AE410" s="139" t="n"/>
      <x:c r="AF410" s="139" t="n"/>
      <x:c r="AG410" s="139" t="n"/>
      <x:c r="AH410" s="139" t="n"/>
      <x:c r="AI410" s="139" t="n"/>
      <x:c r="AJ410" s="139" t="n"/>
      <x:c r="AK410" s="139" t="n"/>
      <x:c r="AL410" s="139" t="n"/>
      <x:c r="AM410" s="139" t="n"/>
      <x:c r="AN410" s="139" t="n"/>
      <x:c r="AO410" s="139" t="n"/>
      <x:c r="AP410" s="139" t="n"/>
      <x:c r="AQ410" s="139" t="n"/>
      <x:c r="AR410" s="139" t="n"/>
      <x:c r="AS410" s="139" t="n"/>
      <x:c r="AT410" s="139" t="n"/>
      <x:c r="AU410" s="139" t="n"/>
      <x:c r="AV410" s="139" t="n"/>
      <x:c r="AW410" s="139" t="n"/>
      <x:c r="AX410" s="139" t="n"/>
      <x:c r="AY410" s="139" t="n"/>
      <x:c r="AZ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c r="V411" s="139" t="n"/>
      <x:c r="W411" s="139" t="n"/>
      <x:c r="X411" s="139" t="n"/>
      <x:c r="Y411" s="139" t="n"/>
      <x:c r="Z411" s="139" t="n"/>
      <x:c r="AA411" s="139" t="n"/>
      <x:c r="AB411" s="139" t="n"/>
      <x:c r="AC411" s="139" t="n"/>
      <x:c r="AD411" s="139" t="n"/>
      <x:c r="AE411" s="139" t="n"/>
      <x:c r="AF411" s="139" t="n"/>
      <x:c r="AG411" s="139" t="n"/>
      <x:c r="AH411" s="139" t="n"/>
      <x:c r="AI411" s="139" t="n"/>
      <x:c r="AJ411" s="139" t="n"/>
      <x:c r="AK411" s="139" t="n"/>
      <x:c r="AL411" s="139" t="n"/>
      <x:c r="AM411" s="139" t="n"/>
      <x:c r="AN411" s="139" t="n"/>
      <x:c r="AO411" s="139" t="n"/>
      <x:c r="AP411" s="139" t="n"/>
      <x:c r="AQ411" s="139" t="n"/>
      <x:c r="AR411" s="139" t="n"/>
      <x:c r="AS411" s="139" t="n"/>
      <x:c r="AT411" s="139" t="n"/>
      <x:c r="AU411" s="139" t="n"/>
      <x:c r="AV411" s="139" t="n"/>
      <x:c r="AW411" s="139" t="n"/>
      <x:c r="AX411" s="139" t="n"/>
      <x:c r="AY411" s="139" t="n"/>
      <x:c r="AZ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c r="V412" s="139" t="n"/>
      <x:c r="W412" s="139" t="n"/>
      <x:c r="X412" s="139" t="n"/>
      <x:c r="Y412" s="139" t="n"/>
      <x:c r="Z412" s="139" t="n"/>
      <x:c r="AA412" s="139" t="n"/>
      <x:c r="AB412" s="139" t="n"/>
      <x:c r="AC412" s="139" t="n"/>
      <x:c r="AD412" s="139" t="n"/>
      <x:c r="AE412" s="139" t="n"/>
      <x:c r="AF412" s="139" t="n"/>
      <x:c r="AG412" s="139" t="n"/>
      <x:c r="AH412" s="139" t="n"/>
      <x:c r="AI412" s="139" t="n"/>
      <x:c r="AJ412" s="139" t="n"/>
      <x:c r="AK412" s="139" t="n"/>
      <x:c r="AL412" s="139" t="n"/>
      <x:c r="AM412" s="139" t="n"/>
      <x:c r="AN412" s="139" t="n"/>
      <x:c r="AO412" s="139" t="n"/>
      <x:c r="AP412" s="139" t="n"/>
      <x:c r="AQ412" s="139" t="n"/>
      <x:c r="AR412" s="139" t="n"/>
      <x:c r="AS412" s="139" t="n"/>
      <x:c r="AT412" s="139" t="n"/>
      <x:c r="AU412" s="139" t="n"/>
      <x:c r="AV412" s="139" t="n"/>
      <x:c r="AW412" s="139" t="n"/>
      <x:c r="AX412" s="139" t="n"/>
      <x:c r="AY412" s="139" t="n"/>
      <x:c r="AZ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c r="V413" s="139" t="n"/>
      <x:c r="W413" s="139" t="n"/>
      <x:c r="X413" s="139" t="n"/>
      <x:c r="Y413" s="139" t="n"/>
      <x:c r="Z413" s="139" t="n"/>
      <x:c r="AA413" s="139" t="n"/>
      <x:c r="AB413" s="139" t="n"/>
      <x:c r="AC413" s="139" t="n"/>
      <x:c r="AD413" s="139" t="n"/>
      <x:c r="AE413" s="139" t="n"/>
      <x:c r="AF413" s="139" t="n"/>
      <x:c r="AG413" s="139" t="n"/>
      <x:c r="AH413" s="139" t="n"/>
      <x:c r="AI413" s="139" t="n"/>
      <x:c r="AJ413" s="139" t="n"/>
      <x:c r="AK413" s="139" t="n"/>
      <x:c r="AL413" s="139" t="n"/>
      <x:c r="AM413" s="139" t="n"/>
      <x:c r="AN413" s="139" t="n"/>
      <x:c r="AO413" s="139" t="n"/>
      <x:c r="AP413" s="139" t="n"/>
      <x:c r="AQ413" s="139" t="n"/>
      <x:c r="AR413" s="139" t="n"/>
      <x:c r="AS413" s="139" t="n"/>
      <x:c r="AT413" s="139" t="n"/>
      <x:c r="AU413" s="139" t="n"/>
      <x:c r="AV413" s="139" t="n"/>
      <x:c r="AW413" s="139" t="n"/>
      <x:c r="AX413" s="139" t="n"/>
      <x:c r="AY413" s="139" t="n"/>
      <x:c r="AZ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c r="V414" s="139" t="n"/>
      <x:c r="W414" s="139" t="n"/>
      <x:c r="X414" s="139" t="n"/>
      <x:c r="Y414" s="139" t="n"/>
      <x:c r="Z414" s="139" t="n"/>
      <x:c r="AA414" s="139" t="n"/>
      <x:c r="AB414" s="139" t="n"/>
      <x:c r="AC414" s="139" t="n"/>
      <x:c r="AD414" s="139" t="n"/>
      <x:c r="AE414" s="139" t="n"/>
      <x:c r="AF414" s="139" t="n"/>
      <x:c r="AG414" s="139" t="n"/>
      <x:c r="AH414" s="139" t="n"/>
      <x:c r="AI414" s="139" t="n"/>
      <x:c r="AJ414" s="139" t="n"/>
      <x:c r="AK414" s="139" t="n"/>
      <x:c r="AL414" s="139" t="n"/>
      <x:c r="AM414" s="139" t="n"/>
      <x:c r="AN414" s="139" t="n"/>
      <x:c r="AO414" s="139" t="n"/>
      <x:c r="AP414" s="139" t="n"/>
      <x:c r="AQ414" s="139" t="n"/>
      <x:c r="AR414" s="139" t="n"/>
      <x:c r="AS414" s="139" t="n"/>
      <x:c r="AT414" s="139" t="n"/>
      <x:c r="AU414" s="139" t="n"/>
      <x:c r="AV414" s="139" t="n"/>
      <x:c r="AW414" s="139" t="n"/>
      <x:c r="AX414" s="139" t="n"/>
      <x:c r="AY414" s="139" t="n"/>
      <x:c r="AZ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c r="V415" s="139" t="n"/>
      <x:c r="W415" s="139" t="n"/>
      <x:c r="X415" s="139" t="n"/>
      <x:c r="Y415" s="139" t="n"/>
      <x:c r="Z415" s="139" t="n"/>
      <x:c r="AA415" s="139" t="n"/>
      <x:c r="AB415" s="139" t="n"/>
      <x:c r="AC415" s="139" t="n"/>
      <x:c r="AD415" s="139" t="n"/>
      <x:c r="AE415" s="139" t="n"/>
      <x:c r="AF415" s="139" t="n"/>
      <x:c r="AG415" s="139" t="n"/>
      <x:c r="AH415" s="139" t="n"/>
      <x:c r="AI415" s="139" t="n"/>
      <x:c r="AJ415" s="139" t="n"/>
      <x:c r="AK415" s="139" t="n"/>
      <x:c r="AL415" s="139" t="n"/>
      <x:c r="AM415" s="139" t="n"/>
      <x:c r="AN415" s="139" t="n"/>
      <x:c r="AO415" s="139" t="n"/>
      <x:c r="AP415" s="139" t="n"/>
      <x:c r="AQ415" s="139" t="n"/>
      <x:c r="AR415" s="139" t="n"/>
      <x:c r="AS415" s="139" t="n"/>
      <x:c r="AT415" s="139" t="n"/>
      <x:c r="AU415" s="139" t="n"/>
      <x:c r="AV415" s="139" t="n"/>
      <x:c r="AW415" s="139" t="n"/>
      <x:c r="AX415" s="139" t="n"/>
      <x:c r="AY415" s="139" t="n"/>
      <x:c r="AZ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c r="V416" s="139" t="n"/>
      <x:c r="W416" s="139" t="n"/>
      <x:c r="X416" s="139" t="n"/>
      <x:c r="Y416" s="139" t="n"/>
      <x:c r="Z416" s="139" t="n"/>
      <x:c r="AA416" s="139" t="n"/>
      <x:c r="AB416" s="139" t="n"/>
      <x:c r="AC416" s="139" t="n"/>
      <x:c r="AD416" s="139" t="n"/>
      <x:c r="AE416" s="139" t="n"/>
      <x:c r="AF416" s="139" t="n"/>
      <x:c r="AG416" s="139" t="n"/>
      <x:c r="AH416" s="139" t="n"/>
      <x:c r="AI416" s="139" t="n"/>
      <x:c r="AJ416" s="139" t="n"/>
      <x:c r="AK416" s="139" t="n"/>
      <x:c r="AL416" s="139" t="n"/>
      <x:c r="AM416" s="139" t="n"/>
      <x:c r="AN416" s="139" t="n"/>
      <x:c r="AO416" s="139" t="n"/>
      <x:c r="AP416" s="139" t="n"/>
      <x:c r="AQ416" s="139" t="n"/>
      <x:c r="AR416" s="139" t="n"/>
      <x:c r="AS416" s="139" t="n"/>
      <x:c r="AT416" s="139" t="n"/>
      <x:c r="AU416" s="139" t="n"/>
      <x:c r="AV416" s="139" t="n"/>
      <x:c r="AW416" s="139" t="n"/>
      <x:c r="AX416" s="139" t="n"/>
      <x:c r="AY416" s="139" t="n"/>
      <x:c r="AZ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c r="V417" s="139" t="n"/>
      <x:c r="W417" s="139" t="n"/>
      <x:c r="X417" s="139" t="n"/>
      <x:c r="Y417" s="139" t="n"/>
      <x:c r="Z417" s="139" t="n"/>
      <x:c r="AA417" s="139" t="n"/>
      <x:c r="AB417" s="139" t="n"/>
      <x:c r="AC417" s="139" t="n"/>
      <x:c r="AD417" s="139" t="n"/>
      <x:c r="AE417" s="139" t="n"/>
      <x:c r="AF417" s="139" t="n"/>
      <x:c r="AG417" s="139" t="n"/>
      <x:c r="AH417" s="139" t="n"/>
      <x:c r="AI417" s="139" t="n"/>
      <x:c r="AJ417" s="139" t="n"/>
      <x:c r="AK417" s="139" t="n"/>
      <x:c r="AL417" s="139" t="n"/>
      <x:c r="AM417" s="139" t="n"/>
      <x:c r="AN417" s="139" t="n"/>
      <x:c r="AO417" s="139" t="n"/>
      <x:c r="AP417" s="139" t="n"/>
      <x:c r="AQ417" s="139" t="n"/>
      <x:c r="AR417" s="139" t="n"/>
      <x:c r="AS417" s="139" t="n"/>
      <x:c r="AT417" s="139" t="n"/>
      <x:c r="AU417" s="139" t="n"/>
      <x:c r="AV417" s="139" t="n"/>
      <x:c r="AW417" s="139" t="n"/>
      <x:c r="AX417" s="139" t="n"/>
      <x:c r="AY417" s="139" t="n"/>
      <x:c r="AZ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c r="V418" s="139" t="n"/>
      <x:c r="W418" s="139" t="n"/>
      <x:c r="X418" s="139" t="n"/>
      <x:c r="Y418" s="139" t="n"/>
      <x:c r="Z418" s="139" t="n"/>
      <x:c r="AA418" s="139" t="n"/>
      <x:c r="AB418" s="139" t="n"/>
      <x:c r="AC418" s="139" t="n"/>
      <x:c r="AD418" s="139" t="n"/>
      <x:c r="AE418" s="139" t="n"/>
      <x:c r="AF418" s="139" t="n"/>
      <x:c r="AG418" s="139" t="n"/>
      <x:c r="AH418" s="139" t="n"/>
      <x:c r="AI418" s="139" t="n"/>
      <x:c r="AJ418" s="139" t="n"/>
      <x:c r="AK418" s="139" t="n"/>
      <x:c r="AL418" s="139" t="n"/>
      <x:c r="AM418" s="139" t="n"/>
      <x:c r="AN418" s="139" t="n"/>
      <x:c r="AO418" s="139" t="n"/>
      <x:c r="AP418" s="139" t="n"/>
      <x:c r="AQ418" s="139" t="n"/>
      <x:c r="AR418" s="139" t="n"/>
      <x:c r="AS418" s="139" t="n"/>
      <x:c r="AT418" s="139" t="n"/>
      <x:c r="AU418" s="139" t="n"/>
      <x:c r="AV418" s="139" t="n"/>
      <x:c r="AW418" s="139" t="n"/>
      <x:c r="AX418" s="139" t="n"/>
      <x:c r="AY418" s="139" t="n"/>
      <x:c r="AZ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c r="V419" s="139" t="n"/>
      <x:c r="W419" s="139" t="n"/>
      <x:c r="X419" s="139" t="n"/>
      <x:c r="Y419" s="139" t="n"/>
      <x:c r="Z419" s="139" t="n"/>
      <x:c r="AA419" s="139" t="n"/>
      <x:c r="AB419" s="139" t="n"/>
      <x:c r="AC419" s="139" t="n"/>
      <x:c r="AD419" s="139" t="n"/>
      <x:c r="AE419" s="139" t="n"/>
      <x:c r="AF419" s="139" t="n"/>
      <x:c r="AG419" s="139" t="n"/>
      <x:c r="AH419" s="139" t="n"/>
      <x:c r="AI419" s="139" t="n"/>
      <x:c r="AJ419" s="139" t="n"/>
      <x:c r="AK419" s="139" t="n"/>
      <x:c r="AL419" s="139" t="n"/>
      <x:c r="AM419" s="139" t="n"/>
      <x:c r="AN419" s="139" t="n"/>
      <x:c r="AO419" s="139" t="n"/>
      <x:c r="AP419" s="139" t="n"/>
      <x:c r="AQ419" s="139" t="n"/>
      <x:c r="AR419" s="139" t="n"/>
      <x:c r="AS419" s="139" t="n"/>
      <x:c r="AT419" s="139" t="n"/>
      <x:c r="AU419" s="139" t="n"/>
      <x:c r="AV419" s="139" t="n"/>
      <x:c r="AW419" s="139" t="n"/>
      <x:c r="AX419" s="139" t="n"/>
      <x:c r="AY419" s="139" t="n"/>
      <x:c r="AZ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c r="V420" s="139" t="n"/>
      <x:c r="W420" s="139" t="n"/>
      <x:c r="X420" s="139" t="n"/>
      <x:c r="Y420" s="139" t="n"/>
      <x:c r="Z420" s="139" t="n"/>
      <x:c r="AA420" s="139" t="n"/>
      <x:c r="AB420" s="139" t="n"/>
      <x:c r="AC420" s="139" t="n"/>
      <x:c r="AD420" s="139" t="n"/>
      <x:c r="AE420" s="139" t="n"/>
      <x:c r="AF420" s="139" t="n"/>
      <x:c r="AG420" s="139" t="n"/>
      <x:c r="AH420" s="139" t="n"/>
      <x:c r="AI420" s="139" t="n"/>
      <x:c r="AJ420" s="139" t="n"/>
      <x:c r="AK420" s="139" t="n"/>
      <x:c r="AL420" s="139" t="n"/>
      <x:c r="AM420" s="139" t="n"/>
      <x:c r="AN420" s="139" t="n"/>
      <x:c r="AO420" s="139" t="n"/>
      <x:c r="AP420" s="139" t="n"/>
      <x:c r="AQ420" s="139" t="n"/>
      <x:c r="AR420" s="139" t="n"/>
      <x:c r="AS420" s="139" t="n"/>
      <x:c r="AT420" s="139" t="n"/>
      <x:c r="AU420" s="139" t="n"/>
      <x:c r="AV420" s="139" t="n"/>
      <x:c r="AW420" s="139" t="n"/>
      <x:c r="AX420" s="139" t="n"/>
      <x:c r="AY420" s="139" t="n"/>
      <x:c r="AZ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c r="V421" s="139" t="n"/>
      <x:c r="W421" s="139" t="n"/>
      <x:c r="X421" s="139" t="n"/>
      <x:c r="Y421" s="139" t="n"/>
      <x:c r="Z421" s="139" t="n"/>
      <x:c r="AA421" s="139" t="n"/>
      <x:c r="AB421" s="139" t="n"/>
      <x:c r="AC421" s="139" t="n"/>
      <x:c r="AD421" s="139" t="n"/>
      <x:c r="AE421" s="139" t="n"/>
      <x:c r="AF421" s="139" t="n"/>
      <x:c r="AG421" s="139" t="n"/>
      <x:c r="AH421" s="139" t="n"/>
      <x:c r="AI421" s="139" t="n"/>
      <x:c r="AJ421" s="139" t="n"/>
      <x:c r="AK421" s="139" t="n"/>
      <x:c r="AL421" s="139" t="n"/>
      <x:c r="AM421" s="139" t="n"/>
      <x:c r="AN421" s="139" t="n"/>
      <x:c r="AO421" s="139" t="n"/>
      <x:c r="AP421" s="139" t="n"/>
      <x:c r="AQ421" s="139" t="n"/>
      <x:c r="AR421" s="139" t="n"/>
      <x:c r="AS421" s="139" t="n"/>
      <x:c r="AT421" s="139" t="n"/>
      <x:c r="AU421" s="139" t="n"/>
      <x:c r="AV421" s="139" t="n"/>
      <x:c r="AW421" s="139" t="n"/>
      <x:c r="AX421" s="139" t="n"/>
      <x:c r="AY421" s="139" t="n"/>
      <x:c r="AZ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c r="V422" s="139" t="n"/>
      <x:c r="W422" s="139" t="n"/>
      <x:c r="X422" s="139" t="n"/>
      <x:c r="Y422" s="139" t="n"/>
      <x:c r="Z422" s="139" t="n"/>
      <x:c r="AA422" s="139" t="n"/>
      <x:c r="AB422" s="139" t="n"/>
      <x:c r="AC422" s="139" t="n"/>
      <x:c r="AD422" s="139" t="n"/>
      <x:c r="AE422" s="139" t="n"/>
      <x:c r="AF422" s="139" t="n"/>
      <x:c r="AG422" s="139" t="n"/>
      <x:c r="AH422" s="139" t="n"/>
      <x:c r="AI422" s="139" t="n"/>
      <x:c r="AJ422" s="139" t="n"/>
      <x:c r="AK422" s="139" t="n"/>
      <x:c r="AL422" s="139" t="n"/>
      <x:c r="AM422" s="139" t="n"/>
      <x:c r="AN422" s="139" t="n"/>
      <x:c r="AO422" s="139" t="n"/>
      <x:c r="AP422" s="139" t="n"/>
      <x:c r="AQ422" s="139" t="n"/>
      <x:c r="AR422" s="139" t="n"/>
      <x:c r="AS422" s="139" t="n"/>
      <x:c r="AT422" s="139" t="n"/>
      <x:c r="AU422" s="139" t="n"/>
      <x:c r="AV422" s="139" t="n"/>
      <x:c r="AW422" s="139" t="n"/>
      <x:c r="AX422" s="139" t="n"/>
      <x:c r="AY422" s="139" t="n"/>
      <x:c r="AZ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c r="V423" s="139" t="n"/>
      <x:c r="W423" s="139" t="n"/>
      <x:c r="X423" s="139" t="n"/>
      <x:c r="Y423" s="139" t="n"/>
      <x:c r="Z423" s="139" t="n"/>
      <x:c r="AA423" s="139" t="n"/>
      <x:c r="AB423" s="139" t="n"/>
      <x:c r="AC423" s="139" t="n"/>
      <x:c r="AD423" s="139" t="n"/>
      <x:c r="AE423" s="139" t="n"/>
      <x:c r="AF423" s="139" t="n"/>
      <x:c r="AG423" s="139" t="n"/>
      <x:c r="AH423" s="139" t="n"/>
      <x:c r="AI423" s="139" t="n"/>
      <x:c r="AJ423" s="139" t="n"/>
      <x:c r="AK423" s="139" t="n"/>
      <x:c r="AL423" s="139" t="n"/>
      <x:c r="AM423" s="139" t="n"/>
      <x:c r="AN423" s="139" t="n"/>
      <x:c r="AO423" s="139" t="n"/>
      <x:c r="AP423" s="139" t="n"/>
      <x:c r="AQ423" s="139" t="n"/>
      <x:c r="AR423" s="139" t="n"/>
      <x:c r="AS423" s="139" t="n"/>
      <x:c r="AT423" s="139" t="n"/>
      <x:c r="AU423" s="139" t="n"/>
      <x:c r="AV423" s="139" t="n"/>
      <x:c r="AW423" s="139" t="n"/>
      <x:c r="AX423" s="139" t="n"/>
      <x:c r="AY423" s="139" t="n"/>
      <x:c r="AZ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c r="V424" s="139" t="n"/>
      <x:c r="W424" s="139" t="n"/>
      <x:c r="X424" s="139" t="n"/>
      <x:c r="Y424" s="139" t="n"/>
      <x:c r="Z424" s="139" t="n"/>
      <x:c r="AA424" s="139" t="n"/>
      <x:c r="AB424" s="139" t="n"/>
      <x:c r="AC424" s="139" t="n"/>
      <x:c r="AD424" s="139" t="n"/>
      <x:c r="AE424" s="139" t="n"/>
      <x:c r="AF424" s="139" t="n"/>
      <x:c r="AG424" s="139" t="n"/>
      <x:c r="AH424" s="139" t="n"/>
      <x:c r="AI424" s="139" t="n"/>
      <x:c r="AJ424" s="139" t="n"/>
      <x:c r="AK424" s="139" t="n"/>
      <x:c r="AL424" s="139" t="n"/>
      <x:c r="AM424" s="139" t="n"/>
      <x:c r="AN424" s="139" t="n"/>
      <x:c r="AO424" s="139" t="n"/>
      <x:c r="AP424" s="139" t="n"/>
      <x:c r="AQ424" s="139" t="n"/>
      <x:c r="AR424" s="139" t="n"/>
      <x:c r="AS424" s="139" t="n"/>
      <x:c r="AT424" s="139" t="n"/>
      <x:c r="AU424" s="139" t="n"/>
      <x:c r="AV424" s="139" t="n"/>
      <x:c r="AW424" s="139" t="n"/>
      <x:c r="AX424" s="139" t="n"/>
      <x:c r="AY424" s="139" t="n"/>
      <x:c r="AZ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c r="V425" s="139" t="n"/>
      <x:c r="W425" s="139" t="n"/>
      <x:c r="X425" s="139" t="n"/>
      <x:c r="Y425" s="139" t="n"/>
      <x:c r="Z425" s="139" t="n"/>
      <x:c r="AA425" s="139" t="n"/>
      <x:c r="AB425" s="139" t="n"/>
      <x:c r="AC425" s="139" t="n"/>
      <x:c r="AD425" s="139" t="n"/>
      <x:c r="AE425" s="139" t="n"/>
      <x:c r="AF425" s="139" t="n"/>
      <x:c r="AG425" s="139" t="n"/>
      <x:c r="AH425" s="139" t="n"/>
      <x:c r="AI425" s="139" t="n"/>
      <x:c r="AJ425" s="139" t="n"/>
      <x:c r="AK425" s="139" t="n"/>
      <x:c r="AL425" s="139" t="n"/>
      <x:c r="AM425" s="139" t="n"/>
      <x:c r="AN425" s="139" t="n"/>
      <x:c r="AO425" s="139" t="n"/>
      <x:c r="AP425" s="139" t="n"/>
      <x:c r="AQ425" s="139" t="n"/>
      <x:c r="AR425" s="139" t="n"/>
      <x:c r="AS425" s="139" t="n"/>
      <x:c r="AT425" s="139" t="n"/>
      <x:c r="AU425" s="139" t="n"/>
      <x:c r="AV425" s="139" t="n"/>
      <x:c r="AW425" s="139" t="n"/>
      <x:c r="AX425" s="139" t="n"/>
      <x:c r="AY425" s="139" t="n"/>
      <x:c r="AZ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c r="V426" s="139" t="n"/>
      <x:c r="W426" s="139" t="n"/>
      <x:c r="X426" s="139" t="n"/>
      <x:c r="Y426" s="139" t="n"/>
      <x:c r="Z426" s="139" t="n"/>
      <x:c r="AA426" s="139" t="n"/>
      <x:c r="AB426" s="139" t="n"/>
      <x:c r="AC426" s="139" t="n"/>
      <x:c r="AD426" s="139" t="n"/>
      <x:c r="AE426" s="139" t="n"/>
      <x:c r="AF426" s="139" t="n"/>
      <x:c r="AG426" s="139" t="n"/>
      <x:c r="AH426" s="139" t="n"/>
      <x:c r="AI426" s="139" t="n"/>
      <x:c r="AJ426" s="139" t="n"/>
      <x:c r="AK426" s="139" t="n"/>
      <x:c r="AL426" s="139" t="n"/>
      <x:c r="AM426" s="139" t="n"/>
      <x:c r="AN426" s="139" t="n"/>
      <x:c r="AO426" s="139" t="n"/>
      <x:c r="AP426" s="139" t="n"/>
      <x:c r="AQ426" s="139" t="n"/>
      <x:c r="AR426" s="139" t="n"/>
      <x:c r="AS426" s="139" t="n"/>
      <x:c r="AT426" s="139" t="n"/>
      <x:c r="AU426" s="139" t="n"/>
      <x:c r="AV426" s="139" t="n"/>
      <x:c r="AW426" s="139" t="n"/>
      <x:c r="AX426" s="139" t="n"/>
      <x:c r="AY426" s="139" t="n"/>
      <x:c r="AZ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c r="V427" s="139" t="n"/>
      <x:c r="W427" s="139" t="n"/>
      <x:c r="X427" s="139" t="n"/>
      <x:c r="Y427" s="139" t="n"/>
      <x:c r="Z427" s="139" t="n"/>
      <x:c r="AA427" s="139" t="n"/>
      <x:c r="AB427" s="139" t="n"/>
      <x:c r="AC427" s="139" t="n"/>
      <x:c r="AD427" s="139" t="n"/>
      <x:c r="AE427" s="139" t="n"/>
      <x:c r="AF427" s="139" t="n"/>
      <x:c r="AG427" s="139" t="n"/>
      <x:c r="AH427" s="139" t="n"/>
      <x:c r="AI427" s="139" t="n"/>
      <x:c r="AJ427" s="139" t="n"/>
      <x:c r="AK427" s="139" t="n"/>
      <x:c r="AL427" s="139" t="n"/>
      <x:c r="AM427" s="139" t="n"/>
      <x:c r="AN427" s="139" t="n"/>
      <x:c r="AO427" s="139" t="n"/>
      <x:c r="AP427" s="139" t="n"/>
      <x:c r="AQ427" s="139" t="n"/>
      <x:c r="AR427" s="139" t="n"/>
      <x:c r="AS427" s="139" t="n"/>
      <x:c r="AT427" s="139" t="n"/>
      <x:c r="AU427" s="139" t="n"/>
      <x:c r="AV427" s="139" t="n"/>
      <x:c r="AW427" s="139" t="n"/>
      <x:c r="AX427" s="139" t="n"/>
      <x:c r="AY427" s="139" t="n"/>
      <x:c r="AZ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c r="V428" s="139" t="n"/>
      <x:c r="W428" s="139" t="n"/>
      <x:c r="X428" s="139" t="n"/>
      <x:c r="Y428" s="139" t="n"/>
      <x:c r="Z428" s="139" t="n"/>
      <x:c r="AA428" s="139" t="n"/>
      <x:c r="AB428" s="139" t="n"/>
      <x:c r="AC428" s="139" t="n"/>
      <x:c r="AD428" s="139" t="n"/>
      <x:c r="AE428" s="139" t="n"/>
      <x:c r="AF428" s="139" t="n"/>
      <x:c r="AG428" s="139" t="n"/>
      <x:c r="AH428" s="139" t="n"/>
      <x:c r="AI428" s="139" t="n"/>
      <x:c r="AJ428" s="139" t="n"/>
      <x:c r="AK428" s="139" t="n"/>
      <x:c r="AL428" s="139" t="n"/>
      <x:c r="AM428" s="139" t="n"/>
      <x:c r="AN428" s="139" t="n"/>
      <x:c r="AO428" s="139" t="n"/>
      <x:c r="AP428" s="139" t="n"/>
      <x:c r="AQ428" s="139" t="n"/>
      <x:c r="AR428" s="139" t="n"/>
      <x:c r="AS428" s="139" t="n"/>
      <x:c r="AT428" s="139" t="n"/>
      <x:c r="AU428" s="139" t="n"/>
      <x:c r="AV428" s="139" t="n"/>
      <x:c r="AW428" s="139" t="n"/>
      <x:c r="AX428" s="139" t="n"/>
      <x:c r="AY428" s="139" t="n"/>
      <x:c r="AZ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c r="V429" s="139" t="n"/>
      <x:c r="W429" s="139" t="n"/>
      <x:c r="X429" s="139" t="n"/>
      <x:c r="Y429" s="139" t="n"/>
      <x:c r="Z429" s="139" t="n"/>
      <x:c r="AA429" s="139" t="n"/>
      <x:c r="AB429" s="139" t="n"/>
      <x:c r="AC429" s="139" t="n"/>
      <x:c r="AD429" s="139" t="n"/>
      <x:c r="AE429" s="139" t="n"/>
      <x:c r="AF429" s="139" t="n"/>
      <x:c r="AG429" s="139" t="n"/>
      <x:c r="AH429" s="139" t="n"/>
      <x:c r="AI429" s="139" t="n"/>
      <x:c r="AJ429" s="139" t="n"/>
      <x:c r="AK429" s="139" t="n"/>
      <x:c r="AL429" s="139" t="n"/>
      <x:c r="AM429" s="139" t="n"/>
      <x:c r="AN429" s="139" t="n"/>
      <x:c r="AO429" s="139" t="n"/>
      <x:c r="AP429" s="139" t="n"/>
      <x:c r="AQ429" s="139" t="n"/>
      <x:c r="AR429" s="139" t="n"/>
      <x:c r="AS429" s="139" t="n"/>
      <x:c r="AT429" s="139" t="n"/>
      <x:c r="AU429" s="139" t="n"/>
      <x:c r="AV429" s="139" t="n"/>
      <x:c r="AW429" s="139" t="n"/>
      <x:c r="AX429" s="139" t="n"/>
      <x:c r="AY429" s="139" t="n"/>
      <x:c r="AZ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c r="V430" s="139" t="n"/>
      <x:c r="W430" s="139" t="n"/>
      <x:c r="X430" s="139" t="n"/>
      <x:c r="Y430" s="139" t="n"/>
      <x:c r="Z430" s="139" t="n"/>
      <x:c r="AA430" s="139" t="n"/>
      <x:c r="AB430" s="139" t="n"/>
      <x:c r="AC430" s="139" t="n"/>
      <x:c r="AD430" s="139" t="n"/>
      <x:c r="AE430" s="139" t="n"/>
      <x:c r="AF430" s="139" t="n"/>
      <x:c r="AG430" s="139" t="n"/>
      <x:c r="AH430" s="139" t="n"/>
      <x:c r="AI430" s="139" t="n"/>
      <x:c r="AJ430" s="139" t="n"/>
      <x:c r="AK430" s="139" t="n"/>
      <x:c r="AL430" s="139" t="n"/>
      <x:c r="AM430" s="139" t="n"/>
      <x:c r="AN430" s="139" t="n"/>
      <x:c r="AO430" s="139" t="n"/>
      <x:c r="AP430" s="139" t="n"/>
      <x:c r="AQ430" s="139" t="n"/>
      <x:c r="AR430" s="139" t="n"/>
      <x:c r="AS430" s="139" t="n"/>
      <x:c r="AT430" s="139" t="n"/>
      <x:c r="AU430" s="139" t="n"/>
      <x:c r="AV430" s="139" t="n"/>
      <x:c r="AW430" s="139" t="n"/>
      <x:c r="AX430" s="139" t="n"/>
      <x:c r="AY430" s="139" t="n"/>
      <x:c r="AZ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c r="V431" s="139" t="n"/>
      <x:c r="W431" s="139" t="n"/>
      <x:c r="X431" s="139" t="n"/>
      <x:c r="Y431" s="139" t="n"/>
      <x:c r="Z431" s="139" t="n"/>
      <x:c r="AA431" s="139" t="n"/>
      <x:c r="AB431" s="139" t="n"/>
      <x:c r="AC431" s="139" t="n"/>
      <x:c r="AD431" s="139" t="n"/>
      <x:c r="AE431" s="139" t="n"/>
      <x:c r="AF431" s="139" t="n"/>
      <x:c r="AG431" s="139" t="n"/>
      <x:c r="AH431" s="139" t="n"/>
      <x:c r="AI431" s="139" t="n"/>
      <x:c r="AJ431" s="139" t="n"/>
      <x:c r="AK431" s="139" t="n"/>
      <x:c r="AL431" s="139" t="n"/>
      <x:c r="AM431" s="139" t="n"/>
      <x:c r="AN431" s="139" t="n"/>
      <x:c r="AO431" s="139" t="n"/>
      <x:c r="AP431" s="139" t="n"/>
      <x:c r="AQ431" s="139" t="n"/>
      <x:c r="AR431" s="139" t="n"/>
      <x:c r="AS431" s="139" t="n"/>
      <x:c r="AT431" s="139" t="n"/>
      <x:c r="AU431" s="139" t="n"/>
      <x:c r="AV431" s="139" t="n"/>
      <x:c r="AW431" s="139" t="n"/>
      <x:c r="AX431" s="139" t="n"/>
      <x:c r="AY431" s="139" t="n"/>
      <x:c r="AZ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c r="V432" s="139" t="n"/>
      <x:c r="W432" s="139" t="n"/>
      <x:c r="X432" s="139" t="n"/>
      <x:c r="Y432" s="139" t="n"/>
      <x:c r="Z432" s="139" t="n"/>
      <x:c r="AA432" s="139" t="n"/>
      <x:c r="AB432" s="139" t="n"/>
      <x:c r="AC432" s="139" t="n"/>
      <x:c r="AD432" s="139" t="n"/>
      <x:c r="AE432" s="139" t="n"/>
      <x:c r="AF432" s="139" t="n"/>
      <x:c r="AG432" s="139" t="n"/>
      <x:c r="AH432" s="139" t="n"/>
      <x:c r="AI432" s="139" t="n"/>
      <x:c r="AJ432" s="139" t="n"/>
      <x:c r="AK432" s="139" t="n"/>
      <x:c r="AL432" s="139" t="n"/>
      <x:c r="AM432" s="139" t="n"/>
      <x:c r="AN432" s="139" t="n"/>
      <x:c r="AO432" s="139" t="n"/>
      <x:c r="AP432" s="139" t="n"/>
      <x:c r="AQ432" s="139" t="n"/>
      <x:c r="AR432" s="139" t="n"/>
      <x:c r="AS432" s="139" t="n"/>
      <x:c r="AT432" s="139" t="n"/>
      <x:c r="AU432" s="139" t="n"/>
      <x:c r="AV432" s="139" t="n"/>
      <x:c r="AW432" s="139" t="n"/>
      <x:c r="AX432" s="139" t="n"/>
      <x:c r="AY432" s="139" t="n"/>
      <x:c r="AZ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c r="V433" s="139" t="n"/>
      <x:c r="W433" s="139" t="n"/>
      <x:c r="X433" s="139" t="n"/>
      <x:c r="Y433" s="139" t="n"/>
      <x:c r="Z433" s="139" t="n"/>
      <x:c r="AA433" s="139" t="n"/>
      <x:c r="AB433" s="139" t="n"/>
      <x:c r="AC433" s="139" t="n"/>
      <x:c r="AD433" s="139" t="n"/>
      <x:c r="AE433" s="139" t="n"/>
      <x:c r="AF433" s="139" t="n"/>
      <x:c r="AG433" s="139" t="n"/>
      <x:c r="AH433" s="139" t="n"/>
      <x:c r="AI433" s="139" t="n"/>
      <x:c r="AJ433" s="139" t="n"/>
      <x:c r="AK433" s="139" t="n"/>
      <x:c r="AL433" s="139" t="n"/>
      <x:c r="AM433" s="139" t="n"/>
      <x:c r="AN433" s="139" t="n"/>
      <x:c r="AO433" s="139" t="n"/>
      <x:c r="AP433" s="139" t="n"/>
      <x:c r="AQ433" s="139" t="n"/>
      <x:c r="AR433" s="139" t="n"/>
      <x:c r="AS433" s="139" t="n"/>
      <x:c r="AT433" s="139" t="n"/>
      <x:c r="AU433" s="139" t="n"/>
      <x:c r="AV433" s="139" t="n"/>
      <x:c r="AW433" s="139" t="n"/>
      <x:c r="AX433" s="139" t="n"/>
      <x:c r="AY433" s="139" t="n"/>
      <x:c r="AZ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c r="V434" s="139" t="n"/>
      <x:c r="W434" s="139" t="n"/>
      <x:c r="X434" s="139" t="n"/>
      <x:c r="Y434" s="139" t="n"/>
      <x:c r="Z434" s="139" t="n"/>
      <x:c r="AA434" s="139" t="n"/>
      <x:c r="AB434" s="139" t="n"/>
      <x:c r="AC434" s="139" t="n"/>
      <x:c r="AD434" s="139" t="n"/>
      <x:c r="AE434" s="139" t="n"/>
      <x:c r="AF434" s="139" t="n"/>
      <x:c r="AG434" s="139" t="n"/>
      <x:c r="AH434" s="139" t="n"/>
      <x:c r="AI434" s="139" t="n"/>
      <x:c r="AJ434" s="139" t="n"/>
      <x:c r="AK434" s="139" t="n"/>
      <x:c r="AL434" s="139" t="n"/>
      <x:c r="AM434" s="139" t="n"/>
      <x:c r="AN434" s="139" t="n"/>
      <x:c r="AO434" s="139" t="n"/>
      <x:c r="AP434" s="139" t="n"/>
      <x:c r="AQ434" s="139" t="n"/>
      <x:c r="AR434" s="139" t="n"/>
      <x:c r="AS434" s="139" t="n"/>
      <x:c r="AT434" s="139" t="n"/>
      <x:c r="AU434" s="139" t="n"/>
      <x:c r="AV434" s="139" t="n"/>
      <x:c r="AW434" s="139" t="n"/>
      <x:c r="AX434" s="139" t="n"/>
      <x:c r="AY434" s="139" t="n"/>
      <x:c r="AZ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c r="V435" s="139" t="n"/>
      <x:c r="W435" s="139" t="n"/>
      <x:c r="X435" s="139" t="n"/>
      <x:c r="Y435" s="139" t="n"/>
      <x:c r="Z435" s="139" t="n"/>
      <x:c r="AA435" s="139" t="n"/>
      <x:c r="AB435" s="139" t="n"/>
      <x:c r="AC435" s="139" t="n"/>
      <x:c r="AD435" s="139" t="n"/>
      <x:c r="AE435" s="139" t="n"/>
      <x:c r="AF435" s="139" t="n"/>
      <x:c r="AG435" s="139" t="n"/>
      <x:c r="AH435" s="139" t="n"/>
      <x:c r="AI435" s="139" t="n"/>
      <x:c r="AJ435" s="139" t="n"/>
      <x:c r="AK435" s="139" t="n"/>
      <x:c r="AL435" s="139" t="n"/>
      <x:c r="AM435" s="139" t="n"/>
      <x:c r="AN435" s="139" t="n"/>
      <x:c r="AO435" s="139" t="n"/>
      <x:c r="AP435" s="139" t="n"/>
      <x:c r="AQ435" s="139" t="n"/>
      <x:c r="AR435" s="139" t="n"/>
      <x:c r="AS435" s="139" t="n"/>
      <x:c r="AT435" s="139" t="n"/>
      <x:c r="AU435" s="139" t="n"/>
      <x:c r="AV435" s="139" t="n"/>
      <x:c r="AW435" s="139" t="n"/>
      <x:c r="AX435" s="139" t="n"/>
      <x:c r="AY435" s="139" t="n"/>
      <x:c r="AZ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c r="V436" s="139" t="n"/>
      <x:c r="W436" s="139" t="n"/>
      <x:c r="X436" s="139" t="n"/>
      <x:c r="Y436" s="139" t="n"/>
      <x:c r="Z436" s="139" t="n"/>
      <x:c r="AA436" s="139" t="n"/>
      <x:c r="AB436" s="139" t="n"/>
      <x:c r="AC436" s="139" t="n"/>
      <x:c r="AD436" s="139" t="n"/>
      <x:c r="AE436" s="139" t="n"/>
      <x:c r="AF436" s="139" t="n"/>
      <x:c r="AG436" s="139" t="n"/>
      <x:c r="AH436" s="139" t="n"/>
      <x:c r="AI436" s="139" t="n"/>
      <x:c r="AJ436" s="139" t="n"/>
      <x:c r="AK436" s="139" t="n"/>
      <x:c r="AL436" s="139" t="n"/>
      <x:c r="AM436" s="139" t="n"/>
      <x:c r="AN436" s="139" t="n"/>
      <x:c r="AO436" s="139" t="n"/>
      <x:c r="AP436" s="139" t="n"/>
      <x:c r="AQ436" s="139" t="n"/>
      <x:c r="AR436" s="139" t="n"/>
      <x:c r="AS436" s="139" t="n"/>
      <x:c r="AT436" s="139" t="n"/>
      <x:c r="AU436" s="139" t="n"/>
      <x:c r="AV436" s="139" t="n"/>
      <x:c r="AW436" s="139" t="n"/>
      <x:c r="AX436" s="139" t="n"/>
      <x:c r="AY436" s="139" t="n"/>
      <x:c r="AZ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c r="V437" s="139" t="n"/>
      <x:c r="W437" s="139" t="n"/>
      <x:c r="X437" s="139" t="n"/>
      <x:c r="Y437" s="139" t="n"/>
      <x:c r="Z437" s="139" t="n"/>
      <x:c r="AA437" s="139" t="n"/>
      <x:c r="AB437" s="139" t="n"/>
      <x:c r="AC437" s="139" t="n"/>
      <x:c r="AD437" s="139" t="n"/>
      <x:c r="AE437" s="139" t="n"/>
      <x:c r="AF437" s="139" t="n"/>
      <x:c r="AG437" s="139" t="n"/>
      <x:c r="AH437" s="139" t="n"/>
      <x:c r="AI437" s="139" t="n"/>
      <x:c r="AJ437" s="139" t="n"/>
      <x:c r="AK437" s="139" t="n"/>
      <x:c r="AL437" s="139" t="n"/>
      <x:c r="AM437" s="139" t="n"/>
      <x:c r="AN437" s="139" t="n"/>
      <x:c r="AO437" s="139" t="n"/>
      <x:c r="AP437" s="139" t="n"/>
      <x:c r="AQ437" s="139" t="n"/>
      <x:c r="AR437" s="139" t="n"/>
      <x:c r="AS437" s="139" t="n"/>
      <x:c r="AT437" s="139" t="n"/>
      <x:c r="AU437" s="139" t="n"/>
      <x:c r="AV437" s="139" t="n"/>
      <x:c r="AW437" s="139" t="n"/>
      <x:c r="AX437" s="139" t="n"/>
      <x:c r="AY437" s="139" t="n"/>
      <x:c r="AZ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c r="V438" s="139" t="n"/>
      <x:c r="W438" s="139" t="n"/>
      <x:c r="X438" s="139" t="n"/>
      <x:c r="Y438" s="139" t="n"/>
      <x:c r="Z438" s="139" t="n"/>
      <x:c r="AA438" s="139" t="n"/>
      <x:c r="AB438" s="139" t="n"/>
      <x:c r="AC438" s="139" t="n"/>
      <x:c r="AD438" s="139" t="n"/>
      <x:c r="AE438" s="139" t="n"/>
      <x:c r="AF438" s="139" t="n"/>
      <x:c r="AG438" s="139" t="n"/>
      <x:c r="AH438" s="139" t="n"/>
      <x:c r="AI438" s="139" t="n"/>
      <x:c r="AJ438" s="139" t="n"/>
      <x:c r="AK438" s="139" t="n"/>
      <x:c r="AL438" s="139" t="n"/>
      <x:c r="AM438" s="139" t="n"/>
      <x:c r="AN438" s="139" t="n"/>
      <x:c r="AO438" s="139" t="n"/>
      <x:c r="AP438" s="139" t="n"/>
      <x:c r="AQ438" s="139" t="n"/>
      <x:c r="AR438" s="139" t="n"/>
      <x:c r="AS438" s="139" t="n"/>
      <x:c r="AT438" s="139" t="n"/>
      <x:c r="AU438" s="139" t="n"/>
      <x:c r="AV438" s="139" t="n"/>
      <x:c r="AW438" s="139" t="n"/>
      <x:c r="AX438" s="139" t="n"/>
      <x:c r="AY438" s="139" t="n"/>
      <x:c r="AZ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c r="V439" s="139" t="n"/>
      <x:c r="W439" s="139" t="n"/>
      <x:c r="X439" s="139" t="n"/>
      <x:c r="Y439" s="139" t="n"/>
      <x:c r="Z439" s="139" t="n"/>
      <x:c r="AA439" s="139" t="n"/>
      <x:c r="AB439" s="139" t="n"/>
      <x:c r="AC439" s="139" t="n"/>
      <x:c r="AD439" s="139" t="n"/>
      <x:c r="AE439" s="139" t="n"/>
      <x:c r="AF439" s="139" t="n"/>
      <x:c r="AG439" s="139" t="n"/>
      <x:c r="AH439" s="139" t="n"/>
      <x:c r="AI439" s="139" t="n"/>
      <x:c r="AJ439" s="139" t="n"/>
      <x:c r="AK439" s="139" t="n"/>
      <x:c r="AL439" s="139" t="n"/>
      <x:c r="AM439" s="139" t="n"/>
      <x:c r="AN439" s="139" t="n"/>
      <x:c r="AO439" s="139" t="n"/>
      <x:c r="AP439" s="139" t="n"/>
      <x:c r="AQ439" s="139" t="n"/>
      <x:c r="AR439" s="139" t="n"/>
      <x:c r="AS439" s="139" t="n"/>
      <x:c r="AT439" s="139" t="n"/>
      <x:c r="AU439" s="139" t="n"/>
      <x:c r="AV439" s="139" t="n"/>
      <x:c r="AW439" s="139" t="n"/>
      <x:c r="AX439" s="139" t="n"/>
      <x:c r="AY439" s="139" t="n"/>
      <x:c r="AZ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c r="V440" s="139" t="n"/>
      <x:c r="W440" s="139" t="n"/>
      <x:c r="X440" s="139" t="n"/>
      <x:c r="Y440" s="139" t="n"/>
      <x:c r="Z440" s="139" t="n"/>
      <x:c r="AA440" s="139" t="n"/>
      <x:c r="AB440" s="139" t="n"/>
      <x:c r="AC440" s="139" t="n"/>
      <x:c r="AD440" s="139" t="n"/>
      <x:c r="AE440" s="139" t="n"/>
      <x:c r="AF440" s="139" t="n"/>
      <x:c r="AG440" s="139" t="n"/>
      <x:c r="AH440" s="139" t="n"/>
      <x:c r="AI440" s="139" t="n"/>
      <x:c r="AJ440" s="139" t="n"/>
      <x:c r="AK440" s="139" t="n"/>
      <x:c r="AL440" s="139" t="n"/>
      <x:c r="AM440" s="139" t="n"/>
      <x:c r="AN440" s="139" t="n"/>
      <x:c r="AO440" s="139" t="n"/>
      <x:c r="AP440" s="139" t="n"/>
      <x:c r="AQ440" s="139" t="n"/>
      <x:c r="AR440" s="139" t="n"/>
      <x:c r="AS440" s="139" t="n"/>
      <x:c r="AT440" s="139" t="n"/>
      <x:c r="AU440" s="139" t="n"/>
      <x:c r="AV440" s="139" t="n"/>
      <x:c r="AW440" s="139" t="n"/>
      <x:c r="AX440" s="139" t="n"/>
      <x:c r="AY440" s="139" t="n"/>
      <x:c r="AZ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c r="V441" s="139" t="n"/>
      <x:c r="W441" s="139" t="n"/>
      <x:c r="X441" s="139" t="n"/>
      <x:c r="Y441" s="139" t="n"/>
      <x:c r="Z441" s="139" t="n"/>
      <x:c r="AA441" s="139" t="n"/>
      <x:c r="AB441" s="139" t="n"/>
      <x:c r="AC441" s="139" t="n"/>
      <x:c r="AD441" s="139" t="n"/>
      <x:c r="AE441" s="139" t="n"/>
      <x:c r="AF441" s="139" t="n"/>
      <x:c r="AG441" s="139" t="n"/>
      <x:c r="AH441" s="139" t="n"/>
      <x:c r="AI441" s="139" t="n"/>
      <x:c r="AJ441" s="139" t="n"/>
      <x:c r="AK441" s="139" t="n"/>
      <x:c r="AL441" s="139" t="n"/>
      <x:c r="AM441" s="139" t="n"/>
      <x:c r="AN441" s="139" t="n"/>
      <x:c r="AO441" s="139" t="n"/>
      <x:c r="AP441" s="139" t="n"/>
      <x:c r="AQ441" s="139" t="n"/>
      <x:c r="AR441" s="139" t="n"/>
      <x:c r="AS441" s="139" t="n"/>
      <x:c r="AT441" s="139" t="n"/>
      <x:c r="AU441" s="139" t="n"/>
      <x:c r="AV441" s="139" t="n"/>
      <x:c r="AW441" s="139" t="n"/>
      <x:c r="AX441" s="139" t="n"/>
      <x:c r="AY441" s="139" t="n"/>
      <x:c r="AZ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c r="V442" s="139" t="n"/>
      <x:c r="W442" s="139" t="n"/>
      <x:c r="X442" s="139" t="n"/>
      <x:c r="Y442" s="139" t="n"/>
      <x:c r="Z442" s="139" t="n"/>
      <x:c r="AA442" s="139" t="n"/>
      <x:c r="AB442" s="139" t="n"/>
      <x:c r="AC442" s="139" t="n"/>
      <x:c r="AD442" s="139" t="n"/>
      <x:c r="AE442" s="139" t="n"/>
      <x:c r="AF442" s="139" t="n"/>
      <x:c r="AG442" s="139" t="n"/>
      <x:c r="AH442" s="139" t="n"/>
      <x:c r="AI442" s="139" t="n"/>
      <x:c r="AJ442" s="139" t="n"/>
      <x:c r="AK442" s="139" t="n"/>
      <x:c r="AL442" s="139" t="n"/>
      <x:c r="AM442" s="139" t="n"/>
      <x:c r="AN442" s="139" t="n"/>
      <x:c r="AO442" s="139" t="n"/>
      <x:c r="AP442" s="139" t="n"/>
      <x:c r="AQ442" s="139" t="n"/>
      <x:c r="AR442" s="139" t="n"/>
      <x:c r="AS442" s="139" t="n"/>
      <x:c r="AT442" s="139" t="n"/>
      <x:c r="AU442" s="139" t="n"/>
      <x:c r="AV442" s="139" t="n"/>
      <x:c r="AW442" s="139" t="n"/>
      <x:c r="AX442" s="139" t="n"/>
      <x:c r="AY442" s="139" t="n"/>
      <x:c r="AZ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c r="V443" s="139" t="n"/>
      <x:c r="W443" s="139" t="n"/>
      <x:c r="X443" s="139" t="n"/>
      <x:c r="Y443" s="139" t="n"/>
      <x:c r="Z443" s="139" t="n"/>
      <x:c r="AA443" s="139" t="n"/>
      <x:c r="AB443" s="139" t="n"/>
      <x:c r="AC443" s="139" t="n"/>
      <x:c r="AD443" s="139" t="n"/>
      <x:c r="AE443" s="139" t="n"/>
      <x:c r="AF443" s="139" t="n"/>
      <x:c r="AG443" s="139" t="n"/>
      <x:c r="AH443" s="139" t="n"/>
      <x:c r="AI443" s="139" t="n"/>
      <x:c r="AJ443" s="139" t="n"/>
      <x:c r="AK443" s="139" t="n"/>
      <x:c r="AL443" s="139" t="n"/>
      <x:c r="AM443" s="139" t="n"/>
      <x:c r="AN443" s="139" t="n"/>
      <x:c r="AO443" s="139" t="n"/>
      <x:c r="AP443" s="139" t="n"/>
      <x:c r="AQ443" s="139" t="n"/>
      <x:c r="AR443" s="139" t="n"/>
      <x:c r="AS443" s="139" t="n"/>
      <x:c r="AT443" s="139" t="n"/>
      <x:c r="AU443" s="139" t="n"/>
      <x:c r="AV443" s="139" t="n"/>
      <x:c r="AW443" s="139" t="n"/>
      <x:c r="AX443" s="139" t="n"/>
      <x:c r="AY443" s="139" t="n"/>
      <x:c r="AZ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c r="V444" s="139" t="n"/>
      <x:c r="W444" s="139" t="n"/>
      <x:c r="X444" s="139" t="n"/>
      <x:c r="Y444" s="139" t="n"/>
      <x:c r="Z444" s="139" t="n"/>
      <x:c r="AA444" s="139" t="n"/>
      <x:c r="AB444" s="139" t="n"/>
      <x:c r="AC444" s="139" t="n"/>
      <x:c r="AD444" s="139" t="n"/>
      <x:c r="AE444" s="139" t="n"/>
      <x:c r="AF444" s="139" t="n"/>
      <x:c r="AG444" s="139" t="n"/>
      <x:c r="AH444" s="139" t="n"/>
      <x:c r="AI444" s="139" t="n"/>
      <x:c r="AJ444" s="139" t="n"/>
      <x:c r="AK444" s="139" t="n"/>
      <x:c r="AL444" s="139" t="n"/>
      <x:c r="AM444" s="139" t="n"/>
      <x:c r="AN444" s="139" t="n"/>
      <x:c r="AO444" s="139" t="n"/>
      <x:c r="AP444" s="139" t="n"/>
      <x:c r="AQ444" s="139" t="n"/>
      <x:c r="AR444" s="139" t="n"/>
      <x:c r="AS444" s="139" t="n"/>
      <x:c r="AT444" s="139" t="n"/>
      <x:c r="AU444" s="139" t="n"/>
      <x:c r="AV444" s="139" t="n"/>
      <x:c r="AW444" s="139" t="n"/>
      <x:c r="AX444" s="139" t="n"/>
      <x:c r="AY444" s="139" t="n"/>
      <x:c r="AZ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c r="V445" s="139" t="n"/>
      <x:c r="W445" s="139" t="n"/>
      <x:c r="X445" s="139" t="n"/>
      <x:c r="Y445" s="139" t="n"/>
      <x:c r="Z445" s="139" t="n"/>
      <x:c r="AA445" s="139" t="n"/>
      <x:c r="AB445" s="139" t="n"/>
      <x:c r="AC445" s="139" t="n"/>
      <x:c r="AD445" s="139" t="n"/>
      <x:c r="AE445" s="139" t="n"/>
      <x:c r="AF445" s="139" t="n"/>
      <x:c r="AG445" s="139" t="n"/>
      <x:c r="AH445" s="139" t="n"/>
      <x:c r="AI445" s="139" t="n"/>
      <x:c r="AJ445" s="139" t="n"/>
      <x:c r="AK445" s="139" t="n"/>
      <x:c r="AL445" s="139" t="n"/>
      <x:c r="AM445" s="139" t="n"/>
      <x:c r="AN445" s="139" t="n"/>
      <x:c r="AO445" s="139" t="n"/>
      <x:c r="AP445" s="139" t="n"/>
      <x:c r="AQ445" s="139" t="n"/>
      <x:c r="AR445" s="139" t="n"/>
      <x:c r="AS445" s="139" t="n"/>
      <x:c r="AT445" s="139" t="n"/>
      <x:c r="AU445" s="139" t="n"/>
      <x:c r="AV445" s="139" t="n"/>
      <x:c r="AW445" s="139" t="n"/>
      <x:c r="AX445" s="139" t="n"/>
      <x:c r="AY445" s="139" t="n"/>
      <x:c r="AZ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c r="V446" s="139" t="n"/>
      <x:c r="W446" s="139" t="n"/>
      <x:c r="X446" s="139" t="n"/>
      <x:c r="Y446" s="139" t="n"/>
      <x:c r="Z446" s="139" t="n"/>
      <x:c r="AA446" s="139" t="n"/>
      <x:c r="AB446" s="139" t="n"/>
      <x:c r="AC446" s="139" t="n"/>
      <x:c r="AD446" s="139" t="n"/>
      <x:c r="AE446" s="139" t="n"/>
      <x:c r="AF446" s="139" t="n"/>
      <x:c r="AG446" s="139" t="n"/>
      <x:c r="AH446" s="139" t="n"/>
      <x:c r="AI446" s="139" t="n"/>
      <x:c r="AJ446" s="139" t="n"/>
      <x:c r="AK446" s="139" t="n"/>
      <x:c r="AL446" s="139" t="n"/>
      <x:c r="AM446" s="139" t="n"/>
      <x:c r="AN446" s="139" t="n"/>
      <x:c r="AO446" s="139" t="n"/>
      <x:c r="AP446" s="139" t="n"/>
      <x:c r="AQ446" s="139" t="n"/>
      <x:c r="AR446" s="139" t="n"/>
      <x:c r="AS446" s="139" t="n"/>
      <x:c r="AT446" s="139" t="n"/>
      <x:c r="AU446" s="139" t="n"/>
      <x:c r="AV446" s="139" t="n"/>
      <x:c r="AW446" s="139" t="n"/>
      <x:c r="AX446" s="139" t="n"/>
      <x:c r="AY446" s="139" t="n"/>
      <x:c r="AZ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c r="V447" s="139" t="n"/>
      <x:c r="W447" s="139" t="n"/>
      <x:c r="X447" s="139" t="n"/>
      <x:c r="Y447" s="139" t="n"/>
      <x:c r="Z447" s="139" t="n"/>
      <x:c r="AA447" s="139" t="n"/>
      <x:c r="AB447" s="139" t="n"/>
      <x:c r="AC447" s="139" t="n"/>
      <x:c r="AD447" s="139" t="n"/>
      <x:c r="AE447" s="139" t="n"/>
      <x:c r="AF447" s="139" t="n"/>
      <x:c r="AG447" s="139" t="n"/>
      <x:c r="AH447" s="139" t="n"/>
      <x:c r="AI447" s="139" t="n"/>
      <x:c r="AJ447" s="139" t="n"/>
      <x:c r="AK447" s="139" t="n"/>
      <x:c r="AL447" s="139" t="n"/>
      <x:c r="AM447" s="139" t="n"/>
      <x:c r="AN447" s="139" t="n"/>
      <x:c r="AO447" s="139" t="n"/>
      <x:c r="AP447" s="139" t="n"/>
      <x:c r="AQ447" s="139" t="n"/>
      <x:c r="AR447" s="139" t="n"/>
      <x:c r="AS447" s="139" t="n"/>
      <x:c r="AT447" s="139" t="n"/>
      <x:c r="AU447" s="139" t="n"/>
      <x:c r="AV447" s="139" t="n"/>
      <x:c r="AW447" s="139" t="n"/>
      <x:c r="AX447" s="139" t="n"/>
      <x:c r="AY447" s="139" t="n"/>
      <x:c r="AZ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c r="V448" s="139" t="n"/>
      <x:c r="W448" s="139" t="n"/>
      <x:c r="X448" s="139" t="n"/>
      <x:c r="Y448" s="139" t="n"/>
      <x:c r="Z448" s="139" t="n"/>
      <x:c r="AA448" s="139" t="n"/>
      <x:c r="AB448" s="139" t="n"/>
      <x:c r="AC448" s="139" t="n"/>
      <x:c r="AD448" s="139" t="n"/>
      <x:c r="AE448" s="139" t="n"/>
      <x:c r="AF448" s="139" t="n"/>
      <x:c r="AG448" s="139" t="n"/>
      <x:c r="AH448" s="139" t="n"/>
      <x:c r="AI448" s="139" t="n"/>
      <x:c r="AJ448" s="139" t="n"/>
      <x:c r="AK448" s="139" t="n"/>
      <x:c r="AL448" s="139" t="n"/>
      <x:c r="AM448" s="139" t="n"/>
      <x:c r="AN448" s="139" t="n"/>
      <x:c r="AO448" s="139" t="n"/>
      <x:c r="AP448" s="139" t="n"/>
      <x:c r="AQ448" s="139" t="n"/>
      <x:c r="AR448" s="139" t="n"/>
      <x:c r="AS448" s="139" t="n"/>
      <x:c r="AT448" s="139" t="n"/>
      <x:c r="AU448" s="139" t="n"/>
      <x:c r="AV448" s="139" t="n"/>
      <x:c r="AW448" s="139" t="n"/>
      <x:c r="AX448" s="139" t="n"/>
      <x:c r="AY448" s="139" t="n"/>
      <x:c r="AZ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c r="V449" s="139" t="n"/>
      <x:c r="W449" s="139" t="n"/>
      <x:c r="X449" s="139" t="n"/>
      <x:c r="Y449" s="139" t="n"/>
      <x:c r="Z449" s="139" t="n"/>
      <x:c r="AA449" s="139" t="n"/>
      <x:c r="AB449" s="139" t="n"/>
      <x:c r="AC449" s="139" t="n"/>
      <x:c r="AD449" s="139" t="n"/>
      <x:c r="AE449" s="139" t="n"/>
      <x:c r="AF449" s="139" t="n"/>
      <x:c r="AG449" s="139" t="n"/>
      <x:c r="AH449" s="139" t="n"/>
      <x:c r="AI449" s="139" t="n"/>
      <x:c r="AJ449" s="139" t="n"/>
      <x:c r="AK449" s="139" t="n"/>
      <x:c r="AL449" s="139" t="n"/>
      <x:c r="AM449" s="139" t="n"/>
      <x:c r="AN449" s="139" t="n"/>
      <x:c r="AO449" s="139" t="n"/>
      <x:c r="AP449" s="139" t="n"/>
      <x:c r="AQ449" s="139" t="n"/>
      <x:c r="AR449" s="139" t="n"/>
      <x:c r="AS449" s="139" t="n"/>
      <x:c r="AT449" s="139" t="n"/>
      <x:c r="AU449" s="139" t="n"/>
      <x:c r="AV449" s="139" t="n"/>
      <x:c r="AW449" s="139" t="n"/>
      <x:c r="AX449" s="139" t="n"/>
      <x:c r="AY449" s="139" t="n"/>
      <x:c r="AZ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c r="V450" s="139" t="n"/>
      <x:c r="W450" s="139" t="n"/>
      <x:c r="X450" s="139" t="n"/>
      <x:c r="Y450" s="139" t="n"/>
      <x:c r="Z450" s="139" t="n"/>
      <x:c r="AA450" s="139" t="n"/>
      <x:c r="AB450" s="139" t="n"/>
      <x:c r="AC450" s="139" t="n"/>
      <x:c r="AD450" s="139" t="n"/>
      <x:c r="AE450" s="139" t="n"/>
      <x:c r="AF450" s="139" t="n"/>
      <x:c r="AG450" s="139" t="n"/>
      <x:c r="AH450" s="139" t="n"/>
      <x:c r="AI450" s="139" t="n"/>
      <x:c r="AJ450" s="139" t="n"/>
      <x:c r="AK450" s="139" t="n"/>
      <x:c r="AL450" s="139" t="n"/>
      <x:c r="AM450" s="139" t="n"/>
      <x:c r="AN450" s="139" t="n"/>
      <x:c r="AO450" s="139" t="n"/>
      <x:c r="AP450" s="139" t="n"/>
      <x:c r="AQ450" s="139" t="n"/>
      <x:c r="AR450" s="139" t="n"/>
      <x:c r="AS450" s="139" t="n"/>
      <x:c r="AT450" s="139" t="n"/>
      <x:c r="AU450" s="139" t="n"/>
      <x:c r="AV450" s="139" t="n"/>
      <x:c r="AW450" s="139" t="n"/>
      <x:c r="AX450" s="139" t="n"/>
      <x:c r="AY450" s="139" t="n"/>
      <x:c r="AZ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c r="V451" s="139" t="n"/>
      <x:c r="W451" s="139" t="n"/>
      <x:c r="X451" s="139" t="n"/>
      <x:c r="Y451" s="139" t="n"/>
      <x:c r="Z451" s="139" t="n"/>
      <x:c r="AA451" s="139" t="n"/>
      <x:c r="AB451" s="139" t="n"/>
      <x:c r="AC451" s="139" t="n"/>
      <x:c r="AD451" s="139" t="n"/>
      <x:c r="AE451" s="139" t="n"/>
      <x:c r="AF451" s="139" t="n"/>
      <x:c r="AG451" s="139" t="n"/>
      <x:c r="AH451" s="139" t="n"/>
      <x:c r="AI451" s="139" t="n"/>
      <x:c r="AJ451" s="139" t="n"/>
      <x:c r="AK451" s="139" t="n"/>
      <x:c r="AL451" s="139" t="n"/>
      <x:c r="AM451" s="139" t="n"/>
      <x:c r="AN451" s="139" t="n"/>
      <x:c r="AO451" s="139" t="n"/>
      <x:c r="AP451" s="139" t="n"/>
      <x:c r="AQ451" s="139" t="n"/>
      <x:c r="AR451" s="139" t="n"/>
      <x:c r="AS451" s="139" t="n"/>
      <x:c r="AT451" s="139" t="n"/>
      <x:c r="AU451" s="139" t="n"/>
      <x:c r="AV451" s="139" t="n"/>
      <x:c r="AW451" s="139" t="n"/>
      <x:c r="AX451" s="139" t="n"/>
      <x:c r="AY451" s="139" t="n"/>
      <x:c r="AZ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c r="V452" s="139" t="n"/>
      <x:c r="W452" s="139" t="n"/>
      <x:c r="X452" s="139" t="n"/>
      <x:c r="Y452" s="139" t="n"/>
      <x:c r="Z452" s="139" t="n"/>
      <x:c r="AA452" s="139" t="n"/>
      <x:c r="AB452" s="139" t="n"/>
      <x:c r="AC452" s="139" t="n"/>
      <x:c r="AD452" s="139" t="n"/>
      <x:c r="AE452" s="139" t="n"/>
      <x:c r="AF452" s="139" t="n"/>
      <x:c r="AG452" s="139" t="n"/>
      <x:c r="AH452" s="139" t="n"/>
      <x:c r="AI452" s="139" t="n"/>
      <x:c r="AJ452" s="139" t="n"/>
      <x:c r="AK452" s="139" t="n"/>
      <x:c r="AL452" s="139" t="n"/>
      <x:c r="AM452" s="139" t="n"/>
      <x:c r="AN452" s="139" t="n"/>
      <x:c r="AO452" s="139" t="n"/>
      <x:c r="AP452" s="139" t="n"/>
      <x:c r="AQ452" s="139" t="n"/>
      <x:c r="AR452" s="139" t="n"/>
      <x:c r="AS452" s="139" t="n"/>
      <x:c r="AT452" s="139" t="n"/>
      <x:c r="AU452" s="139" t="n"/>
      <x:c r="AV452" s="139" t="n"/>
      <x:c r="AW452" s="139" t="n"/>
      <x:c r="AX452" s="139" t="n"/>
      <x:c r="AY452" s="139" t="n"/>
      <x:c r="AZ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c r="V453" s="139" t="n"/>
      <x:c r="W453" s="139" t="n"/>
      <x:c r="X453" s="139" t="n"/>
      <x:c r="Y453" s="139" t="n"/>
      <x:c r="Z453" s="139" t="n"/>
      <x:c r="AA453" s="139" t="n"/>
      <x:c r="AB453" s="139" t="n"/>
      <x:c r="AC453" s="139" t="n"/>
      <x:c r="AD453" s="139" t="n"/>
      <x:c r="AE453" s="139" t="n"/>
      <x:c r="AF453" s="139" t="n"/>
      <x:c r="AG453" s="139" t="n"/>
      <x:c r="AH453" s="139" t="n"/>
      <x:c r="AI453" s="139" t="n"/>
      <x:c r="AJ453" s="139" t="n"/>
      <x:c r="AK453" s="139" t="n"/>
      <x:c r="AL453" s="139" t="n"/>
      <x:c r="AM453" s="139" t="n"/>
      <x:c r="AN453" s="139" t="n"/>
      <x:c r="AO453" s="139" t="n"/>
      <x:c r="AP453" s="139" t="n"/>
      <x:c r="AQ453" s="139" t="n"/>
      <x:c r="AR453" s="139" t="n"/>
      <x:c r="AS453" s="139" t="n"/>
      <x:c r="AT453" s="139" t="n"/>
      <x:c r="AU453" s="139" t="n"/>
      <x:c r="AV453" s="139" t="n"/>
      <x:c r="AW453" s="139" t="n"/>
      <x:c r="AX453" s="139" t="n"/>
      <x:c r="AY453" s="139" t="n"/>
      <x:c r="AZ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c r="V454" s="139" t="n"/>
      <x:c r="W454" s="139" t="n"/>
      <x:c r="X454" s="139" t="n"/>
      <x:c r="Y454" s="139" t="n"/>
      <x:c r="Z454" s="139" t="n"/>
      <x:c r="AA454" s="139" t="n"/>
      <x:c r="AB454" s="139" t="n"/>
      <x:c r="AC454" s="139" t="n"/>
      <x:c r="AD454" s="139" t="n"/>
      <x:c r="AE454" s="139" t="n"/>
      <x:c r="AF454" s="139" t="n"/>
      <x:c r="AG454" s="139" t="n"/>
      <x:c r="AH454" s="139" t="n"/>
      <x:c r="AI454" s="139" t="n"/>
      <x:c r="AJ454" s="139" t="n"/>
      <x:c r="AK454" s="139" t="n"/>
      <x:c r="AL454" s="139" t="n"/>
      <x:c r="AM454" s="139" t="n"/>
      <x:c r="AN454" s="139" t="n"/>
      <x:c r="AO454" s="139" t="n"/>
      <x:c r="AP454" s="139" t="n"/>
      <x:c r="AQ454" s="139" t="n"/>
      <x:c r="AR454" s="139" t="n"/>
      <x:c r="AS454" s="139" t="n"/>
      <x:c r="AT454" s="139" t="n"/>
      <x:c r="AU454" s="139" t="n"/>
      <x:c r="AV454" s="139" t="n"/>
      <x:c r="AW454" s="139" t="n"/>
      <x:c r="AX454" s="139" t="n"/>
      <x:c r="AY454" s="139" t="n"/>
      <x:c r="AZ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c r="V455" s="139" t="n"/>
      <x:c r="W455" s="139" t="n"/>
      <x:c r="X455" s="139" t="n"/>
      <x:c r="Y455" s="139" t="n"/>
      <x:c r="Z455" s="139" t="n"/>
      <x:c r="AA455" s="139" t="n"/>
      <x:c r="AB455" s="139" t="n"/>
      <x:c r="AC455" s="139" t="n"/>
      <x:c r="AD455" s="139" t="n"/>
      <x:c r="AE455" s="139" t="n"/>
      <x:c r="AF455" s="139" t="n"/>
      <x:c r="AG455" s="139" t="n"/>
      <x:c r="AH455" s="139" t="n"/>
      <x:c r="AI455" s="139" t="n"/>
      <x:c r="AJ455" s="139" t="n"/>
      <x:c r="AK455" s="139" t="n"/>
      <x:c r="AL455" s="139" t="n"/>
      <x:c r="AM455" s="139" t="n"/>
      <x:c r="AN455" s="139" t="n"/>
      <x:c r="AO455" s="139" t="n"/>
      <x:c r="AP455" s="139" t="n"/>
      <x:c r="AQ455" s="139" t="n"/>
      <x:c r="AR455" s="139" t="n"/>
      <x:c r="AS455" s="139" t="n"/>
      <x:c r="AT455" s="139" t="n"/>
      <x:c r="AU455" s="139" t="n"/>
      <x:c r="AV455" s="139" t="n"/>
      <x:c r="AW455" s="139" t="n"/>
      <x:c r="AX455" s="139" t="n"/>
      <x:c r="AY455" s="139" t="n"/>
      <x:c r="AZ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c r="V456" s="139" t="n"/>
      <x:c r="W456" s="139" t="n"/>
      <x:c r="X456" s="139" t="n"/>
      <x:c r="Y456" s="139" t="n"/>
      <x:c r="Z456" s="139" t="n"/>
      <x:c r="AA456" s="139" t="n"/>
      <x:c r="AB456" s="139" t="n"/>
      <x:c r="AC456" s="139" t="n"/>
      <x:c r="AD456" s="139" t="n"/>
      <x:c r="AE456" s="139" t="n"/>
      <x:c r="AF456" s="139" t="n"/>
      <x:c r="AG456" s="139" t="n"/>
      <x:c r="AH456" s="139" t="n"/>
      <x:c r="AI456" s="139" t="n"/>
      <x:c r="AJ456" s="139" t="n"/>
      <x:c r="AK456" s="139" t="n"/>
      <x:c r="AL456" s="139" t="n"/>
      <x:c r="AM456" s="139" t="n"/>
      <x:c r="AN456" s="139" t="n"/>
      <x:c r="AO456" s="139" t="n"/>
      <x:c r="AP456" s="139" t="n"/>
      <x:c r="AQ456" s="139" t="n"/>
      <x:c r="AR456" s="139" t="n"/>
      <x:c r="AS456" s="139" t="n"/>
      <x:c r="AT456" s="139" t="n"/>
      <x:c r="AU456" s="139" t="n"/>
      <x:c r="AV456" s="139" t="n"/>
      <x:c r="AW456" s="139" t="n"/>
      <x:c r="AX456" s="139" t="n"/>
      <x:c r="AY456" s="139" t="n"/>
      <x:c r="AZ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c r="V457" s="139" t="n"/>
      <x:c r="W457" s="139" t="n"/>
      <x:c r="X457" s="139" t="n"/>
      <x:c r="Y457" s="139" t="n"/>
      <x:c r="Z457" s="139" t="n"/>
      <x:c r="AA457" s="139" t="n"/>
      <x:c r="AB457" s="139" t="n"/>
      <x:c r="AC457" s="139" t="n"/>
      <x:c r="AD457" s="139" t="n"/>
      <x:c r="AE457" s="139" t="n"/>
      <x:c r="AF457" s="139" t="n"/>
      <x:c r="AG457" s="139" t="n"/>
      <x:c r="AH457" s="139" t="n"/>
      <x:c r="AI457" s="139" t="n"/>
      <x:c r="AJ457" s="139" t="n"/>
      <x:c r="AK457" s="139" t="n"/>
      <x:c r="AL457" s="139" t="n"/>
      <x:c r="AM457" s="139" t="n"/>
      <x:c r="AN457" s="139" t="n"/>
      <x:c r="AO457" s="139" t="n"/>
      <x:c r="AP457" s="139" t="n"/>
      <x:c r="AQ457" s="139" t="n"/>
      <x:c r="AR457" s="139" t="n"/>
      <x:c r="AS457" s="139" t="n"/>
      <x:c r="AT457" s="139" t="n"/>
      <x:c r="AU457" s="139" t="n"/>
      <x:c r="AV457" s="139" t="n"/>
      <x:c r="AW457" s="139" t="n"/>
      <x:c r="AX457" s="139" t="n"/>
      <x:c r="AY457" s="139" t="n"/>
      <x:c r="AZ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c r="V458" s="139" t="n"/>
      <x:c r="W458" s="139" t="n"/>
      <x:c r="X458" s="139" t="n"/>
      <x:c r="Y458" s="139" t="n"/>
      <x:c r="Z458" s="139" t="n"/>
      <x:c r="AA458" s="139" t="n"/>
      <x:c r="AB458" s="139" t="n"/>
      <x:c r="AC458" s="139" t="n"/>
      <x:c r="AD458" s="139" t="n"/>
      <x:c r="AE458" s="139" t="n"/>
      <x:c r="AF458" s="139" t="n"/>
      <x:c r="AG458" s="139" t="n"/>
      <x:c r="AH458" s="139" t="n"/>
      <x:c r="AI458" s="139" t="n"/>
      <x:c r="AJ458" s="139" t="n"/>
      <x:c r="AK458" s="139" t="n"/>
      <x:c r="AL458" s="139" t="n"/>
      <x:c r="AM458" s="139" t="n"/>
      <x:c r="AN458" s="139" t="n"/>
      <x:c r="AO458" s="139" t="n"/>
      <x:c r="AP458" s="139" t="n"/>
      <x:c r="AQ458" s="139" t="n"/>
      <x:c r="AR458" s="139" t="n"/>
      <x:c r="AS458" s="139" t="n"/>
      <x:c r="AT458" s="139" t="n"/>
      <x:c r="AU458" s="139" t="n"/>
      <x:c r="AV458" s="139" t="n"/>
      <x:c r="AW458" s="139" t="n"/>
      <x:c r="AX458" s="139" t="n"/>
      <x:c r="AY458" s="139" t="n"/>
      <x:c r="AZ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c r="V459" s="139" t="n"/>
      <x:c r="W459" s="139" t="n"/>
      <x:c r="X459" s="139" t="n"/>
      <x:c r="Y459" s="139" t="n"/>
      <x:c r="Z459" s="139" t="n"/>
      <x:c r="AA459" s="139" t="n"/>
      <x:c r="AB459" s="139" t="n"/>
      <x:c r="AC459" s="139" t="n"/>
      <x:c r="AD459" s="139" t="n"/>
      <x:c r="AE459" s="139" t="n"/>
      <x:c r="AF459" s="139" t="n"/>
      <x:c r="AG459" s="139" t="n"/>
      <x:c r="AH459" s="139" t="n"/>
      <x:c r="AI459" s="139" t="n"/>
      <x:c r="AJ459" s="139" t="n"/>
      <x:c r="AK459" s="139" t="n"/>
      <x:c r="AL459" s="139" t="n"/>
      <x:c r="AM459" s="139" t="n"/>
      <x:c r="AN459" s="139" t="n"/>
      <x:c r="AO459" s="139" t="n"/>
      <x:c r="AP459" s="139" t="n"/>
      <x:c r="AQ459" s="139" t="n"/>
      <x:c r="AR459" s="139" t="n"/>
      <x:c r="AS459" s="139" t="n"/>
      <x:c r="AT459" s="139" t="n"/>
      <x:c r="AU459" s="139" t="n"/>
      <x:c r="AV459" s="139" t="n"/>
      <x:c r="AW459" s="139" t="n"/>
      <x:c r="AX459" s="139" t="n"/>
      <x:c r="AY459" s="139" t="n"/>
      <x:c r="AZ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c r="V460" s="139" t="n"/>
      <x:c r="W460" s="139" t="n"/>
      <x:c r="X460" s="139" t="n"/>
      <x:c r="Y460" s="139" t="n"/>
      <x:c r="Z460" s="139" t="n"/>
      <x:c r="AA460" s="139" t="n"/>
      <x:c r="AB460" s="139" t="n"/>
      <x:c r="AC460" s="139" t="n"/>
      <x:c r="AD460" s="139" t="n"/>
      <x:c r="AE460" s="139" t="n"/>
      <x:c r="AF460" s="139" t="n"/>
      <x:c r="AG460" s="139" t="n"/>
      <x:c r="AH460" s="139" t="n"/>
      <x:c r="AI460" s="139" t="n"/>
      <x:c r="AJ460" s="139" t="n"/>
      <x:c r="AK460" s="139" t="n"/>
      <x:c r="AL460" s="139" t="n"/>
      <x:c r="AM460" s="139" t="n"/>
      <x:c r="AN460" s="139" t="n"/>
      <x:c r="AO460" s="139" t="n"/>
      <x:c r="AP460" s="139" t="n"/>
      <x:c r="AQ460" s="139" t="n"/>
      <x:c r="AR460" s="139" t="n"/>
      <x:c r="AS460" s="139" t="n"/>
      <x:c r="AT460" s="139" t="n"/>
      <x:c r="AU460" s="139" t="n"/>
      <x:c r="AV460" s="139" t="n"/>
      <x:c r="AW460" s="139" t="n"/>
      <x:c r="AX460" s="139" t="n"/>
      <x:c r="AY460" s="139" t="n"/>
      <x:c r="AZ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c r="V461" s="139" t="n"/>
      <x:c r="W461" s="139" t="n"/>
      <x:c r="X461" s="139" t="n"/>
      <x:c r="Y461" s="139" t="n"/>
      <x:c r="Z461" s="139" t="n"/>
      <x:c r="AA461" s="139" t="n"/>
      <x:c r="AB461" s="139" t="n"/>
      <x:c r="AC461" s="139" t="n"/>
      <x:c r="AD461" s="139" t="n"/>
      <x:c r="AE461" s="139" t="n"/>
      <x:c r="AF461" s="139" t="n"/>
      <x:c r="AG461" s="139" t="n"/>
      <x:c r="AH461" s="139" t="n"/>
      <x:c r="AI461" s="139" t="n"/>
      <x:c r="AJ461" s="139" t="n"/>
      <x:c r="AK461" s="139" t="n"/>
      <x:c r="AL461" s="139" t="n"/>
      <x:c r="AM461" s="139" t="n"/>
      <x:c r="AN461" s="139" t="n"/>
      <x:c r="AO461" s="139" t="n"/>
      <x:c r="AP461" s="139" t="n"/>
      <x:c r="AQ461" s="139" t="n"/>
      <x:c r="AR461" s="139" t="n"/>
      <x:c r="AS461" s="139" t="n"/>
      <x:c r="AT461" s="139" t="n"/>
      <x:c r="AU461" s="139" t="n"/>
      <x:c r="AV461" s="139" t="n"/>
      <x:c r="AW461" s="139" t="n"/>
      <x:c r="AX461" s="139" t="n"/>
      <x:c r="AY461" s="139" t="n"/>
      <x:c r="AZ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c r="V462" s="139" t="n"/>
      <x:c r="W462" s="139" t="n"/>
      <x:c r="X462" s="139" t="n"/>
      <x:c r="Y462" s="139" t="n"/>
      <x:c r="Z462" s="139" t="n"/>
      <x:c r="AA462" s="139" t="n"/>
      <x:c r="AB462" s="139" t="n"/>
      <x:c r="AC462" s="139" t="n"/>
      <x:c r="AD462" s="139" t="n"/>
      <x:c r="AE462" s="139" t="n"/>
      <x:c r="AF462" s="139" t="n"/>
      <x:c r="AG462" s="139" t="n"/>
      <x:c r="AH462" s="139" t="n"/>
      <x:c r="AI462" s="139" t="n"/>
      <x:c r="AJ462" s="139" t="n"/>
      <x:c r="AK462" s="139" t="n"/>
      <x:c r="AL462" s="139" t="n"/>
      <x:c r="AM462" s="139" t="n"/>
      <x:c r="AN462" s="139" t="n"/>
      <x:c r="AO462" s="139" t="n"/>
      <x:c r="AP462" s="139" t="n"/>
      <x:c r="AQ462" s="139" t="n"/>
      <x:c r="AR462" s="139" t="n"/>
      <x:c r="AS462" s="139" t="n"/>
      <x:c r="AT462" s="139" t="n"/>
      <x:c r="AU462" s="139" t="n"/>
      <x:c r="AV462" s="139" t="n"/>
      <x:c r="AW462" s="139" t="n"/>
      <x:c r="AX462" s="139" t="n"/>
      <x:c r="AY462" s="139" t="n"/>
      <x:c r="AZ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c r="V463" s="139" t="n"/>
      <x:c r="W463" s="139" t="n"/>
      <x:c r="X463" s="139" t="n"/>
      <x:c r="Y463" s="139" t="n"/>
      <x:c r="Z463" s="139" t="n"/>
      <x:c r="AA463" s="139" t="n"/>
      <x:c r="AB463" s="139" t="n"/>
      <x:c r="AC463" s="139" t="n"/>
      <x:c r="AD463" s="139" t="n"/>
      <x:c r="AE463" s="139" t="n"/>
      <x:c r="AF463" s="139" t="n"/>
      <x:c r="AG463" s="139" t="n"/>
      <x:c r="AH463" s="139" t="n"/>
      <x:c r="AI463" s="139" t="n"/>
      <x:c r="AJ463" s="139" t="n"/>
      <x:c r="AK463" s="139" t="n"/>
      <x:c r="AL463" s="139" t="n"/>
      <x:c r="AM463" s="139" t="n"/>
      <x:c r="AN463" s="139" t="n"/>
      <x:c r="AO463" s="139" t="n"/>
      <x:c r="AP463" s="139" t="n"/>
      <x:c r="AQ463" s="139" t="n"/>
      <x:c r="AR463" s="139" t="n"/>
      <x:c r="AS463" s="139" t="n"/>
      <x:c r="AT463" s="139" t="n"/>
      <x:c r="AU463" s="139" t="n"/>
      <x:c r="AV463" s="139" t="n"/>
      <x:c r="AW463" s="139" t="n"/>
      <x:c r="AX463" s="139" t="n"/>
      <x:c r="AY463" s="139" t="n"/>
      <x:c r="AZ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c r="V464" s="139" t="n"/>
      <x:c r="W464" s="139" t="n"/>
      <x:c r="X464" s="139" t="n"/>
      <x:c r="Y464" s="139" t="n"/>
      <x:c r="Z464" s="139" t="n"/>
      <x:c r="AA464" s="139" t="n"/>
      <x:c r="AB464" s="139" t="n"/>
      <x:c r="AC464" s="139" t="n"/>
      <x:c r="AD464" s="139" t="n"/>
      <x:c r="AE464" s="139" t="n"/>
      <x:c r="AF464" s="139" t="n"/>
      <x:c r="AG464" s="139" t="n"/>
      <x:c r="AH464" s="139" t="n"/>
      <x:c r="AI464" s="139" t="n"/>
      <x:c r="AJ464" s="139" t="n"/>
      <x:c r="AK464" s="139" t="n"/>
      <x:c r="AL464" s="139" t="n"/>
      <x:c r="AM464" s="139" t="n"/>
      <x:c r="AN464" s="139" t="n"/>
      <x:c r="AO464" s="139" t="n"/>
      <x:c r="AP464" s="139" t="n"/>
      <x:c r="AQ464" s="139" t="n"/>
      <x:c r="AR464" s="139" t="n"/>
      <x:c r="AS464" s="139" t="n"/>
      <x:c r="AT464" s="139" t="n"/>
      <x:c r="AU464" s="139" t="n"/>
      <x:c r="AV464" s="139" t="n"/>
      <x:c r="AW464" s="139" t="n"/>
      <x:c r="AX464" s="139" t="n"/>
      <x:c r="AY464" s="139" t="n"/>
      <x:c r="AZ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c r="V465" s="139" t="n"/>
      <x:c r="W465" s="139" t="n"/>
      <x:c r="X465" s="139" t="n"/>
      <x:c r="Y465" s="139" t="n"/>
      <x:c r="Z465" s="139" t="n"/>
      <x:c r="AA465" s="139" t="n"/>
      <x:c r="AB465" s="139" t="n"/>
      <x:c r="AC465" s="139" t="n"/>
      <x:c r="AD465" s="139" t="n"/>
      <x:c r="AE465" s="139" t="n"/>
      <x:c r="AF465" s="139" t="n"/>
      <x:c r="AG465" s="139" t="n"/>
      <x:c r="AH465" s="139" t="n"/>
      <x:c r="AI465" s="139" t="n"/>
      <x:c r="AJ465" s="139" t="n"/>
      <x:c r="AK465" s="139" t="n"/>
      <x:c r="AL465" s="139" t="n"/>
      <x:c r="AM465" s="139" t="n"/>
      <x:c r="AN465" s="139" t="n"/>
      <x:c r="AO465" s="139" t="n"/>
      <x:c r="AP465" s="139" t="n"/>
      <x:c r="AQ465" s="139" t="n"/>
      <x:c r="AR465" s="139" t="n"/>
      <x:c r="AS465" s="139" t="n"/>
      <x:c r="AT465" s="139" t="n"/>
      <x:c r="AU465" s="139" t="n"/>
      <x:c r="AV465" s="139" t="n"/>
      <x:c r="AW465" s="139" t="n"/>
      <x:c r="AX465" s="139" t="n"/>
      <x:c r="AY465" s="139" t="n"/>
      <x:c r="AZ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c r="V466" s="139" t="n"/>
      <x:c r="W466" s="139" t="n"/>
      <x:c r="X466" s="139" t="n"/>
      <x:c r="Y466" s="139" t="n"/>
      <x:c r="Z466" s="139" t="n"/>
      <x:c r="AA466" s="139" t="n"/>
      <x:c r="AB466" s="139" t="n"/>
      <x:c r="AC466" s="139" t="n"/>
      <x:c r="AD466" s="139" t="n"/>
      <x:c r="AE466" s="139" t="n"/>
      <x:c r="AF466" s="139" t="n"/>
      <x:c r="AG466" s="139" t="n"/>
      <x:c r="AH466" s="139" t="n"/>
      <x:c r="AI466" s="139" t="n"/>
      <x:c r="AJ466" s="139" t="n"/>
      <x:c r="AK466" s="139" t="n"/>
      <x:c r="AL466" s="139" t="n"/>
      <x:c r="AM466" s="139" t="n"/>
      <x:c r="AN466" s="139" t="n"/>
      <x:c r="AO466" s="139" t="n"/>
      <x:c r="AP466" s="139" t="n"/>
      <x:c r="AQ466" s="139" t="n"/>
      <x:c r="AR466" s="139" t="n"/>
      <x:c r="AS466" s="139" t="n"/>
      <x:c r="AT466" s="139" t="n"/>
      <x:c r="AU466" s="139" t="n"/>
      <x:c r="AV466" s="139" t="n"/>
      <x:c r="AW466" s="139" t="n"/>
      <x:c r="AX466" s="139" t="n"/>
      <x:c r="AY466" s="139" t="n"/>
      <x:c r="AZ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c r="V467" s="139" t="n"/>
      <x:c r="W467" s="139" t="n"/>
      <x:c r="X467" s="139" t="n"/>
      <x:c r="Y467" s="139" t="n"/>
      <x:c r="Z467" s="139" t="n"/>
      <x:c r="AA467" s="139" t="n"/>
      <x:c r="AB467" s="139" t="n"/>
      <x:c r="AC467" s="139" t="n"/>
      <x:c r="AD467" s="139" t="n"/>
      <x:c r="AE467" s="139" t="n"/>
      <x:c r="AF467" s="139" t="n"/>
      <x:c r="AG467" s="139" t="n"/>
      <x:c r="AH467" s="139" t="n"/>
      <x:c r="AI467" s="139" t="n"/>
      <x:c r="AJ467" s="139" t="n"/>
      <x:c r="AK467" s="139" t="n"/>
      <x:c r="AL467" s="139" t="n"/>
      <x:c r="AM467" s="139" t="n"/>
      <x:c r="AN467" s="139" t="n"/>
      <x:c r="AO467" s="139" t="n"/>
      <x:c r="AP467" s="139" t="n"/>
      <x:c r="AQ467" s="139" t="n"/>
      <x:c r="AR467" s="139" t="n"/>
      <x:c r="AS467" s="139" t="n"/>
      <x:c r="AT467" s="139" t="n"/>
      <x:c r="AU467" s="139" t="n"/>
      <x:c r="AV467" s="139" t="n"/>
      <x:c r="AW467" s="139" t="n"/>
      <x:c r="AX467" s="139" t="n"/>
      <x:c r="AY467" s="139" t="n"/>
      <x:c r="AZ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c r="V468" s="139" t="n"/>
      <x:c r="W468" s="139" t="n"/>
      <x:c r="X468" s="139" t="n"/>
      <x:c r="Y468" s="139" t="n"/>
      <x:c r="Z468" s="139" t="n"/>
      <x:c r="AA468" s="139" t="n"/>
      <x:c r="AB468" s="139" t="n"/>
      <x:c r="AC468" s="139" t="n"/>
      <x:c r="AD468" s="139" t="n"/>
      <x:c r="AE468" s="139" t="n"/>
      <x:c r="AF468" s="139" t="n"/>
      <x:c r="AG468" s="139" t="n"/>
      <x:c r="AH468" s="139" t="n"/>
      <x:c r="AI468" s="139" t="n"/>
      <x:c r="AJ468" s="139" t="n"/>
      <x:c r="AK468" s="139" t="n"/>
      <x:c r="AL468" s="139" t="n"/>
      <x:c r="AM468" s="139" t="n"/>
      <x:c r="AN468" s="139" t="n"/>
      <x:c r="AO468" s="139" t="n"/>
      <x:c r="AP468" s="139" t="n"/>
      <x:c r="AQ468" s="139" t="n"/>
      <x:c r="AR468" s="139" t="n"/>
      <x:c r="AS468" s="139" t="n"/>
      <x:c r="AT468" s="139" t="n"/>
      <x:c r="AU468" s="139" t="n"/>
      <x:c r="AV468" s="139" t="n"/>
      <x:c r="AW468" s="139" t="n"/>
      <x:c r="AX468" s="139" t="n"/>
      <x:c r="AY468" s="139" t="n"/>
      <x:c r="AZ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c r="V469" s="139" t="n"/>
      <x:c r="W469" s="139" t="n"/>
      <x:c r="X469" s="139" t="n"/>
      <x:c r="Y469" s="139" t="n"/>
      <x:c r="Z469" s="139" t="n"/>
      <x:c r="AA469" s="139" t="n"/>
      <x:c r="AB469" s="139" t="n"/>
      <x:c r="AC469" s="139" t="n"/>
      <x:c r="AD469" s="139" t="n"/>
      <x:c r="AE469" s="139" t="n"/>
      <x:c r="AF469" s="139" t="n"/>
      <x:c r="AG469" s="139" t="n"/>
      <x:c r="AH469" s="139" t="n"/>
      <x:c r="AI469" s="139" t="n"/>
      <x:c r="AJ469" s="139" t="n"/>
      <x:c r="AK469" s="139" t="n"/>
      <x:c r="AL469" s="139" t="n"/>
      <x:c r="AM469" s="139" t="n"/>
      <x:c r="AN469" s="139" t="n"/>
      <x:c r="AO469" s="139" t="n"/>
      <x:c r="AP469" s="139" t="n"/>
      <x:c r="AQ469" s="139" t="n"/>
      <x:c r="AR469" s="139" t="n"/>
      <x:c r="AS469" s="139" t="n"/>
      <x:c r="AT469" s="139" t="n"/>
      <x:c r="AU469" s="139" t="n"/>
      <x:c r="AV469" s="139" t="n"/>
      <x:c r="AW469" s="139" t="n"/>
      <x:c r="AX469" s="139" t="n"/>
      <x:c r="AY469" s="139" t="n"/>
      <x:c r="AZ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c r="V470" s="139" t="n"/>
      <x:c r="W470" s="139" t="n"/>
      <x:c r="X470" s="139" t="n"/>
      <x:c r="Y470" s="139" t="n"/>
      <x:c r="Z470" s="139" t="n"/>
      <x:c r="AA470" s="139" t="n"/>
      <x:c r="AB470" s="139" t="n"/>
      <x:c r="AC470" s="139" t="n"/>
      <x:c r="AD470" s="139" t="n"/>
      <x:c r="AE470" s="139" t="n"/>
      <x:c r="AF470" s="139" t="n"/>
      <x:c r="AG470" s="139" t="n"/>
      <x:c r="AH470" s="139" t="n"/>
      <x:c r="AI470" s="139" t="n"/>
      <x:c r="AJ470" s="139" t="n"/>
      <x:c r="AK470" s="139" t="n"/>
      <x:c r="AL470" s="139" t="n"/>
      <x:c r="AM470" s="139" t="n"/>
      <x:c r="AN470" s="139" t="n"/>
      <x:c r="AO470" s="139" t="n"/>
      <x:c r="AP470" s="139" t="n"/>
      <x:c r="AQ470" s="139" t="n"/>
      <x:c r="AR470" s="139" t="n"/>
      <x:c r="AS470" s="139" t="n"/>
      <x:c r="AT470" s="139" t="n"/>
      <x:c r="AU470" s="139" t="n"/>
      <x:c r="AV470" s="139" t="n"/>
      <x:c r="AW470" s="139" t="n"/>
      <x:c r="AX470" s="139" t="n"/>
      <x:c r="AY470" s="139" t="n"/>
      <x:c r="AZ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c r="V471" s="139" t="n"/>
      <x:c r="W471" s="139" t="n"/>
      <x:c r="X471" s="139" t="n"/>
      <x:c r="Y471" s="139" t="n"/>
      <x:c r="Z471" s="139" t="n"/>
      <x:c r="AA471" s="139" t="n"/>
      <x:c r="AB471" s="139" t="n"/>
      <x:c r="AC471" s="139" t="n"/>
      <x:c r="AD471" s="139" t="n"/>
      <x:c r="AE471" s="139" t="n"/>
      <x:c r="AF471" s="139" t="n"/>
      <x:c r="AG471" s="139" t="n"/>
      <x:c r="AH471" s="139" t="n"/>
      <x:c r="AI471" s="139" t="n"/>
      <x:c r="AJ471" s="139" t="n"/>
      <x:c r="AK471" s="139" t="n"/>
      <x:c r="AL471" s="139" t="n"/>
      <x:c r="AM471" s="139" t="n"/>
      <x:c r="AN471" s="139" t="n"/>
      <x:c r="AO471" s="139" t="n"/>
      <x:c r="AP471" s="139" t="n"/>
      <x:c r="AQ471" s="139" t="n"/>
      <x:c r="AR471" s="139" t="n"/>
      <x:c r="AS471" s="139" t="n"/>
      <x:c r="AT471" s="139" t="n"/>
      <x:c r="AU471" s="139" t="n"/>
      <x:c r="AV471" s="139" t="n"/>
      <x:c r="AW471" s="139" t="n"/>
      <x:c r="AX471" s="139" t="n"/>
      <x:c r="AY471" s="139" t="n"/>
      <x:c r="AZ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c r="V472" s="139" t="n"/>
      <x:c r="W472" s="139" t="n"/>
      <x:c r="X472" s="139" t="n"/>
      <x:c r="Y472" s="139" t="n"/>
      <x:c r="Z472" s="139" t="n"/>
      <x:c r="AA472" s="139" t="n"/>
      <x:c r="AB472" s="139" t="n"/>
      <x:c r="AC472" s="139" t="n"/>
      <x:c r="AD472" s="139" t="n"/>
      <x:c r="AE472" s="139" t="n"/>
      <x:c r="AF472" s="139" t="n"/>
      <x:c r="AG472" s="139" t="n"/>
      <x:c r="AH472" s="139" t="n"/>
      <x:c r="AI472" s="139" t="n"/>
      <x:c r="AJ472" s="139" t="n"/>
      <x:c r="AK472" s="139" t="n"/>
      <x:c r="AL472" s="139" t="n"/>
      <x:c r="AM472" s="139" t="n"/>
      <x:c r="AN472" s="139" t="n"/>
      <x:c r="AO472" s="139" t="n"/>
      <x:c r="AP472" s="139" t="n"/>
      <x:c r="AQ472" s="139" t="n"/>
      <x:c r="AR472" s="139" t="n"/>
      <x:c r="AS472" s="139" t="n"/>
      <x:c r="AT472" s="139" t="n"/>
      <x:c r="AU472" s="139" t="n"/>
      <x:c r="AV472" s="139" t="n"/>
      <x:c r="AW472" s="139" t="n"/>
      <x:c r="AX472" s="139" t="n"/>
      <x:c r="AY472" s="139" t="n"/>
      <x:c r="AZ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c r="V473" s="139" t="n"/>
      <x:c r="W473" s="139" t="n"/>
      <x:c r="X473" s="139" t="n"/>
      <x:c r="Y473" s="139" t="n"/>
      <x:c r="Z473" s="139" t="n"/>
      <x:c r="AA473" s="139" t="n"/>
      <x:c r="AB473" s="139" t="n"/>
      <x:c r="AC473" s="139" t="n"/>
      <x:c r="AD473" s="139" t="n"/>
      <x:c r="AE473" s="139" t="n"/>
      <x:c r="AF473" s="139" t="n"/>
      <x:c r="AG473" s="139" t="n"/>
      <x:c r="AH473" s="139" t="n"/>
      <x:c r="AI473" s="139" t="n"/>
      <x:c r="AJ473" s="139" t="n"/>
      <x:c r="AK473" s="139" t="n"/>
      <x:c r="AL473" s="139" t="n"/>
      <x:c r="AM473" s="139" t="n"/>
      <x:c r="AN473" s="139" t="n"/>
      <x:c r="AO473" s="139" t="n"/>
      <x:c r="AP473" s="139" t="n"/>
      <x:c r="AQ473" s="139" t="n"/>
      <x:c r="AR473" s="139" t="n"/>
      <x:c r="AS473" s="139" t="n"/>
      <x:c r="AT473" s="139" t="n"/>
      <x:c r="AU473" s="139" t="n"/>
      <x:c r="AV473" s="139" t="n"/>
      <x:c r="AW473" s="139" t="n"/>
      <x:c r="AX473" s="139" t="n"/>
      <x:c r="AY473" s="139" t="n"/>
      <x:c r="AZ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c r="V474" s="139" t="n"/>
      <x:c r="W474" s="139" t="n"/>
      <x:c r="X474" s="139" t="n"/>
      <x:c r="Y474" s="139" t="n"/>
      <x:c r="Z474" s="139" t="n"/>
      <x:c r="AA474" s="139" t="n"/>
      <x:c r="AB474" s="139" t="n"/>
      <x:c r="AC474" s="139" t="n"/>
      <x:c r="AD474" s="139" t="n"/>
      <x:c r="AE474" s="139" t="n"/>
      <x:c r="AF474" s="139" t="n"/>
      <x:c r="AG474" s="139" t="n"/>
      <x:c r="AH474" s="139" t="n"/>
      <x:c r="AI474" s="139" t="n"/>
      <x:c r="AJ474" s="139" t="n"/>
      <x:c r="AK474" s="139" t="n"/>
      <x:c r="AL474" s="139" t="n"/>
      <x:c r="AM474" s="139" t="n"/>
      <x:c r="AN474" s="139" t="n"/>
      <x:c r="AO474" s="139" t="n"/>
      <x:c r="AP474" s="139" t="n"/>
      <x:c r="AQ474" s="139" t="n"/>
      <x:c r="AR474" s="139" t="n"/>
      <x:c r="AS474" s="139" t="n"/>
      <x:c r="AT474" s="139" t="n"/>
      <x:c r="AU474" s="139" t="n"/>
      <x:c r="AV474" s="139" t="n"/>
      <x:c r="AW474" s="139" t="n"/>
      <x:c r="AX474" s="139" t="n"/>
      <x:c r="AY474" s="139" t="n"/>
      <x:c r="AZ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c r="V475" s="139" t="n"/>
      <x:c r="W475" s="139" t="n"/>
      <x:c r="X475" s="139" t="n"/>
      <x:c r="Y475" s="139" t="n"/>
      <x:c r="Z475" s="139" t="n"/>
      <x:c r="AA475" s="139" t="n"/>
      <x:c r="AB475" s="139" t="n"/>
      <x:c r="AC475" s="139" t="n"/>
      <x:c r="AD475" s="139" t="n"/>
      <x:c r="AE475" s="139" t="n"/>
      <x:c r="AF475" s="139" t="n"/>
      <x:c r="AG475" s="139" t="n"/>
      <x:c r="AH475" s="139" t="n"/>
      <x:c r="AI475" s="139" t="n"/>
      <x:c r="AJ475" s="139" t="n"/>
      <x:c r="AK475" s="139" t="n"/>
      <x:c r="AL475" s="139" t="n"/>
      <x:c r="AM475" s="139" t="n"/>
      <x:c r="AN475" s="139" t="n"/>
      <x:c r="AO475" s="139" t="n"/>
      <x:c r="AP475" s="139" t="n"/>
      <x:c r="AQ475" s="139" t="n"/>
      <x:c r="AR475" s="139" t="n"/>
      <x:c r="AS475" s="139" t="n"/>
      <x:c r="AT475" s="139" t="n"/>
      <x:c r="AU475" s="139" t="n"/>
      <x:c r="AV475" s="139" t="n"/>
      <x:c r="AW475" s="139" t="n"/>
      <x:c r="AX475" s="139" t="n"/>
      <x:c r="AY475" s="139" t="n"/>
      <x:c r="AZ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c r="V476" s="139" t="n"/>
      <x:c r="W476" s="139" t="n"/>
      <x:c r="X476" s="139" t="n"/>
      <x:c r="Y476" s="139" t="n"/>
      <x:c r="Z476" s="139" t="n"/>
      <x:c r="AA476" s="139" t="n"/>
      <x:c r="AB476" s="139" t="n"/>
      <x:c r="AC476" s="139" t="n"/>
      <x:c r="AD476" s="139" t="n"/>
      <x:c r="AE476" s="139" t="n"/>
      <x:c r="AF476" s="139" t="n"/>
      <x:c r="AG476" s="139" t="n"/>
      <x:c r="AH476" s="139" t="n"/>
      <x:c r="AI476" s="139" t="n"/>
      <x:c r="AJ476" s="139" t="n"/>
      <x:c r="AK476" s="139" t="n"/>
      <x:c r="AL476" s="139" t="n"/>
      <x:c r="AM476" s="139" t="n"/>
      <x:c r="AN476" s="139" t="n"/>
      <x:c r="AO476" s="139" t="n"/>
      <x:c r="AP476" s="139" t="n"/>
      <x:c r="AQ476" s="139" t="n"/>
      <x:c r="AR476" s="139" t="n"/>
      <x:c r="AS476" s="139" t="n"/>
      <x:c r="AT476" s="139" t="n"/>
      <x:c r="AU476" s="139" t="n"/>
      <x:c r="AV476" s="139" t="n"/>
      <x:c r="AW476" s="139" t="n"/>
      <x:c r="AX476" s="139" t="n"/>
      <x:c r="AY476" s="139" t="n"/>
      <x:c r="AZ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c r="V477" s="139" t="n"/>
      <x:c r="W477" s="139" t="n"/>
      <x:c r="X477" s="139" t="n"/>
      <x:c r="Y477" s="139" t="n"/>
      <x:c r="Z477" s="139" t="n"/>
      <x:c r="AA477" s="139" t="n"/>
      <x:c r="AB477" s="139" t="n"/>
      <x:c r="AC477" s="139" t="n"/>
      <x:c r="AD477" s="139" t="n"/>
      <x:c r="AE477" s="139" t="n"/>
      <x:c r="AF477" s="139" t="n"/>
      <x:c r="AG477" s="139" t="n"/>
      <x:c r="AH477" s="139" t="n"/>
      <x:c r="AI477" s="139" t="n"/>
      <x:c r="AJ477" s="139" t="n"/>
      <x:c r="AK477" s="139" t="n"/>
      <x:c r="AL477" s="139" t="n"/>
      <x:c r="AM477" s="139" t="n"/>
      <x:c r="AN477" s="139" t="n"/>
      <x:c r="AO477" s="139" t="n"/>
      <x:c r="AP477" s="139" t="n"/>
      <x:c r="AQ477" s="139" t="n"/>
      <x:c r="AR477" s="139" t="n"/>
      <x:c r="AS477" s="139" t="n"/>
      <x:c r="AT477" s="139" t="n"/>
      <x:c r="AU477" s="139" t="n"/>
      <x:c r="AV477" s="139" t="n"/>
      <x:c r="AW477" s="139" t="n"/>
      <x:c r="AX477" s="139" t="n"/>
      <x:c r="AY477" s="139" t="n"/>
      <x:c r="AZ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c r="V478" s="139" t="n"/>
      <x:c r="W478" s="139" t="n"/>
      <x:c r="X478" s="139" t="n"/>
      <x:c r="Y478" s="139" t="n"/>
      <x:c r="Z478" s="139" t="n"/>
      <x:c r="AA478" s="139" t="n"/>
      <x:c r="AB478" s="139" t="n"/>
      <x:c r="AC478" s="139" t="n"/>
      <x:c r="AD478" s="139" t="n"/>
      <x:c r="AE478" s="139" t="n"/>
      <x:c r="AF478" s="139" t="n"/>
      <x:c r="AG478" s="139" t="n"/>
      <x:c r="AH478" s="139" t="n"/>
      <x:c r="AI478" s="139" t="n"/>
      <x:c r="AJ478" s="139" t="n"/>
      <x:c r="AK478" s="139" t="n"/>
      <x:c r="AL478" s="139" t="n"/>
      <x:c r="AM478" s="139" t="n"/>
      <x:c r="AN478" s="139" t="n"/>
      <x:c r="AO478" s="139" t="n"/>
      <x:c r="AP478" s="139" t="n"/>
      <x:c r="AQ478" s="139" t="n"/>
      <x:c r="AR478" s="139" t="n"/>
      <x:c r="AS478" s="139" t="n"/>
      <x:c r="AT478" s="139" t="n"/>
      <x:c r="AU478" s="139" t="n"/>
      <x:c r="AV478" s="139" t="n"/>
      <x:c r="AW478" s="139" t="n"/>
      <x:c r="AX478" s="139" t="n"/>
      <x:c r="AY478" s="139" t="n"/>
      <x:c r="AZ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c r="V479" s="139" t="n"/>
      <x:c r="W479" s="139" t="n"/>
      <x:c r="X479" s="139" t="n"/>
      <x:c r="Y479" s="139" t="n"/>
      <x:c r="Z479" s="139" t="n"/>
      <x:c r="AA479" s="139" t="n"/>
      <x:c r="AB479" s="139" t="n"/>
      <x:c r="AC479" s="139" t="n"/>
      <x:c r="AD479" s="139" t="n"/>
      <x:c r="AE479" s="139" t="n"/>
      <x:c r="AF479" s="139" t="n"/>
      <x:c r="AG479" s="139" t="n"/>
      <x:c r="AH479" s="139" t="n"/>
      <x:c r="AI479" s="139" t="n"/>
      <x:c r="AJ479" s="139" t="n"/>
      <x:c r="AK479" s="139" t="n"/>
      <x:c r="AL479" s="139" t="n"/>
      <x:c r="AM479" s="139" t="n"/>
      <x:c r="AN479" s="139" t="n"/>
      <x:c r="AO479" s="139" t="n"/>
      <x:c r="AP479" s="139" t="n"/>
      <x:c r="AQ479" s="139" t="n"/>
      <x:c r="AR479" s="139" t="n"/>
      <x:c r="AS479" s="139" t="n"/>
      <x:c r="AT479" s="139" t="n"/>
      <x:c r="AU479" s="139" t="n"/>
      <x:c r="AV479" s="139" t="n"/>
      <x:c r="AW479" s="139" t="n"/>
      <x:c r="AX479" s="139" t="n"/>
      <x:c r="AY479" s="139" t="n"/>
      <x:c r="AZ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c r="V480" s="139" t="n"/>
      <x:c r="W480" s="139" t="n"/>
      <x:c r="X480" s="139" t="n"/>
      <x:c r="Y480" s="139" t="n"/>
      <x:c r="Z480" s="139" t="n"/>
      <x:c r="AA480" s="139" t="n"/>
      <x:c r="AB480" s="139" t="n"/>
      <x:c r="AC480" s="139" t="n"/>
      <x:c r="AD480" s="139" t="n"/>
      <x:c r="AE480" s="139" t="n"/>
      <x:c r="AF480" s="139" t="n"/>
      <x:c r="AG480" s="139" t="n"/>
      <x:c r="AH480" s="139" t="n"/>
      <x:c r="AI480" s="139" t="n"/>
      <x:c r="AJ480" s="139" t="n"/>
      <x:c r="AK480" s="139" t="n"/>
      <x:c r="AL480" s="139" t="n"/>
      <x:c r="AM480" s="139" t="n"/>
      <x:c r="AN480" s="139" t="n"/>
      <x:c r="AO480" s="139" t="n"/>
      <x:c r="AP480" s="139" t="n"/>
      <x:c r="AQ480" s="139" t="n"/>
      <x:c r="AR480" s="139" t="n"/>
      <x:c r="AS480" s="139" t="n"/>
      <x:c r="AT480" s="139" t="n"/>
      <x:c r="AU480" s="139" t="n"/>
      <x:c r="AV480" s="139" t="n"/>
      <x:c r="AW480" s="139" t="n"/>
      <x:c r="AX480" s="139" t="n"/>
      <x:c r="AY480" s="139" t="n"/>
      <x:c r="AZ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c r="V481" s="139" t="n"/>
      <x:c r="W481" s="139" t="n"/>
      <x:c r="X481" s="139" t="n"/>
      <x:c r="Y481" s="139" t="n"/>
      <x:c r="Z481" s="139" t="n"/>
      <x:c r="AA481" s="139" t="n"/>
      <x:c r="AB481" s="139" t="n"/>
      <x:c r="AC481" s="139" t="n"/>
      <x:c r="AD481" s="139" t="n"/>
      <x:c r="AE481" s="139" t="n"/>
      <x:c r="AF481" s="139" t="n"/>
      <x:c r="AG481" s="139" t="n"/>
      <x:c r="AH481" s="139" t="n"/>
      <x:c r="AI481" s="139" t="n"/>
      <x:c r="AJ481" s="139" t="n"/>
      <x:c r="AK481" s="139" t="n"/>
      <x:c r="AL481" s="139" t="n"/>
      <x:c r="AM481" s="139" t="n"/>
      <x:c r="AN481" s="139" t="n"/>
      <x:c r="AO481" s="139" t="n"/>
      <x:c r="AP481" s="139" t="n"/>
      <x:c r="AQ481" s="139" t="n"/>
      <x:c r="AR481" s="139" t="n"/>
      <x:c r="AS481" s="139" t="n"/>
      <x:c r="AT481" s="139" t="n"/>
      <x:c r="AU481" s="139" t="n"/>
      <x:c r="AV481" s="139" t="n"/>
      <x:c r="AW481" s="139" t="n"/>
      <x:c r="AX481" s="139" t="n"/>
      <x:c r="AY481" s="139" t="n"/>
      <x:c r="AZ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c r="V482" s="139" t="n"/>
      <x:c r="W482" s="139" t="n"/>
      <x:c r="X482" s="139" t="n"/>
      <x:c r="Y482" s="139" t="n"/>
      <x:c r="Z482" s="139" t="n"/>
      <x:c r="AA482" s="139" t="n"/>
      <x:c r="AB482" s="139" t="n"/>
      <x:c r="AC482" s="139" t="n"/>
      <x:c r="AD482" s="139" t="n"/>
      <x:c r="AE482" s="139" t="n"/>
      <x:c r="AF482" s="139" t="n"/>
      <x:c r="AG482" s="139" t="n"/>
      <x:c r="AH482" s="139" t="n"/>
      <x:c r="AI482" s="139" t="n"/>
      <x:c r="AJ482" s="139" t="n"/>
      <x:c r="AK482" s="139" t="n"/>
      <x:c r="AL482" s="139" t="n"/>
      <x:c r="AM482" s="139" t="n"/>
      <x:c r="AN482" s="139" t="n"/>
      <x:c r="AO482" s="139" t="n"/>
      <x:c r="AP482" s="139" t="n"/>
      <x:c r="AQ482" s="139" t="n"/>
      <x:c r="AR482" s="139" t="n"/>
      <x:c r="AS482" s="139" t="n"/>
      <x:c r="AT482" s="139" t="n"/>
      <x:c r="AU482" s="139" t="n"/>
      <x:c r="AV482" s="139" t="n"/>
      <x:c r="AW482" s="139" t="n"/>
      <x:c r="AX482" s="139" t="n"/>
      <x:c r="AY482" s="139" t="n"/>
      <x:c r="AZ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c r="V483" s="139" t="n"/>
      <x:c r="W483" s="139" t="n"/>
      <x:c r="X483" s="139" t="n"/>
      <x:c r="Y483" s="139" t="n"/>
      <x:c r="Z483" s="139" t="n"/>
      <x:c r="AA483" s="139" t="n"/>
      <x:c r="AB483" s="139" t="n"/>
      <x:c r="AC483" s="139" t="n"/>
      <x:c r="AD483" s="139" t="n"/>
      <x:c r="AE483" s="139" t="n"/>
      <x:c r="AF483" s="139" t="n"/>
      <x:c r="AG483" s="139" t="n"/>
      <x:c r="AH483" s="139" t="n"/>
      <x:c r="AI483" s="139" t="n"/>
      <x:c r="AJ483" s="139" t="n"/>
      <x:c r="AK483" s="139" t="n"/>
      <x:c r="AL483" s="139" t="n"/>
      <x:c r="AM483" s="139" t="n"/>
      <x:c r="AN483" s="139" t="n"/>
      <x:c r="AO483" s="139" t="n"/>
      <x:c r="AP483" s="139" t="n"/>
      <x:c r="AQ483" s="139" t="n"/>
      <x:c r="AR483" s="139" t="n"/>
      <x:c r="AS483" s="139" t="n"/>
      <x:c r="AT483" s="139" t="n"/>
      <x:c r="AU483" s="139" t="n"/>
      <x:c r="AV483" s="139" t="n"/>
      <x:c r="AW483" s="139" t="n"/>
      <x:c r="AX483" s="139" t="n"/>
      <x:c r="AY483" s="139" t="n"/>
      <x:c r="AZ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c r="V484" s="139" t="n"/>
      <x:c r="W484" s="139" t="n"/>
      <x:c r="X484" s="139" t="n"/>
      <x:c r="Y484" s="139" t="n"/>
      <x:c r="Z484" s="139" t="n"/>
      <x:c r="AA484" s="139" t="n"/>
      <x:c r="AB484" s="139" t="n"/>
      <x:c r="AC484" s="139" t="n"/>
      <x:c r="AD484" s="139" t="n"/>
      <x:c r="AE484" s="139" t="n"/>
      <x:c r="AF484" s="139" t="n"/>
      <x:c r="AG484" s="139" t="n"/>
      <x:c r="AH484" s="139" t="n"/>
      <x:c r="AI484" s="139" t="n"/>
      <x:c r="AJ484" s="139" t="n"/>
      <x:c r="AK484" s="139" t="n"/>
      <x:c r="AL484" s="139" t="n"/>
      <x:c r="AM484" s="139" t="n"/>
      <x:c r="AN484" s="139" t="n"/>
      <x:c r="AO484" s="139" t="n"/>
      <x:c r="AP484" s="139" t="n"/>
      <x:c r="AQ484" s="139" t="n"/>
      <x:c r="AR484" s="139" t="n"/>
      <x:c r="AS484" s="139" t="n"/>
      <x:c r="AT484" s="139" t="n"/>
      <x:c r="AU484" s="139" t="n"/>
      <x:c r="AV484" s="139" t="n"/>
      <x:c r="AW484" s="139" t="n"/>
      <x:c r="AX484" s="139" t="n"/>
      <x:c r="AY484" s="139" t="n"/>
      <x:c r="AZ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c r="V485" s="139" t="n"/>
      <x:c r="W485" s="139" t="n"/>
      <x:c r="X485" s="139" t="n"/>
      <x:c r="Y485" s="139" t="n"/>
      <x:c r="Z485" s="139" t="n"/>
      <x:c r="AA485" s="139" t="n"/>
      <x:c r="AB485" s="139" t="n"/>
      <x:c r="AC485" s="139" t="n"/>
      <x:c r="AD485" s="139" t="n"/>
      <x:c r="AE485" s="139" t="n"/>
      <x:c r="AF485" s="139" t="n"/>
      <x:c r="AG485" s="139" t="n"/>
      <x:c r="AH485" s="139" t="n"/>
      <x:c r="AI485" s="139" t="n"/>
      <x:c r="AJ485" s="139" t="n"/>
      <x:c r="AK485" s="139" t="n"/>
      <x:c r="AL485" s="139" t="n"/>
      <x:c r="AM485" s="139" t="n"/>
      <x:c r="AN485" s="139" t="n"/>
      <x:c r="AO485" s="139" t="n"/>
      <x:c r="AP485" s="139" t="n"/>
      <x:c r="AQ485" s="139" t="n"/>
      <x:c r="AR485" s="139" t="n"/>
      <x:c r="AS485" s="139" t="n"/>
      <x:c r="AT485" s="139" t="n"/>
      <x:c r="AU485" s="139" t="n"/>
      <x:c r="AV485" s="139" t="n"/>
      <x:c r="AW485" s="139" t="n"/>
      <x:c r="AX485" s="139" t="n"/>
      <x:c r="AY485" s="139" t="n"/>
      <x:c r="AZ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c r="V486" s="139" t="n"/>
      <x:c r="W486" s="139" t="n"/>
      <x:c r="X486" s="139" t="n"/>
      <x:c r="Y486" s="139" t="n"/>
      <x:c r="Z486" s="139" t="n"/>
      <x:c r="AA486" s="139" t="n"/>
      <x:c r="AB486" s="139" t="n"/>
      <x:c r="AC486" s="139" t="n"/>
      <x:c r="AD486" s="139" t="n"/>
      <x:c r="AE486" s="139" t="n"/>
      <x:c r="AF486" s="139" t="n"/>
      <x:c r="AG486" s="139" t="n"/>
      <x:c r="AH486" s="139" t="n"/>
      <x:c r="AI486" s="139" t="n"/>
      <x:c r="AJ486" s="139" t="n"/>
      <x:c r="AK486" s="139" t="n"/>
      <x:c r="AL486" s="139" t="n"/>
      <x:c r="AM486" s="139" t="n"/>
      <x:c r="AN486" s="139" t="n"/>
      <x:c r="AO486" s="139" t="n"/>
      <x:c r="AP486" s="139" t="n"/>
      <x:c r="AQ486" s="139" t="n"/>
      <x:c r="AR486" s="139" t="n"/>
      <x:c r="AS486" s="139" t="n"/>
      <x:c r="AT486" s="139" t="n"/>
      <x:c r="AU486" s="139" t="n"/>
      <x:c r="AV486" s="139" t="n"/>
      <x:c r="AW486" s="139" t="n"/>
      <x:c r="AX486" s="139" t="n"/>
      <x:c r="AY486" s="139" t="n"/>
      <x:c r="AZ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c r="V487" s="139" t="n"/>
      <x:c r="W487" s="139" t="n"/>
      <x:c r="X487" s="139" t="n"/>
      <x:c r="Y487" s="139" t="n"/>
      <x:c r="Z487" s="139" t="n"/>
      <x:c r="AA487" s="139" t="n"/>
      <x:c r="AB487" s="139" t="n"/>
      <x:c r="AC487" s="139" t="n"/>
      <x:c r="AD487" s="139" t="n"/>
      <x:c r="AE487" s="139" t="n"/>
      <x:c r="AF487" s="139" t="n"/>
      <x:c r="AG487" s="139" t="n"/>
      <x:c r="AH487" s="139" t="n"/>
      <x:c r="AI487" s="139" t="n"/>
      <x:c r="AJ487" s="139" t="n"/>
      <x:c r="AK487" s="139" t="n"/>
      <x:c r="AL487" s="139" t="n"/>
      <x:c r="AM487" s="139" t="n"/>
      <x:c r="AN487" s="139" t="n"/>
      <x:c r="AO487" s="139" t="n"/>
      <x:c r="AP487" s="139" t="n"/>
      <x:c r="AQ487" s="139" t="n"/>
      <x:c r="AR487" s="139" t="n"/>
      <x:c r="AS487" s="139" t="n"/>
      <x:c r="AT487" s="139" t="n"/>
      <x:c r="AU487" s="139" t="n"/>
      <x:c r="AV487" s="139" t="n"/>
      <x:c r="AW487" s="139" t="n"/>
      <x:c r="AX487" s="139" t="n"/>
      <x:c r="AY487" s="139" t="n"/>
      <x:c r="AZ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c r="V488" s="139" t="n"/>
      <x:c r="W488" s="139" t="n"/>
      <x:c r="X488" s="139" t="n"/>
      <x:c r="Y488" s="139" t="n"/>
      <x:c r="Z488" s="139" t="n"/>
      <x:c r="AA488" s="139" t="n"/>
      <x:c r="AB488" s="139" t="n"/>
      <x:c r="AC488" s="139" t="n"/>
      <x:c r="AD488" s="139" t="n"/>
      <x:c r="AE488" s="139" t="n"/>
      <x:c r="AF488" s="139" t="n"/>
      <x:c r="AG488" s="139" t="n"/>
      <x:c r="AH488" s="139" t="n"/>
      <x:c r="AI488" s="139" t="n"/>
      <x:c r="AJ488" s="139" t="n"/>
      <x:c r="AK488" s="139" t="n"/>
      <x:c r="AL488" s="139" t="n"/>
      <x:c r="AM488" s="139" t="n"/>
      <x:c r="AN488" s="139" t="n"/>
      <x:c r="AO488" s="139" t="n"/>
      <x:c r="AP488" s="139" t="n"/>
      <x:c r="AQ488" s="139" t="n"/>
      <x:c r="AR488" s="139" t="n"/>
      <x:c r="AS488" s="139" t="n"/>
      <x:c r="AT488" s="139" t="n"/>
      <x:c r="AU488" s="139" t="n"/>
      <x:c r="AV488" s="139" t="n"/>
      <x:c r="AW488" s="139" t="n"/>
      <x:c r="AX488" s="139" t="n"/>
      <x:c r="AY488" s="139" t="n"/>
      <x:c r="AZ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c r="V489" s="139" t="n"/>
      <x:c r="W489" s="139" t="n"/>
      <x:c r="X489" s="139" t="n"/>
      <x:c r="Y489" s="139" t="n"/>
      <x:c r="Z489" s="139" t="n"/>
      <x:c r="AA489" s="139" t="n"/>
      <x:c r="AB489" s="139" t="n"/>
      <x:c r="AC489" s="139" t="n"/>
      <x:c r="AD489" s="139" t="n"/>
      <x:c r="AE489" s="139" t="n"/>
      <x:c r="AF489" s="139" t="n"/>
      <x:c r="AG489" s="139" t="n"/>
      <x:c r="AH489" s="139" t="n"/>
      <x:c r="AI489" s="139" t="n"/>
      <x:c r="AJ489" s="139" t="n"/>
      <x:c r="AK489" s="139" t="n"/>
      <x:c r="AL489" s="139" t="n"/>
      <x:c r="AM489" s="139" t="n"/>
      <x:c r="AN489" s="139" t="n"/>
      <x:c r="AO489" s="139" t="n"/>
      <x:c r="AP489" s="139" t="n"/>
      <x:c r="AQ489" s="139" t="n"/>
      <x:c r="AR489" s="139" t="n"/>
      <x:c r="AS489" s="139" t="n"/>
      <x:c r="AT489" s="139" t="n"/>
      <x:c r="AU489" s="139" t="n"/>
      <x:c r="AV489" s="139" t="n"/>
      <x:c r="AW489" s="139" t="n"/>
      <x:c r="AX489" s="139" t="n"/>
      <x:c r="AY489" s="139" t="n"/>
      <x:c r="AZ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c r="V490" s="139" t="n"/>
      <x:c r="W490" s="139" t="n"/>
      <x:c r="X490" s="139" t="n"/>
      <x:c r="Y490" s="139" t="n"/>
      <x:c r="Z490" s="139" t="n"/>
      <x:c r="AA490" s="139" t="n"/>
      <x:c r="AB490" s="139" t="n"/>
      <x:c r="AC490" s="139" t="n"/>
      <x:c r="AD490" s="139" t="n"/>
      <x:c r="AE490" s="139" t="n"/>
      <x:c r="AF490" s="139" t="n"/>
      <x:c r="AG490" s="139" t="n"/>
      <x:c r="AH490" s="139" t="n"/>
      <x:c r="AI490" s="139" t="n"/>
      <x:c r="AJ490" s="139" t="n"/>
      <x:c r="AK490" s="139" t="n"/>
      <x:c r="AL490" s="139" t="n"/>
      <x:c r="AM490" s="139" t="n"/>
      <x:c r="AN490" s="139" t="n"/>
      <x:c r="AO490" s="139" t="n"/>
      <x:c r="AP490" s="139" t="n"/>
      <x:c r="AQ490" s="139" t="n"/>
      <x:c r="AR490" s="139" t="n"/>
      <x:c r="AS490" s="139" t="n"/>
      <x:c r="AT490" s="139" t="n"/>
      <x:c r="AU490" s="139" t="n"/>
      <x:c r="AV490" s="139" t="n"/>
      <x:c r="AW490" s="139" t="n"/>
      <x:c r="AX490" s="139" t="n"/>
      <x:c r="AY490" s="139" t="n"/>
      <x:c r="AZ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c r="V491" s="139" t="n"/>
      <x:c r="W491" s="139" t="n"/>
      <x:c r="X491" s="139" t="n"/>
      <x:c r="Y491" s="139" t="n"/>
      <x:c r="Z491" s="139" t="n"/>
      <x:c r="AA491" s="139" t="n"/>
      <x:c r="AB491" s="139" t="n"/>
      <x:c r="AC491" s="139" t="n"/>
      <x:c r="AD491" s="139" t="n"/>
      <x:c r="AE491" s="139" t="n"/>
      <x:c r="AF491" s="139" t="n"/>
      <x:c r="AG491" s="139" t="n"/>
      <x:c r="AH491" s="139" t="n"/>
      <x:c r="AI491" s="139" t="n"/>
      <x:c r="AJ491" s="139" t="n"/>
      <x:c r="AK491" s="139" t="n"/>
      <x:c r="AL491" s="139" t="n"/>
      <x:c r="AM491" s="139" t="n"/>
      <x:c r="AN491" s="139" t="n"/>
      <x:c r="AO491" s="139" t="n"/>
      <x:c r="AP491" s="139" t="n"/>
      <x:c r="AQ491" s="139" t="n"/>
      <x:c r="AR491" s="139" t="n"/>
      <x:c r="AS491" s="139" t="n"/>
      <x:c r="AT491" s="139" t="n"/>
      <x:c r="AU491" s="139" t="n"/>
      <x:c r="AV491" s="139" t="n"/>
      <x:c r="AW491" s="139" t="n"/>
      <x:c r="AX491" s="139" t="n"/>
      <x:c r="AY491" s="139" t="n"/>
      <x:c r="AZ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c r="V492" s="139" t="n"/>
      <x:c r="W492" s="139" t="n"/>
      <x:c r="X492" s="139" t="n"/>
      <x:c r="Y492" s="139" t="n"/>
      <x:c r="Z492" s="139" t="n"/>
      <x:c r="AA492" s="139" t="n"/>
      <x:c r="AB492" s="139" t="n"/>
      <x:c r="AC492" s="139" t="n"/>
      <x:c r="AD492" s="139" t="n"/>
      <x:c r="AE492" s="139" t="n"/>
      <x:c r="AF492" s="139" t="n"/>
      <x:c r="AG492" s="139" t="n"/>
      <x:c r="AH492" s="139" t="n"/>
      <x:c r="AI492" s="139" t="n"/>
      <x:c r="AJ492" s="139" t="n"/>
      <x:c r="AK492" s="139" t="n"/>
      <x:c r="AL492" s="139" t="n"/>
      <x:c r="AM492" s="139" t="n"/>
      <x:c r="AN492" s="139" t="n"/>
      <x:c r="AO492" s="139" t="n"/>
      <x:c r="AP492" s="139" t="n"/>
      <x:c r="AQ492" s="139" t="n"/>
      <x:c r="AR492" s="139" t="n"/>
      <x:c r="AS492" s="139" t="n"/>
      <x:c r="AT492" s="139" t="n"/>
      <x:c r="AU492" s="139" t="n"/>
      <x:c r="AV492" s="139" t="n"/>
      <x:c r="AW492" s="139" t="n"/>
      <x:c r="AX492" s="139" t="n"/>
      <x:c r="AY492" s="139" t="n"/>
      <x:c r="AZ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c r="V493" s="139" t="n"/>
      <x:c r="W493" s="139" t="n"/>
      <x:c r="X493" s="139" t="n"/>
      <x:c r="Y493" s="139" t="n"/>
      <x:c r="Z493" s="139" t="n"/>
      <x:c r="AA493" s="139" t="n"/>
      <x:c r="AB493" s="139" t="n"/>
      <x:c r="AC493" s="139" t="n"/>
      <x:c r="AD493" s="139" t="n"/>
      <x:c r="AE493" s="139" t="n"/>
      <x:c r="AF493" s="139" t="n"/>
      <x:c r="AG493" s="139" t="n"/>
      <x:c r="AH493" s="139" t="n"/>
      <x:c r="AI493" s="139" t="n"/>
      <x:c r="AJ493" s="139" t="n"/>
      <x:c r="AK493" s="139" t="n"/>
      <x:c r="AL493" s="139" t="n"/>
      <x:c r="AM493" s="139" t="n"/>
      <x:c r="AN493" s="139" t="n"/>
      <x:c r="AO493" s="139" t="n"/>
      <x:c r="AP493" s="139" t="n"/>
      <x:c r="AQ493" s="139" t="n"/>
      <x:c r="AR493" s="139" t="n"/>
      <x:c r="AS493" s="139" t="n"/>
      <x:c r="AT493" s="139" t="n"/>
      <x:c r="AU493" s="139" t="n"/>
      <x:c r="AV493" s="139" t="n"/>
      <x:c r="AW493" s="139" t="n"/>
      <x:c r="AX493" s="139" t="n"/>
      <x:c r="AY493" s="139" t="n"/>
      <x:c r="AZ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c r="V494" s="139" t="n"/>
      <x:c r="W494" s="139" t="n"/>
      <x:c r="X494" s="139" t="n"/>
      <x:c r="Y494" s="139" t="n"/>
      <x:c r="Z494" s="139" t="n"/>
      <x:c r="AA494" s="139" t="n"/>
      <x:c r="AB494" s="139" t="n"/>
      <x:c r="AC494" s="139" t="n"/>
      <x:c r="AD494" s="139" t="n"/>
      <x:c r="AE494" s="139" t="n"/>
      <x:c r="AF494" s="139" t="n"/>
      <x:c r="AG494" s="139" t="n"/>
      <x:c r="AH494" s="139" t="n"/>
      <x:c r="AI494" s="139" t="n"/>
      <x:c r="AJ494" s="139" t="n"/>
      <x:c r="AK494" s="139" t="n"/>
      <x:c r="AL494" s="139" t="n"/>
      <x:c r="AM494" s="139" t="n"/>
      <x:c r="AN494" s="139" t="n"/>
      <x:c r="AO494" s="139" t="n"/>
      <x:c r="AP494" s="139" t="n"/>
      <x:c r="AQ494" s="139" t="n"/>
      <x:c r="AR494" s="139" t="n"/>
      <x:c r="AS494" s="139" t="n"/>
      <x:c r="AT494" s="139" t="n"/>
      <x:c r="AU494" s="139" t="n"/>
      <x:c r="AV494" s="139" t="n"/>
      <x:c r="AW494" s="139" t="n"/>
      <x:c r="AX494" s="139" t="n"/>
      <x:c r="AY494" s="139" t="n"/>
      <x:c r="AZ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c r="V495" s="139" t="n"/>
      <x:c r="W495" s="139" t="n"/>
      <x:c r="X495" s="139" t="n"/>
      <x:c r="Y495" s="139" t="n"/>
      <x:c r="Z495" s="139" t="n"/>
      <x:c r="AA495" s="139" t="n"/>
      <x:c r="AB495" s="139" t="n"/>
      <x:c r="AC495" s="139" t="n"/>
      <x:c r="AD495" s="139" t="n"/>
      <x:c r="AE495" s="139" t="n"/>
      <x:c r="AF495" s="139" t="n"/>
      <x:c r="AG495" s="139" t="n"/>
      <x:c r="AH495" s="139" t="n"/>
      <x:c r="AI495" s="139" t="n"/>
      <x:c r="AJ495" s="139" t="n"/>
      <x:c r="AK495" s="139" t="n"/>
      <x:c r="AL495" s="139" t="n"/>
      <x:c r="AM495" s="139" t="n"/>
      <x:c r="AN495" s="139" t="n"/>
      <x:c r="AO495" s="139" t="n"/>
      <x:c r="AP495" s="139" t="n"/>
      <x:c r="AQ495" s="139" t="n"/>
      <x:c r="AR495" s="139" t="n"/>
      <x:c r="AS495" s="139" t="n"/>
      <x:c r="AT495" s="139" t="n"/>
      <x:c r="AU495" s="139" t="n"/>
      <x:c r="AV495" s="139" t="n"/>
      <x:c r="AW495" s="139" t="n"/>
      <x:c r="AX495" s="139" t="n"/>
      <x:c r="AY495" s="139" t="n"/>
      <x:c r="AZ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c r="V496" s="139" t="n"/>
      <x:c r="W496" s="139" t="n"/>
      <x:c r="X496" s="139" t="n"/>
      <x:c r="Y496" s="139" t="n"/>
      <x:c r="Z496" s="139" t="n"/>
      <x:c r="AA496" s="139" t="n"/>
      <x:c r="AB496" s="139" t="n"/>
      <x:c r="AC496" s="139" t="n"/>
      <x:c r="AD496" s="139" t="n"/>
      <x:c r="AE496" s="139" t="n"/>
      <x:c r="AF496" s="139" t="n"/>
      <x:c r="AG496" s="139" t="n"/>
      <x:c r="AH496" s="139" t="n"/>
      <x:c r="AI496" s="139" t="n"/>
      <x:c r="AJ496" s="139" t="n"/>
      <x:c r="AK496" s="139" t="n"/>
      <x:c r="AL496" s="139" t="n"/>
      <x:c r="AM496" s="139" t="n"/>
      <x:c r="AN496" s="139" t="n"/>
      <x:c r="AO496" s="139" t="n"/>
      <x:c r="AP496" s="139" t="n"/>
      <x:c r="AQ496" s="139" t="n"/>
      <x:c r="AR496" s="139" t="n"/>
      <x:c r="AS496" s="139" t="n"/>
      <x:c r="AT496" s="139" t="n"/>
      <x:c r="AU496" s="139" t="n"/>
      <x:c r="AV496" s="139" t="n"/>
      <x:c r="AW496" s="139" t="n"/>
      <x:c r="AX496" s="139" t="n"/>
      <x:c r="AY496" s="139" t="n"/>
      <x:c r="AZ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c r="V497" s="139" t="n"/>
      <x:c r="W497" s="139" t="n"/>
      <x:c r="X497" s="139" t="n"/>
      <x:c r="Y497" s="139" t="n"/>
      <x:c r="Z497" s="139" t="n"/>
      <x:c r="AA497" s="139" t="n"/>
      <x:c r="AB497" s="139" t="n"/>
      <x:c r="AC497" s="139" t="n"/>
      <x:c r="AD497" s="139" t="n"/>
      <x:c r="AE497" s="139" t="n"/>
      <x:c r="AF497" s="139" t="n"/>
      <x:c r="AG497" s="139" t="n"/>
      <x:c r="AH497" s="139" t="n"/>
      <x:c r="AI497" s="139" t="n"/>
      <x:c r="AJ497" s="139" t="n"/>
      <x:c r="AK497" s="139" t="n"/>
      <x:c r="AL497" s="139" t="n"/>
      <x:c r="AM497" s="139" t="n"/>
      <x:c r="AN497" s="139" t="n"/>
      <x:c r="AO497" s="139" t="n"/>
      <x:c r="AP497" s="139" t="n"/>
      <x:c r="AQ497" s="139" t="n"/>
      <x:c r="AR497" s="139" t="n"/>
      <x:c r="AS497" s="139" t="n"/>
      <x:c r="AT497" s="139" t="n"/>
      <x:c r="AU497" s="139" t="n"/>
      <x:c r="AV497" s="139" t="n"/>
      <x:c r="AW497" s="139" t="n"/>
      <x:c r="AX497" s="139" t="n"/>
      <x:c r="AY497" s="139" t="n"/>
      <x:c r="AZ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c r="V498" s="139" t="n"/>
      <x:c r="W498" s="139" t="n"/>
      <x:c r="X498" s="139" t="n"/>
      <x:c r="Y498" s="139" t="n"/>
      <x:c r="Z498" s="139" t="n"/>
      <x:c r="AA498" s="139" t="n"/>
      <x:c r="AB498" s="139" t="n"/>
      <x:c r="AC498" s="139" t="n"/>
      <x:c r="AD498" s="139" t="n"/>
      <x:c r="AE498" s="139" t="n"/>
      <x:c r="AF498" s="139" t="n"/>
      <x:c r="AG498" s="139" t="n"/>
      <x:c r="AH498" s="139" t="n"/>
      <x:c r="AI498" s="139" t="n"/>
      <x:c r="AJ498" s="139" t="n"/>
      <x:c r="AK498" s="139" t="n"/>
      <x:c r="AL498" s="139" t="n"/>
      <x:c r="AM498" s="139" t="n"/>
      <x:c r="AN498" s="139" t="n"/>
      <x:c r="AO498" s="139" t="n"/>
      <x:c r="AP498" s="139" t="n"/>
      <x:c r="AQ498" s="139" t="n"/>
      <x:c r="AR498" s="139" t="n"/>
      <x:c r="AS498" s="139" t="n"/>
      <x:c r="AT498" s="139" t="n"/>
      <x:c r="AU498" s="139" t="n"/>
      <x:c r="AV498" s="139" t="n"/>
      <x:c r="AW498" s="139" t="n"/>
      <x:c r="AX498" s="139" t="n"/>
      <x:c r="AY498" s="139" t="n"/>
      <x:c r="AZ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c r="V499" s="139" t="n"/>
      <x:c r="W499" s="139" t="n"/>
      <x:c r="X499" s="139" t="n"/>
      <x:c r="Y499" s="139" t="n"/>
      <x:c r="Z499" s="139" t="n"/>
      <x:c r="AA499" s="139" t="n"/>
      <x:c r="AB499" s="139" t="n"/>
      <x:c r="AC499" s="139" t="n"/>
      <x:c r="AD499" s="139" t="n"/>
      <x:c r="AE499" s="139" t="n"/>
      <x:c r="AF499" s="139" t="n"/>
      <x:c r="AG499" s="139" t="n"/>
      <x:c r="AH499" s="139" t="n"/>
      <x:c r="AI499" s="139" t="n"/>
      <x:c r="AJ499" s="139" t="n"/>
      <x:c r="AK499" s="139" t="n"/>
      <x:c r="AL499" s="139" t="n"/>
      <x:c r="AM499" s="139" t="n"/>
      <x:c r="AN499" s="139" t="n"/>
      <x:c r="AO499" s="139" t="n"/>
      <x:c r="AP499" s="139" t="n"/>
      <x:c r="AQ499" s="139" t="n"/>
      <x:c r="AR499" s="139" t="n"/>
      <x:c r="AS499" s="139" t="n"/>
      <x:c r="AT499" s="139" t="n"/>
      <x:c r="AU499" s="139" t="n"/>
      <x:c r="AV499" s="139" t="n"/>
      <x:c r="AW499" s="139" t="n"/>
      <x:c r="AX499" s="139" t="n"/>
      <x:c r="AY499" s="139" t="n"/>
      <x:c r="AZ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c r="V500" s="139" t="n"/>
      <x:c r="W500" s="139" t="n"/>
      <x:c r="X500" s="139" t="n"/>
      <x:c r="Y500" s="139" t="n"/>
      <x:c r="Z500" s="139" t="n"/>
      <x:c r="AA500" s="139" t="n"/>
      <x:c r="AB500" s="139" t="n"/>
      <x:c r="AC500" s="139" t="n"/>
      <x:c r="AD500" s="139" t="n"/>
      <x:c r="AE500" s="139" t="n"/>
      <x:c r="AF500" s="139" t="n"/>
      <x:c r="AG500" s="139" t="n"/>
      <x:c r="AH500" s="139" t="n"/>
      <x:c r="AI500" s="139" t="n"/>
      <x:c r="AJ500" s="139" t="n"/>
      <x:c r="AK500" s="139" t="n"/>
      <x:c r="AL500" s="139" t="n"/>
      <x:c r="AM500" s="139" t="n"/>
      <x:c r="AN500" s="139" t="n"/>
      <x:c r="AO500" s="139" t="n"/>
      <x:c r="AP500" s="139" t="n"/>
      <x:c r="AQ500" s="139" t="n"/>
      <x:c r="AR500" s="139" t="n"/>
      <x:c r="AS500" s="139" t="n"/>
      <x:c r="AT500" s="139" t="n"/>
      <x:c r="AU500" s="139" t="n"/>
      <x:c r="AV500" s="139" t="n"/>
      <x:c r="AW500" s="139" t="n"/>
      <x:c r="AX500" s="139" t="n"/>
      <x:c r="AY500" s="139" t="n"/>
      <x:c r="AZ500" s="139" t="n"/>
    </x:row>
  </x:sheetData>
  <x:mergeCells>
    <x:mergeCell ref="A1:J1"/>
  </x:mergeCells>
  <x:pageMargins left="0.7" right="0.7" top="0.75" bottom="0.75" header="0.3" footer="0.3"/>
  <x:drawing xmlns:r="http://schemas.openxmlformats.org/officeDocument/2006/relationships" r:id="Rf2250397f5c54223"/>
</x:worksheet>
</file>

<file path=xl/worksheets/sheet2.xml><?xml version="1.0" encoding="utf-8"?>
<x:worksheet xmlns:x="http://schemas.openxmlformats.org/spreadsheetml/2006/main">
  <x:sheetFormatPr baseColWidth="8" defaultRowHeight="15"/>
  <x:cols>
    <x:col min="1" max="1" width="17" style="125" customWidth="1"/>
    <x:col min="2" max="2" width="8" style="125" customWidth="1"/>
    <x:col min="3" max="3" width="10" style="125" customWidth="1"/>
    <x:col min="4" max="4" width="14" style="125" customWidth="1"/>
    <x:col min="5" max="5" width="16" style="125" customWidth="1"/>
    <x:col min="6" max="6" width="15" style="125" customWidth="1"/>
    <x:col min="7" max="7" width="40" style="125" customWidth="1"/>
  </x:cols>
  <x:sheetData>
    <x:row r="1">
      <x:c r="A1" s="92" t="inlineStr">
        <x:is>
          <x:t xml:space="preserve">Player</x:t>
        </x:is>
      </x:c>
      <x:c r="B1" s="92" t="inlineStr">
        <x:is>
          <x:t xml:space="preserve">MP</x:t>
        </x:is>
      </x:c>
      <x:c r="C1" s="92" t="inlineStr">
        <x:is>
          <x:t xml:space="preserve">SOS</x:t>
        </x:is>
      </x:c>
      <x:c r="D1" s="92" t="inlineStr">
        <x:is>
          <x:t xml:space="preserve">Partner Quality</x:t>
        </x:is>
      </x:c>
      <x:c r="E1" s="92" t="inlineStr">
        <x:is>
          <x:t xml:space="preserve">Above Expectation</x:t>
        </x:is>
      </x:c>
      <x:c r="F1" s="92" t="inlineStr">
        <x:is>
          <x:t xml:space="preserve">Giant Killer Wins</x:t>
        </x:is>
      </x:c>
      <x:c r="G1" s="92" t="inlineStr">
        <x:is>
          <x:t xml:space="preserve">Higher-Rated Opponents Beaten</x:t>
        </x:is>
      </x:c>
      <x:c r="H1" s="139" t="n"/>
      <x:c r="I1" s="139" t="n"/>
      <x:c r="J1" s="139" t="n"/>
      <x:c r="K1" s="139" t="n"/>
      <x:c r="L1" s="139" t="n"/>
      <x:c r="M1" s="139" t="n"/>
      <x:c r="N1" s="139" t="n"/>
      <x:c r="O1" s="139" t="n"/>
      <x:c r="P1" s="139" t="n"/>
      <x:c r="Q1" s="139" t="n"/>
      <x:c r="R1" s="139" t="n"/>
      <x:c r="S1" s="139" t="n"/>
      <x:c r="T1" s="139" t="n"/>
      <x:c r="U1" s="139" t="n"/>
      <x:c r="V1" s="139" t="n"/>
      <x:c r="W1" s="139" t="n"/>
      <x:c r="X1" s="139" t="n"/>
      <x:c r="Y1" s="139" t="n"/>
      <x:c r="Z1" s="139" t="n"/>
      <x:c r="AA1" s="139" t="n"/>
      <x:c r="AB1" s="139" t="n"/>
      <x:c r="AC1" s="139" t="n"/>
      <x:c r="AD1" s="139" t="n"/>
      <x:c r="AE1" s="139" t="n"/>
      <x:c r="AF1" s="139" t="n"/>
      <x:c r="AG1" s="139" t="n"/>
      <x:c r="AH1" s="139" t="n"/>
      <x:c r="AI1" s="139" t="n"/>
      <x:c r="AJ1" s="139" t="n"/>
      <x:c r="AK1" s="139" t="n"/>
      <x:c r="AL1" s="139" t="n"/>
      <x:c r="AM1" s="139" t="n"/>
      <x:c r="AN1" s="139" t="n"/>
      <x:c r="AO1" s="139" t="n"/>
      <x:c r="AP1" s="139" t="n"/>
      <x:c r="AQ1" s="139" t="n"/>
      <x:c r="AR1" s="139" t="n"/>
      <x:c r="AS1" s="139" t="n"/>
      <x:c r="AT1" s="139" t="n"/>
      <x:c r="AU1" s="139" t="n"/>
      <x:c r="AV1" s="139" t="n"/>
      <x:c r="AW1" s="139" t="n"/>
      <x:c r="AX1" s="139" t="n"/>
      <x:c r="AY1" s="139" t="n"/>
      <x:c r="AZ1" s="139" t="n"/>
    </x:row>
    <x:row r="2">
      <x:c r="A2" s="139" t="inlineStr">
        <x:is>
          <x:t xml:space="preserve">Thohir</x:t>
        </x:is>
      </x:c>
      <x:c r="B2" s="139" t="n">
        <x:v>4</x:v>
      </x:c>
      <x:c r="C2" s="94" t="n">
        <x:v>0.4608636977058029</x:v>
      </x:c>
      <x:c r="D2" s="94" t="n">
        <x:v>0.4608636977058029</x:v>
      </x:c>
      <x:c r="E2" s="94" t="n">
        <x:v>0.448549257759784</x:v>
      </x:c>
      <x:c r="F2" s="139" t="n">
        <x:v>0</x:v>
      </x:c>
      <x:c r="G2" s="139" t="str"/>
      <x:c r="H2" s="139" t="n"/>
      <x:c r="I2" s="139" t="n"/>
      <x:c r="J2" s="139" t="n"/>
      <x:c r="K2" s="139" t="n"/>
      <x:c r="L2" s="139" t="n"/>
      <x:c r="M2" s="139" t="n"/>
      <x:c r="N2" s="139" t="n"/>
      <x:c r="O2" s="139" t="n"/>
      <x:c r="P2" s="139" t="n"/>
      <x:c r="Q2" s="139" t="n"/>
      <x:c r="R2" s="139" t="n"/>
      <x:c r="S2" s="139" t="n"/>
      <x:c r="T2" s="139" t="n"/>
      <x:c r="U2" s="139" t="n"/>
      <x:c r="V2" s="139" t="n"/>
      <x:c r="W2" s="139" t="n"/>
      <x:c r="X2" s="139" t="n"/>
      <x:c r="Y2" s="139" t="n"/>
      <x:c r="Z2" s="139" t="n"/>
      <x:c r="AA2" s="139" t="n"/>
      <x:c r="AB2" s="139" t="n"/>
      <x:c r="AC2" s="139" t="n"/>
      <x:c r="AD2" s="139" t="n"/>
      <x:c r="AE2" s="139" t="n"/>
      <x:c r="AF2" s="139" t="n"/>
      <x:c r="AG2" s="139" t="n"/>
      <x:c r="AH2" s="139" t="n"/>
      <x:c r="AI2" s="139" t="n"/>
      <x:c r="AJ2" s="139" t="n"/>
      <x:c r="AK2" s="139" t="n"/>
      <x:c r="AL2" s="139" t="n"/>
      <x:c r="AM2" s="139" t="n"/>
      <x:c r="AN2" s="139" t="n"/>
      <x:c r="AO2" s="139" t="n"/>
      <x:c r="AP2" s="139" t="n"/>
      <x:c r="AQ2" s="139" t="n"/>
      <x:c r="AR2" s="139" t="n"/>
      <x:c r="AS2" s="139" t="n"/>
      <x:c r="AT2" s="139" t="n"/>
      <x:c r="AU2" s="139" t="n"/>
      <x:c r="AV2" s="139" t="n"/>
      <x:c r="AW2" s="139" t="n"/>
      <x:c r="AX2" s="139" t="n"/>
      <x:c r="AY2" s="139" t="n"/>
      <x:c r="AZ2" s="139" t="n"/>
    </x:row>
    <x:row r="3">
      <x:c r="A3" s="139" t="inlineStr">
        <x:is>
          <x:t xml:space="preserve">Sandy</x:t>
        </x:is>
      </x:c>
      <x:c r="B3" s="139" t="n">
        <x:v>13</x:v>
      </x:c>
      <x:c r="C3" s="94" t="n">
        <x:v>0.4937274759851564</x:v>
      </x:c>
      <x:c r="D3" s="94" t="n">
        <x:v>0.4633612438208771</x:v>
      </x:c>
      <x:c r="E3" s="94" t="n">
        <x:v>0.2986058446197765</x:v>
      </x:c>
      <x:c r="F3" s="139" t="n">
        <x:v>0</x:v>
      </x:c>
      <x:c r="G3" s="139" t="str"/>
      <x:c r="H3" s="139" t="n"/>
      <x:c r="I3" s="139" t="n"/>
      <x:c r="J3" s="139" t="n"/>
      <x:c r="K3" s="139" t="n"/>
      <x:c r="L3" s="139" t="n"/>
      <x:c r="M3" s="139" t="n"/>
      <x:c r="N3" s="139" t="n"/>
      <x:c r="O3" s="139" t="n"/>
      <x:c r="P3" s="139" t="n"/>
      <x:c r="Q3" s="139" t="n"/>
      <x:c r="R3" s="139" t="n"/>
      <x:c r="S3" s="139" t="n"/>
      <x:c r="T3" s="139" t="n"/>
      <x:c r="U3" s="139" t="n"/>
      <x:c r="V3" s="139" t="n"/>
      <x:c r="W3" s="139" t="n"/>
      <x:c r="X3" s="139" t="n"/>
      <x:c r="Y3" s="139" t="n"/>
      <x:c r="Z3" s="139" t="n"/>
      <x:c r="AA3" s="139" t="n"/>
      <x:c r="AB3" s="139" t="n"/>
      <x:c r="AC3" s="139" t="n"/>
      <x:c r="AD3" s="139" t="n"/>
      <x:c r="AE3" s="139" t="n"/>
      <x:c r="AF3" s="139" t="n"/>
      <x:c r="AG3" s="139" t="n"/>
      <x:c r="AH3" s="139" t="n"/>
      <x:c r="AI3" s="139" t="n"/>
      <x:c r="AJ3" s="139" t="n"/>
      <x:c r="AK3" s="139" t="n"/>
      <x:c r="AL3" s="139" t="n"/>
      <x:c r="AM3" s="139" t="n"/>
      <x:c r="AN3" s="139" t="n"/>
      <x:c r="AO3" s="139" t="n"/>
      <x:c r="AP3" s="139" t="n"/>
      <x:c r="AQ3" s="139" t="n"/>
      <x:c r="AR3" s="139" t="n"/>
      <x:c r="AS3" s="139" t="n"/>
      <x:c r="AT3" s="139" t="n"/>
      <x:c r="AU3" s="139" t="n"/>
      <x:c r="AV3" s="139" t="n"/>
      <x:c r="AW3" s="139" t="n"/>
      <x:c r="AX3" s="139" t="n"/>
      <x:c r="AY3" s="139" t="n"/>
      <x:c r="AZ3" s="139" t="n"/>
    </x:row>
    <x:row r="4">
      <x:c r="A4" s="139" t="inlineStr">
        <x:is>
          <x:t xml:space="preserve">Rey</x:t>
        </x:is>
      </x:c>
      <x:c r="B4" s="139" t="n">
        <x:v>7</x:v>
      </x:c>
      <x:c r="C4" s="94" t="n">
        <x:v>0.503986843173044</x:v>
      </x:c>
      <x:c r="D4" s="94" t="n">
        <x:v>0.4897694815872614</x:v>
      </x:c>
      <x:c r="E4" s="94" t="n">
        <x:v>0.1938367654754209</x:v>
      </x:c>
      <x:c r="F4" s="139" t="n">
        <x:v>0</x:v>
      </x:c>
      <x:c r="G4" s="139" t="str"/>
      <x:c r="H4" s="139" t="n"/>
      <x:c r="I4" s="139" t="n"/>
      <x:c r="J4" s="139" t="n"/>
      <x:c r="K4" s="139" t="n"/>
      <x:c r="L4" s="139" t="n"/>
      <x:c r="M4" s="139" t="n"/>
      <x:c r="N4" s="139" t="n"/>
      <x:c r="O4" s="139" t="n"/>
      <x:c r="P4" s="139" t="n"/>
      <x:c r="Q4" s="139" t="n"/>
      <x:c r="R4" s="139" t="n"/>
      <x:c r="S4" s="139" t="n"/>
      <x:c r="T4" s="139" t="n"/>
      <x:c r="U4" s="139" t="n"/>
      <x:c r="V4" s="139" t="n"/>
      <x:c r="W4" s="139" t="n"/>
      <x:c r="X4" s="139" t="n"/>
      <x:c r="Y4" s="139" t="n"/>
      <x:c r="Z4" s="139" t="n"/>
      <x:c r="AA4" s="139" t="n"/>
      <x:c r="AB4" s="139" t="n"/>
      <x:c r="AC4" s="139" t="n"/>
      <x:c r="AD4" s="139" t="n"/>
      <x:c r="AE4" s="139" t="n"/>
      <x:c r="AF4" s="139" t="n"/>
      <x:c r="AG4" s="139" t="n"/>
      <x:c r="AH4" s="139" t="n"/>
      <x:c r="AI4" s="139" t="n"/>
      <x:c r="AJ4" s="139" t="n"/>
      <x:c r="AK4" s="139" t="n"/>
      <x:c r="AL4" s="139" t="n"/>
      <x:c r="AM4" s="139" t="n"/>
      <x:c r="AN4" s="139" t="n"/>
      <x:c r="AO4" s="139" t="n"/>
      <x:c r="AP4" s="139" t="n"/>
      <x:c r="AQ4" s="139" t="n"/>
      <x:c r="AR4" s="139" t="n"/>
      <x:c r="AS4" s="139" t="n"/>
      <x:c r="AT4" s="139" t="n"/>
      <x:c r="AU4" s="139" t="n"/>
      <x:c r="AV4" s="139" t="n"/>
      <x:c r="AW4" s="139" t="n"/>
      <x:c r="AX4" s="139" t="n"/>
      <x:c r="AY4" s="139" t="n"/>
      <x:c r="AZ4" s="139" t="n"/>
    </x:row>
    <x:row r="5">
      <x:c r="A5" s="139" t="inlineStr">
        <x:is>
          <x:t xml:space="preserve">Kennard</x:t>
        </x:is>
      </x:c>
      <x:c r="B5" s="139" t="n">
        <x:v>13</x:v>
      </x:c>
      <x:c r="C5" s="94" t="n">
        <x:v>0.4928742528409116</x:v>
      </x:c>
      <x:c r="D5" s="94" t="n">
        <x:v>0.4773192156735858</x:v>
      </x:c>
      <x:c r="E5" s="94" t="n">
        <x:v>0.1646531100478469</x:v>
      </x:c>
      <x:c r="F5" s="139" t="n">
        <x:v>0</x:v>
      </x:c>
      <x:c r="G5" s="139" t="str"/>
      <x:c r="H5" s="139" t="n"/>
      <x:c r="I5" s="139" t="n"/>
      <x:c r="J5" s="139" t="n"/>
      <x:c r="K5" s="139" t="n"/>
      <x:c r="L5" s="139" t="n"/>
      <x:c r="M5" s="139" t="n"/>
      <x:c r="N5" s="139" t="n"/>
      <x:c r="O5" s="139" t="n"/>
      <x:c r="P5" s="139" t="n"/>
      <x:c r="Q5" s="139" t="n"/>
      <x:c r="R5" s="139" t="n"/>
      <x:c r="S5" s="139" t="n"/>
      <x:c r="T5" s="139" t="n"/>
      <x:c r="U5" s="139" t="n"/>
      <x:c r="V5" s="139" t="n"/>
      <x:c r="W5" s="139" t="n"/>
      <x:c r="X5" s="139" t="n"/>
      <x:c r="Y5" s="139" t="n"/>
      <x:c r="Z5" s="139" t="n"/>
      <x:c r="AA5" s="139" t="n"/>
      <x:c r="AB5" s="139" t="n"/>
      <x:c r="AC5" s="139" t="n"/>
      <x:c r="AD5" s="139" t="n"/>
      <x:c r="AE5" s="139" t="n"/>
      <x:c r="AF5" s="139" t="n"/>
      <x:c r="AG5" s="139" t="n"/>
      <x:c r="AH5" s="139" t="n"/>
      <x:c r="AI5" s="139" t="n"/>
      <x:c r="AJ5" s="139" t="n"/>
      <x:c r="AK5" s="139" t="n"/>
      <x:c r="AL5" s="139" t="n"/>
      <x:c r="AM5" s="139" t="n"/>
      <x:c r="AN5" s="139" t="n"/>
      <x:c r="AO5" s="139" t="n"/>
      <x:c r="AP5" s="139" t="n"/>
      <x:c r="AQ5" s="139" t="n"/>
      <x:c r="AR5" s="139" t="n"/>
      <x:c r="AS5" s="139" t="n"/>
      <x:c r="AT5" s="139" t="n"/>
      <x:c r="AU5" s="139" t="n"/>
      <x:c r="AV5" s="139" t="n"/>
      <x:c r="AW5" s="139" t="n"/>
      <x:c r="AX5" s="139" t="n"/>
      <x:c r="AY5" s="139" t="n"/>
      <x:c r="AZ5" s="139" t="n"/>
    </x:row>
    <x:row r="6">
      <x:c r="A6" s="139" t="inlineStr">
        <x:is>
          <x:t xml:space="preserve">Jonathan</x:t>
        </x:is>
      </x:c>
      <x:c r="B6" s="139" t="n">
        <x:v>6</x:v>
      </x:c>
      <x:c r="C6" s="94" t="n">
        <x:v>0.4981326894639588</x:v>
      </x:c>
      <x:c r="D6" s="94" t="n">
        <x:v>0.5259887515305471</x:v>
      </x:c>
      <x:c r="E6" s="94" t="n">
        <x:v>0.1413786806588664</x:v>
      </x:c>
      <x:c r="F6" s="139" t="n">
        <x:v>0</x:v>
      </x:c>
      <x:c r="G6" s="139" t="str"/>
      <x:c r="H6" s="139" t="n"/>
      <x:c r="I6" s="139" t="n"/>
      <x:c r="J6" s="139" t="n"/>
      <x:c r="K6" s="139" t="n"/>
      <x:c r="L6" s="139" t="n"/>
      <x:c r="M6" s="139" t="n"/>
      <x:c r="N6" s="139" t="n"/>
      <x:c r="O6" s="139" t="n"/>
      <x:c r="P6" s="139" t="n"/>
      <x:c r="Q6" s="139" t="n"/>
      <x:c r="R6" s="139" t="n"/>
      <x:c r="S6" s="139" t="n"/>
      <x:c r="T6" s="139" t="n"/>
      <x:c r="U6" s="139" t="n"/>
      <x:c r="V6" s="139" t="n"/>
      <x:c r="W6" s="139" t="n"/>
      <x:c r="X6" s="139" t="n"/>
      <x:c r="Y6" s="139" t="n"/>
      <x:c r="Z6" s="139" t="n"/>
      <x:c r="AA6" s="139" t="n"/>
      <x:c r="AB6" s="139" t="n"/>
      <x:c r="AC6" s="139" t="n"/>
      <x:c r="AD6" s="139" t="n"/>
      <x:c r="AE6" s="139" t="n"/>
      <x:c r="AF6" s="139" t="n"/>
      <x:c r="AG6" s="139" t="n"/>
      <x:c r="AH6" s="139" t="n"/>
      <x:c r="AI6" s="139" t="n"/>
      <x:c r="AJ6" s="139" t="n"/>
      <x:c r="AK6" s="139" t="n"/>
      <x:c r="AL6" s="139" t="n"/>
      <x:c r="AM6" s="139" t="n"/>
      <x:c r="AN6" s="139" t="n"/>
      <x:c r="AO6" s="139" t="n"/>
      <x:c r="AP6" s="139" t="n"/>
      <x:c r="AQ6" s="139" t="n"/>
      <x:c r="AR6" s="139" t="n"/>
      <x:c r="AS6" s="139" t="n"/>
      <x:c r="AT6" s="139" t="n"/>
      <x:c r="AU6" s="139" t="n"/>
      <x:c r="AV6" s="139" t="n"/>
      <x:c r="AW6" s="139" t="n"/>
      <x:c r="AX6" s="139" t="n"/>
      <x:c r="AY6" s="139" t="n"/>
      <x:c r="AZ6" s="139" t="n"/>
    </x:row>
    <x:row r="7">
      <x:c r="A7" s="139" t="inlineStr">
        <x:is>
          <x:t xml:space="preserve">Rizky</x:t>
        </x:is>
      </x:c>
      <x:c r="B7" s="139" t="n">
        <x:v>6</x:v>
      </x:c>
      <x:c r="C7" s="94" t="n">
        <x:v>0.4492112634527496</x:v>
      </x:c>
      <x:c r="D7" s="94" t="n">
        <x:v>0.4492112634527495</x:v>
      </x:c>
      <x:c r="E7" s="94" t="n">
        <x:v>0.1361123396727112</x:v>
      </x:c>
      <x:c r="F7" s="139" t="n">
        <x:v>0</x:v>
      </x:c>
      <x:c r="G7" s="139" t="str"/>
      <x:c r="H7" s="139" t="n"/>
      <x:c r="I7" s="139" t="n"/>
      <x:c r="J7" s="139" t="n"/>
      <x:c r="K7" s="139" t="n"/>
      <x:c r="L7" s="139" t="n"/>
      <x:c r="M7" s="139" t="n"/>
      <x:c r="N7" s="139" t="n"/>
      <x:c r="O7" s="139" t="n"/>
      <x:c r="P7" s="139" t="n"/>
      <x:c r="Q7" s="139" t="n"/>
      <x:c r="R7" s="139" t="n"/>
      <x:c r="S7" s="139" t="n"/>
      <x:c r="T7" s="139" t="n"/>
      <x:c r="U7" s="139" t="n"/>
      <x:c r="V7" s="139" t="n"/>
      <x:c r="W7" s="139" t="n"/>
      <x:c r="X7" s="139" t="n"/>
      <x:c r="Y7" s="139" t="n"/>
      <x:c r="Z7" s="139" t="n"/>
      <x:c r="AA7" s="139" t="n"/>
      <x:c r="AB7" s="139" t="n"/>
      <x:c r="AC7" s="139" t="n"/>
      <x:c r="AD7" s="139" t="n"/>
      <x:c r="AE7" s="139" t="n"/>
      <x:c r="AF7" s="139" t="n"/>
      <x:c r="AG7" s="139" t="n"/>
      <x:c r="AH7" s="139" t="n"/>
      <x:c r="AI7" s="139" t="n"/>
      <x:c r="AJ7" s="139" t="n"/>
      <x:c r="AK7" s="139" t="n"/>
      <x:c r="AL7" s="139" t="n"/>
      <x:c r="AM7" s="139" t="n"/>
      <x:c r="AN7" s="139" t="n"/>
      <x:c r="AO7" s="139" t="n"/>
      <x:c r="AP7" s="139" t="n"/>
      <x:c r="AQ7" s="139" t="n"/>
      <x:c r="AR7" s="139" t="n"/>
      <x:c r="AS7" s="139" t="n"/>
      <x:c r="AT7" s="139" t="n"/>
      <x:c r="AU7" s="139" t="n"/>
      <x:c r="AV7" s="139" t="n"/>
      <x:c r="AW7" s="139" t="n"/>
      <x:c r="AX7" s="139" t="n"/>
      <x:c r="AY7" s="139" t="n"/>
      <x:c r="AZ7" s="139" t="n"/>
    </x:row>
    <x:row r="8">
      <x:c r="A8" s="139" t="inlineStr">
        <x:is>
          <x:t xml:space="preserve">Ronald</x:t>
        </x:is>
      </x:c>
      <x:c r="B8" s="139" t="n">
        <x:v>18</x:v>
      </x:c>
      <x:c r="C8" s="94" t="n">
        <x:v>0.4795284222141807</x:v>
      </x:c>
      <x:c r="D8" s="94" t="n">
        <x:v>0.4901896750193964</x:v>
      </x:c>
      <x:c r="E8" s="94" t="n">
        <x:v>0.1300373051727541</x:v>
      </x:c>
      <x:c r="F8" s="139" t="n">
        <x:v>1</x:v>
      </x:c>
      <x:c r="G8" s="139" t="inlineStr">
        <x:is>
          <x:t xml:space="preserve">Donny/Ricky</x:t>
        </x:is>
      </x:c>
      <x:c r="H8" s="139" t="n"/>
      <x:c r="I8" s="139" t="n"/>
      <x:c r="J8" s="139" t="n"/>
      <x:c r="K8" s="139" t="n"/>
      <x:c r="L8" s="139" t="n"/>
      <x:c r="M8" s="139" t="n"/>
      <x:c r="N8" s="139" t="n"/>
      <x:c r="O8" s="139" t="n"/>
      <x:c r="P8" s="139" t="n"/>
      <x:c r="Q8" s="139" t="n"/>
      <x:c r="R8" s="139" t="n"/>
      <x:c r="S8" s="139" t="n"/>
      <x:c r="T8" s="139" t="n"/>
      <x:c r="U8" s="139" t="n"/>
      <x:c r="V8" s="139" t="n"/>
      <x:c r="W8" s="139" t="n"/>
      <x:c r="X8" s="139" t="n"/>
      <x:c r="Y8" s="139" t="n"/>
      <x:c r="Z8" s="139" t="n"/>
      <x:c r="AA8" s="139" t="n"/>
      <x:c r="AB8" s="139" t="n"/>
      <x:c r="AC8" s="139" t="n"/>
      <x:c r="AD8" s="139" t="n"/>
      <x:c r="AE8" s="139" t="n"/>
      <x:c r="AF8" s="139" t="n"/>
      <x:c r="AG8" s="139" t="n"/>
      <x:c r="AH8" s="139" t="n"/>
      <x:c r="AI8" s="139" t="n"/>
      <x:c r="AJ8" s="139" t="n"/>
      <x:c r="AK8" s="139" t="n"/>
      <x:c r="AL8" s="139" t="n"/>
      <x:c r="AM8" s="139" t="n"/>
      <x:c r="AN8" s="139" t="n"/>
      <x:c r="AO8" s="139" t="n"/>
      <x:c r="AP8" s="139" t="n"/>
      <x:c r="AQ8" s="139" t="n"/>
      <x:c r="AR8" s="139" t="n"/>
      <x:c r="AS8" s="139" t="n"/>
      <x:c r="AT8" s="139" t="n"/>
      <x:c r="AU8" s="139" t="n"/>
      <x:c r="AV8" s="139" t="n"/>
      <x:c r="AW8" s="139" t="n"/>
      <x:c r="AX8" s="139" t="n"/>
      <x:c r="AY8" s="139" t="n"/>
      <x:c r="AZ8" s="139" t="n"/>
    </x:row>
    <x:row r="9">
      <x:c r="A9" s="139" t="inlineStr">
        <x:is>
          <x:t xml:space="preserve">Austin</x:t>
        </x:is>
      </x:c>
      <x:c r="B9" s="139" t="n">
        <x:v>14</x:v>
      </x:c>
      <x:c r="C9" s="94" t="n">
        <x:v>0.5058457041263321</x:v>
      </x:c>
      <x:c r="D9" s="94" t="n">
        <x:v>0.4832843111480883</x:v>
      </x:c>
      <x:c r="E9" s="94" t="n">
        <x:v>0.1272316444060141</x:v>
      </x:c>
      <x:c r="F9" s="139" t="n">
        <x:v>0</x:v>
      </x:c>
      <x:c r="G9" s="139" t="str"/>
      <x:c r="H9" s="139" t="n"/>
      <x:c r="I9" s="139" t="n"/>
      <x:c r="J9" s="139" t="n"/>
      <x:c r="K9" s="139" t="n"/>
      <x:c r="L9" s="139" t="n"/>
      <x:c r="M9" s="139" t="n"/>
      <x:c r="N9" s="139" t="n"/>
      <x:c r="O9" s="139" t="n"/>
      <x:c r="P9" s="139" t="n"/>
      <x:c r="Q9" s="139" t="n"/>
      <x:c r="R9" s="139" t="n"/>
      <x:c r="S9" s="139" t="n"/>
      <x:c r="T9" s="139" t="n"/>
      <x:c r="U9" s="139" t="n"/>
      <x:c r="V9" s="139" t="n"/>
      <x:c r="W9" s="139" t="n"/>
      <x:c r="X9" s="139" t="n"/>
      <x:c r="Y9" s="139" t="n"/>
      <x:c r="Z9" s="139" t="n"/>
      <x:c r="AA9" s="139" t="n"/>
      <x:c r="AB9" s="139" t="n"/>
      <x:c r="AC9" s="139" t="n"/>
      <x:c r="AD9" s="139" t="n"/>
      <x:c r="AE9" s="139" t="n"/>
      <x:c r="AF9" s="139" t="n"/>
      <x:c r="AG9" s="139" t="n"/>
      <x:c r="AH9" s="139" t="n"/>
      <x:c r="AI9" s="139" t="n"/>
      <x:c r="AJ9" s="139" t="n"/>
      <x:c r="AK9" s="139" t="n"/>
      <x:c r="AL9" s="139" t="n"/>
      <x:c r="AM9" s="139" t="n"/>
      <x:c r="AN9" s="139" t="n"/>
      <x:c r="AO9" s="139" t="n"/>
      <x:c r="AP9" s="139" t="n"/>
      <x:c r="AQ9" s="139" t="n"/>
      <x:c r="AR9" s="139" t="n"/>
      <x:c r="AS9" s="139" t="n"/>
      <x:c r="AT9" s="139" t="n"/>
      <x:c r="AU9" s="139" t="n"/>
      <x:c r="AV9" s="139" t="n"/>
      <x:c r="AW9" s="139" t="n"/>
      <x:c r="AX9" s="139" t="n"/>
      <x:c r="AY9" s="139" t="n"/>
      <x:c r="AZ9" s="139" t="n"/>
    </x:row>
    <x:row r="10">
      <x:c r="A10" s="139" t="inlineStr">
        <x:is>
          <x:t xml:space="preserve">Ricky</x:t>
        </x:is>
      </x:c>
      <x:c r="B10" s="139" t="n">
        <x:v>26</x:v>
      </x:c>
      <x:c r="C10" s="94" t="n">
        <x:v>0.4785930837044197</x:v>
      </x:c>
      <x:c r="D10" s="94" t="n">
        <x:v>0.4927407949675156</x:v>
      </x:c>
      <x:c r="E10" s="94" t="n">
        <x:v>0.08443713496553457</x:v>
      </x:c>
      <x:c r="F10" s="139" t="n">
        <x:v>0</x:v>
      </x:c>
      <x:c r="G10" s="139" t="str"/>
      <x:c r="H10" s="139" t="n"/>
      <x:c r="I10" s="139" t="n"/>
      <x:c r="J10" s="139" t="n"/>
      <x:c r="K10" s="139" t="n"/>
      <x:c r="L10" s="139" t="n"/>
      <x:c r="M10" s="139" t="n"/>
      <x:c r="N10" s="139" t="n"/>
      <x:c r="O10" s="139" t="n"/>
      <x:c r="P10" s="139" t="n"/>
      <x:c r="Q10" s="139" t="n"/>
      <x:c r="R10" s="139" t="n"/>
      <x:c r="S10" s="139" t="n"/>
      <x:c r="T10" s="139" t="n"/>
      <x:c r="U10" s="139" t="n"/>
      <x:c r="V10" s="139" t="n"/>
      <x:c r="W10" s="139" t="n"/>
      <x:c r="X10" s="139" t="n"/>
      <x:c r="Y10" s="139" t="n"/>
      <x:c r="Z10" s="139" t="n"/>
      <x:c r="AA10" s="139" t="n"/>
      <x:c r="AB10" s="139" t="n"/>
      <x:c r="AC10" s="139" t="n"/>
      <x:c r="AD10" s="139" t="n"/>
      <x:c r="AE10" s="139" t="n"/>
      <x:c r="AF10" s="139" t="n"/>
      <x:c r="AG10" s="139" t="n"/>
      <x:c r="AH10" s="139" t="n"/>
      <x:c r="AI10" s="139" t="n"/>
      <x:c r="AJ10" s="139" t="n"/>
      <x:c r="AK10" s="139" t="n"/>
      <x:c r="AL10" s="139" t="n"/>
      <x:c r="AM10" s="139" t="n"/>
      <x:c r="AN10" s="139" t="n"/>
      <x:c r="AO10" s="139" t="n"/>
      <x:c r="AP10" s="139" t="n"/>
      <x:c r="AQ10" s="139" t="n"/>
      <x:c r="AR10" s="139" t="n"/>
      <x:c r="AS10" s="139" t="n"/>
      <x:c r="AT10" s="139" t="n"/>
      <x:c r="AU10" s="139" t="n"/>
      <x:c r="AV10" s="139" t="n"/>
      <x:c r="AW10" s="139" t="n"/>
      <x:c r="AX10" s="139" t="n"/>
      <x:c r="AY10" s="139" t="n"/>
      <x:c r="AZ10" s="139" t="n"/>
    </x:row>
    <x:row r="11">
      <x:c r="A11" s="139" t="inlineStr">
        <x:is>
          <x:t xml:space="preserve">Edy SP</x:t>
        </x:is>
      </x:c>
      <x:c r="B11" s="139" t="n">
        <x:v>30</x:v>
      </x:c>
      <x:c r="C11" s="94" t="n">
        <x:v>0.5035450600311281</x:v>
      </x:c>
      <x:c r="D11" s="94" t="n">
        <x:v>0.5133555711574288</x:v>
      </x:c>
      <x:c r="E11" s="94" t="n">
        <x:v>-0.0283207487387054</x:v>
      </x:c>
      <x:c r="F11" s="139" t="n">
        <x:v>1</x:v>
      </x:c>
      <x:c r="G11" s="139" t="inlineStr">
        <x:is>
          <x:t xml:space="preserve">Ricky/Michael</x:t>
        </x:is>
      </x:c>
      <x:c r="H11" s="139" t="n"/>
      <x:c r="I11" s="139" t="n"/>
      <x:c r="J11" s="139" t="n"/>
      <x:c r="K11" s="139" t="n"/>
      <x:c r="L11" s="139" t="n"/>
      <x:c r="M11" s="139" t="n"/>
      <x:c r="N11" s="139" t="n"/>
      <x:c r="O11" s="139" t="n"/>
      <x:c r="P11" s="139" t="n"/>
      <x:c r="Q11" s="139" t="n"/>
      <x:c r="R11" s="139" t="n"/>
      <x:c r="S11" s="139" t="n"/>
      <x:c r="T11" s="139" t="n"/>
      <x:c r="U11" s="139" t="n"/>
      <x:c r="V11" s="139" t="n"/>
      <x:c r="W11" s="139" t="n"/>
      <x:c r="X11" s="139" t="n"/>
      <x:c r="Y11" s="139" t="n"/>
      <x:c r="Z11" s="139" t="n"/>
      <x:c r="AA11" s="139" t="n"/>
      <x:c r="AB11" s="139" t="n"/>
      <x:c r="AC11" s="139" t="n"/>
      <x:c r="AD11" s="139" t="n"/>
      <x:c r="AE11" s="139" t="n"/>
      <x:c r="AF11" s="139" t="n"/>
      <x:c r="AG11" s="139" t="n"/>
      <x:c r="AH11" s="139" t="n"/>
      <x:c r="AI11" s="139" t="n"/>
      <x:c r="AJ11" s="139" t="n"/>
      <x:c r="AK11" s="139" t="n"/>
      <x:c r="AL11" s="139" t="n"/>
      <x:c r="AM11" s="139" t="n"/>
      <x:c r="AN11" s="139" t="n"/>
      <x:c r="AO11" s="139" t="n"/>
      <x:c r="AP11" s="139" t="n"/>
      <x:c r="AQ11" s="139" t="n"/>
      <x:c r="AR11" s="139" t="n"/>
      <x:c r="AS11" s="139" t="n"/>
      <x:c r="AT11" s="139" t="n"/>
      <x:c r="AU11" s="139" t="n"/>
      <x:c r="AV11" s="139" t="n"/>
      <x:c r="AW11" s="139" t="n"/>
      <x:c r="AX11" s="139" t="n"/>
      <x:c r="AY11" s="139" t="n"/>
      <x:c r="AZ11" s="139" t="n"/>
    </x:row>
    <x:row r="12">
      <x:c r="A12" s="139" t="inlineStr">
        <x:is>
          <x:t xml:space="preserve">Michael</x:t>
        </x:is>
      </x:c>
      <x:c r="B12" s="139" t="n">
        <x:v>13</x:v>
      </x:c>
      <x:c r="C12" s="94" t="n">
        <x:v>0.5056555891516596</x:v>
      </x:c>
      <x:c r="D12" s="94" t="n">
        <x:v>0.5304231293038152</x:v>
      </x:c>
      <x:c r="E12" s="94" t="n">
        <x:v>-0.03728714525928147</x:v>
      </x:c>
      <x:c r="F12" s="139" t="n">
        <x:v>0</x:v>
      </x:c>
      <x:c r="G12" s="139" t="str"/>
      <x:c r="H12" s="139" t="n"/>
      <x:c r="I12" s="139" t="n"/>
      <x:c r="J12" s="139" t="n"/>
      <x:c r="K12" s="139" t="n"/>
      <x:c r="L12" s="139" t="n"/>
      <x:c r="M12" s="139" t="n"/>
      <x:c r="N12" s="139" t="n"/>
      <x:c r="O12" s="139" t="n"/>
      <x:c r="P12" s="139" t="n"/>
      <x:c r="Q12" s="139" t="n"/>
      <x:c r="R12" s="139" t="n"/>
      <x:c r="S12" s="139" t="n"/>
      <x:c r="T12" s="139" t="n"/>
      <x:c r="U12" s="139" t="n"/>
      <x:c r="V12" s="139" t="n"/>
      <x:c r="W12" s="139" t="n"/>
      <x:c r="X12" s="139" t="n"/>
      <x:c r="Y12" s="139" t="n"/>
      <x:c r="Z12" s="139" t="n"/>
      <x:c r="AA12" s="139" t="n"/>
      <x:c r="AB12" s="139" t="n"/>
      <x:c r="AC12" s="139" t="n"/>
      <x:c r="AD12" s="139" t="n"/>
      <x:c r="AE12" s="139" t="n"/>
      <x:c r="AF12" s="139" t="n"/>
      <x:c r="AG12" s="139" t="n"/>
      <x:c r="AH12" s="139" t="n"/>
      <x:c r="AI12" s="139" t="n"/>
      <x:c r="AJ12" s="139" t="n"/>
      <x:c r="AK12" s="139" t="n"/>
      <x:c r="AL12" s="139" t="n"/>
      <x:c r="AM12" s="139" t="n"/>
      <x:c r="AN12" s="139" t="n"/>
      <x:c r="AO12" s="139" t="n"/>
      <x:c r="AP12" s="139" t="n"/>
      <x:c r="AQ12" s="139" t="n"/>
      <x:c r="AR12" s="139" t="n"/>
      <x:c r="AS12" s="139" t="n"/>
      <x:c r="AT12" s="139" t="n"/>
      <x:c r="AU12" s="139" t="n"/>
      <x:c r="AV12" s="139" t="n"/>
      <x:c r="AW12" s="139" t="n"/>
      <x:c r="AX12" s="139" t="n"/>
      <x:c r="AY12" s="139" t="n"/>
      <x:c r="AZ12" s="139" t="n"/>
    </x:row>
    <x:row r="13">
      <x:c r="A13" s="139" t="inlineStr">
        <x:is>
          <x:t xml:space="preserve">Nicholas</x:t>
        </x:is>
      </x:c>
      <x:c r="B13" s="139" t="n">
        <x:v>7</x:v>
      </x:c>
      <x:c r="C13" s="94" t="n">
        <x:v>0.5233328590913729</x:v>
      </x:c>
      <x:c r="D13" s="94" t="n">
        <x:v>0.4982810201739879</x:v>
      </x:c>
      <x:c r="E13" s="94" t="n">
        <x:v>-0.05099906359304857</x:v>
      </x:c>
      <x:c r="F13" s="139" t="n">
        <x:v>0</x:v>
      </x:c>
      <x:c r="G13" s="139" t="str"/>
      <x:c r="H13" s="139" t="n"/>
      <x:c r="I13" s="139" t="n"/>
      <x:c r="J13" s="139" t="n"/>
      <x:c r="K13" s="139" t="n"/>
      <x:c r="L13" s="139" t="n"/>
      <x:c r="M13" s="139" t="n"/>
      <x:c r="N13" s="139" t="n"/>
      <x:c r="O13" s="139" t="n"/>
      <x:c r="P13" s="139" t="n"/>
      <x:c r="Q13" s="139" t="n"/>
      <x:c r="R13" s="139" t="n"/>
      <x:c r="S13" s="139" t="n"/>
      <x:c r="T13" s="139" t="n"/>
      <x:c r="U13" s="139" t="n"/>
      <x:c r="V13" s="139" t="n"/>
      <x:c r="W13" s="139" t="n"/>
      <x:c r="X13" s="139" t="n"/>
      <x:c r="Y13" s="139" t="n"/>
      <x:c r="Z13" s="139" t="n"/>
      <x:c r="AA13" s="139" t="n"/>
      <x:c r="AB13" s="139" t="n"/>
      <x:c r="AC13" s="139" t="n"/>
      <x:c r="AD13" s="139" t="n"/>
      <x:c r="AE13" s="139" t="n"/>
      <x:c r="AF13" s="139" t="n"/>
      <x:c r="AG13" s="139" t="n"/>
      <x:c r="AH13" s="139" t="n"/>
      <x:c r="AI13" s="139" t="n"/>
      <x:c r="AJ13" s="139" t="n"/>
      <x:c r="AK13" s="139" t="n"/>
      <x:c r="AL13" s="139" t="n"/>
      <x:c r="AM13" s="139" t="n"/>
      <x:c r="AN13" s="139" t="n"/>
      <x:c r="AO13" s="139" t="n"/>
      <x:c r="AP13" s="139" t="n"/>
      <x:c r="AQ13" s="139" t="n"/>
      <x:c r="AR13" s="139" t="n"/>
      <x:c r="AS13" s="139" t="n"/>
      <x:c r="AT13" s="139" t="n"/>
      <x:c r="AU13" s="139" t="n"/>
      <x:c r="AV13" s="139" t="n"/>
      <x:c r="AW13" s="139" t="n"/>
      <x:c r="AX13" s="139" t="n"/>
      <x:c r="AY13" s="139" t="n"/>
      <x:c r="AZ13" s="139" t="n"/>
    </x:row>
    <x:row r="14">
      <x:c r="A14" s="139" t="inlineStr">
        <x:is>
          <x:t xml:space="preserve">David</x:t>
        </x:is>
      </x:c>
      <x:c r="B14" s="139" t="n">
        <x:v>12</x:v>
      </x:c>
      <x:c r="C14" s="94" t="n">
        <x:v>0.5180400181174175</x:v>
      </x:c>
      <x:c r="D14" s="94" t="n">
        <x:v>0.49934259067386</x:v>
      </x:c>
      <x:c r="E14" s="94" t="n">
        <x:v>-0.06164897194308958</x:v>
      </x:c>
      <x:c r="F14" s="139" t="n">
        <x:v>1</x:v>
      </x:c>
      <x:c r="G14" s="139" t="inlineStr">
        <x:is>
          <x:t xml:space="preserve">Ricky/Michael</x:t>
        </x:is>
      </x:c>
      <x:c r="H14" s="139" t="n"/>
      <x:c r="I14" s="139" t="n"/>
      <x:c r="J14" s="139" t="n"/>
      <x:c r="K14" s="139" t="n"/>
      <x:c r="L14" s="139" t="n"/>
      <x:c r="M14" s="139" t="n"/>
      <x:c r="N14" s="139" t="n"/>
      <x:c r="O14" s="139" t="n"/>
      <x:c r="P14" s="139" t="n"/>
      <x:c r="Q14" s="139" t="n"/>
      <x:c r="R14" s="139" t="n"/>
      <x:c r="S14" s="139" t="n"/>
      <x:c r="T14" s="139" t="n"/>
      <x:c r="U14" s="139" t="n"/>
      <x:c r="V14" s="139" t="n"/>
      <x:c r="W14" s="139" t="n"/>
      <x:c r="X14" s="139" t="n"/>
      <x:c r="Y14" s="139" t="n"/>
      <x:c r="Z14" s="139" t="n"/>
      <x:c r="AA14" s="139" t="n"/>
      <x:c r="AB14" s="139" t="n"/>
      <x:c r="AC14" s="139" t="n"/>
      <x:c r="AD14" s="139" t="n"/>
      <x:c r="AE14" s="139" t="n"/>
      <x:c r="AF14" s="139" t="n"/>
      <x:c r="AG14" s="139" t="n"/>
      <x:c r="AH14" s="139" t="n"/>
      <x:c r="AI14" s="139" t="n"/>
      <x:c r="AJ14" s="139" t="n"/>
      <x:c r="AK14" s="139" t="n"/>
      <x:c r="AL14" s="139" t="n"/>
      <x:c r="AM14" s="139" t="n"/>
      <x:c r="AN14" s="139" t="n"/>
      <x:c r="AO14" s="139" t="n"/>
      <x:c r="AP14" s="139" t="n"/>
      <x:c r="AQ14" s="139" t="n"/>
      <x:c r="AR14" s="139" t="n"/>
      <x:c r="AS14" s="139" t="n"/>
      <x:c r="AT14" s="139" t="n"/>
      <x:c r="AU14" s="139" t="n"/>
      <x:c r="AV14" s="139" t="n"/>
      <x:c r="AW14" s="139" t="n"/>
      <x:c r="AX14" s="139" t="n"/>
      <x:c r="AY14" s="139" t="n"/>
      <x:c r="AZ14" s="139" t="n"/>
    </x:row>
    <x:row r="15">
      <x:c r="A15" s="139" t="inlineStr">
        <x:is>
          <x:t xml:space="preserve">Donny</x:t>
        </x:is>
      </x:c>
      <x:c r="B15" s="139" t="n">
        <x:v>11</x:v>
      </x:c>
      <x:c r="C15" s="94" t="n">
        <x:v>0.5112385480173265</x:v>
      </x:c>
      <x:c r="D15" s="94" t="n">
        <x:v>0.517987899144668</x:v>
      </x:c>
      <x:c r="E15" s="94" t="n">
        <x:v>-0.115504495035877</x:v>
      </x:c>
      <x:c r="F15" s="139" t="n">
        <x:v>0</x:v>
      </x:c>
      <x:c r="G15" s="139" t="str"/>
      <x:c r="H15" s="139" t="n"/>
      <x:c r="I15" s="139" t="n"/>
      <x:c r="J15" s="139" t="n"/>
      <x:c r="K15" s="139" t="n"/>
      <x:c r="L15" s="139" t="n"/>
      <x:c r="M15" s="139" t="n"/>
      <x:c r="N15" s="139" t="n"/>
      <x:c r="O15" s="139" t="n"/>
      <x:c r="P15" s="139" t="n"/>
      <x:c r="Q15" s="139" t="n"/>
      <x:c r="R15" s="139" t="n"/>
      <x:c r="S15" s="139" t="n"/>
      <x:c r="T15" s="139" t="n"/>
      <x:c r="U15" s="139" t="n"/>
      <x:c r="V15" s="139" t="n"/>
      <x:c r="W15" s="139" t="n"/>
      <x:c r="X15" s="139" t="n"/>
      <x:c r="Y15" s="139" t="n"/>
      <x:c r="Z15" s="139" t="n"/>
      <x:c r="AA15" s="139" t="n"/>
      <x:c r="AB15" s="139" t="n"/>
      <x:c r="AC15" s="139" t="n"/>
      <x:c r="AD15" s="139" t="n"/>
      <x:c r="AE15" s="139" t="n"/>
      <x:c r="AF15" s="139" t="n"/>
      <x:c r="AG15" s="139" t="n"/>
      <x:c r="AH15" s="139" t="n"/>
      <x:c r="AI15" s="139" t="n"/>
      <x:c r="AJ15" s="139" t="n"/>
      <x:c r="AK15" s="139" t="n"/>
      <x:c r="AL15" s="139" t="n"/>
      <x:c r="AM15" s="139" t="n"/>
      <x:c r="AN15" s="139" t="n"/>
      <x:c r="AO15" s="139" t="n"/>
      <x:c r="AP15" s="139" t="n"/>
      <x:c r="AQ15" s="139" t="n"/>
      <x:c r="AR15" s="139" t="n"/>
      <x:c r="AS15" s="139" t="n"/>
      <x:c r="AT15" s="139" t="n"/>
      <x:c r="AU15" s="139" t="n"/>
      <x:c r="AV15" s="139" t="n"/>
      <x:c r="AW15" s="139" t="n"/>
      <x:c r="AX15" s="139" t="n"/>
      <x:c r="AY15" s="139" t="n"/>
      <x:c r="AZ15" s="139" t="n"/>
    </x:row>
    <x:row r="16">
      <x:c r="A16" s="139" t="inlineStr">
        <x:is>
          <x:t xml:space="preserve">Reza</x:t>
        </x:is>
      </x:c>
      <x:c r="B16" s="139" t="n">
        <x:v>6</x:v>
      </x:c>
      <x:c r="C16" s="94" t="n">
        <x:v>0.5558169041141178</x:v>
      </x:c>
      <x:c r="D16" s="94" t="n">
        <x:v>0.5338256514727103</x:v>
      </x:c>
      <x:c r="E16" s="94" t="n">
        <x:v>-0.1293574846206425</x:v>
      </x:c>
      <x:c r="F16" s="139" t="n">
        <x:v>0</x:v>
      </x:c>
      <x:c r="G16" s="139" t="str"/>
      <x:c r="H16" s="139" t="n"/>
      <x:c r="I16" s="139" t="n"/>
      <x:c r="J16" s="139" t="n"/>
      <x:c r="K16" s="139" t="n"/>
      <x:c r="L16" s="139" t="n"/>
      <x:c r="M16" s="139" t="n"/>
      <x:c r="N16" s="139" t="n"/>
      <x:c r="O16" s="139" t="n"/>
      <x:c r="P16" s="139" t="n"/>
      <x:c r="Q16" s="139" t="n"/>
      <x:c r="R16" s="139" t="n"/>
      <x:c r="S16" s="139" t="n"/>
      <x:c r="T16" s="139" t="n"/>
      <x:c r="U16" s="139" t="n"/>
      <x:c r="V16" s="139" t="n"/>
      <x:c r="W16" s="139" t="n"/>
      <x:c r="X16" s="139" t="n"/>
      <x:c r="Y16" s="139" t="n"/>
      <x:c r="Z16" s="139" t="n"/>
      <x:c r="AA16" s="139" t="n"/>
      <x:c r="AB16" s="139" t="n"/>
      <x:c r="AC16" s="139" t="n"/>
      <x:c r="AD16" s="139" t="n"/>
      <x:c r="AE16" s="139" t="n"/>
      <x:c r="AF16" s="139" t="n"/>
      <x:c r="AG16" s="139" t="n"/>
      <x:c r="AH16" s="139" t="n"/>
      <x:c r="AI16" s="139" t="n"/>
      <x:c r="AJ16" s="139" t="n"/>
      <x:c r="AK16" s="139" t="n"/>
      <x:c r="AL16" s="139" t="n"/>
      <x:c r="AM16" s="139" t="n"/>
      <x:c r="AN16" s="139" t="n"/>
      <x:c r="AO16" s="139" t="n"/>
      <x:c r="AP16" s="139" t="n"/>
      <x:c r="AQ16" s="139" t="n"/>
      <x:c r="AR16" s="139" t="n"/>
      <x:c r="AS16" s="139" t="n"/>
      <x:c r="AT16" s="139" t="n"/>
      <x:c r="AU16" s="139" t="n"/>
      <x:c r="AV16" s="139" t="n"/>
      <x:c r="AW16" s="139" t="n"/>
      <x:c r="AX16" s="139" t="n"/>
      <x:c r="AY16" s="139" t="n"/>
      <x:c r="AZ16" s="139" t="n"/>
    </x:row>
    <x:row r="17">
      <x:c r="A17" s="139" t="inlineStr">
        <x:is>
          <x:t xml:space="preserve">Nico</x:t>
        </x:is>
      </x:c>
      <x:c r="B17" s="139" t="n">
        <x:v>6</x:v>
      </x:c>
      <x:c r="C17" s="94" t="n">
        <x:v>0.4974849582821719</x:v>
      </x:c>
      <x:c r="D17" s="94" t="n">
        <x:v>0.4692304513511944</x:v>
      </x:c>
      <x:c r="E17" s="94" t="n">
        <x:v>-0.1423746575062365</x:v>
      </x:c>
      <x:c r="F17" s="139" t="n">
        <x:v>0</x:v>
      </x:c>
      <x:c r="G17" s="139" t="str"/>
      <x:c r="H17" s="139" t="n"/>
      <x:c r="I17" s="139" t="n"/>
      <x:c r="J17" s="139" t="n"/>
      <x:c r="K17" s="139" t="n"/>
      <x:c r="L17" s="139" t="n"/>
      <x:c r="M17" s="139" t="n"/>
      <x:c r="N17" s="139" t="n"/>
      <x:c r="O17" s="139" t="n"/>
      <x:c r="P17" s="139" t="n"/>
      <x:c r="Q17" s="139" t="n"/>
      <x:c r="R17" s="139" t="n"/>
      <x:c r="S17" s="139" t="n"/>
      <x:c r="T17" s="139" t="n"/>
      <x:c r="U17" s="139" t="n"/>
      <x:c r="V17" s="139" t="n"/>
      <x:c r="W17" s="139" t="n"/>
      <x:c r="X17" s="139" t="n"/>
      <x:c r="Y17" s="139" t="n"/>
      <x:c r="Z17" s="139" t="n"/>
      <x:c r="AA17" s="139" t="n"/>
      <x:c r="AB17" s="139" t="n"/>
      <x:c r="AC17" s="139" t="n"/>
      <x:c r="AD17" s="139" t="n"/>
      <x:c r="AE17" s="139" t="n"/>
      <x:c r="AF17" s="139" t="n"/>
      <x:c r="AG17" s="139" t="n"/>
      <x:c r="AH17" s="139" t="n"/>
      <x:c r="AI17" s="139" t="n"/>
      <x:c r="AJ17" s="139" t="n"/>
      <x:c r="AK17" s="139" t="n"/>
      <x:c r="AL17" s="139" t="n"/>
      <x:c r="AM17" s="139" t="n"/>
      <x:c r="AN17" s="139" t="n"/>
      <x:c r="AO17" s="139" t="n"/>
      <x:c r="AP17" s="139" t="n"/>
      <x:c r="AQ17" s="139" t="n"/>
      <x:c r="AR17" s="139" t="n"/>
      <x:c r="AS17" s="139" t="n"/>
      <x:c r="AT17" s="139" t="n"/>
      <x:c r="AU17" s="139" t="n"/>
      <x:c r="AV17" s="139" t="n"/>
      <x:c r="AW17" s="139" t="n"/>
      <x:c r="AX17" s="139" t="n"/>
      <x:c r="AY17" s="139" t="n"/>
      <x:c r="AZ17" s="139" t="n"/>
    </x:row>
    <x:row r="18">
      <x:c r="A18" s="139" t="inlineStr">
        <x:is>
          <x:t xml:space="preserve">Welly</x:t>
        </x:is>
      </x:c>
      <x:c r="B18" s="139" t="n">
        <x:v>10</x:v>
      </x:c>
      <x:c r="C18" s="94" t="n">
        <x:v>0.5305807195900074</x:v>
      </x:c>
      <x:c r="D18" s="94" t="n">
        <x:v>0.5591521481614361</x:v>
      </x:c>
      <x:c r="E18" s="94" t="n">
        <x:v>-0.2578310105786886</x:v>
      </x:c>
      <x:c r="F18" s="139" t="n">
        <x:v>0</x:v>
      </x:c>
      <x:c r="G18" s="139" t="str"/>
      <x:c r="H18" s="139" t="n"/>
      <x:c r="I18" s="139" t="n"/>
      <x:c r="J18" s="139" t="n"/>
      <x:c r="K18" s="139" t="n"/>
      <x:c r="L18" s="139" t="n"/>
      <x:c r="M18" s="139" t="n"/>
      <x:c r="N18" s="139" t="n"/>
      <x:c r="O18" s="139" t="n"/>
      <x:c r="P18" s="139" t="n"/>
      <x:c r="Q18" s="139" t="n"/>
      <x:c r="R18" s="139" t="n"/>
      <x:c r="S18" s="139" t="n"/>
      <x:c r="T18" s="139" t="n"/>
      <x:c r="U18" s="139" t="n"/>
      <x:c r="V18" s="139" t="n"/>
      <x:c r="W18" s="139" t="n"/>
      <x:c r="X18" s="139" t="n"/>
      <x:c r="Y18" s="139" t="n"/>
      <x:c r="Z18" s="139" t="n"/>
      <x:c r="AA18" s="139" t="n"/>
      <x:c r="AB18" s="139" t="n"/>
      <x:c r="AC18" s="139" t="n"/>
      <x:c r="AD18" s="139" t="n"/>
      <x:c r="AE18" s="139" t="n"/>
      <x:c r="AF18" s="139" t="n"/>
      <x:c r="AG18" s="139" t="n"/>
      <x:c r="AH18" s="139" t="n"/>
      <x:c r="AI18" s="139" t="n"/>
      <x:c r="AJ18" s="139" t="n"/>
      <x:c r="AK18" s="139" t="n"/>
      <x:c r="AL18" s="139" t="n"/>
      <x:c r="AM18" s="139" t="n"/>
      <x:c r="AN18" s="139" t="n"/>
      <x:c r="AO18" s="139" t="n"/>
      <x:c r="AP18" s="139" t="n"/>
      <x:c r="AQ18" s="139" t="n"/>
      <x:c r="AR18" s="139" t="n"/>
      <x:c r="AS18" s="139" t="n"/>
      <x:c r="AT18" s="139" t="n"/>
      <x:c r="AU18" s="139" t="n"/>
      <x:c r="AV18" s="139" t="n"/>
      <x:c r="AW18" s="139" t="n"/>
      <x:c r="AX18" s="139" t="n"/>
      <x:c r="AY18" s="139" t="n"/>
      <x:c r="AZ18" s="139" t="n"/>
    </x:row>
    <x:row r="19">
      <x:c r="A19" s="139" t="inlineStr">
        <x:is>
          <x:t xml:space="preserve">Alwin</x:t>
        </x:is>
      </x:c>
      <x:c r="B19" s="139" t="n">
        <x:v>6</x:v>
      </x:c>
      <x:c r="C19" s="94" t="n">
        <x:v>0.5534580658419668</x:v>
      </x:c>
      <x:c r="D19" s="94" t="n">
        <x:v>0.5504480899217742</x:v>
      </x:c>
      <x:c r="E19" s="94" t="n">
        <x:v>-0.2835020371785077</x:v>
      </x:c>
      <x:c r="F19" s="139" t="n">
        <x:v>0</x:v>
      </x:c>
      <x:c r="G19" s="139" t="str"/>
      <x:c r="H19" s="139" t="n"/>
      <x:c r="I19" s="139" t="n"/>
      <x:c r="J19" s="139" t="n"/>
      <x:c r="K19" s="139" t="n"/>
      <x:c r="L19" s="139" t="n"/>
      <x:c r="M19" s="139" t="n"/>
      <x:c r="N19" s="139" t="n"/>
      <x:c r="O19" s="139" t="n"/>
      <x:c r="P19" s="139" t="n"/>
      <x:c r="Q19" s="139" t="n"/>
      <x:c r="R19" s="139" t="n"/>
      <x:c r="S19" s="139" t="n"/>
      <x:c r="T19" s="139" t="n"/>
      <x:c r="U19" s="139" t="n"/>
      <x:c r="V19" s="139" t="n"/>
      <x:c r="W19" s="139" t="n"/>
      <x:c r="X19" s="139" t="n"/>
      <x:c r="Y19" s="139" t="n"/>
      <x:c r="Z19" s="139" t="n"/>
      <x:c r="AA19" s="139" t="n"/>
      <x:c r="AB19" s="139" t="n"/>
      <x:c r="AC19" s="139" t="n"/>
      <x:c r="AD19" s="139" t="n"/>
      <x:c r="AE19" s="139" t="n"/>
      <x:c r="AF19" s="139" t="n"/>
      <x:c r="AG19" s="139" t="n"/>
      <x:c r="AH19" s="139" t="n"/>
      <x:c r="AI19" s="139" t="n"/>
      <x:c r="AJ19" s="139" t="n"/>
      <x:c r="AK19" s="139" t="n"/>
      <x:c r="AL19" s="139" t="n"/>
      <x:c r="AM19" s="139" t="n"/>
      <x:c r="AN19" s="139" t="n"/>
      <x:c r="AO19" s="139" t="n"/>
      <x:c r="AP19" s="139" t="n"/>
      <x:c r="AQ19" s="139" t="n"/>
      <x:c r="AR19" s="139" t="n"/>
      <x:c r="AS19" s="139" t="n"/>
      <x:c r="AT19" s="139" t="n"/>
      <x:c r="AU19" s="139" t="n"/>
      <x:c r="AV19" s="139" t="n"/>
      <x:c r="AW19" s="139" t="n"/>
      <x:c r="AX19" s="139" t="n"/>
      <x:c r="AY19" s="139" t="n"/>
      <x:c r="AZ19" s="139" t="n"/>
    </x:row>
    <x:row r="20">
      <x:c r="A20" s="139" t="inlineStr">
        <x:is>
          <x:t xml:space="preserve">Alice</x:t>
        </x:is>
      </x:c>
      <x:c r="B20" s="139" t="n">
        <x:v>14</x:v>
      </x:c>
      <x:c r="C20" s="94" t="n">
        <x:v>0.534351309533751</x:v>
      </x:c>
      <x:c r="D20" s="94" t="n">
        <x:v>0.5363865973330812</x:v>
      </x:c>
      <x:c r="E20" s="94" t="n">
        <x:v>-0.3523106049560052</x:v>
      </x:c>
      <x:c r="F20" s="139" t="n">
        <x:v>1</x:v>
      </x:c>
      <x:c r="G20" s="139" t="inlineStr">
        <x:is>
          <x:t xml:space="preserve">Donny/Ricky</x:t>
        </x:is>
      </x:c>
      <x:c r="H20" s="139" t="n"/>
      <x:c r="I20" s="139" t="n"/>
      <x:c r="J20" s="139" t="n"/>
      <x:c r="K20" s="139" t="n"/>
      <x:c r="L20" s="139" t="n"/>
      <x:c r="M20" s="139" t="n"/>
      <x:c r="N20" s="139" t="n"/>
      <x:c r="O20" s="139" t="n"/>
      <x:c r="P20" s="139" t="n"/>
      <x:c r="Q20" s="139" t="n"/>
      <x:c r="R20" s="139" t="n"/>
      <x:c r="S20" s="139" t="n"/>
      <x:c r="T20" s="139" t="n"/>
      <x:c r="U20" s="139" t="n"/>
      <x:c r="V20" s="139" t="n"/>
      <x:c r="W20" s="139" t="n"/>
      <x:c r="X20" s="139" t="n"/>
      <x:c r="Y20" s="139" t="n"/>
      <x:c r="Z20" s="139" t="n"/>
      <x:c r="AA20" s="139" t="n"/>
      <x:c r="AB20" s="139" t="n"/>
      <x:c r="AC20" s="139" t="n"/>
      <x:c r="AD20" s="139" t="n"/>
      <x:c r="AE20" s="139" t="n"/>
      <x:c r="AF20" s="139" t="n"/>
      <x:c r="AG20" s="139" t="n"/>
      <x:c r="AH20" s="139" t="n"/>
      <x:c r="AI20" s="139" t="n"/>
      <x:c r="AJ20" s="139" t="n"/>
      <x:c r="AK20" s="139" t="n"/>
      <x:c r="AL20" s="139" t="n"/>
      <x:c r="AM20" s="139" t="n"/>
      <x:c r="AN20" s="139" t="n"/>
      <x:c r="AO20" s="139" t="n"/>
      <x:c r="AP20" s="139" t="n"/>
      <x:c r="AQ20" s="139" t="n"/>
      <x:c r="AR20" s="139" t="n"/>
      <x:c r="AS20" s="139" t="n"/>
      <x:c r="AT20" s="139" t="n"/>
      <x:c r="AU20" s="139" t="n"/>
      <x:c r="AV20" s="139" t="n"/>
      <x:c r="AW20" s="139" t="n"/>
      <x:c r="AX20" s="139" t="n"/>
      <x:c r="AY20" s="139" t="n"/>
      <x:c r="AZ20" s="139" t="n"/>
    </x:row>
    <x:row r="21">
      <x:c r="A21" s="139" t="inlineStr">
        <x:is>
          <x:t xml:space="preserve">Hansen</x:t>
        </x:is>
      </x:c>
      <x:c r="B21" s="139" t="n">
        <x:v>6</x:v>
      </x:c>
      <x:c r="C21" s="94" t="n">
        <x:v>0.5444493586908448</x:v>
      </x:c>
      <x:c r="D21" s="94" t="n">
        <x:v>0.5444493586908448</x:v>
      </x:c>
      <x:c r="E21" s="94" t="n">
        <x:v>-0.4353162317558603</x:v>
      </x:c>
      <x:c r="F21" s="139" t="n">
        <x:v>0</x:v>
      </x:c>
      <x:c r="G21" s="139" t="str"/>
      <x:c r="H21" s="139" t="n"/>
      <x:c r="I21" s="139" t="n"/>
      <x:c r="J21" s="139" t="n"/>
      <x:c r="K21" s="139" t="n"/>
      <x:c r="L21" s="139" t="n"/>
      <x:c r="M21" s="139" t="n"/>
      <x:c r="N21" s="139" t="n"/>
      <x:c r="O21" s="139" t="n"/>
      <x:c r="P21" s="139" t="n"/>
      <x:c r="Q21" s="139" t="n"/>
      <x:c r="R21" s="139" t="n"/>
      <x:c r="S21" s="139" t="n"/>
      <x:c r="T21" s="139" t="n"/>
      <x:c r="U21" s="139" t="n"/>
      <x:c r="V21" s="139" t="n"/>
      <x:c r="W21" s="139" t="n"/>
      <x:c r="X21" s="139" t="n"/>
      <x:c r="Y21" s="139" t="n"/>
      <x:c r="Z21" s="139" t="n"/>
      <x:c r="AA21" s="139" t="n"/>
      <x:c r="AB21" s="139" t="n"/>
      <x:c r="AC21" s="139" t="n"/>
      <x:c r="AD21" s="139" t="n"/>
      <x:c r="AE21" s="139" t="n"/>
      <x:c r="AF21" s="139" t="n"/>
      <x:c r="AG21" s="139" t="n"/>
      <x:c r="AH21" s="139" t="n"/>
      <x:c r="AI21" s="139" t="n"/>
      <x:c r="AJ21" s="139" t="n"/>
      <x:c r="AK21" s="139" t="n"/>
      <x:c r="AL21" s="139" t="n"/>
      <x:c r="AM21" s="139" t="n"/>
      <x:c r="AN21" s="139" t="n"/>
      <x:c r="AO21" s="139" t="n"/>
      <x:c r="AP21" s="139" t="n"/>
      <x:c r="AQ21" s="139" t="n"/>
      <x:c r="AR21" s="139" t="n"/>
      <x:c r="AS21" s="139" t="n"/>
      <x:c r="AT21" s="139" t="n"/>
      <x:c r="AU21" s="139" t="n"/>
      <x:c r="AV21" s="139" t="n"/>
      <x:c r="AW21" s="139" t="n"/>
      <x:c r="AX21" s="139" t="n"/>
      <x:c r="AY21" s="139" t="n"/>
      <x:c r="AZ21" s="139" t="n"/>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c r="V22" s="139" t="n"/>
      <x:c r="W22" s="139" t="n"/>
      <x:c r="X22" s="139" t="n"/>
      <x:c r="Y22" s="139" t="n"/>
      <x:c r="Z22" s="139" t="n"/>
      <x:c r="AA22" s="139" t="n"/>
      <x:c r="AB22" s="139" t="n"/>
      <x:c r="AC22" s="139" t="n"/>
      <x:c r="AD22" s="139" t="n"/>
      <x:c r="AE22" s="139" t="n"/>
      <x:c r="AF22" s="139" t="n"/>
      <x:c r="AG22" s="139" t="n"/>
      <x:c r="AH22" s="139" t="n"/>
      <x:c r="AI22" s="139" t="n"/>
      <x:c r="AJ22" s="139" t="n"/>
      <x:c r="AK22" s="139" t="n"/>
      <x:c r="AL22" s="139" t="n"/>
      <x:c r="AM22" s="139" t="n"/>
      <x:c r="AN22" s="139" t="n"/>
      <x:c r="AO22" s="139" t="n"/>
      <x:c r="AP22" s="139" t="n"/>
      <x:c r="AQ22" s="139" t="n"/>
      <x:c r="AR22" s="139" t="n"/>
      <x:c r="AS22" s="139" t="n"/>
      <x:c r="AT22" s="139" t="n"/>
      <x:c r="AU22" s="139" t="n"/>
      <x:c r="AV22" s="139" t="n"/>
      <x:c r="AW22" s="139" t="n"/>
      <x:c r="AX22" s="139" t="n"/>
      <x:c r="AY22" s="139" t="n"/>
      <x:c r="AZ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c r="V23" s="139" t="n"/>
      <x:c r="W23" s="139" t="n"/>
      <x:c r="X23" s="139" t="n"/>
      <x:c r="Y23" s="139" t="n"/>
      <x:c r="Z23" s="139" t="n"/>
      <x:c r="AA23" s="139" t="n"/>
      <x:c r="AB23" s="139" t="n"/>
      <x:c r="AC23" s="139" t="n"/>
      <x:c r="AD23" s="139" t="n"/>
      <x:c r="AE23" s="139" t="n"/>
      <x:c r="AF23" s="139" t="n"/>
      <x:c r="AG23" s="139" t="n"/>
      <x:c r="AH23" s="139" t="n"/>
      <x:c r="AI23" s="139" t="n"/>
      <x:c r="AJ23" s="139" t="n"/>
      <x:c r="AK23" s="139" t="n"/>
      <x:c r="AL23" s="139" t="n"/>
      <x:c r="AM23" s="139" t="n"/>
      <x:c r="AN23" s="139" t="n"/>
      <x:c r="AO23" s="139" t="n"/>
      <x:c r="AP23" s="139" t="n"/>
      <x:c r="AQ23" s="139" t="n"/>
      <x:c r="AR23" s="139" t="n"/>
      <x:c r="AS23" s="139" t="n"/>
      <x:c r="AT23" s="139" t="n"/>
      <x:c r="AU23" s="139" t="n"/>
      <x:c r="AV23" s="139" t="n"/>
      <x:c r="AW23" s="139" t="n"/>
      <x:c r="AX23" s="139" t="n"/>
      <x:c r="AY23" s="139" t="n"/>
      <x:c r="AZ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c r="V24" s="139" t="n"/>
      <x:c r="W24" s="139" t="n"/>
      <x:c r="X24" s="139" t="n"/>
      <x:c r="Y24" s="139" t="n"/>
      <x:c r="Z24" s="139" t="n"/>
      <x:c r="AA24" s="139" t="n"/>
      <x:c r="AB24" s="139" t="n"/>
      <x:c r="AC24" s="139" t="n"/>
      <x:c r="AD24" s="139" t="n"/>
      <x:c r="AE24" s="139" t="n"/>
      <x:c r="AF24" s="139" t="n"/>
      <x:c r="AG24" s="139" t="n"/>
      <x:c r="AH24" s="139" t="n"/>
      <x:c r="AI24" s="139" t="n"/>
      <x:c r="AJ24" s="139" t="n"/>
      <x:c r="AK24" s="139" t="n"/>
      <x:c r="AL24" s="139" t="n"/>
      <x:c r="AM24" s="139" t="n"/>
      <x:c r="AN24" s="139" t="n"/>
      <x:c r="AO24" s="139" t="n"/>
      <x:c r="AP24" s="139" t="n"/>
      <x:c r="AQ24" s="139" t="n"/>
      <x:c r="AR24" s="139" t="n"/>
      <x:c r="AS24" s="139" t="n"/>
      <x:c r="AT24" s="139" t="n"/>
      <x:c r="AU24" s="139" t="n"/>
      <x:c r="AV24" s="139" t="n"/>
      <x:c r="AW24" s="139" t="n"/>
      <x:c r="AX24" s="139" t="n"/>
      <x:c r="AY24" s="139" t="n"/>
      <x:c r="AZ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c r="V25" s="139" t="n"/>
      <x:c r="W25" s="139" t="n"/>
      <x:c r="X25" s="139" t="n"/>
      <x:c r="Y25" s="139" t="n"/>
      <x:c r="Z25" s="139" t="n"/>
      <x:c r="AA25" s="139" t="n"/>
      <x:c r="AB25" s="139" t="n"/>
      <x:c r="AC25" s="139" t="n"/>
      <x:c r="AD25" s="139" t="n"/>
      <x:c r="AE25" s="139" t="n"/>
      <x:c r="AF25" s="139" t="n"/>
      <x:c r="AG25" s="139" t="n"/>
      <x:c r="AH25" s="139" t="n"/>
      <x:c r="AI25" s="139" t="n"/>
      <x:c r="AJ25" s="139" t="n"/>
      <x:c r="AK25" s="139" t="n"/>
      <x:c r="AL25" s="139" t="n"/>
      <x:c r="AM25" s="139" t="n"/>
      <x:c r="AN25" s="139" t="n"/>
      <x:c r="AO25" s="139" t="n"/>
      <x:c r="AP25" s="139" t="n"/>
      <x:c r="AQ25" s="139" t="n"/>
      <x:c r="AR25" s="139" t="n"/>
      <x:c r="AS25" s="139" t="n"/>
      <x:c r="AT25" s="139" t="n"/>
      <x:c r="AU25" s="139" t="n"/>
      <x:c r="AV25" s="139" t="n"/>
      <x:c r="AW25" s="139" t="n"/>
      <x:c r="AX25" s="139" t="n"/>
      <x:c r="AY25" s="139" t="n"/>
      <x:c r="AZ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c r="V26" s="139" t="n"/>
      <x:c r="W26" s="139" t="n"/>
      <x:c r="X26" s="139" t="n"/>
      <x:c r="Y26" s="139" t="n"/>
      <x:c r="Z26" s="139" t="n"/>
      <x:c r="AA26" s="139" t="n"/>
      <x:c r="AB26" s="139" t="n"/>
      <x:c r="AC26" s="139" t="n"/>
      <x:c r="AD26" s="139" t="n"/>
      <x:c r="AE26" s="139" t="n"/>
      <x:c r="AF26" s="139" t="n"/>
      <x:c r="AG26" s="139" t="n"/>
      <x:c r="AH26" s="139" t="n"/>
      <x:c r="AI26" s="139" t="n"/>
      <x:c r="AJ26" s="139" t="n"/>
      <x:c r="AK26" s="139" t="n"/>
      <x:c r="AL26" s="139" t="n"/>
      <x:c r="AM26" s="139" t="n"/>
      <x:c r="AN26" s="139" t="n"/>
      <x:c r="AO26" s="139" t="n"/>
      <x:c r="AP26" s="139" t="n"/>
      <x:c r="AQ26" s="139" t="n"/>
      <x:c r="AR26" s="139" t="n"/>
      <x:c r="AS26" s="139" t="n"/>
      <x:c r="AT26" s="139" t="n"/>
      <x:c r="AU26" s="139" t="n"/>
      <x:c r="AV26" s="139" t="n"/>
      <x:c r="AW26" s="139" t="n"/>
      <x:c r="AX26" s="139" t="n"/>
      <x:c r="AY26" s="139" t="n"/>
      <x:c r="AZ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c r="V27" s="139" t="n"/>
      <x:c r="W27" s="139" t="n"/>
      <x:c r="X27" s="139" t="n"/>
      <x:c r="Y27" s="139" t="n"/>
      <x:c r="Z27" s="139" t="n"/>
      <x:c r="AA27" s="139" t="n"/>
      <x:c r="AB27" s="139" t="n"/>
      <x:c r="AC27" s="139" t="n"/>
      <x:c r="AD27" s="139" t="n"/>
      <x:c r="AE27" s="139" t="n"/>
      <x:c r="AF27" s="139" t="n"/>
      <x:c r="AG27" s="139" t="n"/>
      <x:c r="AH27" s="139" t="n"/>
      <x:c r="AI27" s="139" t="n"/>
      <x:c r="AJ27" s="139" t="n"/>
      <x:c r="AK27" s="139" t="n"/>
      <x:c r="AL27" s="139" t="n"/>
      <x:c r="AM27" s="139" t="n"/>
      <x:c r="AN27" s="139" t="n"/>
      <x:c r="AO27" s="139" t="n"/>
      <x:c r="AP27" s="139" t="n"/>
      <x:c r="AQ27" s="139" t="n"/>
      <x:c r="AR27" s="139" t="n"/>
      <x:c r="AS27" s="139" t="n"/>
      <x:c r="AT27" s="139" t="n"/>
      <x:c r="AU27" s="139" t="n"/>
      <x:c r="AV27" s="139" t="n"/>
      <x:c r="AW27" s="139" t="n"/>
      <x:c r="AX27" s="139" t="n"/>
      <x:c r="AY27" s="139" t="n"/>
      <x:c r="AZ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c r="V28" s="139" t="n"/>
      <x:c r="W28" s="139" t="n"/>
      <x:c r="X28" s="139" t="n"/>
      <x:c r="Y28" s="139" t="n"/>
      <x:c r="Z28" s="139" t="n"/>
      <x:c r="AA28" s="139" t="n"/>
      <x:c r="AB28" s="139" t="n"/>
      <x:c r="AC28" s="139" t="n"/>
      <x:c r="AD28" s="139" t="n"/>
      <x:c r="AE28" s="139" t="n"/>
      <x:c r="AF28" s="139" t="n"/>
      <x:c r="AG28" s="139" t="n"/>
      <x:c r="AH28" s="139" t="n"/>
      <x:c r="AI28" s="139" t="n"/>
      <x:c r="AJ28" s="139" t="n"/>
      <x:c r="AK28" s="139" t="n"/>
      <x:c r="AL28" s="139" t="n"/>
      <x:c r="AM28" s="139" t="n"/>
      <x:c r="AN28" s="139" t="n"/>
      <x:c r="AO28" s="139" t="n"/>
      <x:c r="AP28" s="139" t="n"/>
      <x:c r="AQ28" s="139" t="n"/>
      <x:c r="AR28" s="139" t="n"/>
      <x:c r="AS28" s="139" t="n"/>
      <x:c r="AT28" s="139" t="n"/>
      <x:c r="AU28" s="139" t="n"/>
      <x:c r="AV28" s="139" t="n"/>
      <x:c r="AW28" s="139" t="n"/>
      <x:c r="AX28" s="139" t="n"/>
      <x:c r="AY28" s="139" t="n"/>
      <x:c r="AZ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c r="V29" s="139" t="n"/>
      <x:c r="W29" s="139" t="n"/>
      <x:c r="X29" s="139" t="n"/>
      <x:c r="Y29" s="139" t="n"/>
      <x:c r="Z29" s="139" t="n"/>
      <x:c r="AA29" s="139" t="n"/>
      <x:c r="AB29" s="139" t="n"/>
      <x:c r="AC29" s="139" t="n"/>
      <x:c r="AD29" s="139" t="n"/>
      <x:c r="AE29" s="139" t="n"/>
      <x:c r="AF29" s="139" t="n"/>
      <x:c r="AG29" s="139" t="n"/>
      <x:c r="AH29" s="139" t="n"/>
      <x:c r="AI29" s="139" t="n"/>
      <x:c r="AJ29" s="139" t="n"/>
      <x:c r="AK29" s="139" t="n"/>
      <x:c r="AL29" s="139" t="n"/>
      <x:c r="AM29" s="139" t="n"/>
      <x:c r="AN29" s="139" t="n"/>
      <x:c r="AO29" s="139" t="n"/>
      <x:c r="AP29" s="139" t="n"/>
      <x:c r="AQ29" s="139" t="n"/>
      <x:c r="AR29" s="139" t="n"/>
      <x:c r="AS29" s="139" t="n"/>
      <x:c r="AT29" s="139" t="n"/>
      <x:c r="AU29" s="139" t="n"/>
      <x:c r="AV29" s="139" t="n"/>
      <x:c r="AW29" s="139" t="n"/>
      <x:c r="AX29" s="139" t="n"/>
      <x:c r="AY29" s="139" t="n"/>
      <x:c r="AZ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c r="V30" s="139" t="n"/>
      <x:c r="W30" s="139" t="n"/>
      <x:c r="X30" s="139" t="n"/>
      <x:c r="Y30" s="139" t="n"/>
      <x:c r="Z30" s="139" t="n"/>
      <x:c r="AA30" s="139" t="n"/>
      <x:c r="AB30" s="139" t="n"/>
      <x:c r="AC30" s="139" t="n"/>
      <x:c r="AD30" s="139" t="n"/>
      <x:c r="AE30" s="139" t="n"/>
      <x:c r="AF30" s="139" t="n"/>
      <x:c r="AG30" s="139" t="n"/>
      <x:c r="AH30" s="139" t="n"/>
      <x:c r="AI30" s="139" t="n"/>
      <x:c r="AJ30" s="139" t="n"/>
      <x:c r="AK30" s="139" t="n"/>
      <x:c r="AL30" s="139" t="n"/>
      <x:c r="AM30" s="139" t="n"/>
      <x:c r="AN30" s="139" t="n"/>
      <x:c r="AO30" s="139" t="n"/>
      <x:c r="AP30" s="139" t="n"/>
      <x:c r="AQ30" s="139" t="n"/>
      <x:c r="AR30" s="139" t="n"/>
      <x:c r="AS30" s="139" t="n"/>
      <x:c r="AT30" s="139" t="n"/>
      <x:c r="AU30" s="139" t="n"/>
      <x:c r="AV30" s="139" t="n"/>
      <x:c r="AW30" s="139" t="n"/>
      <x:c r="AX30" s="139" t="n"/>
      <x:c r="AY30" s="139" t="n"/>
      <x:c r="AZ30" s="139" t="n"/>
    </x:row>
    <x:row r="31">
      <x:c r="A31" s="139" t="n"/>
      <x:c r="B31" s="139" t="n"/>
      <x:c r="C31" s="139" t="n"/>
      <x:c r="D31" s="139" t="n"/>
      <x:c r="E31" s="139" t="n"/>
      <x:c r="F31" s="139" t="n"/>
      <x:c r="G31" s="139" t="n"/>
      <x:c r="H31" s="139" t="n"/>
      <x:c r="I31" s="139" t="n"/>
      <x:c r="J31" s="139" t="n"/>
      <x:c r="K31" s="139" t="n"/>
      <x:c r="L31" s="139" t="n"/>
      <x:c r="M31" s="139" t="n"/>
      <x:c r="N31" s="139" t="n"/>
      <x:c r="O31" s="139" t="n"/>
      <x:c r="P31" s="139" t="n"/>
      <x:c r="Q31" s="139" t="n"/>
      <x:c r="R31" s="139" t="n"/>
      <x:c r="S31" s="139" t="n"/>
      <x:c r="T31" s="139" t="n"/>
      <x:c r="U31" s="139" t="n"/>
      <x:c r="V31" s="139" t="n"/>
      <x:c r="W31" s="139" t="n"/>
      <x:c r="X31" s="139" t="n"/>
      <x:c r="Y31" s="139" t="n"/>
      <x:c r="Z31" s="139" t="n"/>
      <x:c r="AA31" s="139" t="n"/>
      <x:c r="AB31" s="139" t="n"/>
      <x:c r="AC31" s="139" t="n"/>
      <x:c r="AD31" s="139" t="n"/>
      <x:c r="AE31" s="139" t="n"/>
      <x:c r="AF31" s="139" t="n"/>
      <x:c r="AG31" s="139" t="n"/>
      <x:c r="AH31" s="139" t="n"/>
      <x:c r="AI31" s="139" t="n"/>
      <x:c r="AJ31" s="139" t="n"/>
      <x:c r="AK31" s="139" t="n"/>
      <x:c r="AL31" s="139" t="n"/>
      <x:c r="AM31" s="139" t="n"/>
      <x:c r="AN31" s="139" t="n"/>
      <x:c r="AO31" s="139" t="n"/>
      <x:c r="AP31" s="139" t="n"/>
      <x:c r="AQ31" s="139" t="n"/>
      <x:c r="AR31" s="139" t="n"/>
      <x:c r="AS31" s="139" t="n"/>
      <x:c r="AT31" s="139" t="n"/>
      <x:c r="AU31" s="139" t="n"/>
      <x:c r="AV31" s="139" t="n"/>
      <x:c r="AW31" s="139" t="n"/>
      <x:c r="AX31" s="139" t="n"/>
      <x:c r="AY31" s="139" t="n"/>
      <x:c r="AZ31" s="139" t="n"/>
    </x:row>
    <x:row r="32">
      <x:c r="A32" s="139" t="n"/>
      <x:c r="B32" s="139" t="n"/>
      <x:c r="C32" s="139" t="n"/>
      <x:c r="D32" s="139" t="n"/>
      <x:c r="E32" s="139" t="n"/>
      <x:c r="F32" s="139" t="n"/>
      <x:c r="G32" s="139" t="n"/>
      <x:c r="H32" s="139" t="n"/>
      <x:c r="I32" s="139" t="n"/>
      <x:c r="J32" s="139" t="n"/>
      <x:c r="K32" s="139" t="n"/>
      <x:c r="L32" s="139" t="n"/>
      <x:c r="M32" s="139" t="n"/>
      <x:c r="N32" s="139" t="n"/>
      <x:c r="O32" s="139" t="n"/>
      <x:c r="P32" s="139" t="n"/>
      <x:c r="Q32" s="139" t="n"/>
      <x:c r="R32" s="139" t="n"/>
      <x:c r="S32" s="139" t="n"/>
      <x:c r="T32" s="139" t="n"/>
      <x:c r="U32" s="139" t="n"/>
      <x:c r="V32" s="139" t="n"/>
      <x:c r="W32" s="139" t="n"/>
      <x:c r="X32" s="139" t="n"/>
      <x:c r="Y32" s="139" t="n"/>
      <x:c r="Z32" s="139" t="n"/>
      <x:c r="AA32" s="139" t="n"/>
      <x:c r="AB32" s="139" t="n"/>
      <x:c r="AC32" s="139" t="n"/>
      <x:c r="AD32" s="139" t="n"/>
      <x:c r="AE32" s="139" t="n"/>
      <x:c r="AF32" s="139" t="n"/>
      <x:c r="AG32" s="139" t="n"/>
      <x:c r="AH32" s="139" t="n"/>
      <x:c r="AI32" s="139" t="n"/>
      <x:c r="AJ32" s="139" t="n"/>
      <x:c r="AK32" s="139" t="n"/>
      <x:c r="AL32" s="139" t="n"/>
      <x:c r="AM32" s="139" t="n"/>
      <x:c r="AN32" s="139" t="n"/>
      <x:c r="AO32" s="139" t="n"/>
      <x:c r="AP32" s="139" t="n"/>
      <x:c r="AQ32" s="139" t="n"/>
      <x:c r="AR32" s="139" t="n"/>
      <x:c r="AS32" s="139" t="n"/>
      <x:c r="AT32" s="139" t="n"/>
      <x:c r="AU32" s="139" t="n"/>
      <x:c r="AV32" s="139" t="n"/>
      <x:c r="AW32" s="139" t="n"/>
      <x:c r="AX32" s="139" t="n"/>
      <x:c r="AY32" s="139" t="n"/>
      <x:c r="AZ32" s="139" t="n"/>
    </x:row>
    <x:row r="33">
      <x:c r="A33" s="139" t="n"/>
      <x:c r="B33" s="139" t="n"/>
      <x:c r="C33" s="139" t="n"/>
      <x:c r="D33" s="139" t="n"/>
      <x:c r="E33" s="139" t="n"/>
      <x:c r="F33" s="139" t="n"/>
      <x:c r="G33" s="139" t="n"/>
      <x:c r="H33" s="139" t="n"/>
      <x:c r="I33" s="139" t="n"/>
      <x:c r="J33" s="139" t="n"/>
      <x:c r="K33" s="139" t="n"/>
      <x:c r="L33" s="139" t="n"/>
      <x:c r="M33" s="139" t="n"/>
      <x:c r="N33" s="139" t="n"/>
      <x:c r="O33" s="139" t="n"/>
      <x:c r="P33" s="139" t="n"/>
      <x:c r="Q33" s="139" t="n"/>
      <x:c r="R33" s="139" t="n"/>
      <x:c r="S33" s="139" t="n"/>
      <x:c r="T33" s="139" t="n"/>
      <x:c r="U33" s="139" t="n"/>
      <x:c r="V33" s="139" t="n"/>
      <x:c r="W33" s="139" t="n"/>
      <x:c r="X33" s="139" t="n"/>
      <x:c r="Y33" s="139" t="n"/>
      <x:c r="Z33" s="139" t="n"/>
      <x:c r="AA33" s="139" t="n"/>
      <x:c r="AB33" s="139" t="n"/>
      <x:c r="AC33" s="139" t="n"/>
      <x:c r="AD33" s="139" t="n"/>
      <x:c r="AE33" s="139" t="n"/>
      <x:c r="AF33" s="139" t="n"/>
      <x:c r="AG33" s="139" t="n"/>
      <x:c r="AH33" s="139" t="n"/>
      <x:c r="AI33" s="139" t="n"/>
      <x:c r="AJ33" s="139" t="n"/>
      <x:c r="AK33" s="139" t="n"/>
      <x:c r="AL33" s="139" t="n"/>
      <x:c r="AM33" s="139" t="n"/>
      <x:c r="AN33" s="139" t="n"/>
      <x:c r="AO33" s="139" t="n"/>
      <x:c r="AP33" s="139" t="n"/>
      <x:c r="AQ33" s="139" t="n"/>
      <x:c r="AR33" s="139" t="n"/>
      <x:c r="AS33" s="139" t="n"/>
      <x:c r="AT33" s="139" t="n"/>
      <x:c r="AU33" s="139" t="n"/>
      <x:c r="AV33" s="139" t="n"/>
      <x:c r="AW33" s="139" t="n"/>
      <x:c r="AX33" s="139" t="n"/>
      <x:c r="AY33" s="139" t="n"/>
      <x:c r="AZ33" s="139" t="n"/>
    </x:row>
    <x:row r="34">
      <x:c r="A34" s="139" t="n"/>
      <x:c r="B34" s="139" t="n"/>
      <x:c r="C34" s="139" t="n"/>
      <x:c r="D34" s="139" t="n"/>
      <x:c r="E34" s="139" t="n"/>
      <x:c r="F34" s="139" t="n"/>
      <x:c r="G34" s="139" t="n"/>
      <x:c r="H34" s="139" t="n"/>
      <x:c r="I34" s="139" t="n"/>
      <x:c r="J34" s="139" t="n"/>
      <x:c r="K34" s="139" t="n"/>
      <x:c r="L34" s="139" t="n"/>
      <x:c r="M34" s="139" t="n"/>
      <x:c r="N34" s="139" t="n"/>
      <x:c r="O34" s="139" t="n"/>
      <x:c r="P34" s="139" t="n"/>
      <x:c r="Q34" s="139" t="n"/>
      <x:c r="R34" s="139" t="n"/>
      <x:c r="S34" s="139" t="n"/>
      <x:c r="T34" s="139" t="n"/>
      <x:c r="U34" s="139" t="n"/>
      <x:c r="V34" s="139" t="n"/>
      <x:c r="W34" s="139" t="n"/>
      <x:c r="X34" s="139" t="n"/>
      <x:c r="Y34" s="139" t="n"/>
      <x:c r="Z34" s="139" t="n"/>
      <x:c r="AA34" s="139" t="n"/>
      <x:c r="AB34" s="139" t="n"/>
      <x:c r="AC34" s="139" t="n"/>
      <x:c r="AD34" s="139" t="n"/>
      <x:c r="AE34" s="139" t="n"/>
      <x:c r="AF34" s="139" t="n"/>
      <x:c r="AG34" s="139" t="n"/>
      <x:c r="AH34" s="139" t="n"/>
      <x:c r="AI34" s="139" t="n"/>
      <x:c r="AJ34" s="139" t="n"/>
      <x:c r="AK34" s="139" t="n"/>
      <x:c r="AL34" s="139" t="n"/>
      <x:c r="AM34" s="139" t="n"/>
      <x:c r="AN34" s="139" t="n"/>
      <x:c r="AO34" s="139" t="n"/>
      <x:c r="AP34" s="139" t="n"/>
      <x:c r="AQ34" s="139" t="n"/>
      <x:c r="AR34" s="139" t="n"/>
      <x:c r="AS34" s="139" t="n"/>
      <x:c r="AT34" s="139" t="n"/>
      <x:c r="AU34" s="139" t="n"/>
      <x:c r="AV34" s="139" t="n"/>
      <x:c r="AW34" s="139" t="n"/>
      <x:c r="AX34" s="139" t="n"/>
      <x:c r="AY34" s="139" t="n"/>
      <x:c r="AZ34" s="139" t="n"/>
    </x:row>
    <x:row r="35">
      <x:c r="A35" s="139" t="n"/>
      <x:c r="B35" s="139" t="n"/>
      <x:c r="C35" s="139" t="n"/>
      <x:c r="D35" s="139" t="n"/>
      <x:c r="E35" s="139" t="n"/>
      <x:c r="F35" s="139" t="n"/>
      <x:c r="G35" s="139" t="n"/>
      <x:c r="H35" s="139" t="n"/>
      <x:c r="I35" s="139" t="n"/>
      <x:c r="J35" s="139" t="n"/>
      <x:c r="K35" s="139" t="n"/>
      <x:c r="L35" s="139" t="n"/>
      <x:c r="M35" s="139" t="n"/>
      <x:c r="N35" s="139" t="n"/>
      <x:c r="O35" s="139" t="n"/>
      <x:c r="P35" s="139" t="n"/>
      <x:c r="Q35" s="139" t="n"/>
      <x:c r="R35" s="139" t="n"/>
      <x:c r="S35" s="139" t="n"/>
      <x:c r="T35" s="139" t="n"/>
      <x:c r="U35" s="139" t="n"/>
      <x:c r="V35" s="139" t="n"/>
      <x:c r="W35" s="139" t="n"/>
      <x:c r="X35" s="139" t="n"/>
      <x:c r="Y35" s="139" t="n"/>
      <x:c r="Z35" s="139" t="n"/>
      <x:c r="AA35" s="139" t="n"/>
      <x:c r="AB35" s="139" t="n"/>
      <x:c r="AC35" s="139" t="n"/>
      <x:c r="AD35" s="139" t="n"/>
      <x:c r="AE35" s="139" t="n"/>
      <x:c r="AF35" s="139" t="n"/>
      <x:c r="AG35" s="139" t="n"/>
      <x:c r="AH35" s="139" t="n"/>
      <x:c r="AI35" s="139" t="n"/>
      <x:c r="AJ35" s="139" t="n"/>
      <x:c r="AK35" s="139" t="n"/>
      <x:c r="AL35" s="139" t="n"/>
      <x:c r="AM35" s="139" t="n"/>
      <x:c r="AN35" s="139" t="n"/>
      <x:c r="AO35" s="139" t="n"/>
      <x:c r="AP35" s="139" t="n"/>
      <x:c r="AQ35" s="139" t="n"/>
      <x:c r="AR35" s="139" t="n"/>
      <x:c r="AS35" s="139" t="n"/>
      <x:c r="AT35" s="139" t="n"/>
      <x:c r="AU35" s="139" t="n"/>
      <x:c r="AV35" s="139" t="n"/>
      <x:c r="AW35" s="139" t="n"/>
      <x:c r="AX35" s="139" t="n"/>
      <x:c r="AY35" s="139" t="n"/>
      <x:c r="AZ35" s="139" t="n"/>
    </x:row>
    <x:row r="36">
      <x:c r="A36" s="139" t="n"/>
      <x:c r="B36" s="139" t="n"/>
      <x:c r="C36" s="139" t="n"/>
      <x:c r="D36" s="139" t="n"/>
      <x:c r="E36" s="139" t="n"/>
      <x:c r="F36" s="139" t="n"/>
      <x:c r="G36" s="139" t="n"/>
      <x:c r="H36" s="139" t="n"/>
      <x:c r="I36" s="139" t="n"/>
      <x:c r="J36" s="139" t="n"/>
      <x:c r="K36" s="139" t="n"/>
      <x:c r="L36" s="139" t="n"/>
      <x:c r="M36" s="139" t="n"/>
      <x:c r="N36" s="139" t="n"/>
      <x:c r="O36" s="139" t="n"/>
      <x:c r="P36" s="139" t="n"/>
      <x:c r="Q36" s="139" t="n"/>
      <x:c r="R36" s="139" t="n"/>
      <x:c r="S36" s="139" t="n"/>
      <x:c r="T36" s="139" t="n"/>
      <x:c r="U36" s="139" t="n"/>
      <x:c r="V36" s="139" t="n"/>
      <x:c r="W36" s="139" t="n"/>
      <x:c r="X36" s="139" t="n"/>
      <x:c r="Y36" s="139" t="n"/>
      <x:c r="Z36" s="139" t="n"/>
      <x:c r="AA36" s="139" t="n"/>
      <x:c r="AB36" s="139" t="n"/>
      <x:c r="AC36" s="139" t="n"/>
      <x:c r="AD36" s="139" t="n"/>
      <x:c r="AE36" s="139" t="n"/>
      <x:c r="AF36" s="139" t="n"/>
      <x:c r="AG36" s="139" t="n"/>
      <x:c r="AH36" s="139" t="n"/>
      <x:c r="AI36" s="139" t="n"/>
      <x:c r="AJ36" s="139" t="n"/>
      <x:c r="AK36" s="139" t="n"/>
      <x:c r="AL36" s="139" t="n"/>
      <x:c r="AM36" s="139" t="n"/>
      <x:c r="AN36" s="139" t="n"/>
      <x:c r="AO36" s="139" t="n"/>
      <x:c r="AP36" s="139" t="n"/>
      <x:c r="AQ36" s="139" t="n"/>
      <x:c r="AR36" s="139" t="n"/>
      <x:c r="AS36" s="139" t="n"/>
      <x:c r="AT36" s="139" t="n"/>
      <x:c r="AU36" s="139" t="n"/>
      <x:c r="AV36" s="139" t="n"/>
      <x:c r="AW36" s="139" t="n"/>
      <x:c r="AX36" s="139" t="n"/>
      <x:c r="AY36" s="139" t="n"/>
      <x:c r="AZ36" s="139" t="n"/>
    </x:row>
    <x:row r="37">
      <x:c r="A37" s="139" t="n"/>
      <x:c r="B37" s="139" t="n"/>
      <x:c r="C37" s="139" t="n"/>
      <x:c r="D37" s="139" t="n"/>
      <x:c r="E37" s="139" t="n"/>
      <x:c r="F37" s="139" t="n"/>
      <x:c r="G37" s="139" t="n"/>
      <x:c r="H37" s="139" t="n"/>
      <x:c r="I37" s="139" t="n"/>
      <x:c r="J37" s="139" t="n"/>
      <x:c r="K37" s="139" t="n"/>
      <x:c r="L37" s="139" t="n"/>
      <x:c r="M37" s="139" t="n"/>
      <x:c r="N37" s="139" t="n"/>
      <x:c r="O37" s="139" t="n"/>
      <x:c r="P37" s="139" t="n"/>
      <x:c r="Q37" s="139" t="n"/>
      <x:c r="R37" s="139" t="n"/>
      <x:c r="S37" s="139" t="n"/>
      <x:c r="T37" s="139" t="n"/>
      <x:c r="U37" s="139" t="n"/>
      <x:c r="V37" s="139" t="n"/>
      <x:c r="W37" s="139" t="n"/>
      <x:c r="X37" s="139" t="n"/>
      <x:c r="Y37" s="139" t="n"/>
      <x:c r="Z37" s="139" t="n"/>
      <x:c r="AA37" s="139" t="n"/>
      <x:c r="AB37" s="139" t="n"/>
      <x:c r="AC37" s="139" t="n"/>
      <x:c r="AD37" s="139" t="n"/>
      <x:c r="AE37" s="139" t="n"/>
      <x:c r="AF37" s="139" t="n"/>
      <x:c r="AG37" s="139" t="n"/>
      <x:c r="AH37" s="139" t="n"/>
      <x:c r="AI37" s="139" t="n"/>
      <x:c r="AJ37" s="139" t="n"/>
      <x:c r="AK37" s="139" t="n"/>
      <x:c r="AL37" s="139" t="n"/>
      <x:c r="AM37" s="139" t="n"/>
      <x:c r="AN37" s="139" t="n"/>
      <x:c r="AO37" s="139" t="n"/>
      <x:c r="AP37" s="139" t="n"/>
      <x:c r="AQ37" s="139" t="n"/>
      <x:c r="AR37" s="139" t="n"/>
      <x:c r="AS37" s="139" t="n"/>
      <x:c r="AT37" s="139" t="n"/>
      <x:c r="AU37" s="139" t="n"/>
      <x:c r="AV37" s="139" t="n"/>
      <x:c r="AW37" s="139" t="n"/>
      <x:c r="AX37" s="139" t="n"/>
      <x:c r="AY37" s="139" t="n"/>
      <x:c r="AZ37" s="139" t="n"/>
    </x:row>
    <x:row r="38">
      <x:c r="A38" s="139" t="n"/>
      <x:c r="B38" s="139" t="n"/>
      <x:c r="C38" s="139" t="n"/>
      <x:c r="D38" s="139" t="n"/>
      <x:c r="E38" s="139" t="n"/>
      <x:c r="F38" s="139" t="n"/>
      <x:c r="G38" s="139" t="n"/>
      <x:c r="H38" s="139" t="n"/>
      <x:c r="I38" s="139" t="n"/>
      <x:c r="J38" s="139" t="n"/>
      <x:c r="K38" s="139" t="n"/>
      <x:c r="L38" s="139" t="n"/>
      <x:c r="M38" s="139" t="n"/>
      <x:c r="N38" s="139" t="n"/>
      <x:c r="O38" s="139" t="n"/>
      <x:c r="P38" s="139" t="n"/>
      <x:c r="Q38" s="139" t="n"/>
      <x:c r="R38" s="139" t="n"/>
      <x:c r="S38" s="139" t="n"/>
      <x:c r="T38" s="139" t="n"/>
      <x:c r="U38" s="139" t="n"/>
      <x:c r="V38" s="139" t="n"/>
      <x:c r="W38" s="139" t="n"/>
      <x:c r="X38" s="139" t="n"/>
      <x:c r="Y38" s="139" t="n"/>
      <x:c r="Z38" s="139" t="n"/>
      <x:c r="AA38" s="139" t="n"/>
      <x:c r="AB38" s="139" t="n"/>
      <x:c r="AC38" s="139" t="n"/>
      <x:c r="AD38" s="139" t="n"/>
      <x:c r="AE38" s="139" t="n"/>
      <x:c r="AF38" s="139" t="n"/>
      <x:c r="AG38" s="139" t="n"/>
      <x:c r="AH38" s="139" t="n"/>
      <x:c r="AI38" s="139" t="n"/>
      <x:c r="AJ38" s="139" t="n"/>
      <x:c r="AK38" s="139" t="n"/>
      <x:c r="AL38" s="139" t="n"/>
      <x:c r="AM38" s="139" t="n"/>
      <x:c r="AN38" s="139" t="n"/>
      <x:c r="AO38" s="139" t="n"/>
      <x:c r="AP38" s="139" t="n"/>
      <x:c r="AQ38" s="139" t="n"/>
      <x:c r="AR38" s="139" t="n"/>
      <x:c r="AS38" s="139" t="n"/>
      <x:c r="AT38" s="139" t="n"/>
      <x:c r="AU38" s="139" t="n"/>
      <x:c r="AV38" s="139" t="n"/>
      <x:c r="AW38" s="139" t="n"/>
      <x:c r="AX38" s="139" t="n"/>
      <x:c r="AY38" s="139" t="n"/>
      <x:c r="AZ38" s="139" t="n"/>
    </x:row>
    <x:row r="39">
      <x:c r="A39" s="139" t="n"/>
      <x:c r="B39" s="139" t="n"/>
      <x:c r="C39" s="139" t="n"/>
      <x:c r="D39" s="139" t="n"/>
      <x:c r="E39" s="139" t="n"/>
      <x:c r="F39" s="139" t="n"/>
      <x:c r="G39" s="139" t="n"/>
      <x:c r="H39" s="139" t="n"/>
      <x:c r="I39" s="139" t="n"/>
      <x:c r="J39" s="139" t="n"/>
      <x:c r="K39" s="139" t="n"/>
      <x:c r="L39" s="139" t="n"/>
      <x:c r="M39" s="139" t="n"/>
      <x:c r="N39" s="139" t="n"/>
      <x:c r="O39" s="139" t="n"/>
      <x:c r="P39" s="139" t="n"/>
      <x:c r="Q39" s="139" t="n"/>
      <x:c r="R39" s="139" t="n"/>
      <x:c r="S39" s="139" t="n"/>
      <x:c r="T39" s="139" t="n"/>
      <x:c r="U39" s="139" t="n"/>
      <x:c r="V39" s="139" t="n"/>
      <x:c r="W39" s="139" t="n"/>
      <x:c r="X39" s="139" t="n"/>
      <x:c r="Y39" s="139" t="n"/>
      <x:c r="Z39" s="139" t="n"/>
      <x:c r="AA39" s="139" t="n"/>
      <x:c r="AB39" s="139" t="n"/>
      <x:c r="AC39" s="139" t="n"/>
      <x:c r="AD39" s="139" t="n"/>
      <x:c r="AE39" s="139" t="n"/>
      <x:c r="AF39" s="139" t="n"/>
      <x:c r="AG39" s="139" t="n"/>
      <x:c r="AH39" s="139" t="n"/>
      <x:c r="AI39" s="139" t="n"/>
      <x:c r="AJ39" s="139" t="n"/>
      <x:c r="AK39" s="139" t="n"/>
      <x:c r="AL39" s="139" t="n"/>
      <x:c r="AM39" s="139" t="n"/>
      <x:c r="AN39" s="139" t="n"/>
      <x:c r="AO39" s="139" t="n"/>
      <x:c r="AP39" s="139" t="n"/>
      <x:c r="AQ39" s="139" t="n"/>
      <x:c r="AR39" s="139" t="n"/>
      <x:c r="AS39" s="139" t="n"/>
      <x:c r="AT39" s="139" t="n"/>
      <x:c r="AU39" s="139" t="n"/>
      <x:c r="AV39" s="139" t="n"/>
      <x:c r="AW39" s="139" t="n"/>
      <x:c r="AX39" s="139" t="n"/>
      <x:c r="AY39" s="139" t="n"/>
      <x:c r="AZ39" s="139" t="n"/>
    </x:row>
    <x:row r="40">
      <x:c r="A40" s="139" t="n"/>
      <x:c r="B40" s="139" t="n"/>
      <x:c r="C40" s="139" t="n"/>
      <x:c r="D40" s="139" t="n"/>
      <x:c r="E40" s="139" t="n"/>
      <x:c r="F40" s="139" t="n"/>
      <x:c r="G40" s="139" t="n"/>
      <x:c r="H40" s="139" t="n"/>
      <x:c r="I40" s="139" t="n"/>
      <x:c r="J40" s="139" t="n"/>
      <x:c r="K40" s="139" t="n"/>
      <x:c r="L40" s="139" t="n"/>
      <x:c r="M40" s="139" t="n"/>
      <x:c r="N40" s="139" t="n"/>
      <x:c r="O40" s="139" t="n"/>
      <x:c r="P40" s="139" t="n"/>
      <x:c r="Q40" s="139" t="n"/>
      <x:c r="R40" s="139" t="n"/>
      <x:c r="S40" s="139" t="n"/>
      <x:c r="T40" s="139" t="n"/>
      <x:c r="U40" s="139" t="n"/>
      <x:c r="V40" s="139" t="n"/>
      <x:c r="W40" s="139" t="n"/>
      <x:c r="X40" s="139" t="n"/>
      <x:c r="Y40" s="139" t="n"/>
      <x:c r="Z40" s="139" t="n"/>
      <x:c r="AA40" s="139" t="n"/>
      <x:c r="AB40" s="139" t="n"/>
      <x:c r="AC40" s="139" t="n"/>
      <x:c r="AD40" s="139" t="n"/>
      <x:c r="AE40" s="139" t="n"/>
      <x:c r="AF40" s="139" t="n"/>
      <x:c r="AG40" s="139" t="n"/>
      <x:c r="AH40" s="139" t="n"/>
      <x:c r="AI40" s="139" t="n"/>
      <x:c r="AJ40" s="139" t="n"/>
      <x:c r="AK40" s="139" t="n"/>
      <x:c r="AL40" s="139" t="n"/>
      <x:c r="AM40" s="139" t="n"/>
      <x:c r="AN40" s="139" t="n"/>
      <x:c r="AO40" s="139" t="n"/>
      <x:c r="AP40" s="139" t="n"/>
      <x:c r="AQ40" s="139" t="n"/>
      <x:c r="AR40" s="139" t="n"/>
      <x:c r="AS40" s="139" t="n"/>
      <x:c r="AT40" s="139" t="n"/>
      <x:c r="AU40" s="139" t="n"/>
      <x:c r="AV40" s="139" t="n"/>
      <x:c r="AW40" s="139" t="n"/>
      <x:c r="AX40" s="139" t="n"/>
      <x:c r="AY40" s="139" t="n"/>
      <x:c r="AZ40" s="139" t="n"/>
    </x:row>
    <x:row r="41">
      <x:c r="A41" s="139" t="n"/>
      <x:c r="B41" s="139" t="n"/>
      <x:c r="C41" s="139" t="n"/>
      <x:c r="D41" s="139" t="n"/>
      <x:c r="E41" s="139" t="n"/>
      <x:c r="F41" s="139" t="n"/>
      <x:c r="G41" s="139" t="n"/>
      <x:c r="H41" s="139" t="n"/>
      <x:c r="I41" s="139" t="n"/>
      <x:c r="J41" s="139" t="n"/>
      <x:c r="K41" s="139" t="n"/>
      <x:c r="L41" s="139" t="n"/>
      <x:c r="M41" s="139" t="n"/>
      <x:c r="N41" s="139" t="n"/>
      <x:c r="O41" s="139" t="n"/>
      <x:c r="P41" s="139" t="n"/>
      <x:c r="Q41" s="139" t="n"/>
      <x:c r="R41" s="139" t="n"/>
      <x:c r="S41" s="139" t="n"/>
      <x:c r="T41" s="139" t="n"/>
      <x:c r="U41" s="139" t="n"/>
      <x:c r="V41" s="139" t="n"/>
      <x:c r="W41" s="139" t="n"/>
      <x:c r="X41" s="139" t="n"/>
      <x:c r="Y41" s="139" t="n"/>
      <x:c r="Z41" s="139" t="n"/>
      <x:c r="AA41" s="139" t="n"/>
      <x:c r="AB41" s="139" t="n"/>
      <x:c r="AC41" s="139" t="n"/>
      <x:c r="AD41" s="139" t="n"/>
      <x:c r="AE41" s="139" t="n"/>
      <x:c r="AF41" s="139" t="n"/>
      <x:c r="AG41" s="139" t="n"/>
      <x:c r="AH41" s="139" t="n"/>
      <x:c r="AI41" s="139" t="n"/>
      <x:c r="AJ41" s="139" t="n"/>
      <x:c r="AK41" s="139" t="n"/>
      <x:c r="AL41" s="139" t="n"/>
      <x:c r="AM41" s="139" t="n"/>
      <x:c r="AN41" s="139" t="n"/>
      <x:c r="AO41" s="139" t="n"/>
      <x:c r="AP41" s="139" t="n"/>
      <x:c r="AQ41" s="139" t="n"/>
      <x:c r="AR41" s="139" t="n"/>
      <x:c r="AS41" s="139" t="n"/>
      <x:c r="AT41" s="139" t="n"/>
      <x:c r="AU41" s="139" t="n"/>
      <x:c r="AV41" s="139" t="n"/>
      <x:c r="AW41" s="139" t="n"/>
      <x:c r="AX41" s="139" t="n"/>
      <x:c r="AY41" s="139" t="n"/>
      <x:c r="AZ41" s="139" t="n"/>
    </x:row>
    <x:row r="42">
      <x:c r="A42" s="139" t="n"/>
      <x:c r="B42" s="139" t="n"/>
      <x:c r="C42" s="139" t="n"/>
      <x:c r="D42" s="139" t="n"/>
      <x:c r="E42" s="139" t="n"/>
      <x:c r="F42" s="139" t="n"/>
      <x:c r="G42" s="139" t="n"/>
      <x:c r="H42" s="139" t="n"/>
      <x:c r="I42" s="139" t="n"/>
      <x:c r="J42" s="139" t="n"/>
      <x:c r="K42" s="139" t="n"/>
      <x:c r="L42" s="139" t="n"/>
      <x:c r="M42" s="139" t="n"/>
      <x:c r="N42" s="139" t="n"/>
      <x:c r="O42" s="139" t="n"/>
      <x:c r="P42" s="139" t="n"/>
      <x:c r="Q42" s="139" t="n"/>
      <x:c r="R42" s="139" t="n"/>
      <x:c r="S42" s="139" t="n"/>
      <x:c r="T42" s="139" t="n"/>
      <x:c r="U42" s="139" t="n"/>
      <x:c r="V42" s="139" t="n"/>
      <x:c r="W42" s="139" t="n"/>
      <x:c r="X42" s="139" t="n"/>
      <x:c r="Y42" s="139" t="n"/>
      <x:c r="Z42" s="139" t="n"/>
      <x:c r="AA42" s="139" t="n"/>
      <x:c r="AB42" s="139" t="n"/>
      <x:c r="AC42" s="139" t="n"/>
      <x:c r="AD42" s="139" t="n"/>
      <x:c r="AE42" s="139" t="n"/>
      <x:c r="AF42" s="139" t="n"/>
      <x:c r="AG42" s="139" t="n"/>
      <x:c r="AH42" s="139" t="n"/>
      <x:c r="AI42" s="139" t="n"/>
      <x:c r="AJ42" s="139" t="n"/>
      <x:c r="AK42" s="139" t="n"/>
      <x:c r="AL42" s="139" t="n"/>
      <x:c r="AM42" s="139" t="n"/>
      <x:c r="AN42" s="139" t="n"/>
      <x:c r="AO42" s="139" t="n"/>
      <x:c r="AP42" s="139" t="n"/>
      <x:c r="AQ42" s="139" t="n"/>
      <x:c r="AR42" s="139" t="n"/>
      <x:c r="AS42" s="139" t="n"/>
      <x:c r="AT42" s="139" t="n"/>
      <x:c r="AU42" s="139" t="n"/>
      <x:c r="AV42" s="139" t="n"/>
      <x:c r="AW42" s="139" t="n"/>
      <x:c r="AX42" s="139" t="n"/>
      <x:c r="AY42" s="139" t="n"/>
      <x:c r="AZ42" s="139" t="n"/>
    </x:row>
    <x:row r="43">
      <x:c r="A43" s="139" t="n"/>
      <x:c r="B43" s="139" t="n"/>
      <x:c r="C43" s="139" t="n"/>
      <x:c r="D43" s="139" t="n"/>
      <x:c r="E43" s="139" t="n"/>
      <x:c r="F43" s="139" t="n"/>
      <x:c r="G43" s="139" t="n"/>
      <x:c r="H43" s="139" t="n"/>
      <x:c r="I43" s="139" t="n"/>
      <x:c r="J43" s="139" t="n"/>
      <x:c r="K43" s="139" t="n"/>
      <x:c r="L43" s="139" t="n"/>
      <x:c r="M43" s="139" t="n"/>
      <x:c r="N43" s="139" t="n"/>
      <x:c r="O43" s="139" t="n"/>
      <x:c r="P43" s="139" t="n"/>
      <x:c r="Q43" s="139" t="n"/>
      <x:c r="R43" s="139" t="n"/>
      <x:c r="S43" s="139" t="n"/>
      <x:c r="T43" s="139" t="n"/>
      <x:c r="U43" s="139" t="n"/>
      <x:c r="V43" s="139" t="n"/>
      <x:c r="W43" s="139" t="n"/>
      <x:c r="X43" s="139" t="n"/>
      <x:c r="Y43" s="139" t="n"/>
      <x:c r="Z43" s="139" t="n"/>
      <x:c r="AA43" s="139" t="n"/>
      <x:c r="AB43" s="139" t="n"/>
      <x:c r="AC43" s="139" t="n"/>
      <x:c r="AD43" s="139" t="n"/>
      <x:c r="AE43" s="139" t="n"/>
      <x:c r="AF43" s="139" t="n"/>
      <x:c r="AG43" s="139" t="n"/>
      <x:c r="AH43" s="139" t="n"/>
      <x:c r="AI43" s="139" t="n"/>
      <x:c r="AJ43" s="139" t="n"/>
      <x:c r="AK43" s="139" t="n"/>
      <x:c r="AL43" s="139" t="n"/>
      <x:c r="AM43" s="139" t="n"/>
      <x:c r="AN43" s="139" t="n"/>
      <x:c r="AO43" s="139" t="n"/>
      <x:c r="AP43" s="139" t="n"/>
      <x:c r="AQ43" s="139" t="n"/>
      <x:c r="AR43" s="139" t="n"/>
      <x:c r="AS43" s="139" t="n"/>
      <x:c r="AT43" s="139" t="n"/>
      <x:c r="AU43" s="139" t="n"/>
      <x:c r="AV43" s="139" t="n"/>
      <x:c r="AW43" s="139" t="n"/>
      <x:c r="AX43" s="139" t="n"/>
      <x:c r="AY43" s="139" t="n"/>
      <x:c r="AZ43" s="139" t="n"/>
    </x:row>
    <x:row r="44">
      <x:c r="A44" s="139" t="n"/>
      <x:c r="B44" s="139" t="n"/>
      <x:c r="C44" s="139" t="n"/>
      <x:c r="D44" s="139" t="n"/>
      <x:c r="E44" s="139" t="n"/>
      <x:c r="F44" s="139" t="n"/>
      <x:c r="G44" s="139" t="n"/>
      <x:c r="H44" s="139" t="n"/>
      <x:c r="I44" s="139" t="n"/>
      <x:c r="J44" s="139" t="n"/>
      <x:c r="K44" s="139" t="n"/>
      <x:c r="L44" s="139" t="n"/>
      <x:c r="M44" s="139" t="n"/>
      <x:c r="N44" s="139" t="n"/>
      <x:c r="O44" s="139" t="n"/>
      <x:c r="P44" s="139" t="n"/>
      <x:c r="Q44" s="139" t="n"/>
      <x:c r="R44" s="139" t="n"/>
      <x:c r="S44" s="139" t="n"/>
      <x:c r="T44" s="139" t="n"/>
      <x:c r="U44" s="139" t="n"/>
      <x:c r="V44" s="139" t="n"/>
      <x:c r="W44" s="139" t="n"/>
      <x:c r="X44" s="139" t="n"/>
      <x:c r="Y44" s="139" t="n"/>
      <x:c r="Z44" s="139" t="n"/>
      <x:c r="AA44" s="139" t="n"/>
      <x:c r="AB44" s="139" t="n"/>
      <x:c r="AC44" s="139" t="n"/>
      <x:c r="AD44" s="139" t="n"/>
      <x:c r="AE44" s="139" t="n"/>
      <x:c r="AF44" s="139" t="n"/>
      <x:c r="AG44" s="139" t="n"/>
      <x:c r="AH44" s="139" t="n"/>
      <x:c r="AI44" s="139" t="n"/>
      <x:c r="AJ44" s="139" t="n"/>
      <x:c r="AK44" s="139" t="n"/>
      <x:c r="AL44" s="139" t="n"/>
      <x:c r="AM44" s="139" t="n"/>
      <x:c r="AN44" s="139" t="n"/>
      <x:c r="AO44" s="139" t="n"/>
      <x:c r="AP44" s="139" t="n"/>
      <x:c r="AQ44" s="139" t="n"/>
      <x:c r="AR44" s="139" t="n"/>
      <x:c r="AS44" s="139" t="n"/>
      <x:c r="AT44" s="139" t="n"/>
      <x:c r="AU44" s="139" t="n"/>
      <x:c r="AV44" s="139" t="n"/>
      <x:c r="AW44" s="139" t="n"/>
      <x:c r="AX44" s="139" t="n"/>
      <x:c r="AY44" s="139" t="n"/>
      <x:c r="AZ44" s="139" t="n"/>
    </x:row>
    <x:row r="45">
      <x:c r="A45" s="139" t="n"/>
      <x:c r="B45" s="139" t="n"/>
      <x:c r="C45" s="139" t="n"/>
      <x:c r="D45" s="139" t="n"/>
      <x:c r="E45" s="139" t="n"/>
      <x:c r="F45" s="139" t="n"/>
      <x:c r="G45" s="139" t="n"/>
      <x:c r="H45" s="139" t="n"/>
      <x:c r="I45" s="139" t="n"/>
      <x:c r="J45" s="139" t="n"/>
      <x:c r="K45" s="139" t="n"/>
      <x:c r="L45" s="139" t="n"/>
      <x:c r="M45" s="139" t="n"/>
      <x:c r="N45" s="139" t="n"/>
      <x:c r="O45" s="139" t="n"/>
      <x:c r="P45" s="139" t="n"/>
      <x:c r="Q45" s="139" t="n"/>
      <x:c r="R45" s="139" t="n"/>
      <x:c r="S45" s="139" t="n"/>
      <x:c r="T45" s="139" t="n"/>
      <x:c r="U45" s="139" t="n"/>
      <x:c r="V45" s="139" t="n"/>
      <x:c r="W45" s="139" t="n"/>
      <x:c r="X45" s="139" t="n"/>
      <x:c r="Y45" s="139" t="n"/>
      <x:c r="Z45" s="139" t="n"/>
      <x:c r="AA45" s="139" t="n"/>
      <x:c r="AB45" s="139" t="n"/>
      <x:c r="AC45" s="139" t="n"/>
      <x:c r="AD45" s="139" t="n"/>
      <x:c r="AE45" s="139" t="n"/>
      <x:c r="AF45" s="139" t="n"/>
      <x:c r="AG45" s="139" t="n"/>
      <x:c r="AH45" s="139" t="n"/>
      <x:c r="AI45" s="139" t="n"/>
      <x:c r="AJ45" s="139" t="n"/>
      <x:c r="AK45" s="139" t="n"/>
      <x:c r="AL45" s="139" t="n"/>
      <x:c r="AM45" s="139" t="n"/>
      <x:c r="AN45" s="139" t="n"/>
      <x:c r="AO45" s="139" t="n"/>
      <x:c r="AP45" s="139" t="n"/>
      <x:c r="AQ45" s="139" t="n"/>
      <x:c r="AR45" s="139" t="n"/>
      <x:c r="AS45" s="139" t="n"/>
      <x:c r="AT45" s="139" t="n"/>
      <x:c r="AU45" s="139" t="n"/>
      <x:c r="AV45" s="139" t="n"/>
      <x:c r="AW45" s="139" t="n"/>
      <x:c r="AX45" s="139" t="n"/>
      <x:c r="AY45" s="139" t="n"/>
      <x:c r="AZ45" s="139" t="n"/>
    </x:row>
    <x:row r="46">
      <x:c r="A46" s="139" t="n"/>
      <x:c r="B46" s="139" t="n"/>
      <x:c r="C46" s="139" t="n"/>
      <x:c r="D46" s="139" t="n"/>
      <x:c r="E46" s="139" t="n"/>
      <x:c r="F46" s="139" t="n"/>
      <x:c r="G46" s="139" t="n"/>
      <x:c r="H46" s="139" t="n"/>
      <x:c r="I46" s="139" t="n"/>
      <x:c r="J46" s="139" t="n"/>
      <x:c r="K46" s="139" t="n"/>
      <x:c r="L46" s="139" t="n"/>
      <x:c r="M46" s="139" t="n"/>
      <x:c r="N46" s="139" t="n"/>
      <x:c r="O46" s="139" t="n"/>
      <x:c r="P46" s="139" t="n"/>
      <x:c r="Q46" s="139" t="n"/>
      <x:c r="R46" s="139" t="n"/>
      <x:c r="S46" s="139" t="n"/>
      <x:c r="T46" s="139" t="n"/>
      <x:c r="U46" s="139" t="n"/>
      <x:c r="V46" s="139" t="n"/>
      <x:c r="W46" s="139" t="n"/>
      <x:c r="X46" s="139" t="n"/>
      <x:c r="Y46" s="139" t="n"/>
      <x:c r="Z46" s="139" t="n"/>
      <x:c r="AA46" s="139" t="n"/>
      <x:c r="AB46" s="139" t="n"/>
      <x:c r="AC46" s="139" t="n"/>
      <x:c r="AD46" s="139" t="n"/>
      <x:c r="AE46" s="139" t="n"/>
      <x:c r="AF46" s="139" t="n"/>
      <x:c r="AG46" s="139" t="n"/>
      <x:c r="AH46" s="139" t="n"/>
      <x:c r="AI46" s="139" t="n"/>
      <x:c r="AJ46" s="139" t="n"/>
      <x:c r="AK46" s="139" t="n"/>
      <x:c r="AL46" s="139" t="n"/>
      <x:c r="AM46" s="139" t="n"/>
      <x:c r="AN46" s="139" t="n"/>
      <x:c r="AO46" s="139" t="n"/>
      <x:c r="AP46" s="139" t="n"/>
      <x:c r="AQ46" s="139" t="n"/>
      <x:c r="AR46" s="139" t="n"/>
      <x:c r="AS46" s="139" t="n"/>
      <x:c r="AT46" s="139" t="n"/>
      <x:c r="AU46" s="139" t="n"/>
      <x:c r="AV46" s="139" t="n"/>
      <x:c r="AW46" s="139" t="n"/>
      <x:c r="AX46" s="139" t="n"/>
      <x:c r="AY46" s="139" t="n"/>
      <x:c r="AZ46" s="139" t="n"/>
    </x:row>
    <x:row r="47">
      <x:c r="A47" s="139" t="n"/>
      <x:c r="B47" s="139" t="n"/>
      <x:c r="C47" s="139" t="n"/>
      <x:c r="D47" s="139" t="n"/>
      <x:c r="E47" s="139" t="n"/>
      <x:c r="F47" s="139" t="n"/>
      <x:c r="G47" s="139" t="n"/>
      <x:c r="H47" s="139" t="n"/>
      <x:c r="I47" s="139" t="n"/>
      <x:c r="J47" s="139" t="n"/>
      <x:c r="K47" s="139" t="n"/>
      <x:c r="L47" s="139" t="n"/>
      <x:c r="M47" s="139" t="n"/>
      <x:c r="N47" s="139" t="n"/>
      <x:c r="O47" s="139" t="n"/>
      <x:c r="P47" s="139" t="n"/>
      <x:c r="Q47" s="139" t="n"/>
      <x:c r="R47" s="139" t="n"/>
      <x:c r="S47" s="139" t="n"/>
      <x:c r="T47" s="139" t="n"/>
      <x:c r="U47" s="139" t="n"/>
      <x:c r="V47" s="139" t="n"/>
      <x:c r="W47" s="139" t="n"/>
      <x:c r="X47" s="139" t="n"/>
      <x:c r="Y47" s="139" t="n"/>
      <x:c r="Z47" s="139" t="n"/>
      <x:c r="AA47" s="139" t="n"/>
      <x:c r="AB47" s="139" t="n"/>
      <x:c r="AC47" s="139" t="n"/>
      <x:c r="AD47" s="139" t="n"/>
      <x:c r="AE47" s="139" t="n"/>
      <x:c r="AF47" s="139" t="n"/>
      <x:c r="AG47" s="139" t="n"/>
      <x:c r="AH47" s="139" t="n"/>
      <x:c r="AI47" s="139" t="n"/>
      <x:c r="AJ47" s="139" t="n"/>
      <x:c r="AK47" s="139" t="n"/>
      <x:c r="AL47" s="139" t="n"/>
      <x:c r="AM47" s="139" t="n"/>
      <x:c r="AN47" s="139" t="n"/>
      <x:c r="AO47" s="139" t="n"/>
      <x:c r="AP47" s="139" t="n"/>
      <x:c r="AQ47" s="139" t="n"/>
      <x:c r="AR47" s="139" t="n"/>
      <x:c r="AS47" s="139" t="n"/>
      <x:c r="AT47" s="139" t="n"/>
      <x:c r="AU47" s="139" t="n"/>
      <x:c r="AV47" s="139" t="n"/>
      <x:c r="AW47" s="139" t="n"/>
      <x:c r="AX47" s="139" t="n"/>
      <x:c r="AY47" s="139" t="n"/>
      <x:c r="AZ47" s="139" t="n"/>
    </x:row>
    <x:row r="48">
      <x:c r="A48" s="139" t="n"/>
      <x:c r="B48" s="139" t="n"/>
      <x:c r="C48" s="139" t="n"/>
      <x:c r="D48" s="139" t="n"/>
      <x:c r="E48" s="139" t="n"/>
      <x:c r="F48" s="139" t="n"/>
      <x:c r="G48" s="139" t="n"/>
      <x:c r="H48" s="139" t="n"/>
      <x:c r="I48" s="139" t="n"/>
      <x:c r="J48" s="139" t="n"/>
      <x:c r="K48" s="139" t="n"/>
      <x:c r="L48" s="139" t="n"/>
      <x:c r="M48" s="139" t="n"/>
      <x:c r="N48" s="139" t="n"/>
      <x:c r="O48" s="139" t="n"/>
      <x:c r="P48" s="139" t="n"/>
      <x:c r="Q48" s="139" t="n"/>
      <x:c r="R48" s="139" t="n"/>
      <x:c r="S48" s="139" t="n"/>
      <x:c r="T48" s="139" t="n"/>
      <x:c r="U48" s="139" t="n"/>
      <x:c r="V48" s="139" t="n"/>
      <x:c r="W48" s="139" t="n"/>
      <x:c r="X48" s="139" t="n"/>
      <x:c r="Y48" s="139" t="n"/>
      <x:c r="Z48" s="139" t="n"/>
      <x:c r="AA48" s="139" t="n"/>
      <x:c r="AB48" s="139" t="n"/>
      <x:c r="AC48" s="139" t="n"/>
      <x:c r="AD48" s="139" t="n"/>
      <x:c r="AE48" s="139" t="n"/>
      <x:c r="AF48" s="139" t="n"/>
      <x:c r="AG48" s="139" t="n"/>
      <x:c r="AH48" s="139" t="n"/>
      <x:c r="AI48" s="139" t="n"/>
      <x:c r="AJ48" s="139" t="n"/>
      <x:c r="AK48" s="139" t="n"/>
      <x:c r="AL48" s="139" t="n"/>
      <x:c r="AM48" s="139" t="n"/>
      <x:c r="AN48" s="139" t="n"/>
      <x:c r="AO48" s="139" t="n"/>
      <x:c r="AP48" s="139" t="n"/>
      <x:c r="AQ48" s="139" t="n"/>
      <x:c r="AR48" s="139" t="n"/>
      <x:c r="AS48" s="139" t="n"/>
      <x:c r="AT48" s="139" t="n"/>
      <x:c r="AU48" s="139" t="n"/>
      <x:c r="AV48" s="139" t="n"/>
      <x:c r="AW48" s="139" t="n"/>
      <x:c r="AX48" s="139" t="n"/>
      <x:c r="AY48" s="139" t="n"/>
      <x:c r="AZ48" s="139" t="n"/>
    </x:row>
    <x:row r="49">
      <x:c r="A49" s="139" t="n"/>
      <x:c r="B49" s="139" t="n"/>
      <x:c r="C49" s="139" t="n"/>
      <x:c r="D49" s="139" t="n"/>
      <x:c r="E49" s="139" t="n"/>
      <x:c r="F49" s="139" t="n"/>
      <x:c r="G49" s="139" t="n"/>
      <x:c r="H49" s="139" t="n"/>
      <x:c r="I49" s="139" t="n"/>
      <x:c r="J49" s="139" t="n"/>
      <x:c r="K49" s="139" t="n"/>
      <x:c r="L49" s="139" t="n"/>
      <x:c r="M49" s="139" t="n"/>
      <x:c r="N49" s="139" t="n"/>
      <x:c r="O49" s="139" t="n"/>
      <x:c r="P49" s="139" t="n"/>
      <x:c r="Q49" s="139" t="n"/>
      <x:c r="R49" s="139" t="n"/>
      <x:c r="S49" s="139" t="n"/>
      <x:c r="T49" s="139" t="n"/>
      <x:c r="U49" s="139" t="n"/>
      <x:c r="V49" s="139" t="n"/>
      <x:c r="W49" s="139" t="n"/>
      <x:c r="X49" s="139" t="n"/>
      <x:c r="Y49" s="139" t="n"/>
      <x:c r="Z49" s="139" t="n"/>
      <x:c r="AA49" s="139" t="n"/>
      <x:c r="AB49" s="139" t="n"/>
      <x:c r="AC49" s="139" t="n"/>
      <x:c r="AD49" s="139" t="n"/>
      <x:c r="AE49" s="139" t="n"/>
      <x:c r="AF49" s="139" t="n"/>
      <x:c r="AG49" s="139" t="n"/>
      <x:c r="AH49" s="139" t="n"/>
      <x:c r="AI49" s="139" t="n"/>
      <x:c r="AJ49" s="139" t="n"/>
      <x:c r="AK49" s="139" t="n"/>
      <x:c r="AL49" s="139" t="n"/>
      <x:c r="AM49" s="139" t="n"/>
      <x:c r="AN49" s="139" t="n"/>
      <x:c r="AO49" s="139" t="n"/>
      <x:c r="AP49" s="139" t="n"/>
      <x:c r="AQ49" s="139" t="n"/>
      <x:c r="AR49" s="139" t="n"/>
      <x:c r="AS49" s="139" t="n"/>
      <x:c r="AT49" s="139" t="n"/>
      <x:c r="AU49" s="139" t="n"/>
      <x:c r="AV49" s="139" t="n"/>
      <x:c r="AW49" s="139" t="n"/>
      <x:c r="AX49" s="139" t="n"/>
      <x:c r="AY49" s="139" t="n"/>
      <x:c r="AZ49" s="139" t="n"/>
    </x:row>
    <x:row r="50">
      <x:c r="A50" s="139" t="n"/>
      <x:c r="B50" s="139" t="n"/>
      <x:c r="C50" s="139" t="n"/>
      <x:c r="D50" s="139" t="n"/>
      <x:c r="E50" s="139" t="n"/>
      <x:c r="F50" s="139" t="n"/>
      <x:c r="G50" s="139" t="n"/>
      <x:c r="H50" s="139" t="n"/>
      <x:c r="I50" s="139" t="n"/>
      <x:c r="J50" s="139" t="n"/>
      <x:c r="K50" s="139" t="n"/>
      <x:c r="L50" s="139" t="n"/>
      <x:c r="M50" s="139" t="n"/>
      <x:c r="N50" s="139" t="n"/>
      <x:c r="O50" s="139" t="n"/>
      <x:c r="P50" s="139" t="n"/>
      <x:c r="Q50" s="139" t="n"/>
      <x:c r="R50" s="139" t="n"/>
      <x:c r="S50" s="139" t="n"/>
      <x:c r="T50" s="139" t="n"/>
      <x:c r="U50" s="139" t="n"/>
      <x:c r="V50" s="139" t="n"/>
      <x:c r="W50" s="139" t="n"/>
      <x:c r="X50" s="139" t="n"/>
      <x:c r="Y50" s="139" t="n"/>
      <x:c r="Z50" s="139" t="n"/>
      <x:c r="AA50" s="139" t="n"/>
      <x:c r="AB50" s="139" t="n"/>
      <x:c r="AC50" s="139" t="n"/>
      <x:c r="AD50" s="139" t="n"/>
      <x:c r="AE50" s="139" t="n"/>
      <x:c r="AF50" s="139" t="n"/>
      <x:c r="AG50" s="139" t="n"/>
      <x:c r="AH50" s="139" t="n"/>
      <x:c r="AI50" s="139" t="n"/>
      <x:c r="AJ50" s="139" t="n"/>
      <x:c r="AK50" s="139" t="n"/>
      <x:c r="AL50" s="139" t="n"/>
      <x:c r="AM50" s="139" t="n"/>
      <x:c r="AN50" s="139" t="n"/>
      <x:c r="AO50" s="139" t="n"/>
      <x:c r="AP50" s="139" t="n"/>
      <x:c r="AQ50" s="139" t="n"/>
      <x:c r="AR50" s="139" t="n"/>
      <x:c r="AS50" s="139" t="n"/>
      <x:c r="AT50" s="139" t="n"/>
      <x:c r="AU50" s="139" t="n"/>
      <x:c r="AV50" s="139" t="n"/>
      <x:c r="AW50" s="139" t="n"/>
      <x:c r="AX50" s="139" t="n"/>
      <x:c r="AY50" s="139" t="n"/>
      <x:c r="AZ50" s="139" t="n"/>
    </x:row>
    <x:row r="51">
      <x:c r="A51" s="139" t="n"/>
      <x:c r="B51" s="139" t="n"/>
      <x:c r="C51" s="139" t="n"/>
      <x:c r="D51" s="139" t="n"/>
      <x:c r="E51" s="139" t="n"/>
      <x:c r="F51" s="139" t="n"/>
      <x:c r="G51" s="139" t="n"/>
      <x:c r="H51" s="139" t="n"/>
      <x:c r="I51" s="139" t="n"/>
      <x:c r="J51" s="139" t="n"/>
      <x:c r="K51" s="139" t="n"/>
      <x:c r="L51" s="139" t="n"/>
      <x:c r="M51" s="139" t="n"/>
      <x:c r="N51" s="139" t="n"/>
      <x:c r="O51" s="139" t="n"/>
      <x:c r="P51" s="139" t="n"/>
      <x:c r="Q51" s="139" t="n"/>
      <x:c r="R51" s="139" t="n"/>
      <x:c r="S51" s="139" t="n"/>
      <x:c r="T51" s="139" t="n"/>
      <x:c r="U51" s="139" t="n"/>
      <x:c r="V51" s="139" t="n"/>
      <x:c r="W51" s="139" t="n"/>
      <x:c r="X51" s="139" t="n"/>
      <x:c r="Y51" s="139" t="n"/>
      <x:c r="Z51" s="139" t="n"/>
      <x:c r="AA51" s="139" t="n"/>
      <x:c r="AB51" s="139" t="n"/>
      <x:c r="AC51" s="139" t="n"/>
      <x:c r="AD51" s="139" t="n"/>
      <x:c r="AE51" s="139" t="n"/>
      <x:c r="AF51" s="139" t="n"/>
      <x:c r="AG51" s="139" t="n"/>
      <x:c r="AH51" s="139" t="n"/>
      <x:c r="AI51" s="139" t="n"/>
      <x:c r="AJ51" s="139" t="n"/>
      <x:c r="AK51" s="139" t="n"/>
      <x:c r="AL51" s="139" t="n"/>
      <x:c r="AM51" s="139" t="n"/>
      <x:c r="AN51" s="139" t="n"/>
      <x:c r="AO51" s="139" t="n"/>
      <x:c r="AP51" s="139" t="n"/>
      <x:c r="AQ51" s="139" t="n"/>
      <x:c r="AR51" s="139" t="n"/>
      <x:c r="AS51" s="139" t="n"/>
      <x:c r="AT51" s="139" t="n"/>
      <x:c r="AU51" s="139" t="n"/>
      <x:c r="AV51" s="139" t="n"/>
      <x:c r="AW51" s="139" t="n"/>
      <x:c r="AX51" s="139" t="n"/>
      <x:c r="AY51" s="139" t="n"/>
      <x:c r="AZ51" s="139" t="n"/>
    </x:row>
    <x:row r="52">
      <x:c r="A52" s="139" t="n"/>
      <x:c r="B52" s="139" t="n"/>
      <x:c r="C52" s="139" t="n"/>
      <x:c r="D52" s="139" t="n"/>
      <x:c r="E52" s="139" t="n"/>
      <x:c r="F52" s="139" t="n"/>
      <x:c r="G52" s="139" t="n"/>
      <x:c r="H52" s="139" t="n"/>
      <x:c r="I52" s="139" t="n"/>
      <x:c r="J52" s="139" t="n"/>
      <x:c r="K52" s="139" t="n"/>
      <x:c r="L52" s="139" t="n"/>
      <x:c r="M52" s="139" t="n"/>
      <x:c r="N52" s="139" t="n"/>
      <x:c r="O52" s="139" t="n"/>
      <x:c r="P52" s="139" t="n"/>
      <x:c r="Q52" s="139" t="n"/>
      <x:c r="R52" s="139" t="n"/>
      <x:c r="S52" s="139" t="n"/>
      <x:c r="T52" s="139" t="n"/>
      <x:c r="U52" s="139" t="n"/>
      <x:c r="V52" s="139" t="n"/>
      <x:c r="W52" s="139" t="n"/>
      <x:c r="X52" s="139" t="n"/>
      <x:c r="Y52" s="139" t="n"/>
      <x:c r="Z52" s="139" t="n"/>
      <x:c r="AA52" s="139" t="n"/>
      <x:c r="AB52" s="139" t="n"/>
      <x:c r="AC52" s="139" t="n"/>
      <x:c r="AD52" s="139" t="n"/>
      <x:c r="AE52" s="139" t="n"/>
      <x:c r="AF52" s="139" t="n"/>
      <x:c r="AG52" s="139" t="n"/>
      <x:c r="AH52" s="139" t="n"/>
      <x:c r="AI52" s="139" t="n"/>
      <x:c r="AJ52" s="139" t="n"/>
      <x:c r="AK52" s="139" t="n"/>
      <x:c r="AL52" s="139" t="n"/>
      <x:c r="AM52" s="139" t="n"/>
      <x:c r="AN52" s="139" t="n"/>
      <x:c r="AO52" s="139" t="n"/>
      <x:c r="AP52" s="139" t="n"/>
      <x:c r="AQ52" s="139" t="n"/>
      <x:c r="AR52" s="139" t="n"/>
      <x:c r="AS52" s="139" t="n"/>
      <x:c r="AT52" s="139" t="n"/>
      <x:c r="AU52" s="139" t="n"/>
      <x:c r="AV52" s="139" t="n"/>
      <x:c r="AW52" s="139" t="n"/>
      <x:c r="AX52" s="139" t="n"/>
      <x:c r="AY52" s="139" t="n"/>
      <x:c r="AZ52" s="139" t="n"/>
    </x:row>
    <x:row r="53">
      <x:c r="A53" s="139" t="n"/>
      <x:c r="B53" s="139" t="n"/>
      <x:c r="C53" s="139" t="n"/>
      <x:c r="D53" s="139" t="n"/>
      <x:c r="E53" s="139" t="n"/>
      <x:c r="F53" s="139" t="n"/>
      <x:c r="G53" s="139" t="n"/>
      <x:c r="H53" s="139" t="n"/>
      <x:c r="I53" s="139" t="n"/>
      <x:c r="J53" s="139" t="n"/>
      <x:c r="K53" s="139" t="n"/>
      <x:c r="L53" s="139" t="n"/>
      <x:c r="M53" s="139" t="n"/>
      <x:c r="N53" s="139" t="n"/>
      <x:c r="O53" s="139" t="n"/>
      <x:c r="P53" s="139" t="n"/>
      <x:c r="Q53" s="139" t="n"/>
      <x:c r="R53" s="139" t="n"/>
      <x:c r="S53" s="139" t="n"/>
      <x:c r="T53" s="139" t="n"/>
      <x:c r="U53" s="139" t="n"/>
      <x:c r="V53" s="139" t="n"/>
      <x:c r="W53" s="139" t="n"/>
      <x:c r="X53" s="139" t="n"/>
      <x:c r="Y53" s="139" t="n"/>
      <x:c r="Z53" s="139" t="n"/>
      <x:c r="AA53" s="139" t="n"/>
      <x:c r="AB53" s="139" t="n"/>
      <x:c r="AC53" s="139" t="n"/>
      <x:c r="AD53" s="139" t="n"/>
      <x:c r="AE53" s="139" t="n"/>
      <x:c r="AF53" s="139" t="n"/>
      <x:c r="AG53" s="139" t="n"/>
      <x:c r="AH53" s="139" t="n"/>
      <x:c r="AI53" s="139" t="n"/>
      <x:c r="AJ53" s="139" t="n"/>
      <x:c r="AK53" s="139" t="n"/>
      <x:c r="AL53" s="139" t="n"/>
      <x:c r="AM53" s="139" t="n"/>
      <x:c r="AN53" s="139" t="n"/>
      <x:c r="AO53" s="139" t="n"/>
      <x:c r="AP53" s="139" t="n"/>
      <x:c r="AQ53" s="139" t="n"/>
      <x:c r="AR53" s="139" t="n"/>
      <x:c r="AS53" s="139" t="n"/>
      <x:c r="AT53" s="139" t="n"/>
      <x:c r="AU53" s="139" t="n"/>
      <x:c r="AV53" s="139" t="n"/>
      <x:c r="AW53" s="139" t="n"/>
      <x:c r="AX53" s="139" t="n"/>
      <x:c r="AY53" s="139" t="n"/>
      <x:c r="AZ53" s="139" t="n"/>
    </x:row>
    <x:row r="54">
      <x:c r="A54" s="139" t="n"/>
      <x:c r="B54" s="139" t="n"/>
      <x:c r="C54" s="139" t="n"/>
      <x:c r="D54" s="139" t="n"/>
      <x:c r="E54" s="139" t="n"/>
      <x:c r="F54" s="139" t="n"/>
      <x:c r="G54" s="139" t="n"/>
      <x:c r="H54" s="139" t="n"/>
      <x:c r="I54" s="139" t="n"/>
      <x:c r="J54" s="139" t="n"/>
      <x:c r="K54" s="139" t="n"/>
      <x:c r="L54" s="139" t="n"/>
      <x:c r="M54" s="139" t="n"/>
      <x:c r="N54" s="139" t="n"/>
      <x:c r="O54" s="139" t="n"/>
      <x:c r="P54" s="139" t="n"/>
      <x:c r="Q54" s="139" t="n"/>
      <x:c r="R54" s="139" t="n"/>
      <x:c r="S54" s="139" t="n"/>
      <x:c r="T54" s="139" t="n"/>
      <x:c r="U54" s="139" t="n"/>
      <x:c r="V54" s="139" t="n"/>
      <x:c r="W54" s="139" t="n"/>
      <x:c r="X54" s="139" t="n"/>
      <x:c r="Y54" s="139" t="n"/>
      <x:c r="Z54" s="139" t="n"/>
      <x:c r="AA54" s="139" t="n"/>
      <x:c r="AB54" s="139" t="n"/>
      <x:c r="AC54" s="139" t="n"/>
      <x:c r="AD54" s="139" t="n"/>
      <x:c r="AE54" s="139" t="n"/>
      <x:c r="AF54" s="139" t="n"/>
      <x:c r="AG54" s="139" t="n"/>
      <x:c r="AH54" s="139" t="n"/>
      <x:c r="AI54" s="139" t="n"/>
      <x:c r="AJ54" s="139" t="n"/>
      <x:c r="AK54" s="139" t="n"/>
      <x:c r="AL54" s="139" t="n"/>
      <x:c r="AM54" s="139" t="n"/>
      <x:c r="AN54" s="139" t="n"/>
      <x:c r="AO54" s="139" t="n"/>
      <x:c r="AP54" s="139" t="n"/>
      <x:c r="AQ54" s="139" t="n"/>
      <x:c r="AR54" s="139" t="n"/>
      <x:c r="AS54" s="139" t="n"/>
      <x:c r="AT54" s="139" t="n"/>
      <x:c r="AU54" s="139" t="n"/>
      <x:c r="AV54" s="139" t="n"/>
      <x:c r="AW54" s="139" t="n"/>
      <x:c r="AX54" s="139" t="n"/>
      <x:c r="AY54" s="139" t="n"/>
      <x:c r="AZ54" s="139" t="n"/>
    </x:row>
    <x:row r="55">
      <x:c r="A55" s="139" t="n"/>
      <x:c r="B55" s="139" t="n"/>
      <x:c r="C55" s="139" t="n"/>
      <x:c r="D55" s="139" t="n"/>
      <x:c r="E55" s="139" t="n"/>
      <x:c r="F55" s="139" t="n"/>
      <x:c r="G55" s="139" t="n"/>
      <x:c r="H55" s="139" t="n"/>
      <x:c r="I55" s="139" t="n"/>
      <x:c r="J55" s="139" t="n"/>
      <x:c r="K55" s="139" t="n"/>
      <x:c r="L55" s="139" t="n"/>
      <x:c r="M55" s="139" t="n"/>
      <x:c r="N55" s="139" t="n"/>
      <x:c r="O55" s="139" t="n"/>
      <x:c r="P55" s="139" t="n"/>
      <x:c r="Q55" s="139" t="n"/>
      <x:c r="R55" s="139" t="n"/>
      <x:c r="S55" s="139" t="n"/>
      <x:c r="T55" s="139" t="n"/>
      <x:c r="U55" s="139" t="n"/>
      <x:c r="V55" s="139" t="n"/>
      <x:c r="W55" s="139" t="n"/>
      <x:c r="X55" s="139" t="n"/>
      <x:c r="Y55" s="139" t="n"/>
      <x:c r="Z55" s="139" t="n"/>
      <x:c r="AA55" s="139" t="n"/>
      <x:c r="AB55" s="139" t="n"/>
      <x:c r="AC55" s="139" t="n"/>
      <x:c r="AD55" s="139" t="n"/>
      <x:c r="AE55" s="139" t="n"/>
      <x:c r="AF55" s="139" t="n"/>
      <x:c r="AG55" s="139" t="n"/>
      <x:c r="AH55" s="139" t="n"/>
      <x:c r="AI55" s="139" t="n"/>
      <x:c r="AJ55" s="139" t="n"/>
      <x:c r="AK55" s="139" t="n"/>
      <x:c r="AL55" s="139" t="n"/>
      <x:c r="AM55" s="139" t="n"/>
      <x:c r="AN55" s="139" t="n"/>
      <x:c r="AO55" s="139" t="n"/>
      <x:c r="AP55" s="139" t="n"/>
      <x:c r="AQ55" s="139" t="n"/>
      <x:c r="AR55" s="139" t="n"/>
      <x:c r="AS55" s="139" t="n"/>
      <x:c r="AT55" s="139" t="n"/>
      <x:c r="AU55" s="139" t="n"/>
      <x:c r="AV55" s="139" t="n"/>
      <x:c r="AW55" s="139" t="n"/>
      <x:c r="AX55" s="139" t="n"/>
      <x:c r="AY55" s="139" t="n"/>
      <x:c r="AZ55" s="139" t="n"/>
    </x:row>
    <x:row r="56">
      <x:c r="A56" s="139" t="n"/>
      <x:c r="B56" s="139" t="n"/>
      <x:c r="C56" s="139" t="n"/>
      <x:c r="D56" s="139" t="n"/>
      <x:c r="E56" s="139" t="n"/>
      <x:c r="F56" s="139" t="n"/>
      <x:c r="G56" s="139" t="n"/>
      <x:c r="H56" s="139" t="n"/>
      <x:c r="I56" s="139" t="n"/>
      <x:c r="J56" s="139" t="n"/>
      <x:c r="K56" s="139" t="n"/>
      <x:c r="L56" s="139" t="n"/>
      <x:c r="M56" s="139" t="n"/>
      <x:c r="N56" s="139" t="n"/>
      <x:c r="O56" s="139" t="n"/>
      <x:c r="P56" s="139" t="n"/>
      <x:c r="Q56" s="139" t="n"/>
      <x:c r="R56" s="139" t="n"/>
      <x:c r="S56" s="139" t="n"/>
      <x:c r="T56" s="139" t="n"/>
      <x:c r="U56" s="139" t="n"/>
      <x:c r="V56" s="139" t="n"/>
      <x:c r="W56" s="139" t="n"/>
      <x:c r="X56" s="139" t="n"/>
      <x:c r="Y56" s="139" t="n"/>
      <x:c r="Z56" s="139" t="n"/>
      <x:c r="AA56" s="139" t="n"/>
      <x:c r="AB56" s="139" t="n"/>
      <x:c r="AC56" s="139" t="n"/>
      <x:c r="AD56" s="139" t="n"/>
      <x:c r="AE56" s="139" t="n"/>
      <x:c r="AF56" s="139" t="n"/>
      <x:c r="AG56" s="139" t="n"/>
      <x:c r="AH56" s="139" t="n"/>
      <x:c r="AI56" s="139" t="n"/>
      <x:c r="AJ56" s="139" t="n"/>
      <x:c r="AK56" s="139" t="n"/>
      <x:c r="AL56" s="139" t="n"/>
      <x:c r="AM56" s="139" t="n"/>
      <x:c r="AN56" s="139" t="n"/>
      <x:c r="AO56" s="139" t="n"/>
      <x:c r="AP56" s="139" t="n"/>
      <x:c r="AQ56" s="139" t="n"/>
      <x:c r="AR56" s="139" t="n"/>
      <x:c r="AS56" s="139" t="n"/>
      <x:c r="AT56" s="139" t="n"/>
      <x:c r="AU56" s="139" t="n"/>
      <x:c r="AV56" s="139" t="n"/>
      <x:c r="AW56" s="139" t="n"/>
      <x:c r="AX56" s="139" t="n"/>
      <x:c r="AY56" s="139" t="n"/>
      <x:c r="AZ56" s="139" t="n"/>
    </x:row>
    <x:row r="57">
      <x:c r="A57" s="139" t="n"/>
      <x:c r="B57" s="139" t="n"/>
      <x:c r="C57" s="139" t="n"/>
      <x:c r="D57" s="139" t="n"/>
      <x:c r="E57" s="139" t="n"/>
      <x:c r="F57" s="139" t="n"/>
      <x:c r="G57" s="139" t="n"/>
      <x:c r="H57" s="139" t="n"/>
      <x:c r="I57" s="139" t="n"/>
      <x:c r="J57" s="139" t="n"/>
      <x:c r="K57" s="139" t="n"/>
      <x:c r="L57" s="139" t="n"/>
      <x:c r="M57" s="139" t="n"/>
      <x:c r="N57" s="139" t="n"/>
      <x:c r="O57" s="139" t="n"/>
      <x:c r="P57" s="139" t="n"/>
      <x:c r="Q57" s="139" t="n"/>
      <x:c r="R57" s="139" t="n"/>
      <x:c r="S57" s="139" t="n"/>
      <x:c r="T57" s="139" t="n"/>
      <x:c r="U57" s="139" t="n"/>
      <x:c r="V57" s="139" t="n"/>
      <x:c r="W57" s="139" t="n"/>
      <x:c r="X57" s="139" t="n"/>
      <x:c r="Y57" s="139" t="n"/>
      <x:c r="Z57" s="139" t="n"/>
      <x:c r="AA57" s="139" t="n"/>
      <x:c r="AB57" s="139" t="n"/>
      <x:c r="AC57" s="139" t="n"/>
      <x:c r="AD57" s="139" t="n"/>
      <x:c r="AE57" s="139" t="n"/>
      <x:c r="AF57" s="139" t="n"/>
      <x:c r="AG57" s="139" t="n"/>
      <x:c r="AH57" s="139" t="n"/>
      <x:c r="AI57" s="139" t="n"/>
      <x:c r="AJ57" s="139" t="n"/>
      <x:c r="AK57" s="139" t="n"/>
      <x:c r="AL57" s="139" t="n"/>
      <x:c r="AM57" s="139" t="n"/>
      <x:c r="AN57" s="139" t="n"/>
      <x:c r="AO57" s="139" t="n"/>
      <x:c r="AP57" s="139" t="n"/>
      <x:c r="AQ57" s="139" t="n"/>
      <x:c r="AR57" s="139" t="n"/>
      <x:c r="AS57" s="139" t="n"/>
      <x:c r="AT57" s="139" t="n"/>
      <x:c r="AU57" s="139" t="n"/>
      <x:c r="AV57" s="139" t="n"/>
      <x:c r="AW57" s="139" t="n"/>
      <x:c r="AX57" s="139" t="n"/>
      <x:c r="AY57" s="139" t="n"/>
      <x:c r="AZ57" s="139" t="n"/>
    </x:row>
    <x:row r="58">
      <x:c r="A58" s="139" t="n"/>
      <x:c r="B58" s="139" t="n"/>
      <x:c r="C58" s="139" t="n"/>
      <x:c r="D58" s="139" t="n"/>
      <x:c r="E58" s="139" t="n"/>
      <x:c r="F58" s="139" t="n"/>
      <x:c r="G58" s="139" t="n"/>
      <x:c r="H58" s="139" t="n"/>
      <x:c r="I58" s="139" t="n"/>
      <x:c r="J58" s="139" t="n"/>
      <x:c r="K58" s="139" t="n"/>
      <x:c r="L58" s="139" t="n"/>
      <x:c r="M58" s="139" t="n"/>
      <x:c r="N58" s="139" t="n"/>
      <x:c r="O58" s="139" t="n"/>
      <x:c r="P58" s="139" t="n"/>
      <x:c r="Q58" s="139" t="n"/>
      <x:c r="R58" s="139" t="n"/>
      <x:c r="S58" s="139" t="n"/>
      <x:c r="T58" s="139" t="n"/>
      <x:c r="U58" s="139" t="n"/>
      <x:c r="V58" s="139" t="n"/>
      <x:c r="W58" s="139" t="n"/>
      <x:c r="X58" s="139" t="n"/>
      <x:c r="Y58" s="139" t="n"/>
      <x:c r="Z58" s="139" t="n"/>
      <x:c r="AA58" s="139" t="n"/>
      <x:c r="AB58" s="139" t="n"/>
      <x:c r="AC58" s="139" t="n"/>
      <x:c r="AD58" s="139" t="n"/>
      <x:c r="AE58" s="139" t="n"/>
      <x:c r="AF58" s="139" t="n"/>
      <x:c r="AG58" s="139" t="n"/>
      <x:c r="AH58" s="139" t="n"/>
      <x:c r="AI58" s="139" t="n"/>
      <x:c r="AJ58" s="139" t="n"/>
      <x:c r="AK58" s="139" t="n"/>
      <x:c r="AL58" s="139" t="n"/>
      <x:c r="AM58" s="139" t="n"/>
      <x:c r="AN58" s="139" t="n"/>
      <x:c r="AO58" s="139" t="n"/>
      <x:c r="AP58" s="139" t="n"/>
      <x:c r="AQ58" s="139" t="n"/>
      <x:c r="AR58" s="139" t="n"/>
      <x:c r="AS58" s="139" t="n"/>
      <x:c r="AT58" s="139" t="n"/>
      <x:c r="AU58" s="139" t="n"/>
      <x:c r="AV58" s="139" t="n"/>
      <x:c r="AW58" s="139" t="n"/>
      <x:c r="AX58" s="139" t="n"/>
      <x:c r="AY58" s="139" t="n"/>
      <x:c r="AZ58" s="139" t="n"/>
    </x:row>
    <x:row r="59">
      <x:c r="A59" s="139" t="n"/>
      <x:c r="B59" s="139" t="n"/>
      <x:c r="C59" s="139" t="n"/>
      <x:c r="D59" s="139" t="n"/>
      <x:c r="E59" s="139" t="n"/>
      <x:c r="F59" s="139" t="n"/>
      <x:c r="G59" s="139" t="n"/>
      <x:c r="H59" s="139" t="n"/>
      <x:c r="I59" s="139" t="n"/>
      <x:c r="J59" s="139" t="n"/>
      <x:c r="K59" s="139" t="n"/>
      <x:c r="L59" s="139" t="n"/>
      <x:c r="M59" s="139" t="n"/>
      <x:c r="N59" s="139" t="n"/>
      <x:c r="O59" s="139" t="n"/>
      <x:c r="P59" s="139" t="n"/>
      <x:c r="Q59" s="139" t="n"/>
      <x:c r="R59" s="139" t="n"/>
      <x:c r="S59" s="139" t="n"/>
      <x:c r="T59" s="139" t="n"/>
      <x:c r="U59" s="139" t="n"/>
      <x:c r="V59" s="139" t="n"/>
      <x:c r="W59" s="139" t="n"/>
      <x:c r="X59" s="139" t="n"/>
      <x:c r="Y59" s="139" t="n"/>
      <x:c r="Z59" s="139" t="n"/>
      <x:c r="AA59" s="139" t="n"/>
      <x:c r="AB59" s="139" t="n"/>
      <x:c r="AC59" s="139" t="n"/>
      <x:c r="AD59" s="139" t="n"/>
      <x:c r="AE59" s="139" t="n"/>
      <x:c r="AF59" s="139" t="n"/>
      <x:c r="AG59" s="139" t="n"/>
      <x:c r="AH59" s="139" t="n"/>
      <x:c r="AI59" s="139" t="n"/>
      <x:c r="AJ59" s="139" t="n"/>
      <x:c r="AK59" s="139" t="n"/>
      <x:c r="AL59" s="139" t="n"/>
      <x:c r="AM59" s="139" t="n"/>
      <x:c r="AN59" s="139" t="n"/>
      <x:c r="AO59" s="139" t="n"/>
      <x:c r="AP59" s="139" t="n"/>
      <x:c r="AQ59" s="139" t="n"/>
      <x:c r="AR59" s="139" t="n"/>
      <x:c r="AS59" s="139" t="n"/>
      <x:c r="AT59" s="139" t="n"/>
      <x:c r="AU59" s="139" t="n"/>
      <x:c r="AV59" s="139" t="n"/>
      <x:c r="AW59" s="139" t="n"/>
      <x:c r="AX59" s="139" t="n"/>
      <x:c r="AY59" s="139" t="n"/>
      <x:c r="AZ59" s="139" t="n"/>
    </x:row>
    <x:row r="60">
      <x:c r="A60" s="139" t="n"/>
      <x:c r="B60" s="139" t="n"/>
      <x:c r="C60" s="139" t="n"/>
      <x:c r="D60" s="139" t="n"/>
      <x:c r="E60" s="139" t="n"/>
      <x:c r="F60" s="139" t="n"/>
      <x:c r="G60" s="139" t="n"/>
      <x:c r="H60" s="139" t="n"/>
      <x:c r="I60" s="139" t="n"/>
      <x:c r="J60" s="139" t="n"/>
      <x:c r="K60" s="139" t="n"/>
      <x:c r="L60" s="139" t="n"/>
      <x:c r="M60" s="139" t="n"/>
      <x:c r="N60" s="139" t="n"/>
      <x:c r="O60" s="139" t="n"/>
      <x:c r="P60" s="139" t="n"/>
      <x:c r="Q60" s="139" t="n"/>
      <x:c r="R60" s="139" t="n"/>
      <x:c r="S60" s="139" t="n"/>
      <x:c r="T60" s="139" t="n"/>
      <x:c r="U60" s="139" t="n"/>
      <x:c r="V60" s="139" t="n"/>
      <x:c r="W60" s="139" t="n"/>
      <x:c r="X60" s="139" t="n"/>
      <x:c r="Y60" s="139" t="n"/>
      <x:c r="Z60" s="139" t="n"/>
      <x:c r="AA60" s="139" t="n"/>
      <x:c r="AB60" s="139" t="n"/>
      <x:c r="AC60" s="139" t="n"/>
      <x:c r="AD60" s="139" t="n"/>
      <x:c r="AE60" s="139" t="n"/>
      <x:c r="AF60" s="139" t="n"/>
      <x:c r="AG60" s="139" t="n"/>
      <x:c r="AH60" s="139" t="n"/>
      <x:c r="AI60" s="139" t="n"/>
      <x:c r="AJ60" s="139" t="n"/>
      <x:c r="AK60" s="139" t="n"/>
      <x:c r="AL60" s="139" t="n"/>
      <x:c r="AM60" s="139" t="n"/>
      <x:c r="AN60" s="139" t="n"/>
      <x:c r="AO60" s="139" t="n"/>
      <x:c r="AP60" s="139" t="n"/>
      <x:c r="AQ60" s="139" t="n"/>
      <x:c r="AR60" s="139" t="n"/>
      <x:c r="AS60" s="139" t="n"/>
      <x:c r="AT60" s="139" t="n"/>
      <x:c r="AU60" s="139" t="n"/>
      <x:c r="AV60" s="139" t="n"/>
      <x:c r="AW60" s="139" t="n"/>
      <x:c r="AX60" s="139" t="n"/>
      <x:c r="AY60" s="139" t="n"/>
      <x:c r="AZ60" s="139" t="n"/>
    </x:row>
    <x:row r="61">
      <x:c r="A61" s="139" t="n"/>
      <x:c r="B61" s="139" t="n"/>
      <x:c r="C61" s="139" t="n"/>
      <x:c r="D61" s="139" t="n"/>
      <x:c r="E61" s="139" t="n"/>
      <x:c r="F61" s="139" t="n"/>
      <x:c r="G61" s="139" t="n"/>
      <x:c r="H61" s="139" t="n"/>
      <x:c r="I61" s="139" t="n"/>
      <x:c r="J61" s="139" t="n"/>
      <x:c r="K61" s="139" t="n"/>
      <x:c r="L61" s="139" t="n"/>
      <x:c r="M61" s="139" t="n"/>
      <x:c r="N61" s="139" t="n"/>
      <x:c r="O61" s="139" t="n"/>
      <x:c r="P61" s="139" t="n"/>
      <x:c r="Q61" s="139" t="n"/>
      <x:c r="R61" s="139" t="n"/>
      <x:c r="S61" s="139" t="n"/>
      <x:c r="T61" s="139" t="n"/>
      <x:c r="U61" s="139" t="n"/>
      <x:c r="V61" s="139" t="n"/>
      <x:c r="W61" s="139" t="n"/>
      <x:c r="X61" s="139" t="n"/>
      <x:c r="Y61" s="139" t="n"/>
      <x:c r="Z61" s="139" t="n"/>
      <x:c r="AA61" s="139" t="n"/>
      <x:c r="AB61" s="139" t="n"/>
      <x:c r="AC61" s="139" t="n"/>
      <x:c r="AD61" s="139" t="n"/>
      <x:c r="AE61" s="139" t="n"/>
      <x:c r="AF61" s="139" t="n"/>
      <x:c r="AG61" s="139" t="n"/>
      <x:c r="AH61" s="139" t="n"/>
      <x:c r="AI61" s="139" t="n"/>
      <x:c r="AJ61" s="139" t="n"/>
      <x:c r="AK61" s="139" t="n"/>
      <x:c r="AL61" s="139" t="n"/>
      <x:c r="AM61" s="139" t="n"/>
      <x:c r="AN61" s="139" t="n"/>
      <x:c r="AO61" s="139" t="n"/>
      <x:c r="AP61" s="139" t="n"/>
      <x:c r="AQ61" s="139" t="n"/>
      <x:c r="AR61" s="139" t="n"/>
      <x:c r="AS61" s="139" t="n"/>
      <x:c r="AT61" s="139" t="n"/>
      <x:c r="AU61" s="139" t="n"/>
      <x:c r="AV61" s="139" t="n"/>
      <x:c r="AW61" s="139" t="n"/>
      <x:c r="AX61" s="139" t="n"/>
      <x:c r="AY61" s="139" t="n"/>
      <x:c r="AZ61" s="139" t="n"/>
    </x:row>
    <x:row r="62">
      <x:c r="A62" s="139" t="n"/>
      <x:c r="B62" s="139" t="n"/>
      <x:c r="C62" s="139" t="n"/>
      <x:c r="D62" s="139" t="n"/>
      <x:c r="E62" s="139" t="n"/>
      <x:c r="F62" s="139" t="n"/>
      <x:c r="G62" s="139" t="n"/>
      <x:c r="H62" s="139" t="n"/>
      <x:c r="I62" s="139" t="n"/>
      <x:c r="J62" s="139" t="n"/>
      <x:c r="K62" s="139" t="n"/>
      <x:c r="L62" s="139" t="n"/>
      <x:c r="M62" s="139" t="n"/>
      <x:c r="N62" s="139" t="n"/>
      <x:c r="O62" s="139" t="n"/>
      <x:c r="P62" s="139" t="n"/>
      <x:c r="Q62" s="139" t="n"/>
      <x:c r="R62" s="139" t="n"/>
      <x:c r="S62" s="139" t="n"/>
      <x:c r="T62" s="139" t="n"/>
      <x:c r="U62" s="139" t="n"/>
      <x:c r="V62" s="139" t="n"/>
      <x:c r="W62" s="139" t="n"/>
      <x:c r="X62" s="139" t="n"/>
      <x:c r="Y62" s="139" t="n"/>
      <x:c r="Z62" s="139" t="n"/>
      <x:c r="AA62" s="139" t="n"/>
      <x:c r="AB62" s="139" t="n"/>
      <x:c r="AC62" s="139" t="n"/>
      <x:c r="AD62" s="139" t="n"/>
      <x:c r="AE62" s="139" t="n"/>
      <x:c r="AF62" s="139" t="n"/>
      <x:c r="AG62" s="139" t="n"/>
      <x:c r="AH62" s="139" t="n"/>
      <x:c r="AI62" s="139" t="n"/>
      <x:c r="AJ62" s="139" t="n"/>
      <x:c r="AK62" s="139" t="n"/>
      <x:c r="AL62" s="139" t="n"/>
      <x:c r="AM62" s="139" t="n"/>
      <x:c r="AN62" s="139" t="n"/>
      <x:c r="AO62" s="139" t="n"/>
      <x:c r="AP62" s="139" t="n"/>
      <x:c r="AQ62" s="139" t="n"/>
      <x:c r="AR62" s="139" t="n"/>
      <x:c r="AS62" s="139" t="n"/>
      <x:c r="AT62" s="139" t="n"/>
      <x:c r="AU62" s="139" t="n"/>
      <x:c r="AV62" s="139" t="n"/>
      <x:c r="AW62" s="139" t="n"/>
      <x:c r="AX62" s="139" t="n"/>
      <x:c r="AY62" s="139" t="n"/>
      <x:c r="AZ62" s="139" t="n"/>
    </x:row>
    <x:row r="63">
      <x:c r="A63" s="139" t="n"/>
      <x:c r="B63" s="139" t="n"/>
      <x:c r="C63" s="139" t="n"/>
      <x:c r="D63" s="139" t="n"/>
      <x:c r="E63" s="139" t="n"/>
      <x:c r="F63" s="139" t="n"/>
      <x:c r="G63" s="139" t="n"/>
      <x:c r="H63" s="139" t="n"/>
      <x:c r="I63" s="139" t="n"/>
      <x:c r="J63" s="139" t="n"/>
      <x:c r="K63" s="139" t="n"/>
      <x:c r="L63" s="139" t="n"/>
      <x:c r="M63" s="139" t="n"/>
      <x:c r="N63" s="139" t="n"/>
      <x:c r="O63" s="139" t="n"/>
      <x:c r="P63" s="139" t="n"/>
      <x:c r="Q63" s="139" t="n"/>
      <x:c r="R63" s="139" t="n"/>
      <x:c r="S63" s="139" t="n"/>
      <x:c r="T63" s="139" t="n"/>
      <x:c r="U63" s="139" t="n"/>
      <x:c r="V63" s="139" t="n"/>
      <x:c r="W63" s="139" t="n"/>
      <x:c r="X63" s="139" t="n"/>
      <x:c r="Y63" s="139" t="n"/>
      <x:c r="Z63" s="139" t="n"/>
      <x:c r="AA63" s="139" t="n"/>
      <x:c r="AB63" s="139" t="n"/>
      <x:c r="AC63" s="139" t="n"/>
      <x:c r="AD63" s="139" t="n"/>
      <x:c r="AE63" s="139" t="n"/>
      <x:c r="AF63" s="139" t="n"/>
      <x:c r="AG63" s="139" t="n"/>
      <x:c r="AH63" s="139" t="n"/>
      <x:c r="AI63" s="139" t="n"/>
      <x:c r="AJ63" s="139" t="n"/>
      <x:c r="AK63" s="139" t="n"/>
      <x:c r="AL63" s="139" t="n"/>
      <x:c r="AM63" s="139" t="n"/>
      <x:c r="AN63" s="139" t="n"/>
      <x:c r="AO63" s="139" t="n"/>
      <x:c r="AP63" s="139" t="n"/>
      <x:c r="AQ63" s="139" t="n"/>
      <x:c r="AR63" s="139" t="n"/>
      <x:c r="AS63" s="139" t="n"/>
      <x:c r="AT63" s="139" t="n"/>
      <x:c r="AU63" s="139" t="n"/>
      <x:c r="AV63" s="139" t="n"/>
      <x:c r="AW63" s="139" t="n"/>
      <x:c r="AX63" s="139" t="n"/>
      <x:c r="AY63" s="139" t="n"/>
      <x:c r="AZ63" s="139" t="n"/>
    </x:row>
    <x:row r="64">
      <x:c r="A64" s="139" t="n"/>
      <x:c r="B64" s="139" t="n"/>
      <x:c r="C64" s="139" t="n"/>
      <x:c r="D64" s="139" t="n"/>
      <x:c r="E64" s="139" t="n"/>
      <x:c r="F64" s="139" t="n"/>
      <x:c r="G64" s="139" t="n"/>
      <x:c r="H64" s="139" t="n"/>
      <x:c r="I64" s="139" t="n"/>
      <x:c r="J64" s="139" t="n"/>
      <x:c r="K64" s="139" t="n"/>
      <x:c r="L64" s="139" t="n"/>
      <x:c r="M64" s="139" t="n"/>
      <x:c r="N64" s="139" t="n"/>
      <x:c r="O64" s="139" t="n"/>
      <x:c r="P64" s="139" t="n"/>
      <x:c r="Q64" s="139" t="n"/>
      <x:c r="R64" s="139" t="n"/>
      <x:c r="S64" s="139" t="n"/>
      <x:c r="T64" s="139" t="n"/>
      <x:c r="U64" s="139" t="n"/>
      <x:c r="V64" s="139" t="n"/>
      <x:c r="W64" s="139" t="n"/>
      <x:c r="X64" s="139" t="n"/>
      <x:c r="Y64" s="139" t="n"/>
      <x:c r="Z64" s="139" t="n"/>
      <x:c r="AA64" s="139" t="n"/>
      <x:c r="AB64" s="139" t="n"/>
      <x:c r="AC64" s="139" t="n"/>
      <x:c r="AD64" s="139" t="n"/>
      <x:c r="AE64" s="139" t="n"/>
      <x:c r="AF64" s="139" t="n"/>
      <x:c r="AG64" s="139" t="n"/>
      <x:c r="AH64" s="139" t="n"/>
      <x:c r="AI64" s="139" t="n"/>
      <x:c r="AJ64" s="139" t="n"/>
      <x:c r="AK64" s="139" t="n"/>
      <x:c r="AL64" s="139" t="n"/>
      <x:c r="AM64" s="139" t="n"/>
      <x:c r="AN64" s="139" t="n"/>
      <x:c r="AO64" s="139" t="n"/>
      <x:c r="AP64" s="139" t="n"/>
      <x:c r="AQ64" s="139" t="n"/>
      <x:c r="AR64" s="139" t="n"/>
      <x:c r="AS64" s="139" t="n"/>
      <x:c r="AT64" s="139" t="n"/>
      <x:c r="AU64" s="139" t="n"/>
      <x:c r="AV64" s="139" t="n"/>
      <x:c r="AW64" s="139" t="n"/>
      <x:c r="AX64" s="139" t="n"/>
      <x:c r="AY64" s="139" t="n"/>
      <x:c r="AZ64" s="139" t="n"/>
    </x:row>
    <x:row r="65">
      <x:c r="A65" s="139" t="n"/>
      <x:c r="B65" s="139" t="n"/>
      <x:c r="C65" s="139" t="n"/>
      <x:c r="D65" s="139" t="n"/>
      <x:c r="E65" s="139" t="n"/>
      <x:c r="F65" s="139" t="n"/>
      <x:c r="G65" s="139" t="n"/>
      <x:c r="H65" s="139" t="n"/>
      <x:c r="I65" s="139" t="n"/>
      <x:c r="J65" s="139" t="n"/>
      <x:c r="K65" s="139" t="n"/>
      <x:c r="L65" s="139" t="n"/>
      <x:c r="M65" s="139" t="n"/>
      <x:c r="N65" s="139" t="n"/>
      <x:c r="O65" s="139" t="n"/>
      <x:c r="P65" s="139" t="n"/>
      <x:c r="Q65" s="139" t="n"/>
      <x:c r="R65" s="139" t="n"/>
      <x:c r="S65" s="139" t="n"/>
      <x:c r="T65" s="139" t="n"/>
      <x:c r="U65" s="139" t="n"/>
      <x:c r="V65" s="139" t="n"/>
      <x:c r="W65" s="139" t="n"/>
      <x:c r="X65" s="139" t="n"/>
      <x:c r="Y65" s="139" t="n"/>
      <x:c r="Z65" s="139" t="n"/>
      <x:c r="AA65" s="139" t="n"/>
      <x:c r="AB65" s="139" t="n"/>
      <x:c r="AC65" s="139" t="n"/>
      <x:c r="AD65" s="139" t="n"/>
      <x:c r="AE65" s="139" t="n"/>
      <x:c r="AF65" s="139" t="n"/>
      <x:c r="AG65" s="139" t="n"/>
      <x:c r="AH65" s="139" t="n"/>
      <x:c r="AI65" s="139" t="n"/>
      <x:c r="AJ65" s="139" t="n"/>
      <x:c r="AK65" s="139" t="n"/>
      <x:c r="AL65" s="139" t="n"/>
      <x:c r="AM65" s="139" t="n"/>
      <x:c r="AN65" s="139" t="n"/>
      <x:c r="AO65" s="139" t="n"/>
      <x:c r="AP65" s="139" t="n"/>
      <x:c r="AQ65" s="139" t="n"/>
      <x:c r="AR65" s="139" t="n"/>
      <x:c r="AS65" s="139" t="n"/>
      <x:c r="AT65" s="139" t="n"/>
      <x:c r="AU65" s="139" t="n"/>
      <x:c r="AV65" s="139" t="n"/>
      <x:c r="AW65" s="139" t="n"/>
      <x:c r="AX65" s="139" t="n"/>
      <x:c r="AY65" s="139" t="n"/>
      <x:c r="AZ65" s="139" t="n"/>
    </x:row>
    <x:row r="66">
      <x:c r="A66" s="139" t="n"/>
      <x:c r="B66" s="139" t="n"/>
      <x:c r="C66" s="139" t="n"/>
      <x:c r="D66" s="139" t="n"/>
      <x:c r="E66" s="139" t="n"/>
      <x:c r="F66" s="139" t="n"/>
      <x:c r="G66" s="139" t="n"/>
      <x:c r="H66" s="139" t="n"/>
      <x:c r="I66" s="139" t="n"/>
      <x:c r="J66" s="139" t="n"/>
      <x:c r="K66" s="139" t="n"/>
      <x:c r="L66" s="139" t="n"/>
      <x:c r="M66" s="139" t="n"/>
      <x:c r="N66" s="139" t="n"/>
      <x:c r="O66" s="139" t="n"/>
      <x:c r="P66" s="139" t="n"/>
      <x:c r="Q66" s="139" t="n"/>
      <x:c r="R66" s="139" t="n"/>
      <x:c r="S66" s="139" t="n"/>
      <x:c r="T66" s="139" t="n"/>
      <x:c r="U66" s="139" t="n"/>
      <x:c r="V66" s="139" t="n"/>
      <x:c r="W66" s="139" t="n"/>
      <x:c r="X66" s="139" t="n"/>
      <x:c r="Y66" s="139" t="n"/>
      <x:c r="Z66" s="139" t="n"/>
      <x:c r="AA66" s="139" t="n"/>
      <x:c r="AB66" s="139" t="n"/>
      <x:c r="AC66" s="139" t="n"/>
      <x:c r="AD66" s="139" t="n"/>
      <x:c r="AE66" s="139" t="n"/>
      <x:c r="AF66" s="139" t="n"/>
      <x:c r="AG66" s="139" t="n"/>
      <x:c r="AH66" s="139" t="n"/>
      <x:c r="AI66" s="139" t="n"/>
      <x:c r="AJ66" s="139" t="n"/>
      <x:c r="AK66" s="139" t="n"/>
      <x:c r="AL66" s="139" t="n"/>
      <x:c r="AM66" s="139" t="n"/>
      <x:c r="AN66" s="139" t="n"/>
      <x:c r="AO66" s="139" t="n"/>
      <x:c r="AP66" s="139" t="n"/>
      <x:c r="AQ66" s="139" t="n"/>
      <x:c r="AR66" s="139" t="n"/>
      <x:c r="AS66" s="139" t="n"/>
      <x:c r="AT66" s="139" t="n"/>
      <x:c r="AU66" s="139" t="n"/>
      <x:c r="AV66" s="139" t="n"/>
      <x:c r="AW66" s="139" t="n"/>
      <x:c r="AX66" s="139" t="n"/>
      <x:c r="AY66" s="139" t="n"/>
      <x:c r="AZ66" s="139" t="n"/>
    </x:row>
    <x:row r="67">
      <x:c r="A67" s="139" t="n"/>
      <x:c r="B67" s="139" t="n"/>
      <x:c r="C67" s="139" t="n"/>
      <x:c r="D67" s="139" t="n"/>
      <x:c r="E67" s="139" t="n"/>
      <x:c r="F67" s="139" t="n"/>
      <x:c r="G67" s="139" t="n"/>
      <x:c r="H67" s="139" t="n"/>
      <x:c r="I67" s="139" t="n"/>
      <x:c r="J67" s="139" t="n"/>
      <x:c r="K67" s="139" t="n"/>
      <x:c r="L67" s="139" t="n"/>
      <x:c r="M67" s="139" t="n"/>
      <x:c r="N67" s="139" t="n"/>
      <x:c r="O67" s="139" t="n"/>
      <x:c r="P67" s="139" t="n"/>
      <x:c r="Q67" s="139" t="n"/>
      <x:c r="R67" s="139" t="n"/>
      <x:c r="S67" s="139" t="n"/>
      <x:c r="T67" s="139" t="n"/>
      <x:c r="U67" s="139" t="n"/>
      <x:c r="V67" s="139" t="n"/>
      <x:c r="W67" s="139" t="n"/>
      <x:c r="X67" s="139" t="n"/>
      <x:c r="Y67" s="139" t="n"/>
      <x:c r="Z67" s="139" t="n"/>
      <x:c r="AA67" s="139" t="n"/>
      <x:c r="AB67" s="139" t="n"/>
      <x:c r="AC67" s="139" t="n"/>
      <x:c r="AD67" s="139" t="n"/>
      <x:c r="AE67" s="139" t="n"/>
      <x:c r="AF67" s="139" t="n"/>
      <x:c r="AG67" s="139" t="n"/>
      <x:c r="AH67" s="139" t="n"/>
      <x:c r="AI67" s="139" t="n"/>
      <x:c r="AJ67" s="139" t="n"/>
      <x:c r="AK67" s="139" t="n"/>
      <x:c r="AL67" s="139" t="n"/>
      <x:c r="AM67" s="139" t="n"/>
      <x:c r="AN67" s="139" t="n"/>
      <x:c r="AO67" s="139" t="n"/>
      <x:c r="AP67" s="139" t="n"/>
      <x:c r="AQ67" s="139" t="n"/>
      <x:c r="AR67" s="139" t="n"/>
      <x:c r="AS67" s="139" t="n"/>
      <x:c r="AT67" s="139" t="n"/>
      <x:c r="AU67" s="139" t="n"/>
      <x:c r="AV67" s="139" t="n"/>
      <x:c r="AW67" s="139" t="n"/>
      <x:c r="AX67" s="139" t="n"/>
      <x:c r="AY67" s="139" t="n"/>
      <x:c r="AZ67" s="139" t="n"/>
    </x:row>
    <x:row r="68">
      <x:c r="A68" s="139" t="n"/>
      <x:c r="B68" s="139" t="n"/>
      <x:c r="C68" s="139" t="n"/>
      <x:c r="D68" s="139" t="n"/>
      <x:c r="E68" s="139" t="n"/>
      <x:c r="F68" s="139" t="n"/>
      <x:c r="G68" s="139" t="n"/>
      <x:c r="H68" s="139" t="n"/>
      <x:c r="I68" s="139" t="n"/>
      <x:c r="J68" s="139" t="n"/>
      <x:c r="K68" s="139" t="n"/>
      <x:c r="L68" s="139" t="n"/>
      <x:c r="M68" s="139" t="n"/>
      <x:c r="N68" s="139" t="n"/>
      <x:c r="O68" s="139" t="n"/>
      <x:c r="P68" s="139" t="n"/>
      <x:c r="Q68" s="139" t="n"/>
      <x:c r="R68" s="139" t="n"/>
      <x:c r="S68" s="139" t="n"/>
      <x:c r="T68" s="139" t="n"/>
      <x:c r="U68" s="139" t="n"/>
      <x:c r="V68" s="139" t="n"/>
      <x:c r="W68" s="139" t="n"/>
      <x:c r="X68" s="139" t="n"/>
      <x:c r="Y68" s="139" t="n"/>
      <x:c r="Z68" s="139" t="n"/>
      <x:c r="AA68" s="139" t="n"/>
      <x:c r="AB68" s="139" t="n"/>
      <x:c r="AC68" s="139" t="n"/>
      <x:c r="AD68" s="139" t="n"/>
      <x:c r="AE68" s="139" t="n"/>
      <x:c r="AF68" s="139" t="n"/>
      <x:c r="AG68" s="139" t="n"/>
      <x:c r="AH68" s="139" t="n"/>
      <x:c r="AI68" s="139" t="n"/>
      <x:c r="AJ68" s="139" t="n"/>
      <x:c r="AK68" s="139" t="n"/>
      <x:c r="AL68" s="139" t="n"/>
      <x:c r="AM68" s="139" t="n"/>
      <x:c r="AN68" s="139" t="n"/>
      <x:c r="AO68" s="139" t="n"/>
      <x:c r="AP68" s="139" t="n"/>
      <x:c r="AQ68" s="139" t="n"/>
      <x:c r="AR68" s="139" t="n"/>
      <x:c r="AS68" s="139" t="n"/>
      <x:c r="AT68" s="139" t="n"/>
      <x:c r="AU68" s="139" t="n"/>
      <x:c r="AV68" s="139" t="n"/>
      <x:c r="AW68" s="139" t="n"/>
      <x:c r="AX68" s="139" t="n"/>
      <x:c r="AY68" s="139" t="n"/>
      <x:c r="AZ68" s="139" t="n"/>
    </x:row>
    <x:row r="69">
      <x:c r="A69" s="139" t="n"/>
      <x:c r="B69" s="139" t="n"/>
      <x:c r="C69" s="139" t="n"/>
      <x:c r="D69" s="139" t="n"/>
      <x:c r="E69" s="139" t="n"/>
      <x:c r="F69" s="139" t="n"/>
      <x:c r="G69" s="139" t="n"/>
      <x:c r="H69" s="139" t="n"/>
      <x:c r="I69" s="139" t="n"/>
      <x:c r="J69" s="139" t="n"/>
      <x:c r="K69" s="139" t="n"/>
      <x:c r="L69" s="139" t="n"/>
      <x:c r="M69" s="139" t="n"/>
      <x:c r="N69" s="139" t="n"/>
      <x:c r="O69" s="139" t="n"/>
      <x:c r="P69" s="139" t="n"/>
      <x:c r="Q69" s="139" t="n"/>
      <x:c r="R69" s="139" t="n"/>
      <x:c r="S69" s="139" t="n"/>
      <x:c r="T69" s="139" t="n"/>
      <x:c r="U69" s="139" t="n"/>
      <x:c r="V69" s="139" t="n"/>
      <x:c r="W69" s="139" t="n"/>
      <x:c r="X69" s="139" t="n"/>
      <x:c r="Y69" s="139" t="n"/>
      <x:c r="Z69" s="139" t="n"/>
      <x:c r="AA69" s="139" t="n"/>
      <x:c r="AB69" s="139" t="n"/>
      <x:c r="AC69" s="139" t="n"/>
      <x:c r="AD69" s="139" t="n"/>
      <x:c r="AE69" s="139" t="n"/>
      <x:c r="AF69" s="139" t="n"/>
      <x:c r="AG69" s="139" t="n"/>
      <x:c r="AH69" s="139" t="n"/>
      <x:c r="AI69" s="139" t="n"/>
      <x:c r="AJ69" s="139" t="n"/>
      <x:c r="AK69" s="139" t="n"/>
      <x:c r="AL69" s="139" t="n"/>
      <x:c r="AM69" s="139" t="n"/>
      <x:c r="AN69" s="139" t="n"/>
      <x:c r="AO69" s="139" t="n"/>
      <x:c r="AP69" s="139" t="n"/>
      <x:c r="AQ69" s="139" t="n"/>
      <x:c r="AR69" s="139" t="n"/>
      <x:c r="AS69" s="139" t="n"/>
      <x:c r="AT69" s="139" t="n"/>
      <x:c r="AU69" s="139" t="n"/>
      <x:c r="AV69" s="139" t="n"/>
      <x:c r="AW69" s="139" t="n"/>
      <x:c r="AX69" s="139" t="n"/>
      <x:c r="AY69" s="139" t="n"/>
      <x:c r="AZ69" s="139" t="n"/>
    </x:row>
    <x:row r="70">
      <x:c r="A70" s="139" t="n"/>
      <x:c r="B70" s="139" t="n"/>
      <x:c r="C70" s="139" t="n"/>
      <x:c r="D70" s="139" t="n"/>
      <x:c r="E70" s="139" t="n"/>
      <x:c r="F70" s="139" t="n"/>
      <x:c r="G70" s="139" t="n"/>
      <x:c r="H70" s="139" t="n"/>
      <x:c r="I70" s="139" t="n"/>
      <x:c r="J70" s="139" t="n"/>
      <x:c r="K70" s="139" t="n"/>
      <x:c r="L70" s="139" t="n"/>
      <x:c r="M70" s="139" t="n"/>
      <x:c r="N70" s="139" t="n"/>
      <x:c r="O70" s="139" t="n"/>
      <x:c r="P70" s="139" t="n"/>
      <x:c r="Q70" s="139" t="n"/>
      <x:c r="R70" s="139" t="n"/>
      <x:c r="S70" s="139" t="n"/>
      <x:c r="T70" s="139" t="n"/>
      <x:c r="U70" s="139" t="n"/>
      <x:c r="V70" s="139" t="n"/>
      <x:c r="W70" s="139" t="n"/>
      <x:c r="X70" s="139" t="n"/>
      <x:c r="Y70" s="139" t="n"/>
      <x:c r="Z70" s="139" t="n"/>
      <x:c r="AA70" s="139" t="n"/>
      <x:c r="AB70" s="139" t="n"/>
      <x:c r="AC70" s="139" t="n"/>
      <x:c r="AD70" s="139" t="n"/>
      <x:c r="AE70" s="139" t="n"/>
      <x:c r="AF70" s="139" t="n"/>
      <x:c r="AG70" s="139" t="n"/>
      <x:c r="AH70" s="139" t="n"/>
      <x:c r="AI70" s="139" t="n"/>
      <x:c r="AJ70" s="139" t="n"/>
      <x:c r="AK70" s="139" t="n"/>
      <x:c r="AL70" s="139" t="n"/>
      <x:c r="AM70" s="139" t="n"/>
      <x:c r="AN70" s="139" t="n"/>
      <x:c r="AO70" s="139" t="n"/>
      <x:c r="AP70" s="139" t="n"/>
      <x:c r="AQ70" s="139" t="n"/>
      <x:c r="AR70" s="139" t="n"/>
      <x:c r="AS70" s="139" t="n"/>
      <x:c r="AT70" s="139" t="n"/>
      <x:c r="AU70" s="139" t="n"/>
      <x:c r="AV70" s="139" t="n"/>
      <x:c r="AW70" s="139" t="n"/>
      <x:c r="AX70" s="139" t="n"/>
      <x:c r="AY70" s="139" t="n"/>
      <x:c r="AZ70" s="139" t="n"/>
    </x:row>
    <x:row r="71">
      <x:c r="A71" s="139" t="n"/>
      <x:c r="B71" s="139" t="n"/>
      <x:c r="C71" s="139" t="n"/>
      <x:c r="D71" s="139" t="n"/>
      <x:c r="E71" s="139" t="n"/>
      <x:c r="F71" s="139" t="n"/>
      <x:c r="G71" s="139" t="n"/>
      <x:c r="H71" s="139" t="n"/>
      <x:c r="I71" s="139" t="n"/>
      <x:c r="J71" s="139" t="n"/>
      <x:c r="K71" s="139" t="n"/>
      <x:c r="L71" s="139" t="n"/>
      <x:c r="M71" s="139" t="n"/>
      <x:c r="N71" s="139" t="n"/>
      <x:c r="O71" s="139" t="n"/>
      <x:c r="P71" s="139" t="n"/>
      <x:c r="Q71" s="139" t="n"/>
      <x:c r="R71" s="139" t="n"/>
      <x:c r="S71" s="139" t="n"/>
      <x:c r="T71" s="139" t="n"/>
      <x:c r="U71" s="139" t="n"/>
      <x:c r="V71" s="139" t="n"/>
      <x:c r="W71" s="139" t="n"/>
      <x:c r="X71" s="139" t="n"/>
      <x:c r="Y71" s="139" t="n"/>
      <x:c r="Z71" s="139" t="n"/>
      <x:c r="AA71" s="139" t="n"/>
      <x:c r="AB71" s="139" t="n"/>
      <x:c r="AC71" s="139" t="n"/>
      <x:c r="AD71" s="139" t="n"/>
      <x:c r="AE71" s="139" t="n"/>
      <x:c r="AF71" s="139" t="n"/>
      <x:c r="AG71" s="139" t="n"/>
      <x:c r="AH71" s="139" t="n"/>
      <x:c r="AI71" s="139" t="n"/>
      <x:c r="AJ71" s="139" t="n"/>
      <x:c r="AK71" s="139" t="n"/>
      <x:c r="AL71" s="139" t="n"/>
      <x:c r="AM71" s="139" t="n"/>
      <x:c r="AN71" s="139" t="n"/>
      <x:c r="AO71" s="139" t="n"/>
      <x:c r="AP71" s="139" t="n"/>
      <x:c r="AQ71" s="139" t="n"/>
      <x:c r="AR71" s="139" t="n"/>
      <x:c r="AS71" s="139" t="n"/>
      <x:c r="AT71" s="139" t="n"/>
      <x:c r="AU71" s="139" t="n"/>
      <x:c r="AV71" s="139" t="n"/>
      <x:c r="AW71" s="139" t="n"/>
      <x:c r="AX71" s="139" t="n"/>
      <x:c r="AY71" s="139" t="n"/>
      <x:c r="AZ71" s="139" t="n"/>
    </x:row>
    <x:row r="72">
      <x:c r="A72" s="139" t="n"/>
      <x:c r="B72" s="139" t="n"/>
      <x:c r="C72" s="139" t="n"/>
      <x:c r="D72" s="139" t="n"/>
      <x:c r="E72" s="139" t="n"/>
      <x:c r="F72" s="139" t="n"/>
      <x:c r="G72" s="139" t="n"/>
      <x:c r="H72" s="139" t="n"/>
      <x:c r="I72" s="139" t="n"/>
      <x:c r="J72" s="139" t="n"/>
      <x:c r="K72" s="139" t="n"/>
      <x:c r="L72" s="139" t="n"/>
      <x:c r="M72" s="139" t="n"/>
      <x:c r="N72" s="139" t="n"/>
      <x:c r="O72" s="139" t="n"/>
      <x:c r="P72" s="139" t="n"/>
      <x:c r="Q72" s="139" t="n"/>
      <x:c r="R72" s="139" t="n"/>
      <x:c r="S72" s="139" t="n"/>
      <x:c r="T72" s="139" t="n"/>
      <x:c r="U72" s="139" t="n"/>
      <x:c r="V72" s="139" t="n"/>
      <x:c r="W72" s="139" t="n"/>
      <x:c r="X72" s="139" t="n"/>
      <x:c r="Y72" s="139" t="n"/>
      <x:c r="Z72" s="139" t="n"/>
      <x:c r="AA72" s="139" t="n"/>
      <x:c r="AB72" s="139" t="n"/>
      <x:c r="AC72" s="139" t="n"/>
      <x:c r="AD72" s="139" t="n"/>
      <x:c r="AE72" s="139" t="n"/>
      <x:c r="AF72" s="139" t="n"/>
      <x:c r="AG72" s="139" t="n"/>
      <x:c r="AH72" s="139" t="n"/>
      <x:c r="AI72" s="139" t="n"/>
      <x:c r="AJ72" s="139" t="n"/>
      <x:c r="AK72" s="139" t="n"/>
      <x:c r="AL72" s="139" t="n"/>
      <x:c r="AM72" s="139" t="n"/>
      <x:c r="AN72" s="139" t="n"/>
      <x:c r="AO72" s="139" t="n"/>
      <x:c r="AP72" s="139" t="n"/>
      <x:c r="AQ72" s="139" t="n"/>
      <x:c r="AR72" s="139" t="n"/>
      <x:c r="AS72" s="139" t="n"/>
      <x:c r="AT72" s="139" t="n"/>
      <x:c r="AU72" s="139" t="n"/>
      <x:c r="AV72" s="139" t="n"/>
      <x:c r="AW72" s="139" t="n"/>
      <x:c r="AX72" s="139" t="n"/>
      <x:c r="AY72" s="139" t="n"/>
      <x:c r="AZ72" s="139" t="n"/>
    </x:row>
    <x:row r="73">
      <x:c r="A73" s="139" t="n"/>
      <x:c r="B73" s="139" t="n"/>
      <x:c r="C73" s="139" t="n"/>
      <x:c r="D73" s="139" t="n"/>
      <x:c r="E73" s="139" t="n"/>
      <x:c r="F73" s="139" t="n"/>
      <x:c r="G73" s="139" t="n"/>
      <x:c r="H73" s="139" t="n"/>
      <x:c r="I73" s="139" t="n"/>
      <x:c r="J73" s="139" t="n"/>
      <x:c r="K73" s="139" t="n"/>
      <x:c r="L73" s="139" t="n"/>
      <x:c r="M73" s="139" t="n"/>
      <x:c r="N73" s="139" t="n"/>
      <x:c r="O73" s="139" t="n"/>
      <x:c r="P73" s="139" t="n"/>
      <x:c r="Q73" s="139" t="n"/>
      <x:c r="R73" s="139" t="n"/>
      <x:c r="S73" s="139" t="n"/>
      <x:c r="T73" s="139" t="n"/>
      <x:c r="U73" s="139" t="n"/>
      <x:c r="V73" s="139" t="n"/>
      <x:c r="W73" s="139" t="n"/>
      <x:c r="X73" s="139" t="n"/>
      <x:c r="Y73" s="139" t="n"/>
      <x:c r="Z73" s="139" t="n"/>
      <x:c r="AA73" s="139" t="n"/>
      <x:c r="AB73" s="139" t="n"/>
      <x:c r="AC73" s="139" t="n"/>
      <x:c r="AD73" s="139" t="n"/>
      <x:c r="AE73" s="139" t="n"/>
      <x:c r="AF73" s="139" t="n"/>
      <x:c r="AG73" s="139" t="n"/>
      <x:c r="AH73" s="139" t="n"/>
      <x:c r="AI73" s="139" t="n"/>
      <x:c r="AJ73" s="139" t="n"/>
      <x:c r="AK73" s="139" t="n"/>
      <x:c r="AL73" s="139" t="n"/>
      <x:c r="AM73" s="139" t="n"/>
      <x:c r="AN73" s="139" t="n"/>
      <x:c r="AO73" s="139" t="n"/>
      <x:c r="AP73" s="139" t="n"/>
      <x:c r="AQ73" s="139" t="n"/>
      <x:c r="AR73" s="139" t="n"/>
      <x:c r="AS73" s="139" t="n"/>
      <x:c r="AT73" s="139" t="n"/>
      <x:c r="AU73" s="139" t="n"/>
      <x:c r="AV73" s="139" t="n"/>
      <x:c r="AW73" s="139" t="n"/>
      <x:c r="AX73" s="139" t="n"/>
      <x:c r="AY73" s="139" t="n"/>
      <x:c r="AZ73" s="139" t="n"/>
    </x:row>
    <x:row r="74">
      <x:c r="A74" s="139" t="n"/>
      <x:c r="B74" s="139" t="n"/>
      <x:c r="C74" s="139" t="n"/>
      <x:c r="D74" s="139" t="n"/>
      <x:c r="E74" s="139" t="n"/>
      <x:c r="F74" s="139" t="n"/>
      <x:c r="G74" s="139" t="n"/>
      <x:c r="H74" s="139" t="n"/>
      <x:c r="I74" s="139" t="n"/>
      <x:c r="J74" s="139" t="n"/>
      <x:c r="K74" s="139" t="n"/>
      <x:c r="L74" s="139" t="n"/>
      <x:c r="M74" s="139" t="n"/>
      <x:c r="N74" s="139" t="n"/>
      <x:c r="O74" s="139" t="n"/>
      <x:c r="P74" s="139" t="n"/>
      <x:c r="Q74" s="139" t="n"/>
      <x:c r="R74" s="139" t="n"/>
      <x:c r="S74" s="139" t="n"/>
      <x:c r="T74" s="139" t="n"/>
      <x:c r="U74" s="139" t="n"/>
      <x:c r="V74" s="139" t="n"/>
      <x:c r="W74" s="139" t="n"/>
      <x:c r="X74" s="139" t="n"/>
      <x:c r="Y74" s="139" t="n"/>
      <x:c r="Z74" s="139" t="n"/>
      <x:c r="AA74" s="139" t="n"/>
      <x:c r="AB74" s="139" t="n"/>
      <x:c r="AC74" s="139" t="n"/>
      <x:c r="AD74" s="139" t="n"/>
      <x:c r="AE74" s="139" t="n"/>
      <x:c r="AF74" s="139" t="n"/>
      <x:c r="AG74" s="139" t="n"/>
      <x:c r="AH74" s="139" t="n"/>
      <x:c r="AI74" s="139" t="n"/>
      <x:c r="AJ74" s="139" t="n"/>
      <x:c r="AK74" s="139" t="n"/>
      <x:c r="AL74" s="139" t="n"/>
      <x:c r="AM74" s="139" t="n"/>
      <x:c r="AN74" s="139" t="n"/>
      <x:c r="AO74" s="139" t="n"/>
      <x:c r="AP74" s="139" t="n"/>
      <x:c r="AQ74" s="139" t="n"/>
      <x:c r="AR74" s="139" t="n"/>
      <x:c r="AS74" s="139" t="n"/>
      <x:c r="AT74" s="139" t="n"/>
      <x:c r="AU74" s="139" t="n"/>
      <x:c r="AV74" s="139" t="n"/>
      <x:c r="AW74" s="139" t="n"/>
      <x:c r="AX74" s="139" t="n"/>
      <x:c r="AY74" s="139" t="n"/>
      <x:c r="AZ74" s="139" t="n"/>
    </x:row>
    <x:row r="75">
      <x:c r="A75" s="139" t="n"/>
      <x:c r="B75" s="139" t="n"/>
      <x:c r="C75" s="139" t="n"/>
      <x:c r="D75" s="139" t="n"/>
      <x:c r="E75" s="139" t="n"/>
      <x:c r="F75" s="139" t="n"/>
      <x:c r="G75" s="139" t="n"/>
      <x:c r="H75" s="139" t="n"/>
      <x:c r="I75" s="139" t="n"/>
      <x:c r="J75" s="139" t="n"/>
      <x:c r="K75" s="139" t="n"/>
      <x:c r="L75" s="139" t="n"/>
      <x:c r="M75" s="139" t="n"/>
      <x:c r="N75" s="139" t="n"/>
      <x:c r="O75" s="139" t="n"/>
      <x:c r="P75" s="139" t="n"/>
      <x:c r="Q75" s="139" t="n"/>
      <x:c r="R75" s="139" t="n"/>
      <x:c r="S75" s="139" t="n"/>
      <x:c r="T75" s="139" t="n"/>
      <x:c r="U75" s="139" t="n"/>
      <x:c r="V75" s="139" t="n"/>
      <x:c r="W75" s="139" t="n"/>
      <x:c r="X75" s="139" t="n"/>
      <x:c r="Y75" s="139" t="n"/>
      <x:c r="Z75" s="139" t="n"/>
      <x:c r="AA75" s="139" t="n"/>
      <x:c r="AB75" s="139" t="n"/>
      <x:c r="AC75" s="139" t="n"/>
      <x:c r="AD75" s="139" t="n"/>
      <x:c r="AE75" s="139" t="n"/>
      <x:c r="AF75" s="139" t="n"/>
      <x:c r="AG75" s="139" t="n"/>
      <x:c r="AH75" s="139" t="n"/>
      <x:c r="AI75" s="139" t="n"/>
      <x:c r="AJ75" s="139" t="n"/>
      <x:c r="AK75" s="139" t="n"/>
      <x:c r="AL75" s="139" t="n"/>
      <x:c r="AM75" s="139" t="n"/>
      <x:c r="AN75" s="139" t="n"/>
      <x:c r="AO75" s="139" t="n"/>
      <x:c r="AP75" s="139" t="n"/>
      <x:c r="AQ75" s="139" t="n"/>
      <x:c r="AR75" s="139" t="n"/>
      <x:c r="AS75" s="139" t="n"/>
      <x:c r="AT75" s="139" t="n"/>
      <x:c r="AU75" s="139" t="n"/>
      <x:c r="AV75" s="139" t="n"/>
      <x:c r="AW75" s="139" t="n"/>
      <x:c r="AX75" s="139" t="n"/>
      <x:c r="AY75" s="139" t="n"/>
      <x:c r="AZ75" s="139" t="n"/>
    </x:row>
    <x:row r="76">
      <x:c r="A76" s="139" t="n"/>
      <x:c r="B76" s="139" t="n"/>
      <x:c r="C76" s="139" t="n"/>
      <x:c r="D76" s="139" t="n"/>
      <x:c r="E76" s="139" t="n"/>
      <x:c r="F76" s="139" t="n"/>
      <x:c r="G76" s="139" t="n"/>
      <x:c r="H76" s="139" t="n"/>
      <x:c r="I76" s="139" t="n"/>
      <x:c r="J76" s="139" t="n"/>
      <x:c r="K76" s="139" t="n"/>
      <x:c r="L76" s="139" t="n"/>
      <x:c r="M76" s="139" t="n"/>
      <x:c r="N76" s="139" t="n"/>
      <x:c r="O76" s="139" t="n"/>
      <x:c r="P76" s="139" t="n"/>
      <x:c r="Q76" s="139" t="n"/>
      <x:c r="R76" s="139" t="n"/>
      <x:c r="S76" s="139" t="n"/>
      <x:c r="T76" s="139" t="n"/>
      <x:c r="U76" s="139" t="n"/>
      <x:c r="V76" s="139" t="n"/>
      <x:c r="W76" s="139" t="n"/>
      <x:c r="X76" s="139" t="n"/>
      <x:c r="Y76" s="139" t="n"/>
      <x:c r="Z76" s="139" t="n"/>
      <x:c r="AA76" s="139" t="n"/>
      <x:c r="AB76" s="139" t="n"/>
      <x:c r="AC76" s="139" t="n"/>
      <x:c r="AD76" s="139" t="n"/>
      <x:c r="AE76" s="139" t="n"/>
      <x:c r="AF76" s="139" t="n"/>
      <x:c r="AG76" s="139" t="n"/>
      <x:c r="AH76" s="139" t="n"/>
      <x:c r="AI76" s="139" t="n"/>
      <x:c r="AJ76" s="139" t="n"/>
      <x:c r="AK76" s="139" t="n"/>
      <x:c r="AL76" s="139" t="n"/>
      <x:c r="AM76" s="139" t="n"/>
      <x:c r="AN76" s="139" t="n"/>
      <x:c r="AO76" s="139" t="n"/>
      <x:c r="AP76" s="139" t="n"/>
      <x:c r="AQ76" s="139" t="n"/>
      <x:c r="AR76" s="139" t="n"/>
      <x:c r="AS76" s="139" t="n"/>
      <x:c r="AT76" s="139" t="n"/>
      <x:c r="AU76" s="139" t="n"/>
      <x:c r="AV76" s="139" t="n"/>
      <x:c r="AW76" s="139" t="n"/>
      <x:c r="AX76" s="139" t="n"/>
      <x:c r="AY76" s="139" t="n"/>
      <x:c r="AZ76" s="139" t="n"/>
    </x:row>
    <x:row r="77">
      <x:c r="A77" s="139" t="n"/>
      <x:c r="B77" s="139" t="n"/>
      <x:c r="C77" s="139" t="n"/>
      <x:c r="D77" s="139" t="n"/>
      <x:c r="E77" s="139" t="n"/>
      <x:c r="F77" s="139" t="n"/>
      <x:c r="G77" s="139" t="n"/>
      <x:c r="H77" s="139" t="n"/>
      <x:c r="I77" s="139" t="n"/>
      <x:c r="J77" s="139" t="n"/>
      <x:c r="K77" s="139" t="n"/>
      <x:c r="L77" s="139" t="n"/>
      <x:c r="M77" s="139" t="n"/>
      <x:c r="N77" s="139" t="n"/>
      <x:c r="O77" s="139" t="n"/>
      <x:c r="P77" s="139" t="n"/>
      <x:c r="Q77" s="139" t="n"/>
      <x:c r="R77" s="139" t="n"/>
      <x:c r="S77" s="139" t="n"/>
      <x:c r="T77" s="139" t="n"/>
      <x:c r="U77" s="139" t="n"/>
      <x:c r="V77" s="139" t="n"/>
      <x:c r="W77" s="139" t="n"/>
      <x:c r="X77" s="139" t="n"/>
      <x:c r="Y77" s="139" t="n"/>
      <x:c r="Z77" s="139" t="n"/>
      <x:c r="AA77" s="139" t="n"/>
      <x:c r="AB77" s="139" t="n"/>
      <x:c r="AC77" s="139" t="n"/>
      <x:c r="AD77" s="139" t="n"/>
      <x:c r="AE77" s="139" t="n"/>
      <x:c r="AF77" s="139" t="n"/>
      <x:c r="AG77" s="139" t="n"/>
      <x:c r="AH77" s="139" t="n"/>
      <x:c r="AI77" s="139" t="n"/>
      <x:c r="AJ77" s="139" t="n"/>
      <x:c r="AK77" s="139" t="n"/>
      <x:c r="AL77" s="139" t="n"/>
      <x:c r="AM77" s="139" t="n"/>
      <x:c r="AN77" s="139" t="n"/>
      <x:c r="AO77" s="139" t="n"/>
      <x:c r="AP77" s="139" t="n"/>
      <x:c r="AQ77" s="139" t="n"/>
      <x:c r="AR77" s="139" t="n"/>
      <x:c r="AS77" s="139" t="n"/>
      <x:c r="AT77" s="139" t="n"/>
      <x:c r="AU77" s="139" t="n"/>
      <x:c r="AV77" s="139" t="n"/>
      <x:c r="AW77" s="139" t="n"/>
      <x:c r="AX77" s="139" t="n"/>
      <x:c r="AY77" s="139" t="n"/>
      <x:c r="AZ77" s="139" t="n"/>
    </x:row>
    <x:row r="78">
      <x:c r="A78" s="139" t="n"/>
      <x:c r="B78" s="139" t="n"/>
      <x:c r="C78" s="139" t="n"/>
      <x:c r="D78" s="139" t="n"/>
      <x:c r="E78" s="139" t="n"/>
      <x:c r="F78" s="139" t="n"/>
      <x:c r="G78" s="139" t="n"/>
      <x:c r="H78" s="139" t="n"/>
      <x:c r="I78" s="139" t="n"/>
      <x:c r="J78" s="139" t="n"/>
      <x:c r="K78" s="139" t="n"/>
      <x:c r="L78" s="139" t="n"/>
      <x:c r="M78" s="139" t="n"/>
      <x:c r="N78" s="139" t="n"/>
      <x:c r="O78" s="139" t="n"/>
      <x:c r="P78" s="139" t="n"/>
      <x:c r="Q78" s="139" t="n"/>
      <x:c r="R78" s="139" t="n"/>
      <x:c r="S78" s="139" t="n"/>
      <x:c r="T78" s="139" t="n"/>
      <x:c r="U78" s="139" t="n"/>
      <x:c r="V78" s="139" t="n"/>
      <x:c r="W78" s="139" t="n"/>
      <x:c r="X78" s="139" t="n"/>
      <x:c r="Y78" s="139" t="n"/>
      <x:c r="Z78" s="139" t="n"/>
      <x:c r="AA78" s="139" t="n"/>
      <x:c r="AB78" s="139" t="n"/>
      <x:c r="AC78" s="139" t="n"/>
      <x:c r="AD78" s="139" t="n"/>
      <x:c r="AE78" s="139" t="n"/>
      <x:c r="AF78" s="139" t="n"/>
      <x:c r="AG78" s="139" t="n"/>
      <x:c r="AH78" s="139" t="n"/>
      <x:c r="AI78" s="139" t="n"/>
      <x:c r="AJ78" s="139" t="n"/>
      <x:c r="AK78" s="139" t="n"/>
      <x:c r="AL78" s="139" t="n"/>
      <x:c r="AM78" s="139" t="n"/>
      <x:c r="AN78" s="139" t="n"/>
      <x:c r="AO78" s="139" t="n"/>
      <x:c r="AP78" s="139" t="n"/>
      <x:c r="AQ78" s="139" t="n"/>
      <x:c r="AR78" s="139" t="n"/>
      <x:c r="AS78" s="139" t="n"/>
      <x:c r="AT78" s="139" t="n"/>
      <x:c r="AU78" s="139" t="n"/>
      <x:c r="AV78" s="139" t="n"/>
      <x:c r="AW78" s="139" t="n"/>
      <x:c r="AX78" s="139" t="n"/>
      <x:c r="AY78" s="139" t="n"/>
      <x:c r="AZ78" s="139" t="n"/>
    </x:row>
    <x:row r="79">
      <x:c r="A79" s="139" t="n"/>
      <x:c r="B79" s="139" t="n"/>
      <x:c r="C79" s="139" t="n"/>
      <x:c r="D79" s="139" t="n"/>
      <x:c r="E79" s="139" t="n"/>
      <x:c r="F79" s="139" t="n"/>
      <x:c r="G79" s="139" t="n"/>
      <x:c r="H79" s="139" t="n"/>
      <x:c r="I79" s="139" t="n"/>
      <x:c r="J79" s="139" t="n"/>
      <x:c r="K79" s="139" t="n"/>
      <x:c r="L79" s="139" t="n"/>
      <x:c r="M79" s="139" t="n"/>
      <x:c r="N79" s="139" t="n"/>
      <x:c r="O79" s="139" t="n"/>
      <x:c r="P79" s="139" t="n"/>
      <x:c r="Q79" s="139" t="n"/>
      <x:c r="R79" s="139" t="n"/>
      <x:c r="S79" s="139" t="n"/>
      <x:c r="T79" s="139" t="n"/>
      <x:c r="U79" s="139" t="n"/>
      <x:c r="V79" s="139" t="n"/>
      <x:c r="W79" s="139" t="n"/>
      <x:c r="X79" s="139" t="n"/>
      <x:c r="Y79" s="139" t="n"/>
      <x:c r="Z79" s="139" t="n"/>
      <x:c r="AA79" s="139" t="n"/>
      <x:c r="AB79" s="139" t="n"/>
      <x:c r="AC79" s="139" t="n"/>
      <x:c r="AD79" s="139" t="n"/>
      <x:c r="AE79" s="139" t="n"/>
      <x:c r="AF79" s="139" t="n"/>
      <x:c r="AG79" s="139" t="n"/>
      <x:c r="AH79" s="139" t="n"/>
      <x:c r="AI79" s="139" t="n"/>
      <x:c r="AJ79" s="139" t="n"/>
      <x:c r="AK79" s="139" t="n"/>
      <x:c r="AL79" s="139" t="n"/>
      <x:c r="AM79" s="139" t="n"/>
      <x:c r="AN79" s="139" t="n"/>
      <x:c r="AO79" s="139" t="n"/>
      <x:c r="AP79" s="139" t="n"/>
      <x:c r="AQ79" s="139" t="n"/>
      <x:c r="AR79" s="139" t="n"/>
      <x:c r="AS79" s="139" t="n"/>
      <x:c r="AT79" s="139" t="n"/>
      <x:c r="AU79" s="139" t="n"/>
      <x:c r="AV79" s="139" t="n"/>
      <x:c r="AW79" s="139" t="n"/>
      <x:c r="AX79" s="139" t="n"/>
      <x:c r="AY79" s="139" t="n"/>
      <x:c r="AZ79" s="139" t="n"/>
    </x:row>
    <x:row r="80">
      <x:c r="A80" s="139" t="n"/>
      <x:c r="B80" s="139" t="n"/>
      <x:c r="C80" s="139" t="n"/>
      <x:c r="D80" s="139" t="n"/>
      <x:c r="E80" s="139" t="n"/>
      <x:c r="F80" s="139" t="n"/>
      <x:c r="G80" s="139" t="n"/>
      <x:c r="H80" s="139" t="n"/>
      <x:c r="I80" s="139" t="n"/>
      <x:c r="J80" s="139" t="n"/>
      <x:c r="K80" s="139" t="n"/>
      <x:c r="L80" s="139" t="n"/>
      <x:c r="M80" s="139" t="n"/>
      <x:c r="N80" s="139" t="n"/>
      <x:c r="O80" s="139" t="n"/>
      <x:c r="P80" s="139" t="n"/>
      <x:c r="Q80" s="139" t="n"/>
      <x:c r="R80" s="139" t="n"/>
      <x:c r="S80" s="139" t="n"/>
      <x:c r="T80" s="139" t="n"/>
      <x:c r="U80" s="139" t="n"/>
      <x:c r="V80" s="139" t="n"/>
      <x:c r="W80" s="139" t="n"/>
      <x:c r="X80" s="139" t="n"/>
      <x:c r="Y80" s="139" t="n"/>
      <x:c r="Z80" s="139" t="n"/>
      <x:c r="AA80" s="139" t="n"/>
      <x:c r="AB80" s="139" t="n"/>
      <x:c r="AC80" s="139" t="n"/>
      <x:c r="AD80" s="139" t="n"/>
      <x:c r="AE80" s="139" t="n"/>
      <x:c r="AF80" s="139" t="n"/>
      <x:c r="AG80" s="139" t="n"/>
      <x:c r="AH80" s="139" t="n"/>
      <x:c r="AI80" s="139" t="n"/>
      <x:c r="AJ80" s="139" t="n"/>
      <x:c r="AK80" s="139" t="n"/>
      <x:c r="AL80" s="139" t="n"/>
      <x:c r="AM80" s="139" t="n"/>
      <x:c r="AN80" s="139" t="n"/>
      <x:c r="AO80" s="139" t="n"/>
      <x:c r="AP80" s="139" t="n"/>
      <x:c r="AQ80" s="139" t="n"/>
      <x:c r="AR80" s="139" t="n"/>
      <x:c r="AS80" s="139" t="n"/>
      <x:c r="AT80" s="139" t="n"/>
      <x:c r="AU80" s="139" t="n"/>
      <x:c r="AV80" s="139" t="n"/>
      <x:c r="AW80" s="139" t="n"/>
      <x:c r="AX80" s="139" t="n"/>
      <x:c r="AY80" s="139" t="n"/>
      <x:c r="AZ80" s="139" t="n"/>
    </x:row>
    <x:row r="81">
      <x:c r="A81" s="139" t="n"/>
      <x:c r="B81" s="139" t="n"/>
      <x:c r="C81" s="139" t="n"/>
      <x:c r="D81" s="139" t="n"/>
      <x:c r="E81" s="139" t="n"/>
      <x:c r="F81" s="139" t="n"/>
      <x:c r="G81" s="139" t="n"/>
      <x:c r="H81" s="139" t="n"/>
      <x:c r="I81" s="139" t="n"/>
      <x:c r="J81" s="139" t="n"/>
      <x:c r="K81" s="139" t="n"/>
      <x:c r="L81" s="139" t="n"/>
      <x:c r="M81" s="139" t="n"/>
      <x:c r="N81" s="139" t="n"/>
      <x:c r="O81" s="139" t="n"/>
      <x:c r="P81" s="139" t="n"/>
      <x:c r="Q81" s="139" t="n"/>
      <x:c r="R81" s="139" t="n"/>
      <x:c r="S81" s="139" t="n"/>
      <x:c r="T81" s="139" t="n"/>
      <x:c r="U81" s="139" t="n"/>
      <x:c r="V81" s="139" t="n"/>
      <x:c r="W81" s="139" t="n"/>
      <x:c r="X81" s="139" t="n"/>
      <x:c r="Y81" s="139" t="n"/>
      <x:c r="Z81" s="139" t="n"/>
      <x:c r="AA81" s="139" t="n"/>
      <x:c r="AB81" s="139" t="n"/>
      <x:c r="AC81" s="139" t="n"/>
      <x:c r="AD81" s="139" t="n"/>
      <x:c r="AE81" s="139" t="n"/>
      <x:c r="AF81" s="139" t="n"/>
      <x:c r="AG81" s="139" t="n"/>
      <x:c r="AH81" s="139" t="n"/>
      <x:c r="AI81" s="139" t="n"/>
      <x:c r="AJ81" s="139" t="n"/>
      <x:c r="AK81" s="139" t="n"/>
      <x:c r="AL81" s="139" t="n"/>
      <x:c r="AM81" s="139" t="n"/>
      <x:c r="AN81" s="139" t="n"/>
      <x:c r="AO81" s="139" t="n"/>
      <x:c r="AP81" s="139" t="n"/>
      <x:c r="AQ81" s="139" t="n"/>
      <x:c r="AR81" s="139" t="n"/>
      <x:c r="AS81" s="139" t="n"/>
      <x:c r="AT81" s="139" t="n"/>
      <x:c r="AU81" s="139" t="n"/>
      <x:c r="AV81" s="139" t="n"/>
      <x:c r="AW81" s="139" t="n"/>
      <x:c r="AX81" s="139" t="n"/>
      <x:c r="AY81" s="139" t="n"/>
      <x:c r="AZ81" s="139" t="n"/>
    </x:row>
    <x:row r="82">
      <x:c r="A82" s="139" t="n"/>
      <x:c r="B82" s="139" t="n"/>
      <x:c r="C82" s="139" t="n"/>
      <x:c r="D82" s="139" t="n"/>
      <x:c r="E82" s="139" t="n"/>
      <x:c r="F82" s="139" t="n"/>
      <x:c r="G82" s="139" t="n"/>
      <x:c r="H82" s="139" t="n"/>
      <x:c r="I82" s="139" t="n"/>
      <x:c r="J82" s="139" t="n"/>
      <x:c r="K82" s="139" t="n"/>
      <x:c r="L82" s="139" t="n"/>
      <x:c r="M82" s="139" t="n"/>
      <x:c r="N82" s="139" t="n"/>
      <x:c r="O82" s="139" t="n"/>
      <x:c r="P82" s="139" t="n"/>
      <x:c r="Q82" s="139" t="n"/>
      <x:c r="R82" s="139" t="n"/>
      <x:c r="S82" s="139" t="n"/>
      <x:c r="T82" s="139" t="n"/>
      <x:c r="U82" s="139" t="n"/>
      <x:c r="V82" s="139" t="n"/>
      <x:c r="W82" s="139" t="n"/>
      <x:c r="X82" s="139" t="n"/>
      <x:c r="Y82" s="139" t="n"/>
      <x:c r="Z82" s="139" t="n"/>
      <x:c r="AA82" s="139" t="n"/>
      <x:c r="AB82" s="139" t="n"/>
      <x:c r="AC82" s="139" t="n"/>
      <x:c r="AD82" s="139" t="n"/>
      <x:c r="AE82" s="139" t="n"/>
      <x:c r="AF82" s="139" t="n"/>
      <x:c r="AG82" s="139" t="n"/>
      <x:c r="AH82" s="139" t="n"/>
      <x:c r="AI82" s="139" t="n"/>
      <x:c r="AJ82" s="139" t="n"/>
      <x:c r="AK82" s="139" t="n"/>
      <x:c r="AL82" s="139" t="n"/>
      <x:c r="AM82" s="139" t="n"/>
      <x:c r="AN82" s="139" t="n"/>
      <x:c r="AO82" s="139" t="n"/>
      <x:c r="AP82" s="139" t="n"/>
      <x:c r="AQ82" s="139" t="n"/>
      <x:c r="AR82" s="139" t="n"/>
      <x:c r="AS82" s="139" t="n"/>
      <x:c r="AT82" s="139" t="n"/>
      <x:c r="AU82" s="139" t="n"/>
      <x:c r="AV82" s="139" t="n"/>
      <x:c r="AW82" s="139" t="n"/>
      <x:c r="AX82" s="139" t="n"/>
      <x:c r="AY82" s="139" t="n"/>
      <x:c r="AZ82" s="139" t="n"/>
    </x:row>
    <x:row r="83">
      <x:c r="A83" s="139" t="n"/>
      <x:c r="B83" s="139" t="n"/>
      <x:c r="C83" s="139" t="n"/>
      <x:c r="D83" s="139" t="n"/>
      <x:c r="E83" s="139" t="n"/>
      <x:c r="F83" s="139" t="n"/>
      <x:c r="G83" s="139" t="n"/>
      <x:c r="H83" s="139" t="n"/>
      <x:c r="I83" s="139" t="n"/>
      <x:c r="J83" s="139" t="n"/>
      <x:c r="K83" s="139" t="n"/>
      <x:c r="L83" s="139" t="n"/>
      <x:c r="M83" s="139" t="n"/>
      <x:c r="N83" s="139" t="n"/>
      <x:c r="O83" s="139" t="n"/>
      <x:c r="P83" s="139" t="n"/>
      <x:c r="Q83" s="139" t="n"/>
      <x:c r="R83" s="139" t="n"/>
      <x:c r="S83" s="139" t="n"/>
      <x:c r="T83" s="139" t="n"/>
      <x:c r="U83" s="139" t="n"/>
      <x:c r="V83" s="139" t="n"/>
      <x:c r="W83" s="139" t="n"/>
      <x:c r="X83" s="139" t="n"/>
      <x:c r="Y83" s="139" t="n"/>
      <x:c r="Z83" s="139" t="n"/>
      <x:c r="AA83" s="139" t="n"/>
      <x:c r="AB83" s="139" t="n"/>
      <x:c r="AC83" s="139" t="n"/>
      <x:c r="AD83" s="139" t="n"/>
      <x:c r="AE83" s="139" t="n"/>
      <x:c r="AF83" s="139" t="n"/>
      <x:c r="AG83" s="139" t="n"/>
      <x:c r="AH83" s="139" t="n"/>
      <x:c r="AI83" s="139" t="n"/>
      <x:c r="AJ83" s="139" t="n"/>
      <x:c r="AK83" s="139" t="n"/>
      <x:c r="AL83" s="139" t="n"/>
      <x:c r="AM83" s="139" t="n"/>
      <x:c r="AN83" s="139" t="n"/>
      <x:c r="AO83" s="139" t="n"/>
      <x:c r="AP83" s="139" t="n"/>
      <x:c r="AQ83" s="139" t="n"/>
      <x:c r="AR83" s="139" t="n"/>
      <x:c r="AS83" s="139" t="n"/>
      <x:c r="AT83" s="139" t="n"/>
      <x:c r="AU83" s="139" t="n"/>
      <x:c r="AV83" s="139" t="n"/>
      <x:c r="AW83" s="139" t="n"/>
      <x:c r="AX83" s="139" t="n"/>
      <x:c r="AY83" s="139" t="n"/>
      <x:c r="AZ83" s="139" t="n"/>
    </x:row>
    <x:row r="84">
      <x:c r="A84" s="139" t="n"/>
      <x:c r="B84" s="139" t="n"/>
      <x:c r="C84" s="139" t="n"/>
      <x:c r="D84" s="139" t="n"/>
      <x:c r="E84" s="139" t="n"/>
      <x:c r="F84" s="139" t="n"/>
      <x:c r="G84" s="139" t="n"/>
      <x:c r="H84" s="139" t="n"/>
      <x:c r="I84" s="139" t="n"/>
      <x:c r="J84" s="139" t="n"/>
      <x:c r="K84" s="139" t="n"/>
      <x:c r="L84" s="139" t="n"/>
      <x:c r="M84" s="139" t="n"/>
      <x:c r="N84" s="139" t="n"/>
      <x:c r="O84" s="139" t="n"/>
      <x:c r="P84" s="139" t="n"/>
      <x:c r="Q84" s="139" t="n"/>
      <x:c r="R84" s="139" t="n"/>
      <x:c r="S84" s="139" t="n"/>
      <x:c r="T84" s="139" t="n"/>
      <x:c r="U84" s="139" t="n"/>
      <x:c r="V84" s="139" t="n"/>
      <x:c r="W84" s="139" t="n"/>
      <x:c r="X84" s="139" t="n"/>
      <x:c r="Y84" s="139" t="n"/>
      <x:c r="Z84" s="139" t="n"/>
      <x:c r="AA84" s="139" t="n"/>
      <x:c r="AB84" s="139" t="n"/>
      <x:c r="AC84" s="139" t="n"/>
      <x:c r="AD84" s="139" t="n"/>
      <x:c r="AE84" s="139" t="n"/>
      <x:c r="AF84" s="139" t="n"/>
      <x:c r="AG84" s="139" t="n"/>
      <x:c r="AH84" s="139" t="n"/>
      <x:c r="AI84" s="139" t="n"/>
      <x:c r="AJ84" s="139" t="n"/>
      <x:c r="AK84" s="139" t="n"/>
      <x:c r="AL84" s="139" t="n"/>
      <x:c r="AM84" s="139" t="n"/>
      <x:c r="AN84" s="139" t="n"/>
      <x:c r="AO84" s="139" t="n"/>
      <x:c r="AP84" s="139" t="n"/>
      <x:c r="AQ84" s="139" t="n"/>
      <x:c r="AR84" s="139" t="n"/>
      <x:c r="AS84" s="139" t="n"/>
      <x:c r="AT84" s="139" t="n"/>
      <x:c r="AU84" s="139" t="n"/>
      <x:c r="AV84" s="139" t="n"/>
      <x:c r="AW84" s="139" t="n"/>
      <x:c r="AX84" s="139" t="n"/>
      <x:c r="AY84" s="139" t="n"/>
      <x:c r="AZ84" s="139" t="n"/>
    </x:row>
    <x:row r="85">
      <x:c r="A85" s="139" t="n"/>
      <x:c r="B85" s="139" t="n"/>
      <x:c r="C85" s="139" t="n"/>
      <x:c r="D85" s="139" t="n"/>
      <x:c r="E85" s="139" t="n"/>
      <x:c r="F85" s="139" t="n"/>
      <x:c r="G85" s="139" t="n"/>
      <x:c r="H85" s="139" t="n"/>
      <x:c r="I85" s="139" t="n"/>
      <x:c r="J85" s="139" t="n"/>
      <x:c r="K85" s="139" t="n"/>
      <x:c r="L85" s="139" t="n"/>
      <x:c r="M85" s="139" t="n"/>
      <x:c r="N85" s="139" t="n"/>
      <x:c r="O85" s="139" t="n"/>
      <x:c r="P85" s="139" t="n"/>
      <x:c r="Q85" s="139" t="n"/>
      <x:c r="R85" s="139" t="n"/>
      <x:c r="S85" s="139" t="n"/>
      <x:c r="T85" s="139" t="n"/>
      <x:c r="U85" s="139" t="n"/>
      <x:c r="V85" s="139" t="n"/>
      <x:c r="W85" s="139" t="n"/>
      <x:c r="X85" s="139" t="n"/>
      <x:c r="Y85" s="139" t="n"/>
      <x:c r="Z85" s="139" t="n"/>
      <x:c r="AA85" s="139" t="n"/>
      <x:c r="AB85" s="139" t="n"/>
      <x:c r="AC85" s="139" t="n"/>
      <x:c r="AD85" s="139" t="n"/>
      <x:c r="AE85" s="139" t="n"/>
      <x:c r="AF85" s="139" t="n"/>
      <x:c r="AG85" s="139" t="n"/>
      <x:c r="AH85" s="139" t="n"/>
      <x:c r="AI85" s="139" t="n"/>
      <x:c r="AJ85" s="139" t="n"/>
      <x:c r="AK85" s="139" t="n"/>
      <x:c r="AL85" s="139" t="n"/>
      <x:c r="AM85" s="139" t="n"/>
      <x:c r="AN85" s="139" t="n"/>
      <x:c r="AO85" s="139" t="n"/>
      <x:c r="AP85" s="139" t="n"/>
      <x:c r="AQ85" s="139" t="n"/>
      <x:c r="AR85" s="139" t="n"/>
      <x:c r="AS85" s="139" t="n"/>
      <x:c r="AT85" s="139" t="n"/>
      <x:c r="AU85" s="139" t="n"/>
      <x:c r="AV85" s="139" t="n"/>
      <x:c r="AW85" s="139" t="n"/>
      <x:c r="AX85" s="139" t="n"/>
      <x:c r="AY85" s="139" t="n"/>
      <x:c r="AZ85" s="139" t="n"/>
    </x:row>
    <x:row r="86">
      <x:c r="A86" s="139" t="n"/>
      <x:c r="B86" s="139" t="n"/>
      <x:c r="C86" s="139" t="n"/>
      <x:c r="D86" s="139" t="n"/>
      <x:c r="E86" s="139" t="n"/>
      <x:c r="F86" s="139" t="n"/>
      <x:c r="G86" s="139" t="n"/>
      <x:c r="H86" s="139" t="n"/>
      <x:c r="I86" s="139" t="n"/>
      <x:c r="J86" s="139" t="n"/>
      <x:c r="K86" s="139" t="n"/>
      <x:c r="L86" s="139" t="n"/>
      <x:c r="M86" s="139" t="n"/>
      <x:c r="N86" s="139" t="n"/>
      <x:c r="O86" s="139" t="n"/>
      <x:c r="P86" s="139" t="n"/>
      <x:c r="Q86" s="139" t="n"/>
      <x:c r="R86" s="139" t="n"/>
      <x:c r="S86" s="139" t="n"/>
      <x:c r="T86" s="139" t="n"/>
      <x:c r="U86" s="139" t="n"/>
      <x:c r="V86" s="139" t="n"/>
      <x:c r="W86" s="139" t="n"/>
      <x:c r="X86" s="139" t="n"/>
      <x:c r="Y86" s="139" t="n"/>
      <x:c r="Z86" s="139" t="n"/>
      <x:c r="AA86" s="139" t="n"/>
      <x:c r="AB86" s="139" t="n"/>
      <x:c r="AC86" s="139" t="n"/>
      <x:c r="AD86" s="139" t="n"/>
      <x:c r="AE86" s="139" t="n"/>
      <x:c r="AF86" s="139" t="n"/>
      <x:c r="AG86" s="139" t="n"/>
      <x:c r="AH86" s="139" t="n"/>
      <x:c r="AI86" s="139" t="n"/>
      <x:c r="AJ86" s="139" t="n"/>
      <x:c r="AK86" s="139" t="n"/>
      <x:c r="AL86" s="139" t="n"/>
      <x:c r="AM86" s="139" t="n"/>
      <x:c r="AN86" s="139" t="n"/>
      <x:c r="AO86" s="139" t="n"/>
      <x:c r="AP86" s="139" t="n"/>
      <x:c r="AQ86" s="139" t="n"/>
      <x:c r="AR86" s="139" t="n"/>
      <x:c r="AS86" s="139" t="n"/>
      <x:c r="AT86" s="139" t="n"/>
      <x:c r="AU86" s="139" t="n"/>
      <x:c r="AV86" s="139" t="n"/>
      <x:c r="AW86" s="139" t="n"/>
      <x:c r="AX86" s="139" t="n"/>
      <x:c r="AY86" s="139" t="n"/>
      <x:c r="AZ86" s="139" t="n"/>
    </x:row>
    <x:row r="87">
      <x:c r="A87" s="139" t="n"/>
      <x:c r="B87" s="139" t="n"/>
      <x:c r="C87" s="139" t="n"/>
      <x:c r="D87" s="139" t="n"/>
      <x:c r="E87" s="139" t="n"/>
      <x:c r="F87" s="139" t="n"/>
      <x:c r="G87" s="139" t="n"/>
      <x:c r="H87" s="139" t="n"/>
      <x:c r="I87" s="139" t="n"/>
      <x:c r="J87" s="139" t="n"/>
      <x:c r="K87" s="139" t="n"/>
      <x:c r="L87" s="139" t="n"/>
      <x:c r="M87" s="139" t="n"/>
      <x:c r="N87" s="139" t="n"/>
      <x:c r="O87" s="139" t="n"/>
      <x:c r="P87" s="139" t="n"/>
      <x:c r="Q87" s="139" t="n"/>
      <x:c r="R87" s="139" t="n"/>
      <x:c r="S87" s="139" t="n"/>
      <x:c r="T87" s="139" t="n"/>
      <x:c r="U87" s="139" t="n"/>
      <x:c r="V87" s="139" t="n"/>
      <x:c r="W87" s="139" t="n"/>
      <x:c r="X87" s="139" t="n"/>
      <x:c r="Y87" s="139" t="n"/>
      <x:c r="Z87" s="139" t="n"/>
      <x:c r="AA87" s="139" t="n"/>
      <x:c r="AB87" s="139" t="n"/>
      <x:c r="AC87" s="139" t="n"/>
      <x:c r="AD87" s="139" t="n"/>
      <x:c r="AE87" s="139" t="n"/>
      <x:c r="AF87" s="139" t="n"/>
      <x:c r="AG87" s="139" t="n"/>
      <x:c r="AH87" s="139" t="n"/>
      <x:c r="AI87" s="139" t="n"/>
      <x:c r="AJ87" s="139" t="n"/>
      <x:c r="AK87" s="139" t="n"/>
      <x:c r="AL87" s="139" t="n"/>
      <x:c r="AM87" s="139" t="n"/>
      <x:c r="AN87" s="139" t="n"/>
      <x:c r="AO87" s="139" t="n"/>
      <x:c r="AP87" s="139" t="n"/>
      <x:c r="AQ87" s="139" t="n"/>
      <x:c r="AR87" s="139" t="n"/>
      <x:c r="AS87" s="139" t="n"/>
      <x:c r="AT87" s="139" t="n"/>
      <x:c r="AU87" s="139" t="n"/>
      <x:c r="AV87" s="139" t="n"/>
      <x:c r="AW87" s="139" t="n"/>
      <x:c r="AX87" s="139" t="n"/>
      <x:c r="AY87" s="139" t="n"/>
      <x:c r="AZ87" s="139" t="n"/>
    </x:row>
    <x:row r="88">
      <x:c r="A88" s="139" t="n"/>
      <x:c r="B88" s="139" t="n"/>
      <x:c r="C88" s="139" t="n"/>
      <x:c r="D88" s="139" t="n"/>
      <x:c r="E88" s="139" t="n"/>
      <x:c r="F88" s="139" t="n"/>
      <x:c r="G88" s="139" t="n"/>
      <x:c r="H88" s="139" t="n"/>
      <x:c r="I88" s="139" t="n"/>
      <x:c r="J88" s="139" t="n"/>
      <x:c r="K88" s="139" t="n"/>
      <x:c r="L88" s="139" t="n"/>
      <x:c r="M88" s="139" t="n"/>
      <x:c r="N88" s="139" t="n"/>
      <x:c r="O88" s="139" t="n"/>
      <x:c r="P88" s="139" t="n"/>
      <x:c r="Q88" s="139" t="n"/>
      <x:c r="R88" s="139" t="n"/>
      <x:c r="S88" s="139" t="n"/>
      <x:c r="T88" s="139" t="n"/>
      <x:c r="U88" s="139" t="n"/>
      <x:c r="V88" s="139" t="n"/>
      <x:c r="W88" s="139" t="n"/>
      <x:c r="X88" s="139" t="n"/>
      <x:c r="Y88" s="139" t="n"/>
      <x:c r="Z88" s="139" t="n"/>
      <x:c r="AA88" s="139" t="n"/>
      <x:c r="AB88" s="139" t="n"/>
      <x:c r="AC88" s="139" t="n"/>
      <x:c r="AD88" s="139" t="n"/>
      <x:c r="AE88" s="139" t="n"/>
      <x:c r="AF88" s="139" t="n"/>
      <x:c r="AG88" s="139" t="n"/>
      <x:c r="AH88" s="139" t="n"/>
      <x:c r="AI88" s="139" t="n"/>
      <x:c r="AJ88" s="139" t="n"/>
      <x:c r="AK88" s="139" t="n"/>
      <x:c r="AL88" s="139" t="n"/>
      <x:c r="AM88" s="139" t="n"/>
      <x:c r="AN88" s="139" t="n"/>
      <x:c r="AO88" s="139" t="n"/>
      <x:c r="AP88" s="139" t="n"/>
      <x:c r="AQ88" s="139" t="n"/>
      <x:c r="AR88" s="139" t="n"/>
      <x:c r="AS88" s="139" t="n"/>
      <x:c r="AT88" s="139" t="n"/>
      <x:c r="AU88" s="139" t="n"/>
      <x:c r="AV88" s="139" t="n"/>
      <x:c r="AW88" s="139" t="n"/>
      <x:c r="AX88" s="139" t="n"/>
      <x:c r="AY88" s="139" t="n"/>
      <x:c r="AZ88" s="139" t="n"/>
    </x:row>
    <x:row r="89">
      <x:c r="A89" s="139" t="n"/>
      <x:c r="B89" s="139" t="n"/>
      <x:c r="C89" s="139" t="n"/>
      <x:c r="D89" s="139" t="n"/>
      <x:c r="E89" s="139" t="n"/>
      <x:c r="F89" s="139" t="n"/>
      <x:c r="G89" s="139" t="n"/>
      <x:c r="H89" s="139" t="n"/>
      <x:c r="I89" s="139" t="n"/>
      <x:c r="J89" s="139" t="n"/>
      <x:c r="K89" s="139" t="n"/>
      <x:c r="L89" s="139" t="n"/>
      <x:c r="M89" s="139" t="n"/>
      <x:c r="N89" s="139" t="n"/>
      <x:c r="O89" s="139" t="n"/>
      <x:c r="P89" s="139" t="n"/>
      <x:c r="Q89" s="139" t="n"/>
      <x:c r="R89" s="139" t="n"/>
      <x:c r="S89" s="139" t="n"/>
      <x:c r="T89" s="139" t="n"/>
      <x:c r="U89" s="139" t="n"/>
      <x:c r="V89" s="139" t="n"/>
      <x:c r="W89" s="139" t="n"/>
      <x:c r="X89" s="139" t="n"/>
      <x:c r="Y89" s="139" t="n"/>
      <x:c r="Z89" s="139" t="n"/>
      <x:c r="AA89" s="139" t="n"/>
      <x:c r="AB89" s="139" t="n"/>
      <x:c r="AC89" s="139" t="n"/>
      <x:c r="AD89" s="139" t="n"/>
      <x:c r="AE89" s="139" t="n"/>
      <x:c r="AF89" s="139" t="n"/>
      <x:c r="AG89" s="139" t="n"/>
      <x:c r="AH89" s="139" t="n"/>
      <x:c r="AI89" s="139" t="n"/>
      <x:c r="AJ89" s="139" t="n"/>
      <x:c r="AK89" s="139" t="n"/>
      <x:c r="AL89" s="139" t="n"/>
      <x:c r="AM89" s="139" t="n"/>
      <x:c r="AN89" s="139" t="n"/>
      <x:c r="AO89" s="139" t="n"/>
      <x:c r="AP89" s="139" t="n"/>
      <x:c r="AQ89" s="139" t="n"/>
      <x:c r="AR89" s="139" t="n"/>
      <x:c r="AS89" s="139" t="n"/>
      <x:c r="AT89" s="139" t="n"/>
      <x:c r="AU89" s="139" t="n"/>
      <x:c r="AV89" s="139" t="n"/>
      <x:c r="AW89" s="139" t="n"/>
      <x:c r="AX89" s="139" t="n"/>
      <x:c r="AY89" s="139" t="n"/>
      <x:c r="AZ89" s="139" t="n"/>
    </x:row>
    <x:row r="90">
      <x:c r="A90" s="139" t="n"/>
      <x:c r="B90" s="139" t="n"/>
      <x:c r="C90" s="139" t="n"/>
      <x:c r="D90" s="139" t="n"/>
      <x:c r="E90" s="139" t="n"/>
      <x:c r="F90" s="139" t="n"/>
      <x:c r="G90" s="139" t="n"/>
      <x:c r="H90" s="139" t="n"/>
      <x:c r="I90" s="139" t="n"/>
      <x:c r="J90" s="139" t="n"/>
      <x:c r="K90" s="139" t="n"/>
      <x:c r="L90" s="139" t="n"/>
      <x:c r="M90" s="139" t="n"/>
      <x:c r="N90" s="139" t="n"/>
      <x:c r="O90" s="139" t="n"/>
      <x:c r="P90" s="139" t="n"/>
      <x:c r="Q90" s="139" t="n"/>
      <x:c r="R90" s="139" t="n"/>
      <x:c r="S90" s="139" t="n"/>
      <x:c r="T90" s="139" t="n"/>
      <x:c r="U90" s="139" t="n"/>
      <x:c r="V90" s="139" t="n"/>
      <x:c r="W90" s="139" t="n"/>
      <x:c r="X90" s="139" t="n"/>
      <x:c r="Y90" s="139" t="n"/>
      <x:c r="Z90" s="139" t="n"/>
      <x:c r="AA90" s="139" t="n"/>
      <x:c r="AB90" s="139" t="n"/>
      <x:c r="AC90" s="139" t="n"/>
      <x:c r="AD90" s="139" t="n"/>
      <x:c r="AE90" s="139" t="n"/>
      <x:c r="AF90" s="139" t="n"/>
      <x:c r="AG90" s="139" t="n"/>
      <x:c r="AH90" s="139" t="n"/>
      <x:c r="AI90" s="139" t="n"/>
      <x:c r="AJ90" s="139" t="n"/>
      <x:c r="AK90" s="139" t="n"/>
      <x:c r="AL90" s="139" t="n"/>
      <x:c r="AM90" s="139" t="n"/>
      <x:c r="AN90" s="139" t="n"/>
      <x:c r="AO90" s="139" t="n"/>
      <x:c r="AP90" s="139" t="n"/>
      <x:c r="AQ90" s="139" t="n"/>
      <x:c r="AR90" s="139" t="n"/>
      <x:c r="AS90" s="139" t="n"/>
      <x:c r="AT90" s="139" t="n"/>
      <x:c r="AU90" s="139" t="n"/>
      <x:c r="AV90" s="139" t="n"/>
      <x:c r="AW90" s="139" t="n"/>
      <x:c r="AX90" s="139" t="n"/>
      <x:c r="AY90" s="139" t="n"/>
      <x:c r="AZ90" s="139" t="n"/>
    </x:row>
    <x:row r="91">
      <x:c r="A91" s="139" t="n"/>
      <x:c r="B91" s="139" t="n"/>
      <x:c r="C91" s="139" t="n"/>
      <x:c r="D91" s="139" t="n"/>
      <x:c r="E91" s="139" t="n"/>
      <x:c r="F91" s="139" t="n"/>
      <x:c r="G91" s="139" t="n"/>
      <x:c r="H91" s="139" t="n"/>
      <x:c r="I91" s="139" t="n"/>
      <x:c r="J91" s="139" t="n"/>
      <x:c r="K91" s="139" t="n"/>
      <x:c r="L91" s="139" t="n"/>
      <x:c r="M91" s="139" t="n"/>
      <x:c r="N91" s="139" t="n"/>
      <x:c r="O91" s="139" t="n"/>
      <x:c r="P91" s="139" t="n"/>
      <x:c r="Q91" s="139" t="n"/>
      <x:c r="R91" s="139" t="n"/>
      <x:c r="S91" s="139" t="n"/>
      <x:c r="T91" s="139" t="n"/>
      <x:c r="U91" s="139" t="n"/>
      <x:c r="V91" s="139" t="n"/>
      <x:c r="W91" s="139" t="n"/>
      <x:c r="X91" s="139" t="n"/>
      <x:c r="Y91" s="139" t="n"/>
      <x:c r="Z91" s="139" t="n"/>
      <x:c r="AA91" s="139" t="n"/>
      <x:c r="AB91" s="139" t="n"/>
      <x:c r="AC91" s="139" t="n"/>
      <x:c r="AD91" s="139" t="n"/>
      <x:c r="AE91" s="139" t="n"/>
      <x:c r="AF91" s="139" t="n"/>
      <x:c r="AG91" s="139" t="n"/>
      <x:c r="AH91" s="139" t="n"/>
      <x:c r="AI91" s="139" t="n"/>
      <x:c r="AJ91" s="139" t="n"/>
      <x:c r="AK91" s="139" t="n"/>
      <x:c r="AL91" s="139" t="n"/>
      <x:c r="AM91" s="139" t="n"/>
      <x:c r="AN91" s="139" t="n"/>
      <x:c r="AO91" s="139" t="n"/>
      <x:c r="AP91" s="139" t="n"/>
      <x:c r="AQ91" s="139" t="n"/>
      <x:c r="AR91" s="139" t="n"/>
      <x:c r="AS91" s="139" t="n"/>
      <x:c r="AT91" s="139" t="n"/>
      <x:c r="AU91" s="139" t="n"/>
      <x:c r="AV91" s="139" t="n"/>
      <x:c r="AW91" s="139" t="n"/>
      <x:c r="AX91" s="139" t="n"/>
      <x:c r="AY91" s="139" t="n"/>
      <x:c r="AZ91" s="139" t="n"/>
    </x:row>
    <x:row r="92">
      <x:c r="A92" s="139" t="n"/>
      <x:c r="B92" s="139" t="n"/>
      <x:c r="C92" s="139" t="n"/>
      <x:c r="D92" s="139" t="n"/>
      <x:c r="E92" s="139" t="n"/>
      <x:c r="F92" s="139" t="n"/>
      <x:c r="G92" s="139" t="n"/>
      <x:c r="H92" s="139" t="n"/>
      <x:c r="I92" s="139" t="n"/>
      <x:c r="J92" s="139" t="n"/>
      <x:c r="K92" s="139" t="n"/>
      <x:c r="L92" s="139" t="n"/>
      <x:c r="M92" s="139" t="n"/>
      <x:c r="N92" s="139" t="n"/>
      <x:c r="O92" s="139" t="n"/>
      <x:c r="P92" s="139" t="n"/>
      <x:c r="Q92" s="139" t="n"/>
      <x:c r="R92" s="139" t="n"/>
      <x:c r="S92" s="139" t="n"/>
      <x:c r="T92" s="139" t="n"/>
      <x:c r="U92" s="139" t="n"/>
      <x:c r="V92" s="139" t="n"/>
      <x:c r="W92" s="139" t="n"/>
      <x:c r="X92" s="139" t="n"/>
      <x:c r="Y92" s="139" t="n"/>
      <x:c r="Z92" s="139" t="n"/>
      <x:c r="AA92" s="139" t="n"/>
      <x:c r="AB92" s="139" t="n"/>
      <x:c r="AC92" s="139" t="n"/>
      <x:c r="AD92" s="139" t="n"/>
      <x:c r="AE92" s="139" t="n"/>
      <x:c r="AF92" s="139" t="n"/>
      <x:c r="AG92" s="139" t="n"/>
      <x:c r="AH92" s="139" t="n"/>
      <x:c r="AI92" s="139" t="n"/>
      <x:c r="AJ92" s="139" t="n"/>
      <x:c r="AK92" s="139" t="n"/>
      <x:c r="AL92" s="139" t="n"/>
      <x:c r="AM92" s="139" t="n"/>
      <x:c r="AN92" s="139" t="n"/>
      <x:c r="AO92" s="139" t="n"/>
      <x:c r="AP92" s="139" t="n"/>
      <x:c r="AQ92" s="139" t="n"/>
      <x:c r="AR92" s="139" t="n"/>
      <x:c r="AS92" s="139" t="n"/>
      <x:c r="AT92" s="139" t="n"/>
      <x:c r="AU92" s="139" t="n"/>
      <x:c r="AV92" s="139" t="n"/>
      <x:c r="AW92" s="139" t="n"/>
      <x:c r="AX92" s="139" t="n"/>
      <x:c r="AY92" s="139" t="n"/>
      <x:c r="AZ92" s="139" t="n"/>
    </x:row>
    <x:row r="93">
      <x:c r="A93" s="139" t="n"/>
      <x:c r="B93" s="139" t="n"/>
      <x:c r="C93" s="139" t="n"/>
      <x:c r="D93" s="139" t="n"/>
      <x:c r="E93" s="139" t="n"/>
      <x:c r="F93" s="139" t="n"/>
      <x:c r="G93" s="139" t="n"/>
      <x:c r="H93" s="139" t="n"/>
      <x:c r="I93" s="139" t="n"/>
      <x:c r="J93" s="139" t="n"/>
      <x:c r="K93" s="139" t="n"/>
      <x:c r="L93" s="139" t="n"/>
      <x:c r="M93" s="139" t="n"/>
      <x:c r="N93" s="139" t="n"/>
      <x:c r="O93" s="139" t="n"/>
      <x:c r="P93" s="139" t="n"/>
      <x:c r="Q93" s="139" t="n"/>
      <x:c r="R93" s="139" t="n"/>
      <x:c r="S93" s="139" t="n"/>
      <x:c r="T93" s="139" t="n"/>
      <x:c r="U93" s="139" t="n"/>
      <x:c r="V93" s="139" t="n"/>
      <x:c r="W93" s="139" t="n"/>
      <x:c r="X93" s="139" t="n"/>
      <x:c r="Y93" s="139" t="n"/>
      <x:c r="Z93" s="139" t="n"/>
      <x:c r="AA93" s="139" t="n"/>
      <x:c r="AB93" s="139" t="n"/>
      <x:c r="AC93" s="139" t="n"/>
      <x:c r="AD93" s="139" t="n"/>
      <x:c r="AE93" s="139" t="n"/>
      <x:c r="AF93" s="139" t="n"/>
      <x:c r="AG93" s="139" t="n"/>
      <x:c r="AH93" s="139" t="n"/>
      <x:c r="AI93" s="139" t="n"/>
      <x:c r="AJ93" s="139" t="n"/>
      <x:c r="AK93" s="139" t="n"/>
      <x:c r="AL93" s="139" t="n"/>
      <x:c r="AM93" s="139" t="n"/>
      <x:c r="AN93" s="139" t="n"/>
      <x:c r="AO93" s="139" t="n"/>
      <x:c r="AP93" s="139" t="n"/>
      <x:c r="AQ93" s="139" t="n"/>
      <x:c r="AR93" s="139" t="n"/>
      <x:c r="AS93" s="139" t="n"/>
      <x:c r="AT93" s="139" t="n"/>
      <x:c r="AU93" s="139" t="n"/>
      <x:c r="AV93" s="139" t="n"/>
      <x:c r="AW93" s="139" t="n"/>
      <x:c r="AX93" s="139" t="n"/>
      <x:c r="AY93" s="139" t="n"/>
      <x:c r="AZ93" s="139" t="n"/>
    </x:row>
    <x:row r="94">
      <x:c r="A94" s="139" t="n"/>
      <x:c r="B94" s="139" t="n"/>
      <x:c r="C94" s="139" t="n"/>
      <x:c r="D94" s="139" t="n"/>
      <x:c r="E94" s="139" t="n"/>
      <x:c r="F94" s="139" t="n"/>
      <x:c r="G94" s="139" t="n"/>
      <x:c r="H94" s="139" t="n"/>
      <x:c r="I94" s="139" t="n"/>
      <x:c r="J94" s="139" t="n"/>
      <x:c r="K94" s="139" t="n"/>
      <x:c r="L94" s="139" t="n"/>
      <x:c r="M94" s="139" t="n"/>
      <x:c r="N94" s="139" t="n"/>
      <x:c r="O94" s="139" t="n"/>
      <x:c r="P94" s="139" t="n"/>
      <x:c r="Q94" s="139" t="n"/>
      <x:c r="R94" s="139" t="n"/>
      <x:c r="S94" s="139" t="n"/>
      <x:c r="T94" s="139" t="n"/>
      <x:c r="U94" s="139" t="n"/>
      <x:c r="V94" s="139" t="n"/>
      <x:c r="W94" s="139" t="n"/>
      <x:c r="X94" s="139" t="n"/>
      <x:c r="Y94" s="139" t="n"/>
      <x:c r="Z94" s="139" t="n"/>
      <x:c r="AA94" s="139" t="n"/>
      <x:c r="AB94" s="139" t="n"/>
      <x:c r="AC94" s="139" t="n"/>
      <x:c r="AD94" s="139" t="n"/>
      <x:c r="AE94" s="139" t="n"/>
      <x:c r="AF94" s="139" t="n"/>
      <x:c r="AG94" s="139" t="n"/>
      <x:c r="AH94" s="139" t="n"/>
      <x:c r="AI94" s="139" t="n"/>
      <x:c r="AJ94" s="139" t="n"/>
      <x:c r="AK94" s="139" t="n"/>
      <x:c r="AL94" s="139" t="n"/>
      <x:c r="AM94" s="139" t="n"/>
      <x:c r="AN94" s="139" t="n"/>
      <x:c r="AO94" s="139" t="n"/>
      <x:c r="AP94" s="139" t="n"/>
      <x:c r="AQ94" s="139" t="n"/>
      <x:c r="AR94" s="139" t="n"/>
      <x:c r="AS94" s="139" t="n"/>
      <x:c r="AT94" s="139" t="n"/>
      <x:c r="AU94" s="139" t="n"/>
      <x:c r="AV94" s="139" t="n"/>
      <x:c r="AW94" s="139" t="n"/>
      <x:c r="AX94" s="139" t="n"/>
      <x:c r="AY94" s="139" t="n"/>
      <x:c r="AZ94" s="139" t="n"/>
    </x:row>
    <x:row r="95">
      <x:c r="A95" s="139" t="n"/>
      <x:c r="B95" s="139" t="n"/>
      <x:c r="C95" s="139" t="n"/>
      <x:c r="D95" s="139" t="n"/>
      <x:c r="E95" s="139" t="n"/>
      <x:c r="F95" s="139" t="n"/>
      <x:c r="G95" s="139" t="n"/>
      <x:c r="H95" s="139" t="n"/>
      <x:c r="I95" s="139" t="n"/>
      <x:c r="J95" s="139" t="n"/>
      <x:c r="K95" s="139" t="n"/>
      <x:c r="L95" s="139" t="n"/>
      <x:c r="M95" s="139" t="n"/>
      <x:c r="N95" s="139" t="n"/>
      <x:c r="O95" s="139" t="n"/>
      <x:c r="P95" s="139" t="n"/>
      <x:c r="Q95" s="139" t="n"/>
      <x:c r="R95" s="139" t="n"/>
      <x:c r="S95" s="139" t="n"/>
      <x:c r="T95" s="139" t="n"/>
      <x:c r="U95" s="139" t="n"/>
      <x:c r="V95" s="139" t="n"/>
      <x:c r="W95" s="139" t="n"/>
      <x:c r="X95" s="139" t="n"/>
      <x:c r="Y95" s="139" t="n"/>
      <x:c r="Z95" s="139" t="n"/>
      <x:c r="AA95" s="139" t="n"/>
      <x:c r="AB95" s="139" t="n"/>
      <x:c r="AC95" s="139" t="n"/>
      <x:c r="AD95" s="139" t="n"/>
      <x:c r="AE95" s="139" t="n"/>
      <x:c r="AF95" s="139" t="n"/>
      <x:c r="AG95" s="139" t="n"/>
      <x:c r="AH95" s="139" t="n"/>
      <x:c r="AI95" s="139" t="n"/>
      <x:c r="AJ95" s="139" t="n"/>
      <x:c r="AK95" s="139" t="n"/>
      <x:c r="AL95" s="139" t="n"/>
      <x:c r="AM95" s="139" t="n"/>
      <x:c r="AN95" s="139" t="n"/>
      <x:c r="AO95" s="139" t="n"/>
      <x:c r="AP95" s="139" t="n"/>
      <x:c r="AQ95" s="139" t="n"/>
      <x:c r="AR95" s="139" t="n"/>
      <x:c r="AS95" s="139" t="n"/>
      <x:c r="AT95" s="139" t="n"/>
      <x:c r="AU95" s="139" t="n"/>
      <x:c r="AV95" s="139" t="n"/>
      <x:c r="AW95" s="139" t="n"/>
      <x:c r="AX95" s="139" t="n"/>
      <x:c r="AY95" s="139" t="n"/>
      <x:c r="AZ95" s="139" t="n"/>
    </x:row>
    <x:row r="96">
      <x:c r="A96" s="139" t="n"/>
      <x:c r="B96" s="139" t="n"/>
      <x:c r="C96" s="139" t="n"/>
      <x:c r="D96" s="139" t="n"/>
      <x:c r="E96" s="139" t="n"/>
      <x:c r="F96" s="139" t="n"/>
      <x:c r="G96" s="139" t="n"/>
      <x:c r="H96" s="139" t="n"/>
      <x:c r="I96" s="139" t="n"/>
      <x:c r="J96" s="139" t="n"/>
      <x:c r="K96" s="139" t="n"/>
      <x:c r="L96" s="139" t="n"/>
      <x:c r="M96" s="139" t="n"/>
      <x:c r="N96" s="139" t="n"/>
      <x:c r="O96" s="139" t="n"/>
      <x:c r="P96" s="139" t="n"/>
      <x:c r="Q96" s="139" t="n"/>
      <x:c r="R96" s="139" t="n"/>
      <x:c r="S96" s="139" t="n"/>
      <x:c r="T96" s="139" t="n"/>
      <x:c r="U96" s="139" t="n"/>
      <x:c r="V96" s="139" t="n"/>
      <x:c r="W96" s="139" t="n"/>
      <x:c r="X96" s="139" t="n"/>
      <x:c r="Y96" s="139" t="n"/>
      <x:c r="Z96" s="139" t="n"/>
      <x:c r="AA96" s="139" t="n"/>
      <x:c r="AB96" s="139" t="n"/>
      <x:c r="AC96" s="139" t="n"/>
      <x:c r="AD96" s="139" t="n"/>
      <x:c r="AE96" s="139" t="n"/>
      <x:c r="AF96" s="139" t="n"/>
      <x:c r="AG96" s="139" t="n"/>
      <x:c r="AH96" s="139" t="n"/>
      <x:c r="AI96" s="139" t="n"/>
      <x:c r="AJ96" s="139" t="n"/>
      <x:c r="AK96" s="139" t="n"/>
      <x:c r="AL96" s="139" t="n"/>
      <x:c r="AM96" s="139" t="n"/>
      <x:c r="AN96" s="139" t="n"/>
      <x:c r="AO96" s="139" t="n"/>
      <x:c r="AP96" s="139" t="n"/>
      <x:c r="AQ96" s="139" t="n"/>
      <x:c r="AR96" s="139" t="n"/>
      <x:c r="AS96" s="139" t="n"/>
      <x:c r="AT96" s="139" t="n"/>
      <x:c r="AU96" s="139" t="n"/>
      <x:c r="AV96" s="139" t="n"/>
      <x:c r="AW96" s="139" t="n"/>
      <x:c r="AX96" s="139" t="n"/>
      <x:c r="AY96" s="139" t="n"/>
      <x:c r="AZ96" s="139" t="n"/>
    </x:row>
    <x:row r="97">
      <x:c r="A97" s="139" t="n"/>
      <x:c r="B97" s="139" t="n"/>
      <x:c r="C97" s="139" t="n"/>
      <x:c r="D97" s="139" t="n"/>
      <x:c r="E97" s="139" t="n"/>
      <x:c r="F97" s="139" t="n"/>
      <x:c r="G97" s="139" t="n"/>
      <x:c r="H97" s="139" t="n"/>
      <x:c r="I97" s="139" t="n"/>
      <x:c r="J97" s="139" t="n"/>
      <x:c r="K97" s="139" t="n"/>
      <x:c r="L97" s="139" t="n"/>
      <x:c r="M97" s="139" t="n"/>
      <x:c r="N97" s="139" t="n"/>
      <x:c r="O97" s="139" t="n"/>
      <x:c r="P97" s="139" t="n"/>
      <x:c r="Q97" s="139" t="n"/>
      <x:c r="R97" s="139" t="n"/>
      <x:c r="S97" s="139" t="n"/>
      <x:c r="T97" s="139" t="n"/>
      <x:c r="U97" s="139" t="n"/>
      <x:c r="V97" s="139" t="n"/>
      <x:c r="W97" s="139" t="n"/>
      <x:c r="X97" s="139" t="n"/>
      <x:c r="Y97" s="139" t="n"/>
      <x:c r="Z97" s="139" t="n"/>
      <x:c r="AA97" s="139" t="n"/>
      <x:c r="AB97" s="139" t="n"/>
      <x:c r="AC97" s="139" t="n"/>
      <x:c r="AD97" s="139" t="n"/>
      <x:c r="AE97" s="139" t="n"/>
      <x:c r="AF97" s="139" t="n"/>
      <x:c r="AG97" s="139" t="n"/>
      <x:c r="AH97" s="139" t="n"/>
      <x:c r="AI97" s="139" t="n"/>
      <x:c r="AJ97" s="139" t="n"/>
      <x:c r="AK97" s="139" t="n"/>
      <x:c r="AL97" s="139" t="n"/>
      <x:c r="AM97" s="139" t="n"/>
      <x:c r="AN97" s="139" t="n"/>
      <x:c r="AO97" s="139" t="n"/>
      <x:c r="AP97" s="139" t="n"/>
      <x:c r="AQ97" s="139" t="n"/>
      <x:c r="AR97" s="139" t="n"/>
      <x:c r="AS97" s="139" t="n"/>
      <x:c r="AT97" s="139" t="n"/>
      <x:c r="AU97" s="139" t="n"/>
      <x:c r="AV97" s="139" t="n"/>
      <x:c r="AW97" s="139" t="n"/>
      <x:c r="AX97" s="139" t="n"/>
      <x:c r="AY97" s="139" t="n"/>
      <x:c r="AZ97" s="139" t="n"/>
    </x:row>
    <x:row r="98">
      <x:c r="A98" s="139" t="n"/>
      <x:c r="B98" s="139" t="n"/>
      <x:c r="C98" s="139" t="n"/>
      <x:c r="D98" s="139" t="n"/>
      <x:c r="E98" s="139" t="n"/>
      <x:c r="F98" s="139" t="n"/>
      <x:c r="G98" s="139" t="n"/>
      <x:c r="H98" s="139" t="n"/>
      <x:c r="I98" s="139" t="n"/>
      <x:c r="J98" s="139" t="n"/>
      <x:c r="K98" s="139" t="n"/>
      <x:c r="L98" s="139" t="n"/>
      <x:c r="M98" s="139" t="n"/>
      <x:c r="N98" s="139" t="n"/>
      <x:c r="O98" s="139" t="n"/>
      <x:c r="P98" s="139" t="n"/>
      <x:c r="Q98" s="139" t="n"/>
      <x:c r="R98" s="139" t="n"/>
      <x:c r="S98" s="139" t="n"/>
      <x:c r="T98" s="139" t="n"/>
      <x:c r="U98" s="139" t="n"/>
      <x:c r="V98" s="139" t="n"/>
      <x:c r="W98" s="139" t="n"/>
      <x:c r="X98" s="139" t="n"/>
      <x:c r="Y98" s="139" t="n"/>
      <x:c r="Z98" s="139" t="n"/>
      <x:c r="AA98" s="139" t="n"/>
      <x:c r="AB98" s="139" t="n"/>
      <x:c r="AC98" s="139" t="n"/>
      <x:c r="AD98" s="139" t="n"/>
      <x:c r="AE98" s="139" t="n"/>
      <x:c r="AF98" s="139" t="n"/>
      <x:c r="AG98" s="139" t="n"/>
      <x:c r="AH98" s="139" t="n"/>
      <x:c r="AI98" s="139" t="n"/>
      <x:c r="AJ98" s="139" t="n"/>
      <x:c r="AK98" s="139" t="n"/>
      <x:c r="AL98" s="139" t="n"/>
      <x:c r="AM98" s="139" t="n"/>
      <x:c r="AN98" s="139" t="n"/>
      <x:c r="AO98" s="139" t="n"/>
      <x:c r="AP98" s="139" t="n"/>
      <x:c r="AQ98" s="139" t="n"/>
      <x:c r="AR98" s="139" t="n"/>
      <x:c r="AS98" s="139" t="n"/>
      <x:c r="AT98" s="139" t="n"/>
      <x:c r="AU98" s="139" t="n"/>
      <x:c r="AV98" s="139" t="n"/>
      <x:c r="AW98" s="139" t="n"/>
      <x:c r="AX98" s="139" t="n"/>
      <x:c r="AY98" s="139" t="n"/>
      <x:c r="AZ98" s="139" t="n"/>
    </x:row>
    <x:row r="99">
      <x:c r="A99" s="139" t="n"/>
      <x:c r="B99" s="139" t="n"/>
      <x:c r="C99" s="139" t="n"/>
      <x:c r="D99" s="139" t="n"/>
      <x:c r="E99" s="139" t="n"/>
      <x:c r="F99" s="139" t="n"/>
      <x:c r="G99" s="139" t="n"/>
      <x:c r="H99" s="139" t="n"/>
      <x:c r="I99" s="139" t="n"/>
      <x:c r="J99" s="139" t="n"/>
      <x:c r="K99" s="139" t="n"/>
      <x:c r="L99" s="139" t="n"/>
      <x:c r="M99" s="139" t="n"/>
      <x:c r="N99" s="139" t="n"/>
      <x:c r="O99" s="139" t="n"/>
      <x:c r="P99" s="139" t="n"/>
      <x:c r="Q99" s="139" t="n"/>
      <x:c r="R99" s="139" t="n"/>
      <x:c r="S99" s="139" t="n"/>
      <x:c r="T99" s="139" t="n"/>
      <x:c r="U99" s="139" t="n"/>
      <x:c r="V99" s="139" t="n"/>
      <x:c r="W99" s="139" t="n"/>
      <x:c r="X99" s="139" t="n"/>
      <x:c r="Y99" s="139" t="n"/>
      <x:c r="Z99" s="139" t="n"/>
      <x:c r="AA99" s="139" t="n"/>
      <x:c r="AB99" s="139" t="n"/>
      <x:c r="AC99" s="139" t="n"/>
      <x:c r="AD99" s="139" t="n"/>
      <x:c r="AE99" s="139" t="n"/>
      <x:c r="AF99" s="139" t="n"/>
      <x:c r="AG99" s="139" t="n"/>
      <x:c r="AH99" s="139" t="n"/>
      <x:c r="AI99" s="139" t="n"/>
      <x:c r="AJ99" s="139" t="n"/>
      <x:c r="AK99" s="139" t="n"/>
      <x:c r="AL99" s="139" t="n"/>
      <x:c r="AM99" s="139" t="n"/>
      <x:c r="AN99" s="139" t="n"/>
      <x:c r="AO99" s="139" t="n"/>
      <x:c r="AP99" s="139" t="n"/>
      <x:c r="AQ99" s="139" t="n"/>
      <x:c r="AR99" s="139" t="n"/>
      <x:c r="AS99" s="139" t="n"/>
      <x:c r="AT99" s="139" t="n"/>
      <x:c r="AU99" s="139" t="n"/>
      <x:c r="AV99" s="139" t="n"/>
      <x:c r="AW99" s="139" t="n"/>
      <x:c r="AX99" s="139" t="n"/>
      <x:c r="AY99" s="139" t="n"/>
      <x:c r="AZ99" s="139" t="n"/>
    </x:row>
    <x:row r="100">
      <x:c r="A100" s="139" t="n"/>
      <x:c r="B100" s="139" t="n"/>
      <x:c r="C100" s="139" t="n"/>
      <x:c r="D100" s="139" t="n"/>
      <x:c r="E100" s="139" t="n"/>
      <x:c r="F100" s="139" t="n"/>
      <x:c r="G100" s="139" t="n"/>
      <x:c r="H100" s="139" t="n"/>
      <x:c r="I100" s="139" t="n"/>
      <x:c r="J100" s="139" t="n"/>
      <x:c r="K100" s="139" t="n"/>
      <x:c r="L100" s="139" t="n"/>
      <x:c r="M100" s="139" t="n"/>
      <x:c r="N100" s="139" t="n"/>
      <x:c r="O100" s="139" t="n"/>
      <x:c r="P100" s="139" t="n"/>
      <x:c r="Q100" s="139" t="n"/>
      <x:c r="R100" s="139" t="n"/>
      <x:c r="S100" s="139" t="n"/>
      <x:c r="T100" s="139" t="n"/>
      <x:c r="U100" s="139" t="n"/>
      <x:c r="V100" s="139" t="n"/>
      <x:c r="W100" s="139" t="n"/>
      <x:c r="X100" s="139" t="n"/>
      <x:c r="Y100" s="139" t="n"/>
      <x:c r="Z100" s="139" t="n"/>
      <x:c r="AA100" s="139" t="n"/>
      <x:c r="AB100" s="139" t="n"/>
      <x:c r="AC100" s="139" t="n"/>
      <x:c r="AD100" s="139" t="n"/>
      <x:c r="AE100" s="139" t="n"/>
      <x:c r="AF100" s="139" t="n"/>
      <x:c r="AG100" s="139" t="n"/>
      <x:c r="AH100" s="139" t="n"/>
      <x:c r="AI100" s="139" t="n"/>
      <x:c r="AJ100" s="139" t="n"/>
      <x:c r="AK100" s="139" t="n"/>
      <x:c r="AL100" s="139" t="n"/>
      <x:c r="AM100" s="139" t="n"/>
      <x:c r="AN100" s="139" t="n"/>
      <x:c r="AO100" s="139" t="n"/>
      <x:c r="AP100" s="139" t="n"/>
      <x:c r="AQ100" s="139" t="n"/>
      <x:c r="AR100" s="139" t="n"/>
      <x:c r="AS100" s="139" t="n"/>
      <x:c r="AT100" s="139" t="n"/>
      <x:c r="AU100" s="139" t="n"/>
      <x:c r="AV100" s="139" t="n"/>
      <x:c r="AW100" s="139" t="n"/>
      <x:c r="AX100" s="139" t="n"/>
      <x:c r="AY100" s="139" t="n"/>
      <x:c r="AZ100" s="139" t="n"/>
    </x:row>
    <x:row r="101">
      <x:c r="A101" s="139" t="n"/>
      <x:c r="B101" s="139" t="n"/>
      <x:c r="C101" s="139" t="n"/>
      <x:c r="D101" s="139" t="n"/>
      <x:c r="E101" s="139" t="n"/>
      <x:c r="F101" s="139" t="n"/>
      <x:c r="G101" s="139" t="n"/>
      <x:c r="H101" s="139" t="n"/>
      <x:c r="I101" s="139" t="n"/>
      <x:c r="J101" s="139" t="n"/>
      <x:c r="K101" s="139" t="n"/>
      <x:c r="L101" s="139" t="n"/>
      <x:c r="M101" s="139" t="n"/>
      <x:c r="N101" s="139" t="n"/>
      <x:c r="O101" s="139" t="n"/>
      <x:c r="P101" s="139" t="n"/>
      <x:c r="Q101" s="139" t="n"/>
      <x:c r="R101" s="139" t="n"/>
      <x:c r="S101" s="139" t="n"/>
      <x:c r="T101" s="139" t="n"/>
      <x:c r="U101" s="139" t="n"/>
      <x:c r="V101" s="139" t="n"/>
      <x:c r="W101" s="139" t="n"/>
      <x:c r="X101" s="139" t="n"/>
      <x:c r="Y101" s="139" t="n"/>
      <x:c r="Z101" s="139" t="n"/>
      <x:c r="AA101" s="139" t="n"/>
      <x:c r="AB101" s="139" t="n"/>
      <x:c r="AC101" s="139" t="n"/>
      <x:c r="AD101" s="139" t="n"/>
      <x:c r="AE101" s="139" t="n"/>
      <x:c r="AF101" s="139" t="n"/>
      <x:c r="AG101" s="139" t="n"/>
      <x:c r="AH101" s="139" t="n"/>
      <x:c r="AI101" s="139" t="n"/>
      <x:c r="AJ101" s="139" t="n"/>
      <x:c r="AK101" s="139" t="n"/>
      <x:c r="AL101" s="139" t="n"/>
      <x:c r="AM101" s="139" t="n"/>
      <x:c r="AN101" s="139" t="n"/>
      <x:c r="AO101" s="139" t="n"/>
      <x:c r="AP101" s="139" t="n"/>
      <x:c r="AQ101" s="139" t="n"/>
      <x:c r="AR101" s="139" t="n"/>
      <x:c r="AS101" s="139" t="n"/>
      <x:c r="AT101" s="139" t="n"/>
      <x:c r="AU101" s="139" t="n"/>
      <x:c r="AV101" s="139" t="n"/>
      <x:c r="AW101" s="139" t="n"/>
      <x:c r="AX101" s="139" t="n"/>
      <x:c r="AY101" s="139" t="n"/>
      <x:c r="AZ101" s="139" t="n"/>
    </x:row>
    <x:row r="102">
      <x:c r="A102" s="139" t="n"/>
      <x:c r="B102" s="139" t="n"/>
      <x:c r="C102" s="139" t="n"/>
      <x:c r="D102" s="139" t="n"/>
      <x:c r="E102" s="139" t="n"/>
      <x:c r="F102" s="139" t="n"/>
      <x:c r="G102" s="139" t="n"/>
      <x:c r="H102" s="139" t="n"/>
      <x:c r="I102" s="139" t="n"/>
      <x:c r="J102" s="139" t="n"/>
      <x:c r="K102" s="139" t="n"/>
      <x:c r="L102" s="139" t="n"/>
      <x:c r="M102" s="139" t="n"/>
      <x:c r="N102" s="139" t="n"/>
      <x:c r="O102" s="139" t="n"/>
      <x:c r="P102" s="139" t="n"/>
      <x:c r="Q102" s="139" t="n"/>
      <x:c r="R102" s="139" t="n"/>
      <x:c r="S102" s="139" t="n"/>
      <x:c r="T102" s="139" t="n"/>
      <x:c r="U102" s="139" t="n"/>
      <x:c r="V102" s="139" t="n"/>
      <x:c r="W102" s="139" t="n"/>
      <x:c r="X102" s="139" t="n"/>
      <x:c r="Y102" s="139" t="n"/>
      <x:c r="Z102" s="139" t="n"/>
      <x:c r="AA102" s="139" t="n"/>
      <x:c r="AB102" s="139" t="n"/>
      <x:c r="AC102" s="139" t="n"/>
      <x:c r="AD102" s="139" t="n"/>
      <x:c r="AE102" s="139" t="n"/>
      <x:c r="AF102" s="139" t="n"/>
      <x:c r="AG102" s="139" t="n"/>
      <x:c r="AH102" s="139" t="n"/>
      <x:c r="AI102" s="139" t="n"/>
      <x:c r="AJ102" s="139" t="n"/>
      <x:c r="AK102" s="139" t="n"/>
      <x:c r="AL102" s="139" t="n"/>
      <x:c r="AM102" s="139" t="n"/>
      <x:c r="AN102" s="139" t="n"/>
      <x:c r="AO102" s="139" t="n"/>
      <x:c r="AP102" s="139" t="n"/>
      <x:c r="AQ102" s="139" t="n"/>
      <x:c r="AR102" s="139" t="n"/>
      <x:c r="AS102" s="139" t="n"/>
      <x:c r="AT102" s="139" t="n"/>
      <x:c r="AU102" s="139" t="n"/>
      <x:c r="AV102" s="139" t="n"/>
      <x:c r="AW102" s="139" t="n"/>
      <x:c r="AX102" s="139" t="n"/>
      <x:c r="AY102" s="139" t="n"/>
      <x:c r="AZ102" s="139" t="n"/>
    </x:row>
    <x:row r="103">
      <x:c r="A103" s="139" t="n"/>
      <x:c r="B103" s="139" t="n"/>
      <x:c r="C103" s="139" t="n"/>
      <x:c r="D103" s="139" t="n"/>
      <x:c r="E103" s="139" t="n"/>
      <x:c r="F103" s="139" t="n"/>
      <x:c r="G103" s="139" t="n"/>
      <x:c r="H103" s="139" t="n"/>
      <x:c r="I103" s="139" t="n"/>
      <x:c r="J103" s="139" t="n"/>
      <x:c r="K103" s="139" t="n"/>
      <x:c r="L103" s="139" t="n"/>
      <x:c r="M103" s="139" t="n"/>
      <x:c r="N103" s="139" t="n"/>
      <x:c r="O103" s="139" t="n"/>
      <x:c r="P103" s="139" t="n"/>
      <x:c r="Q103" s="139" t="n"/>
      <x:c r="R103" s="139" t="n"/>
      <x:c r="S103" s="139" t="n"/>
      <x:c r="T103" s="139" t="n"/>
      <x:c r="U103" s="139" t="n"/>
      <x:c r="V103" s="139" t="n"/>
      <x:c r="W103" s="139" t="n"/>
      <x:c r="X103" s="139" t="n"/>
      <x:c r="Y103" s="139" t="n"/>
      <x:c r="Z103" s="139" t="n"/>
      <x:c r="AA103" s="139" t="n"/>
      <x:c r="AB103" s="139" t="n"/>
      <x:c r="AC103" s="139" t="n"/>
      <x:c r="AD103" s="139" t="n"/>
      <x:c r="AE103" s="139" t="n"/>
      <x:c r="AF103" s="139" t="n"/>
      <x:c r="AG103" s="139" t="n"/>
      <x:c r="AH103" s="139" t="n"/>
      <x:c r="AI103" s="139" t="n"/>
      <x:c r="AJ103" s="139" t="n"/>
      <x:c r="AK103" s="139" t="n"/>
      <x:c r="AL103" s="139" t="n"/>
      <x:c r="AM103" s="139" t="n"/>
      <x:c r="AN103" s="139" t="n"/>
      <x:c r="AO103" s="139" t="n"/>
      <x:c r="AP103" s="139" t="n"/>
      <x:c r="AQ103" s="139" t="n"/>
      <x:c r="AR103" s="139" t="n"/>
      <x:c r="AS103" s="139" t="n"/>
      <x:c r="AT103" s="139" t="n"/>
      <x:c r="AU103" s="139" t="n"/>
      <x:c r="AV103" s="139" t="n"/>
      <x:c r="AW103" s="139" t="n"/>
      <x:c r="AX103" s="139" t="n"/>
      <x:c r="AY103" s="139" t="n"/>
      <x:c r="AZ103" s="139" t="n"/>
    </x:row>
    <x:row r="104">
      <x:c r="A104" s="139" t="n"/>
      <x:c r="B104" s="139" t="n"/>
      <x:c r="C104" s="139" t="n"/>
      <x:c r="D104" s="139" t="n"/>
      <x:c r="E104" s="139" t="n"/>
      <x:c r="F104" s="139" t="n"/>
      <x:c r="G104" s="139" t="n"/>
      <x:c r="H104" s="139" t="n"/>
      <x:c r="I104" s="139" t="n"/>
      <x:c r="J104" s="139" t="n"/>
      <x:c r="K104" s="139" t="n"/>
      <x:c r="L104" s="139" t="n"/>
      <x:c r="M104" s="139" t="n"/>
      <x:c r="N104" s="139" t="n"/>
      <x:c r="O104" s="139" t="n"/>
      <x:c r="P104" s="139" t="n"/>
      <x:c r="Q104" s="139" t="n"/>
      <x:c r="R104" s="139" t="n"/>
      <x:c r="S104" s="139" t="n"/>
      <x:c r="T104" s="139" t="n"/>
      <x:c r="U104" s="139" t="n"/>
      <x:c r="V104" s="139" t="n"/>
      <x:c r="W104" s="139" t="n"/>
      <x:c r="X104" s="139" t="n"/>
      <x:c r="Y104" s="139" t="n"/>
      <x:c r="Z104" s="139" t="n"/>
      <x:c r="AA104" s="139" t="n"/>
      <x:c r="AB104" s="139" t="n"/>
      <x:c r="AC104" s="139" t="n"/>
      <x:c r="AD104" s="139" t="n"/>
      <x:c r="AE104" s="139" t="n"/>
      <x:c r="AF104" s="139" t="n"/>
      <x:c r="AG104" s="139" t="n"/>
      <x:c r="AH104" s="139" t="n"/>
      <x:c r="AI104" s="139" t="n"/>
      <x:c r="AJ104" s="139" t="n"/>
      <x:c r="AK104" s="139" t="n"/>
      <x:c r="AL104" s="139" t="n"/>
      <x:c r="AM104" s="139" t="n"/>
      <x:c r="AN104" s="139" t="n"/>
      <x:c r="AO104" s="139" t="n"/>
      <x:c r="AP104" s="139" t="n"/>
      <x:c r="AQ104" s="139" t="n"/>
      <x:c r="AR104" s="139" t="n"/>
      <x:c r="AS104" s="139" t="n"/>
      <x:c r="AT104" s="139" t="n"/>
      <x:c r="AU104" s="139" t="n"/>
      <x:c r="AV104" s="139" t="n"/>
      <x:c r="AW104" s="139" t="n"/>
      <x:c r="AX104" s="139" t="n"/>
      <x:c r="AY104" s="139" t="n"/>
      <x:c r="AZ104" s="139" t="n"/>
    </x:row>
    <x:row r="105">
      <x:c r="A105" s="139" t="n"/>
      <x:c r="B105" s="139" t="n"/>
      <x:c r="C105" s="139" t="n"/>
      <x:c r="D105" s="139" t="n"/>
      <x:c r="E105" s="139" t="n"/>
      <x:c r="F105" s="139" t="n"/>
      <x:c r="G105" s="139" t="n"/>
      <x:c r="H105" s="139" t="n"/>
      <x:c r="I105" s="139" t="n"/>
      <x:c r="J105" s="139" t="n"/>
      <x:c r="K105" s="139" t="n"/>
      <x:c r="L105" s="139" t="n"/>
      <x:c r="M105" s="139" t="n"/>
      <x:c r="N105" s="139" t="n"/>
      <x:c r="O105" s="139" t="n"/>
      <x:c r="P105" s="139" t="n"/>
      <x:c r="Q105" s="139" t="n"/>
      <x:c r="R105" s="139" t="n"/>
      <x:c r="S105" s="139" t="n"/>
      <x:c r="T105" s="139" t="n"/>
      <x:c r="U105" s="139" t="n"/>
      <x:c r="V105" s="139" t="n"/>
      <x:c r="W105" s="139" t="n"/>
      <x:c r="X105" s="139" t="n"/>
      <x:c r="Y105" s="139" t="n"/>
      <x:c r="Z105" s="139" t="n"/>
      <x:c r="AA105" s="139" t="n"/>
      <x:c r="AB105" s="139" t="n"/>
      <x:c r="AC105" s="139" t="n"/>
      <x:c r="AD105" s="139" t="n"/>
      <x:c r="AE105" s="139" t="n"/>
      <x:c r="AF105" s="139" t="n"/>
      <x:c r="AG105" s="139" t="n"/>
      <x:c r="AH105" s="139" t="n"/>
      <x:c r="AI105" s="139" t="n"/>
      <x:c r="AJ105" s="139" t="n"/>
      <x:c r="AK105" s="139" t="n"/>
      <x:c r="AL105" s="139" t="n"/>
      <x:c r="AM105" s="139" t="n"/>
      <x:c r="AN105" s="139" t="n"/>
      <x:c r="AO105" s="139" t="n"/>
      <x:c r="AP105" s="139" t="n"/>
      <x:c r="AQ105" s="139" t="n"/>
      <x:c r="AR105" s="139" t="n"/>
      <x:c r="AS105" s="139" t="n"/>
      <x:c r="AT105" s="139" t="n"/>
      <x:c r="AU105" s="139" t="n"/>
      <x:c r="AV105" s="139" t="n"/>
      <x:c r="AW105" s="139" t="n"/>
      <x:c r="AX105" s="139" t="n"/>
      <x:c r="AY105" s="139" t="n"/>
      <x:c r="AZ105" s="139" t="n"/>
    </x:row>
    <x:row r="106">
      <x:c r="A106" s="139" t="n"/>
      <x:c r="B106" s="139" t="n"/>
      <x:c r="C106" s="139" t="n"/>
      <x:c r="D106" s="139" t="n"/>
      <x:c r="E106" s="139" t="n"/>
      <x:c r="F106" s="139" t="n"/>
      <x:c r="G106" s="139" t="n"/>
      <x:c r="H106" s="139" t="n"/>
      <x:c r="I106" s="139" t="n"/>
      <x:c r="J106" s="139" t="n"/>
      <x:c r="K106" s="139" t="n"/>
      <x:c r="L106" s="139" t="n"/>
      <x:c r="M106" s="139" t="n"/>
      <x:c r="N106" s="139" t="n"/>
      <x:c r="O106" s="139" t="n"/>
      <x:c r="P106" s="139" t="n"/>
      <x:c r="Q106" s="139" t="n"/>
      <x:c r="R106" s="139" t="n"/>
      <x:c r="S106" s="139" t="n"/>
      <x:c r="T106" s="139" t="n"/>
      <x:c r="U106" s="139" t="n"/>
      <x:c r="V106" s="139" t="n"/>
      <x:c r="W106" s="139" t="n"/>
      <x:c r="X106" s="139" t="n"/>
      <x:c r="Y106" s="139" t="n"/>
      <x:c r="Z106" s="139" t="n"/>
      <x:c r="AA106" s="139" t="n"/>
      <x:c r="AB106" s="139" t="n"/>
      <x:c r="AC106" s="139" t="n"/>
      <x:c r="AD106" s="139" t="n"/>
      <x:c r="AE106" s="139" t="n"/>
      <x:c r="AF106" s="139" t="n"/>
      <x:c r="AG106" s="139" t="n"/>
      <x:c r="AH106" s="139" t="n"/>
      <x:c r="AI106" s="139" t="n"/>
      <x:c r="AJ106" s="139" t="n"/>
      <x:c r="AK106" s="139" t="n"/>
      <x:c r="AL106" s="139" t="n"/>
      <x:c r="AM106" s="139" t="n"/>
      <x:c r="AN106" s="139" t="n"/>
      <x:c r="AO106" s="139" t="n"/>
      <x:c r="AP106" s="139" t="n"/>
      <x:c r="AQ106" s="139" t="n"/>
      <x:c r="AR106" s="139" t="n"/>
      <x:c r="AS106" s="139" t="n"/>
      <x:c r="AT106" s="139" t="n"/>
      <x:c r="AU106" s="139" t="n"/>
      <x:c r="AV106" s="139" t="n"/>
      <x:c r="AW106" s="139" t="n"/>
      <x:c r="AX106" s="139" t="n"/>
      <x:c r="AY106" s="139" t="n"/>
      <x:c r="AZ106" s="139" t="n"/>
    </x:row>
    <x:row r="107">
      <x:c r="A107" s="139" t="n"/>
      <x:c r="B107" s="139" t="n"/>
      <x:c r="C107" s="139" t="n"/>
      <x:c r="D107" s="139" t="n"/>
      <x:c r="E107" s="139" t="n"/>
      <x:c r="F107" s="139" t="n"/>
      <x:c r="G107" s="139" t="n"/>
      <x:c r="H107" s="139" t="n"/>
      <x:c r="I107" s="139" t="n"/>
      <x:c r="J107" s="139" t="n"/>
      <x:c r="K107" s="139" t="n"/>
      <x:c r="L107" s="139" t="n"/>
      <x:c r="M107" s="139" t="n"/>
      <x:c r="N107" s="139" t="n"/>
      <x:c r="O107" s="139" t="n"/>
      <x:c r="P107" s="139" t="n"/>
      <x:c r="Q107" s="139" t="n"/>
      <x:c r="R107" s="139" t="n"/>
      <x:c r="S107" s="139" t="n"/>
      <x:c r="T107" s="139" t="n"/>
      <x:c r="U107" s="139" t="n"/>
      <x:c r="V107" s="139" t="n"/>
      <x:c r="W107" s="139" t="n"/>
      <x:c r="X107" s="139" t="n"/>
      <x:c r="Y107" s="139" t="n"/>
      <x:c r="Z107" s="139" t="n"/>
      <x:c r="AA107" s="139" t="n"/>
      <x:c r="AB107" s="139" t="n"/>
      <x:c r="AC107" s="139" t="n"/>
      <x:c r="AD107" s="139" t="n"/>
      <x:c r="AE107" s="139" t="n"/>
      <x:c r="AF107" s="139" t="n"/>
      <x:c r="AG107" s="139" t="n"/>
      <x:c r="AH107" s="139" t="n"/>
      <x:c r="AI107" s="139" t="n"/>
      <x:c r="AJ107" s="139" t="n"/>
      <x:c r="AK107" s="139" t="n"/>
      <x:c r="AL107" s="139" t="n"/>
      <x:c r="AM107" s="139" t="n"/>
      <x:c r="AN107" s="139" t="n"/>
      <x:c r="AO107" s="139" t="n"/>
      <x:c r="AP107" s="139" t="n"/>
      <x:c r="AQ107" s="139" t="n"/>
      <x:c r="AR107" s="139" t="n"/>
      <x:c r="AS107" s="139" t="n"/>
      <x:c r="AT107" s="139" t="n"/>
      <x:c r="AU107" s="139" t="n"/>
      <x:c r="AV107" s="139" t="n"/>
      <x:c r="AW107" s="139" t="n"/>
      <x:c r="AX107" s="139" t="n"/>
      <x:c r="AY107" s="139" t="n"/>
      <x:c r="AZ107" s="139" t="n"/>
    </x:row>
    <x:row r="108">
      <x:c r="A108" s="139" t="n"/>
      <x:c r="B108" s="139" t="n"/>
      <x:c r="C108" s="139" t="n"/>
      <x:c r="D108" s="139" t="n"/>
      <x:c r="E108" s="139" t="n"/>
      <x:c r="F108" s="139" t="n"/>
      <x:c r="G108" s="139" t="n"/>
      <x:c r="H108" s="139" t="n"/>
      <x:c r="I108" s="139" t="n"/>
      <x:c r="J108" s="139" t="n"/>
      <x:c r="K108" s="139" t="n"/>
      <x:c r="L108" s="139" t="n"/>
      <x:c r="M108" s="139" t="n"/>
      <x:c r="N108" s="139" t="n"/>
      <x:c r="O108" s="139" t="n"/>
      <x:c r="P108" s="139" t="n"/>
      <x:c r="Q108" s="139" t="n"/>
      <x:c r="R108" s="139" t="n"/>
      <x:c r="S108" s="139" t="n"/>
      <x:c r="T108" s="139" t="n"/>
      <x:c r="U108" s="139" t="n"/>
      <x:c r="V108" s="139" t="n"/>
      <x:c r="W108" s="139" t="n"/>
      <x:c r="X108" s="139" t="n"/>
      <x:c r="Y108" s="139" t="n"/>
      <x:c r="Z108" s="139" t="n"/>
      <x:c r="AA108" s="139" t="n"/>
      <x:c r="AB108" s="139" t="n"/>
      <x:c r="AC108" s="139" t="n"/>
      <x:c r="AD108" s="139" t="n"/>
      <x:c r="AE108" s="139" t="n"/>
      <x:c r="AF108" s="139" t="n"/>
      <x:c r="AG108" s="139" t="n"/>
      <x:c r="AH108" s="139" t="n"/>
      <x:c r="AI108" s="139" t="n"/>
      <x:c r="AJ108" s="139" t="n"/>
      <x:c r="AK108" s="139" t="n"/>
      <x:c r="AL108" s="139" t="n"/>
      <x:c r="AM108" s="139" t="n"/>
      <x:c r="AN108" s="139" t="n"/>
      <x:c r="AO108" s="139" t="n"/>
      <x:c r="AP108" s="139" t="n"/>
      <x:c r="AQ108" s="139" t="n"/>
      <x:c r="AR108" s="139" t="n"/>
      <x:c r="AS108" s="139" t="n"/>
      <x:c r="AT108" s="139" t="n"/>
      <x:c r="AU108" s="139" t="n"/>
      <x:c r="AV108" s="139" t="n"/>
      <x:c r="AW108" s="139" t="n"/>
      <x:c r="AX108" s="139" t="n"/>
      <x:c r="AY108" s="139" t="n"/>
      <x:c r="AZ108" s="139" t="n"/>
    </x:row>
    <x:row r="109">
      <x:c r="A109" s="139" t="n"/>
      <x:c r="B109" s="139" t="n"/>
      <x:c r="C109" s="139" t="n"/>
      <x:c r="D109" s="139" t="n"/>
      <x:c r="E109" s="139" t="n"/>
      <x:c r="F109" s="139" t="n"/>
      <x:c r="G109" s="139" t="n"/>
      <x:c r="H109" s="139" t="n"/>
      <x:c r="I109" s="139" t="n"/>
      <x:c r="J109" s="139" t="n"/>
      <x:c r="K109" s="139" t="n"/>
      <x:c r="L109" s="139" t="n"/>
      <x:c r="M109" s="139" t="n"/>
      <x:c r="N109" s="139" t="n"/>
      <x:c r="O109" s="139" t="n"/>
      <x:c r="P109" s="139" t="n"/>
      <x:c r="Q109" s="139" t="n"/>
      <x:c r="R109" s="139" t="n"/>
      <x:c r="S109" s="139" t="n"/>
      <x:c r="T109" s="139" t="n"/>
      <x:c r="U109" s="139" t="n"/>
      <x:c r="V109" s="139" t="n"/>
      <x:c r="W109" s="139" t="n"/>
      <x:c r="X109" s="139" t="n"/>
      <x:c r="Y109" s="139" t="n"/>
      <x:c r="Z109" s="139" t="n"/>
      <x:c r="AA109" s="139" t="n"/>
      <x:c r="AB109" s="139" t="n"/>
      <x:c r="AC109" s="139" t="n"/>
      <x:c r="AD109" s="139" t="n"/>
      <x:c r="AE109" s="139" t="n"/>
      <x:c r="AF109" s="139" t="n"/>
      <x:c r="AG109" s="139" t="n"/>
      <x:c r="AH109" s="139" t="n"/>
      <x:c r="AI109" s="139" t="n"/>
      <x:c r="AJ109" s="139" t="n"/>
      <x:c r="AK109" s="139" t="n"/>
      <x:c r="AL109" s="139" t="n"/>
      <x:c r="AM109" s="139" t="n"/>
      <x:c r="AN109" s="139" t="n"/>
      <x:c r="AO109" s="139" t="n"/>
      <x:c r="AP109" s="139" t="n"/>
      <x:c r="AQ109" s="139" t="n"/>
      <x:c r="AR109" s="139" t="n"/>
      <x:c r="AS109" s="139" t="n"/>
      <x:c r="AT109" s="139" t="n"/>
      <x:c r="AU109" s="139" t="n"/>
      <x:c r="AV109" s="139" t="n"/>
      <x:c r="AW109" s="139" t="n"/>
      <x:c r="AX109" s="139" t="n"/>
      <x:c r="AY109" s="139" t="n"/>
      <x:c r="AZ109" s="139" t="n"/>
    </x:row>
    <x:row r="110">
      <x:c r="A110" s="139" t="n"/>
      <x:c r="B110" s="139" t="n"/>
      <x:c r="C110" s="139" t="n"/>
      <x:c r="D110" s="139" t="n"/>
      <x:c r="E110" s="139" t="n"/>
      <x:c r="F110" s="139" t="n"/>
      <x:c r="G110" s="139" t="n"/>
      <x:c r="H110" s="139" t="n"/>
      <x:c r="I110" s="139" t="n"/>
      <x:c r="J110" s="139" t="n"/>
      <x:c r="K110" s="139" t="n"/>
      <x:c r="L110" s="139" t="n"/>
      <x:c r="M110" s="139" t="n"/>
      <x:c r="N110" s="139" t="n"/>
      <x:c r="O110" s="139" t="n"/>
      <x:c r="P110" s="139" t="n"/>
      <x:c r="Q110" s="139" t="n"/>
      <x:c r="R110" s="139" t="n"/>
      <x:c r="S110" s="139" t="n"/>
      <x:c r="T110" s="139" t="n"/>
      <x:c r="U110" s="139" t="n"/>
      <x:c r="V110" s="139" t="n"/>
      <x:c r="W110" s="139" t="n"/>
      <x:c r="X110" s="139" t="n"/>
      <x:c r="Y110" s="139" t="n"/>
      <x:c r="Z110" s="139" t="n"/>
      <x:c r="AA110" s="139" t="n"/>
      <x:c r="AB110" s="139" t="n"/>
      <x:c r="AC110" s="139" t="n"/>
      <x:c r="AD110" s="139" t="n"/>
      <x:c r="AE110" s="139" t="n"/>
      <x:c r="AF110" s="139" t="n"/>
      <x:c r="AG110" s="139" t="n"/>
      <x:c r="AH110" s="139" t="n"/>
      <x:c r="AI110" s="139" t="n"/>
      <x:c r="AJ110" s="139" t="n"/>
      <x:c r="AK110" s="139" t="n"/>
      <x:c r="AL110" s="139" t="n"/>
      <x:c r="AM110" s="139" t="n"/>
      <x:c r="AN110" s="139" t="n"/>
      <x:c r="AO110" s="139" t="n"/>
      <x:c r="AP110" s="139" t="n"/>
      <x:c r="AQ110" s="139" t="n"/>
      <x:c r="AR110" s="139" t="n"/>
      <x:c r="AS110" s="139" t="n"/>
      <x:c r="AT110" s="139" t="n"/>
      <x:c r="AU110" s="139" t="n"/>
      <x:c r="AV110" s="139" t="n"/>
      <x:c r="AW110" s="139" t="n"/>
      <x:c r="AX110" s="139" t="n"/>
      <x:c r="AY110" s="139" t="n"/>
      <x:c r="AZ110" s="139" t="n"/>
    </x:row>
    <x:row r="111">
      <x:c r="A111" s="139" t="n"/>
      <x:c r="B111" s="139" t="n"/>
      <x:c r="C111" s="139" t="n"/>
      <x:c r="D111" s="139" t="n"/>
      <x:c r="E111" s="139" t="n"/>
      <x:c r="F111" s="139" t="n"/>
      <x:c r="G111" s="139" t="n"/>
      <x:c r="H111" s="139" t="n"/>
      <x:c r="I111" s="139" t="n"/>
      <x:c r="J111" s="139" t="n"/>
      <x:c r="K111" s="139" t="n"/>
      <x:c r="L111" s="139" t="n"/>
      <x:c r="M111" s="139" t="n"/>
      <x:c r="N111" s="139" t="n"/>
      <x:c r="O111" s="139" t="n"/>
      <x:c r="P111" s="139" t="n"/>
      <x:c r="Q111" s="139" t="n"/>
      <x:c r="R111" s="139" t="n"/>
      <x:c r="S111" s="139" t="n"/>
      <x:c r="T111" s="139" t="n"/>
      <x:c r="U111" s="139" t="n"/>
      <x:c r="V111" s="139" t="n"/>
      <x:c r="W111" s="139" t="n"/>
      <x:c r="X111" s="139" t="n"/>
      <x:c r="Y111" s="139" t="n"/>
      <x:c r="Z111" s="139" t="n"/>
      <x:c r="AA111" s="139" t="n"/>
      <x:c r="AB111" s="139" t="n"/>
      <x:c r="AC111" s="139" t="n"/>
      <x:c r="AD111" s="139" t="n"/>
      <x:c r="AE111" s="139" t="n"/>
      <x:c r="AF111" s="139" t="n"/>
      <x:c r="AG111" s="139" t="n"/>
      <x:c r="AH111" s="139" t="n"/>
      <x:c r="AI111" s="139" t="n"/>
      <x:c r="AJ111" s="139" t="n"/>
      <x:c r="AK111" s="139" t="n"/>
      <x:c r="AL111" s="139" t="n"/>
      <x:c r="AM111" s="139" t="n"/>
      <x:c r="AN111" s="139" t="n"/>
      <x:c r="AO111" s="139" t="n"/>
      <x:c r="AP111" s="139" t="n"/>
      <x:c r="AQ111" s="139" t="n"/>
      <x:c r="AR111" s="139" t="n"/>
      <x:c r="AS111" s="139" t="n"/>
      <x:c r="AT111" s="139" t="n"/>
      <x:c r="AU111" s="139" t="n"/>
      <x:c r="AV111" s="139" t="n"/>
      <x:c r="AW111" s="139" t="n"/>
      <x:c r="AX111" s="139" t="n"/>
      <x:c r="AY111" s="139" t="n"/>
      <x:c r="AZ111" s="139" t="n"/>
    </x:row>
    <x:row r="112">
      <x:c r="A112" s="139" t="n"/>
      <x:c r="B112" s="139" t="n"/>
      <x:c r="C112" s="139" t="n"/>
      <x:c r="D112" s="139" t="n"/>
      <x:c r="E112" s="139" t="n"/>
      <x:c r="F112" s="139" t="n"/>
      <x:c r="G112" s="139" t="n"/>
      <x:c r="H112" s="139" t="n"/>
      <x:c r="I112" s="139" t="n"/>
      <x:c r="J112" s="139" t="n"/>
      <x:c r="K112" s="139" t="n"/>
      <x:c r="L112" s="139" t="n"/>
      <x:c r="M112" s="139" t="n"/>
      <x:c r="N112" s="139" t="n"/>
      <x:c r="O112" s="139" t="n"/>
      <x:c r="P112" s="139" t="n"/>
      <x:c r="Q112" s="139" t="n"/>
      <x:c r="R112" s="139" t="n"/>
      <x:c r="S112" s="139" t="n"/>
      <x:c r="T112" s="139" t="n"/>
      <x:c r="U112" s="139" t="n"/>
      <x:c r="V112" s="139" t="n"/>
      <x:c r="W112" s="139" t="n"/>
      <x:c r="X112" s="139" t="n"/>
      <x:c r="Y112" s="139" t="n"/>
      <x:c r="Z112" s="139" t="n"/>
      <x:c r="AA112" s="139" t="n"/>
      <x:c r="AB112" s="139" t="n"/>
      <x:c r="AC112" s="139" t="n"/>
      <x:c r="AD112" s="139" t="n"/>
      <x:c r="AE112" s="139" t="n"/>
      <x:c r="AF112" s="139" t="n"/>
      <x:c r="AG112" s="139" t="n"/>
      <x:c r="AH112" s="139" t="n"/>
      <x:c r="AI112" s="139" t="n"/>
      <x:c r="AJ112" s="139" t="n"/>
      <x:c r="AK112" s="139" t="n"/>
      <x:c r="AL112" s="139" t="n"/>
      <x:c r="AM112" s="139" t="n"/>
      <x:c r="AN112" s="139" t="n"/>
      <x:c r="AO112" s="139" t="n"/>
      <x:c r="AP112" s="139" t="n"/>
      <x:c r="AQ112" s="139" t="n"/>
      <x:c r="AR112" s="139" t="n"/>
      <x:c r="AS112" s="139" t="n"/>
      <x:c r="AT112" s="139" t="n"/>
      <x:c r="AU112" s="139" t="n"/>
      <x:c r="AV112" s="139" t="n"/>
      <x:c r="AW112" s="139" t="n"/>
      <x:c r="AX112" s="139" t="n"/>
      <x:c r="AY112" s="139" t="n"/>
      <x:c r="AZ112" s="139" t="n"/>
    </x:row>
    <x:row r="113">
      <x:c r="A113" s="139" t="n"/>
      <x:c r="B113" s="139" t="n"/>
      <x:c r="C113" s="139" t="n"/>
      <x:c r="D113" s="139" t="n"/>
      <x:c r="E113" s="139" t="n"/>
      <x:c r="F113" s="139" t="n"/>
      <x:c r="G113" s="139" t="n"/>
      <x:c r="H113" s="139" t="n"/>
      <x:c r="I113" s="139" t="n"/>
      <x:c r="J113" s="139" t="n"/>
      <x:c r="K113" s="139" t="n"/>
      <x:c r="L113" s="139" t="n"/>
      <x:c r="M113" s="139" t="n"/>
      <x:c r="N113" s="139" t="n"/>
      <x:c r="O113" s="139" t="n"/>
      <x:c r="P113" s="139" t="n"/>
      <x:c r="Q113" s="139" t="n"/>
      <x:c r="R113" s="139" t="n"/>
      <x:c r="S113" s="139" t="n"/>
      <x:c r="T113" s="139" t="n"/>
      <x:c r="U113" s="139" t="n"/>
      <x:c r="V113" s="139" t="n"/>
      <x:c r="W113" s="139" t="n"/>
      <x:c r="X113" s="139" t="n"/>
      <x:c r="Y113" s="139" t="n"/>
      <x:c r="Z113" s="139" t="n"/>
      <x:c r="AA113" s="139" t="n"/>
      <x:c r="AB113" s="139" t="n"/>
      <x:c r="AC113" s="139" t="n"/>
      <x:c r="AD113" s="139" t="n"/>
      <x:c r="AE113" s="139" t="n"/>
      <x:c r="AF113" s="139" t="n"/>
      <x:c r="AG113" s="139" t="n"/>
      <x:c r="AH113" s="139" t="n"/>
      <x:c r="AI113" s="139" t="n"/>
      <x:c r="AJ113" s="139" t="n"/>
      <x:c r="AK113" s="139" t="n"/>
      <x:c r="AL113" s="139" t="n"/>
      <x:c r="AM113" s="139" t="n"/>
      <x:c r="AN113" s="139" t="n"/>
      <x:c r="AO113" s="139" t="n"/>
      <x:c r="AP113" s="139" t="n"/>
      <x:c r="AQ113" s="139" t="n"/>
      <x:c r="AR113" s="139" t="n"/>
      <x:c r="AS113" s="139" t="n"/>
      <x:c r="AT113" s="139" t="n"/>
      <x:c r="AU113" s="139" t="n"/>
      <x:c r="AV113" s="139" t="n"/>
      <x:c r="AW113" s="139" t="n"/>
      <x:c r="AX113" s="139" t="n"/>
      <x:c r="AY113" s="139" t="n"/>
      <x:c r="AZ113" s="139" t="n"/>
    </x:row>
    <x:row r="114">
      <x:c r="A114" s="139" t="n"/>
      <x:c r="B114" s="139" t="n"/>
      <x:c r="C114" s="139" t="n"/>
      <x:c r="D114" s="139" t="n"/>
      <x:c r="E114" s="139" t="n"/>
      <x:c r="F114" s="139" t="n"/>
      <x:c r="G114" s="139" t="n"/>
      <x:c r="H114" s="139" t="n"/>
      <x:c r="I114" s="139" t="n"/>
      <x:c r="J114" s="139" t="n"/>
      <x:c r="K114" s="139" t="n"/>
      <x:c r="L114" s="139" t="n"/>
      <x:c r="M114" s="139" t="n"/>
      <x:c r="N114" s="139" t="n"/>
      <x:c r="O114" s="139" t="n"/>
      <x:c r="P114" s="139" t="n"/>
      <x:c r="Q114" s="139" t="n"/>
      <x:c r="R114" s="139" t="n"/>
      <x:c r="S114" s="139" t="n"/>
      <x:c r="T114" s="139" t="n"/>
      <x:c r="U114" s="139" t="n"/>
      <x:c r="V114" s="139" t="n"/>
      <x:c r="W114" s="139" t="n"/>
      <x:c r="X114" s="139" t="n"/>
      <x:c r="Y114" s="139" t="n"/>
      <x:c r="Z114" s="139" t="n"/>
      <x:c r="AA114" s="139" t="n"/>
      <x:c r="AB114" s="139" t="n"/>
      <x:c r="AC114" s="139" t="n"/>
      <x:c r="AD114" s="139" t="n"/>
      <x:c r="AE114" s="139" t="n"/>
      <x:c r="AF114" s="139" t="n"/>
      <x:c r="AG114" s="139" t="n"/>
      <x:c r="AH114" s="139" t="n"/>
      <x:c r="AI114" s="139" t="n"/>
      <x:c r="AJ114" s="139" t="n"/>
      <x:c r="AK114" s="139" t="n"/>
      <x:c r="AL114" s="139" t="n"/>
      <x:c r="AM114" s="139" t="n"/>
      <x:c r="AN114" s="139" t="n"/>
      <x:c r="AO114" s="139" t="n"/>
      <x:c r="AP114" s="139" t="n"/>
      <x:c r="AQ114" s="139" t="n"/>
      <x:c r="AR114" s="139" t="n"/>
      <x:c r="AS114" s="139" t="n"/>
      <x:c r="AT114" s="139" t="n"/>
      <x:c r="AU114" s="139" t="n"/>
      <x:c r="AV114" s="139" t="n"/>
      <x:c r="AW114" s="139" t="n"/>
      <x:c r="AX114" s="139" t="n"/>
      <x:c r="AY114" s="139" t="n"/>
      <x:c r="AZ114" s="139" t="n"/>
    </x:row>
    <x:row r="115">
      <x:c r="A115" s="139" t="n"/>
      <x:c r="B115" s="139" t="n"/>
      <x:c r="C115" s="139" t="n"/>
      <x:c r="D115" s="139" t="n"/>
      <x:c r="E115" s="139" t="n"/>
      <x:c r="F115" s="139" t="n"/>
      <x:c r="G115" s="139" t="n"/>
      <x:c r="H115" s="139" t="n"/>
      <x:c r="I115" s="139" t="n"/>
      <x:c r="J115" s="139" t="n"/>
      <x:c r="K115" s="139" t="n"/>
      <x:c r="L115" s="139" t="n"/>
      <x:c r="M115" s="139" t="n"/>
      <x:c r="N115" s="139" t="n"/>
      <x:c r="O115" s="139" t="n"/>
      <x:c r="P115" s="139" t="n"/>
      <x:c r="Q115" s="139" t="n"/>
      <x:c r="R115" s="139" t="n"/>
      <x:c r="S115" s="139" t="n"/>
      <x:c r="T115" s="139" t="n"/>
      <x:c r="U115" s="139" t="n"/>
      <x:c r="V115" s="139" t="n"/>
      <x:c r="W115" s="139" t="n"/>
      <x:c r="X115" s="139" t="n"/>
      <x:c r="Y115" s="139" t="n"/>
      <x:c r="Z115" s="139" t="n"/>
      <x:c r="AA115" s="139" t="n"/>
      <x:c r="AB115" s="139" t="n"/>
      <x:c r="AC115" s="139" t="n"/>
      <x:c r="AD115" s="139" t="n"/>
      <x:c r="AE115" s="139" t="n"/>
      <x:c r="AF115" s="139" t="n"/>
      <x:c r="AG115" s="139" t="n"/>
      <x:c r="AH115" s="139" t="n"/>
      <x:c r="AI115" s="139" t="n"/>
      <x:c r="AJ115" s="139" t="n"/>
      <x:c r="AK115" s="139" t="n"/>
      <x:c r="AL115" s="139" t="n"/>
      <x:c r="AM115" s="139" t="n"/>
      <x:c r="AN115" s="139" t="n"/>
      <x:c r="AO115" s="139" t="n"/>
      <x:c r="AP115" s="139" t="n"/>
      <x:c r="AQ115" s="139" t="n"/>
      <x:c r="AR115" s="139" t="n"/>
      <x:c r="AS115" s="139" t="n"/>
      <x:c r="AT115" s="139" t="n"/>
      <x:c r="AU115" s="139" t="n"/>
      <x:c r="AV115" s="139" t="n"/>
      <x:c r="AW115" s="139" t="n"/>
      <x:c r="AX115" s="139" t="n"/>
      <x:c r="AY115" s="139" t="n"/>
      <x:c r="AZ115" s="139" t="n"/>
    </x:row>
    <x:row r="116">
      <x:c r="A116" s="139" t="n"/>
      <x:c r="B116" s="139" t="n"/>
      <x:c r="C116" s="139" t="n"/>
      <x:c r="D116" s="139" t="n"/>
      <x:c r="E116" s="139" t="n"/>
      <x:c r="F116" s="139" t="n"/>
      <x:c r="G116" s="139" t="n"/>
      <x:c r="H116" s="139" t="n"/>
      <x:c r="I116" s="139" t="n"/>
      <x:c r="J116" s="139" t="n"/>
      <x:c r="K116" s="139" t="n"/>
      <x:c r="L116" s="139" t="n"/>
      <x:c r="M116" s="139" t="n"/>
      <x:c r="N116" s="139" t="n"/>
      <x:c r="O116" s="139" t="n"/>
      <x:c r="P116" s="139" t="n"/>
      <x:c r="Q116" s="139" t="n"/>
      <x:c r="R116" s="139" t="n"/>
      <x:c r="S116" s="139" t="n"/>
      <x:c r="T116" s="139" t="n"/>
      <x:c r="U116" s="139" t="n"/>
      <x:c r="V116" s="139" t="n"/>
      <x:c r="W116" s="139" t="n"/>
      <x:c r="X116" s="139" t="n"/>
      <x:c r="Y116" s="139" t="n"/>
      <x:c r="Z116" s="139" t="n"/>
      <x:c r="AA116" s="139" t="n"/>
      <x:c r="AB116" s="139" t="n"/>
      <x:c r="AC116" s="139" t="n"/>
      <x:c r="AD116" s="139" t="n"/>
      <x:c r="AE116" s="139" t="n"/>
      <x:c r="AF116" s="139" t="n"/>
      <x:c r="AG116" s="139" t="n"/>
      <x:c r="AH116" s="139" t="n"/>
      <x:c r="AI116" s="139" t="n"/>
      <x:c r="AJ116" s="139" t="n"/>
      <x:c r="AK116" s="139" t="n"/>
      <x:c r="AL116" s="139" t="n"/>
      <x:c r="AM116" s="139" t="n"/>
      <x:c r="AN116" s="139" t="n"/>
      <x:c r="AO116" s="139" t="n"/>
      <x:c r="AP116" s="139" t="n"/>
      <x:c r="AQ116" s="139" t="n"/>
      <x:c r="AR116" s="139" t="n"/>
      <x:c r="AS116" s="139" t="n"/>
      <x:c r="AT116" s="139" t="n"/>
      <x:c r="AU116" s="139" t="n"/>
      <x:c r="AV116" s="139" t="n"/>
      <x:c r="AW116" s="139" t="n"/>
      <x:c r="AX116" s="139" t="n"/>
      <x:c r="AY116" s="139" t="n"/>
      <x:c r="AZ116" s="139" t="n"/>
    </x:row>
    <x:row r="117">
      <x:c r="A117" s="139" t="n"/>
      <x:c r="B117" s="139" t="n"/>
      <x:c r="C117" s="139" t="n"/>
      <x:c r="D117" s="139" t="n"/>
      <x:c r="E117" s="139" t="n"/>
      <x:c r="F117" s="139" t="n"/>
      <x:c r="G117" s="139" t="n"/>
      <x:c r="H117" s="139" t="n"/>
      <x:c r="I117" s="139" t="n"/>
      <x:c r="J117" s="139" t="n"/>
      <x:c r="K117" s="139" t="n"/>
      <x:c r="L117" s="139" t="n"/>
      <x:c r="M117" s="139" t="n"/>
      <x:c r="N117" s="139" t="n"/>
      <x:c r="O117" s="139" t="n"/>
      <x:c r="P117" s="139" t="n"/>
      <x:c r="Q117" s="139" t="n"/>
      <x:c r="R117" s="139" t="n"/>
      <x:c r="S117" s="139" t="n"/>
      <x:c r="T117" s="139" t="n"/>
      <x:c r="U117" s="139" t="n"/>
      <x:c r="V117" s="139" t="n"/>
      <x:c r="W117" s="139" t="n"/>
      <x:c r="X117" s="139" t="n"/>
      <x:c r="Y117" s="139" t="n"/>
      <x:c r="Z117" s="139" t="n"/>
      <x:c r="AA117" s="139" t="n"/>
      <x:c r="AB117" s="139" t="n"/>
      <x:c r="AC117" s="139" t="n"/>
      <x:c r="AD117" s="139" t="n"/>
      <x:c r="AE117" s="139" t="n"/>
      <x:c r="AF117" s="139" t="n"/>
      <x:c r="AG117" s="139" t="n"/>
      <x:c r="AH117" s="139" t="n"/>
      <x:c r="AI117" s="139" t="n"/>
      <x:c r="AJ117" s="139" t="n"/>
      <x:c r="AK117" s="139" t="n"/>
      <x:c r="AL117" s="139" t="n"/>
      <x:c r="AM117" s="139" t="n"/>
      <x:c r="AN117" s="139" t="n"/>
      <x:c r="AO117" s="139" t="n"/>
      <x:c r="AP117" s="139" t="n"/>
      <x:c r="AQ117" s="139" t="n"/>
      <x:c r="AR117" s="139" t="n"/>
      <x:c r="AS117" s="139" t="n"/>
      <x:c r="AT117" s="139" t="n"/>
      <x:c r="AU117" s="139" t="n"/>
      <x:c r="AV117" s="139" t="n"/>
      <x:c r="AW117" s="139" t="n"/>
      <x:c r="AX117" s="139" t="n"/>
      <x:c r="AY117" s="139" t="n"/>
      <x:c r="AZ117" s="139" t="n"/>
    </x:row>
    <x:row r="118">
      <x:c r="A118" s="139" t="n"/>
      <x:c r="B118" s="139" t="n"/>
      <x:c r="C118" s="139" t="n"/>
      <x:c r="D118" s="139" t="n"/>
      <x:c r="E118" s="139" t="n"/>
      <x:c r="F118" s="139" t="n"/>
      <x:c r="G118" s="139" t="n"/>
      <x:c r="H118" s="139" t="n"/>
      <x:c r="I118" s="139" t="n"/>
      <x:c r="J118" s="139" t="n"/>
      <x:c r="K118" s="139" t="n"/>
      <x:c r="L118" s="139" t="n"/>
      <x:c r="M118" s="139" t="n"/>
      <x:c r="N118" s="139" t="n"/>
      <x:c r="O118" s="139" t="n"/>
      <x:c r="P118" s="139" t="n"/>
      <x:c r="Q118" s="139" t="n"/>
      <x:c r="R118" s="139" t="n"/>
      <x:c r="S118" s="139" t="n"/>
      <x:c r="T118" s="139" t="n"/>
      <x:c r="U118" s="139" t="n"/>
      <x:c r="V118" s="139" t="n"/>
      <x:c r="W118" s="139" t="n"/>
      <x:c r="X118" s="139" t="n"/>
      <x:c r="Y118" s="139" t="n"/>
      <x:c r="Z118" s="139" t="n"/>
      <x:c r="AA118" s="139" t="n"/>
      <x:c r="AB118" s="139" t="n"/>
      <x:c r="AC118" s="139" t="n"/>
      <x:c r="AD118" s="139" t="n"/>
      <x:c r="AE118" s="139" t="n"/>
      <x:c r="AF118" s="139" t="n"/>
      <x:c r="AG118" s="139" t="n"/>
      <x:c r="AH118" s="139" t="n"/>
      <x:c r="AI118" s="139" t="n"/>
      <x:c r="AJ118" s="139" t="n"/>
      <x:c r="AK118" s="139" t="n"/>
      <x:c r="AL118" s="139" t="n"/>
      <x:c r="AM118" s="139" t="n"/>
      <x:c r="AN118" s="139" t="n"/>
      <x:c r="AO118" s="139" t="n"/>
      <x:c r="AP118" s="139" t="n"/>
      <x:c r="AQ118" s="139" t="n"/>
      <x:c r="AR118" s="139" t="n"/>
      <x:c r="AS118" s="139" t="n"/>
      <x:c r="AT118" s="139" t="n"/>
      <x:c r="AU118" s="139" t="n"/>
      <x:c r="AV118" s="139" t="n"/>
      <x:c r="AW118" s="139" t="n"/>
      <x:c r="AX118" s="139" t="n"/>
      <x:c r="AY118" s="139" t="n"/>
      <x:c r="AZ118" s="139" t="n"/>
    </x:row>
    <x:row r="119">
      <x:c r="A119" s="139" t="n"/>
      <x:c r="B119" s="139" t="n"/>
      <x:c r="C119" s="139" t="n"/>
      <x:c r="D119" s="139" t="n"/>
      <x:c r="E119" s="139" t="n"/>
      <x:c r="F119" s="139" t="n"/>
      <x:c r="G119" s="139" t="n"/>
      <x:c r="H119" s="139" t="n"/>
      <x:c r="I119" s="139" t="n"/>
      <x:c r="J119" s="139" t="n"/>
      <x:c r="K119" s="139" t="n"/>
      <x:c r="L119" s="139" t="n"/>
      <x:c r="M119" s="139" t="n"/>
      <x:c r="N119" s="139" t="n"/>
      <x:c r="O119" s="139" t="n"/>
      <x:c r="P119" s="139" t="n"/>
      <x:c r="Q119" s="139" t="n"/>
      <x:c r="R119" s="139" t="n"/>
      <x:c r="S119" s="139" t="n"/>
      <x:c r="T119" s="139" t="n"/>
      <x:c r="U119" s="139" t="n"/>
      <x:c r="V119" s="139" t="n"/>
      <x:c r="W119" s="139" t="n"/>
      <x:c r="X119" s="139" t="n"/>
      <x:c r="Y119" s="139" t="n"/>
      <x:c r="Z119" s="139" t="n"/>
      <x:c r="AA119" s="139" t="n"/>
      <x:c r="AB119" s="139" t="n"/>
      <x:c r="AC119" s="139" t="n"/>
      <x:c r="AD119" s="139" t="n"/>
      <x:c r="AE119" s="139" t="n"/>
      <x:c r="AF119" s="139" t="n"/>
      <x:c r="AG119" s="139" t="n"/>
      <x:c r="AH119" s="139" t="n"/>
      <x:c r="AI119" s="139" t="n"/>
      <x:c r="AJ119" s="139" t="n"/>
      <x:c r="AK119" s="139" t="n"/>
      <x:c r="AL119" s="139" t="n"/>
      <x:c r="AM119" s="139" t="n"/>
      <x:c r="AN119" s="139" t="n"/>
      <x:c r="AO119" s="139" t="n"/>
      <x:c r="AP119" s="139" t="n"/>
      <x:c r="AQ119" s="139" t="n"/>
      <x:c r="AR119" s="139" t="n"/>
      <x:c r="AS119" s="139" t="n"/>
      <x:c r="AT119" s="139" t="n"/>
      <x:c r="AU119" s="139" t="n"/>
      <x:c r="AV119" s="139" t="n"/>
      <x:c r="AW119" s="139" t="n"/>
      <x:c r="AX119" s="139" t="n"/>
      <x:c r="AY119" s="139" t="n"/>
      <x:c r="AZ119" s="139" t="n"/>
    </x:row>
    <x:row r="120">
      <x:c r="A120" s="139" t="n"/>
      <x:c r="B120" s="139" t="n"/>
      <x:c r="C120" s="139" t="n"/>
      <x:c r="D120" s="139" t="n"/>
      <x:c r="E120" s="139" t="n"/>
      <x:c r="F120" s="139" t="n"/>
      <x:c r="G120" s="139" t="n"/>
      <x:c r="H120" s="139" t="n"/>
      <x:c r="I120" s="139" t="n"/>
      <x:c r="J120" s="139" t="n"/>
      <x:c r="K120" s="139" t="n"/>
      <x:c r="L120" s="139" t="n"/>
      <x:c r="M120" s="139" t="n"/>
      <x:c r="N120" s="139" t="n"/>
      <x:c r="O120" s="139" t="n"/>
      <x:c r="P120" s="139" t="n"/>
      <x:c r="Q120" s="139" t="n"/>
      <x:c r="R120" s="139" t="n"/>
      <x:c r="S120" s="139" t="n"/>
      <x:c r="T120" s="139" t="n"/>
      <x:c r="U120" s="139" t="n"/>
      <x:c r="V120" s="139" t="n"/>
      <x:c r="W120" s="139" t="n"/>
      <x:c r="X120" s="139" t="n"/>
      <x:c r="Y120" s="139" t="n"/>
      <x:c r="Z120" s="139" t="n"/>
      <x:c r="AA120" s="139" t="n"/>
      <x:c r="AB120" s="139" t="n"/>
      <x:c r="AC120" s="139" t="n"/>
      <x:c r="AD120" s="139" t="n"/>
      <x:c r="AE120" s="139" t="n"/>
      <x:c r="AF120" s="139" t="n"/>
      <x:c r="AG120" s="139" t="n"/>
      <x:c r="AH120" s="139" t="n"/>
      <x:c r="AI120" s="139" t="n"/>
      <x:c r="AJ120" s="139" t="n"/>
      <x:c r="AK120" s="139" t="n"/>
      <x:c r="AL120" s="139" t="n"/>
      <x:c r="AM120" s="139" t="n"/>
      <x:c r="AN120" s="139" t="n"/>
      <x:c r="AO120" s="139" t="n"/>
      <x:c r="AP120" s="139" t="n"/>
      <x:c r="AQ120" s="139" t="n"/>
      <x:c r="AR120" s="139" t="n"/>
      <x:c r="AS120" s="139" t="n"/>
      <x:c r="AT120" s="139" t="n"/>
      <x:c r="AU120" s="139" t="n"/>
      <x:c r="AV120" s="139" t="n"/>
      <x:c r="AW120" s="139" t="n"/>
      <x:c r="AX120" s="139" t="n"/>
      <x:c r="AY120" s="139" t="n"/>
      <x:c r="AZ120" s="139" t="n"/>
    </x:row>
    <x:row r="121">
      <x:c r="A121" s="139" t="n"/>
      <x:c r="B121" s="139" t="n"/>
      <x:c r="C121" s="139" t="n"/>
      <x:c r="D121" s="139" t="n"/>
      <x:c r="E121" s="139" t="n"/>
      <x:c r="F121" s="139" t="n"/>
      <x:c r="G121" s="139" t="n"/>
      <x:c r="H121" s="139" t="n"/>
      <x:c r="I121" s="139" t="n"/>
      <x:c r="J121" s="139" t="n"/>
      <x:c r="K121" s="139" t="n"/>
      <x:c r="L121" s="139" t="n"/>
      <x:c r="M121" s="139" t="n"/>
      <x:c r="N121" s="139" t="n"/>
      <x:c r="O121" s="139" t="n"/>
      <x:c r="P121" s="139" t="n"/>
      <x:c r="Q121" s="139" t="n"/>
      <x:c r="R121" s="139" t="n"/>
      <x:c r="S121" s="139" t="n"/>
      <x:c r="T121" s="139" t="n"/>
      <x:c r="U121" s="139" t="n"/>
      <x:c r="V121" s="139" t="n"/>
      <x:c r="W121" s="139" t="n"/>
      <x:c r="X121" s="139" t="n"/>
      <x:c r="Y121" s="139" t="n"/>
      <x:c r="Z121" s="139" t="n"/>
      <x:c r="AA121" s="139" t="n"/>
      <x:c r="AB121" s="139" t="n"/>
      <x:c r="AC121" s="139" t="n"/>
      <x:c r="AD121" s="139" t="n"/>
      <x:c r="AE121" s="139" t="n"/>
      <x:c r="AF121" s="139" t="n"/>
      <x:c r="AG121" s="139" t="n"/>
      <x:c r="AH121" s="139" t="n"/>
      <x:c r="AI121" s="139" t="n"/>
      <x:c r="AJ121" s="139" t="n"/>
      <x:c r="AK121" s="139" t="n"/>
      <x:c r="AL121" s="139" t="n"/>
      <x:c r="AM121" s="139" t="n"/>
      <x:c r="AN121" s="139" t="n"/>
      <x:c r="AO121" s="139" t="n"/>
      <x:c r="AP121" s="139" t="n"/>
      <x:c r="AQ121" s="139" t="n"/>
      <x:c r="AR121" s="139" t="n"/>
      <x:c r="AS121" s="139" t="n"/>
      <x:c r="AT121" s="139" t="n"/>
      <x:c r="AU121" s="139" t="n"/>
      <x:c r="AV121" s="139" t="n"/>
      <x:c r="AW121" s="139" t="n"/>
      <x:c r="AX121" s="139" t="n"/>
      <x:c r="AY121" s="139" t="n"/>
      <x:c r="AZ121" s="139" t="n"/>
    </x:row>
    <x:row r="122">
      <x:c r="A122" s="139" t="n"/>
      <x:c r="B122" s="139" t="n"/>
      <x:c r="C122" s="139" t="n"/>
      <x:c r="D122" s="139" t="n"/>
      <x:c r="E122" s="139" t="n"/>
      <x:c r="F122" s="139" t="n"/>
      <x:c r="G122" s="139" t="n"/>
      <x:c r="H122" s="139" t="n"/>
      <x:c r="I122" s="139" t="n"/>
      <x:c r="J122" s="139" t="n"/>
      <x:c r="K122" s="139" t="n"/>
      <x:c r="L122" s="139" t="n"/>
      <x:c r="M122" s="139" t="n"/>
      <x:c r="N122" s="139" t="n"/>
      <x:c r="O122" s="139" t="n"/>
      <x:c r="P122" s="139" t="n"/>
      <x:c r="Q122" s="139" t="n"/>
      <x:c r="R122" s="139" t="n"/>
      <x:c r="S122" s="139" t="n"/>
      <x:c r="T122" s="139" t="n"/>
      <x:c r="U122" s="139" t="n"/>
      <x:c r="V122" s="139" t="n"/>
      <x:c r="W122" s="139" t="n"/>
      <x:c r="X122" s="139" t="n"/>
      <x:c r="Y122" s="139" t="n"/>
      <x:c r="Z122" s="139" t="n"/>
      <x:c r="AA122" s="139" t="n"/>
      <x:c r="AB122" s="139" t="n"/>
      <x:c r="AC122" s="139" t="n"/>
      <x:c r="AD122" s="139" t="n"/>
      <x:c r="AE122" s="139" t="n"/>
      <x:c r="AF122" s="139" t="n"/>
      <x:c r="AG122" s="139" t="n"/>
      <x:c r="AH122" s="139" t="n"/>
      <x:c r="AI122" s="139" t="n"/>
      <x:c r="AJ122" s="139" t="n"/>
      <x:c r="AK122" s="139" t="n"/>
      <x:c r="AL122" s="139" t="n"/>
      <x:c r="AM122" s="139" t="n"/>
      <x:c r="AN122" s="139" t="n"/>
      <x:c r="AO122" s="139" t="n"/>
      <x:c r="AP122" s="139" t="n"/>
      <x:c r="AQ122" s="139" t="n"/>
      <x:c r="AR122" s="139" t="n"/>
      <x:c r="AS122" s="139" t="n"/>
      <x:c r="AT122" s="139" t="n"/>
      <x:c r="AU122" s="139" t="n"/>
      <x:c r="AV122" s="139" t="n"/>
      <x:c r="AW122" s="139" t="n"/>
      <x:c r="AX122" s="139" t="n"/>
      <x:c r="AY122" s="139" t="n"/>
      <x:c r="AZ122" s="139" t="n"/>
    </x:row>
    <x:row r="123">
      <x:c r="A123" s="139" t="n"/>
      <x:c r="B123" s="139" t="n"/>
      <x:c r="C123" s="139" t="n"/>
      <x:c r="D123" s="139" t="n"/>
      <x:c r="E123" s="139" t="n"/>
      <x:c r="F123" s="139" t="n"/>
      <x:c r="G123" s="139" t="n"/>
      <x:c r="H123" s="139" t="n"/>
      <x:c r="I123" s="139" t="n"/>
      <x:c r="J123" s="139" t="n"/>
      <x:c r="K123" s="139" t="n"/>
      <x:c r="L123" s="139" t="n"/>
      <x:c r="M123" s="139" t="n"/>
      <x:c r="N123" s="139" t="n"/>
      <x:c r="O123" s="139" t="n"/>
      <x:c r="P123" s="139" t="n"/>
      <x:c r="Q123" s="139" t="n"/>
      <x:c r="R123" s="139" t="n"/>
      <x:c r="S123" s="139" t="n"/>
      <x:c r="T123" s="139" t="n"/>
      <x:c r="U123" s="139" t="n"/>
      <x:c r="V123" s="139" t="n"/>
      <x:c r="W123" s="139" t="n"/>
      <x:c r="X123" s="139" t="n"/>
      <x:c r="Y123" s="139" t="n"/>
      <x:c r="Z123" s="139" t="n"/>
      <x:c r="AA123" s="139" t="n"/>
      <x:c r="AB123" s="139" t="n"/>
      <x:c r="AC123" s="139" t="n"/>
      <x:c r="AD123" s="139" t="n"/>
      <x:c r="AE123" s="139" t="n"/>
      <x:c r="AF123" s="139" t="n"/>
      <x:c r="AG123" s="139" t="n"/>
      <x:c r="AH123" s="139" t="n"/>
      <x:c r="AI123" s="139" t="n"/>
      <x:c r="AJ123" s="139" t="n"/>
      <x:c r="AK123" s="139" t="n"/>
      <x:c r="AL123" s="139" t="n"/>
      <x:c r="AM123" s="139" t="n"/>
      <x:c r="AN123" s="139" t="n"/>
      <x:c r="AO123" s="139" t="n"/>
      <x:c r="AP123" s="139" t="n"/>
      <x:c r="AQ123" s="139" t="n"/>
      <x:c r="AR123" s="139" t="n"/>
      <x:c r="AS123" s="139" t="n"/>
      <x:c r="AT123" s="139" t="n"/>
      <x:c r="AU123" s="139" t="n"/>
      <x:c r="AV123" s="139" t="n"/>
      <x:c r="AW123" s="139" t="n"/>
      <x:c r="AX123" s="139" t="n"/>
      <x:c r="AY123" s="139" t="n"/>
      <x:c r="AZ123" s="139" t="n"/>
    </x:row>
    <x:row r="124">
      <x:c r="A124" s="139" t="n"/>
      <x:c r="B124" s="139" t="n"/>
      <x:c r="C124" s="139" t="n"/>
      <x:c r="D124" s="139" t="n"/>
      <x:c r="E124" s="139" t="n"/>
      <x:c r="F124" s="139" t="n"/>
      <x:c r="G124" s="139" t="n"/>
      <x:c r="H124" s="139" t="n"/>
      <x:c r="I124" s="139" t="n"/>
      <x:c r="J124" s="139" t="n"/>
      <x:c r="K124" s="139" t="n"/>
      <x:c r="L124" s="139" t="n"/>
      <x:c r="M124" s="139" t="n"/>
      <x:c r="N124" s="139" t="n"/>
      <x:c r="O124" s="139" t="n"/>
      <x:c r="P124" s="139" t="n"/>
      <x:c r="Q124" s="139" t="n"/>
      <x:c r="R124" s="139" t="n"/>
      <x:c r="S124" s="139" t="n"/>
      <x:c r="T124" s="139" t="n"/>
      <x:c r="U124" s="139" t="n"/>
      <x:c r="V124" s="139" t="n"/>
      <x:c r="W124" s="139" t="n"/>
      <x:c r="X124" s="139" t="n"/>
      <x:c r="Y124" s="139" t="n"/>
      <x:c r="Z124" s="139" t="n"/>
      <x:c r="AA124" s="139" t="n"/>
      <x:c r="AB124" s="139" t="n"/>
      <x:c r="AC124" s="139" t="n"/>
      <x:c r="AD124" s="139" t="n"/>
      <x:c r="AE124" s="139" t="n"/>
      <x:c r="AF124" s="139" t="n"/>
      <x:c r="AG124" s="139" t="n"/>
      <x:c r="AH124" s="139" t="n"/>
      <x:c r="AI124" s="139" t="n"/>
      <x:c r="AJ124" s="139" t="n"/>
      <x:c r="AK124" s="139" t="n"/>
      <x:c r="AL124" s="139" t="n"/>
      <x:c r="AM124" s="139" t="n"/>
      <x:c r="AN124" s="139" t="n"/>
      <x:c r="AO124" s="139" t="n"/>
      <x:c r="AP124" s="139" t="n"/>
      <x:c r="AQ124" s="139" t="n"/>
      <x:c r="AR124" s="139" t="n"/>
      <x:c r="AS124" s="139" t="n"/>
      <x:c r="AT124" s="139" t="n"/>
      <x:c r="AU124" s="139" t="n"/>
      <x:c r="AV124" s="139" t="n"/>
      <x:c r="AW124" s="139" t="n"/>
      <x:c r="AX124" s="139" t="n"/>
      <x:c r="AY124" s="139" t="n"/>
      <x:c r="AZ124" s="139" t="n"/>
    </x:row>
    <x:row r="125">
      <x:c r="A125" s="139" t="n"/>
      <x:c r="B125" s="139" t="n"/>
      <x:c r="C125" s="139" t="n"/>
      <x:c r="D125" s="139" t="n"/>
      <x:c r="E125" s="139" t="n"/>
      <x:c r="F125" s="139" t="n"/>
      <x:c r="G125" s="139" t="n"/>
      <x:c r="H125" s="139" t="n"/>
      <x:c r="I125" s="139" t="n"/>
      <x:c r="J125" s="139" t="n"/>
      <x:c r="K125" s="139" t="n"/>
      <x:c r="L125" s="139" t="n"/>
      <x:c r="M125" s="139" t="n"/>
      <x:c r="N125" s="139" t="n"/>
      <x:c r="O125" s="139" t="n"/>
      <x:c r="P125" s="139" t="n"/>
      <x:c r="Q125" s="139" t="n"/>
      <x:c r="R125" s="139" t="n"/>
      <x:c r="S125" s="139" t="n"/>
      <x:c r="T125" s="139" t="n"/>
      <x:c r="U125" s="139" t="n"/>
      <x:c r="V125" s="139" t="n"/>
      <x:c r="W125" s="139" t="n"/>
      <x:c r="X125" s="139" t="n"/>
      <x:c r="Y125" s="139" t="n"/>
      <x:c r="Z125" s="139" t="n"/>
      <x:c r="AA125" s="139" t="n"/>
      <x:c r="AB125" s="139" t="n"/>
      <x:c r="AC125" s="139" t="n"/>
      <x:c r="AD125" s="139" t="n"/>
      <x:c r="AE125" s="139" t="n"/>
      <x:c r="AF125" s="139" t="n"/>
      <x:c r="AG125" s="139" t="n"/>
      <x:c r="AH125" s="139" t="n"/>
      <x:c r="AI125" s="139" t="n"/>
      <x:c r="AJ125" s="139" t="n"/>
      <x:c r="AK125" s="139" t="n"/>
      <x:c r="AL125" s="139" t="n"/>
      <x:c r="AM125" s="139" t="n"/>
      <x:c r="AN125" s="139" t="n"/>
      <x:c r="AO125" s="139" t="n"/>
      <x:c r="AP125" s="139" t="n"/>
      <x:c r="AQ125" s="139" t="n"/>
      <x:c r="AR125" s="139" t="n"/>
      <x:c r="AS125" s="139" t="n"/>
      <x:c r="AT125" s="139" t="n"/>
      <x:c r="AU125" s="139" t="n"/>
      <x:c r="AV125" s="139" t="n"/>
      <x:c r="AW125" s="139" t="n"/>
      <x:c r="AX125" s="139" t="n"/>
      <x:c r="AY125" s="139" t="n"/>
      <x:c r="AZ125" s="139" t="n"/>
    </x:row>
    <x:row r="126">
      <x:c r="A126" s="139" t="n"/>
      <x:c r="B126" s="139" t="n"/>
      <x:c r="C126" s="139" t="n"/>
      <x:c r="D126" s="139" t="n"/>
      <x:c r="E126" s="139" t="n"/>
      <x:c r="F126" s="139" t="n"/>
      <x:c r="G126" s="139" t="n"/>
      <x:c r="H126" s="139" t="n"/>
      <x:c r="I126" s="139" t="n"/>
      <x:c r="J126" s="139" t="n"/>
      <x:c r="K126" s="139" t="n"/>
      <x:c r="L126" s="139" t="n"/>
      <x:c r="M126" s="139" t="n"/>
      <x:c r="N126" s="139" t="n"/>
      <x:c r="O126" s="139" t="n"/>
      <x:c r="P126" s="139" t="n"/>
      <x:c r="Q126" s="139" t="n"/>
      <x:c r="R126" s="139" t="n"/>
      <x:c r="S126" s="139" t="n"/>
      <x:c r="T126" s="139" t="n"/>
      <x:c r="U126" s="139" t="n"/>
      <x:c r="V126" s="139" t="n"/>
      <x:c r="W126" s="139" t="n"/>
      <x:c r="X126" s="139" t="n"/>
      <x:c r="Y126" s="139" t="n"/>
      <x:c r="Z126" s="139" t="n"/>
      <x:c r="AA126" s="139" t="n"/>
      <x:c r="AB126" s="139" t="n"/>
      <x:c r="AC126" s="139" t="n"/>
      <x:c r="AD126" s="139" t="n"/>
      <x:c r="AE126" s="139" t="n"/>
      <x:c r="AF126" s="139" t="n"/>
      <x:c r="AG126" s="139" t="n"/>
      <x:c r="AH126" s="139" t="n"/>
      <x:c r="AI126" s="139" t="n"/>
      <x:c r="AJ126" s="139" t="n"/>
      <x:c r="AK126" s="139" t="n"/>
      <x:c r="AL126" s="139" t="n"/>
      <x:c r="AM126" s="139" t="n"/>
      <x:c r="AN126" s="139" t="n"/>
      <x:c r="AO126" s="139" t="n"/>
      <x:c r="AP126" s="139" t="n"/>
      <x:c r="AQ126" s="139" t="n"/>
      <x:c r="AR126" s="139" t="n"/>
      <x:c r="AS126" s="139" t="n"/>
      <x:c r="AT126" s="139" t="n"/>
      <x:c r="AU126" s="139" t="n"/>
      <x:c r="AV126" s="139" t="n"/>
      <x:c r="AW126" s="139" t="n"/>
      <x:c r="AX126" s="139" t="n"/>
      <x:c r="AY126" s="139" t="n"/>
      <x:c r="AZ126" s="139" t="n"/>
    </x:row>
    <x:row r="127">
      <x:c r="A127" s="139" t="n"/>
      <x:c r="B127" s="139" t="n"/>
      <x:c r="C127" s="139" t="n"/>
      <x:c r="D127" s="139" t="n"/>
      <x:c r="E127" s="139" t="n"/>
      <x:c r="F127" s="139" t="n"/>
      <x:c r="G127" s="139" t="n"/>
      <x:c r="H127" s="139" t="n"/>
      <x:c r="I127" s="139" t="n"/>
      <x:c r="J127" s="139" t="n"/>
      <x:c r="K127" s="139" t="n"/>
      <x:c r="L127" s="139" t="n"/>
      <x:c r="M127" s="139" t="n"/>
      <x:c r="N127" s="139" t="n"/>
      <x:c r="O127" s="139" t="n"/>
      <x:c r="P127" s="139" t="n"/>
      <x:c r="Q127" s="139" t="n"/>
      <x:c r="R127" s="139" t="n"/>
      <x:c r="S127" s="139" t="n"/>
      <x:c r="T127" s="139" t="n"/>
      <x:c r="U127" s="139" t="n"/>
      <x:c r="V127" s="139" t="n"/>
      <x:c r="W127" s="139" t="n"/>
      <x:c r="X127" s="139" t="n"/>
      <x:c r="Y127" s="139" t="n"/>
      <x:c r="Z127" s="139" t="n"/>
      <x:c r="AA127" s="139" t="n"/>
      <x:c r="AB127" s="139" t="n"/>
      <x:c r="AC127" s="139" t="n"/>
      <x:c r="AD127" s="139" t="n"/>
      <x:c r="AE127" s="139" t="n"/>
      <x:c r="AF127" s="139" t="n"/>
      <x:c r="AG127" s="139" t="n"/>
      <x:c r="AH127" s="139" t="n"/>
      <x:c r="AI127" s="139" t="n"/>
      <x:c r="AJ127" s="139" t="n"/>
      <x:c r="AK127" s="139" t="n"/>
      <x:c r="AL127" s="139" t="n"/>
      <x:c r="AM127" s="139" t="n"/>
      <x:c r="AN127" s="139" t="n"/>
      <x:c r="AO127" s="139" t="n"/>
      <x:c r="AP127" s="139" t="n"/>
      <x:c r="AQ127" s="139" t="n"/>
      <x:c r="AR127" s="139" t="n"/>
      <x:c r="AS127" s="139" t="n"/>
      <x:c r="AT127" s="139" t="n"/>
      <x:c r="AU127" s="139" t="n"/>
      <x:c r="AV127" s="139" t="n"/>
      <x:c r="AW127" s="139" t="n"/>
      <x:c r="AX127" s="139" t="n"/>
      <x:c r="AY127" s="139" t="n"/>
      <x:c r="AZ127" s="139" t="n"/>
    </x:row>
    <x:row r="128">
      <x:c r="A128" s="139" t="n"/>
      <x:c r="B128" s="139" t="n"/>
      <x:c r="C128" s="139" t="n"/>
      <x:c r="D128" s="139" t="n"/>
      <x:c r="E128" s="139" t="n"/>
      <x:c r="F128" s="139" t="n"/>
      <x:c r="G128" s="139" t="n"/>
      <x:c r="H128" s="139" t="n"/>
      <x:c r="I128" s="139" t="n"/>
      <x:c r="J128" s="139" t="n"/>
      <x:c r="K128" s="139" t="n"/>
      <x:c r="L128" s="139" t="n"/>
      <x:c r="M128" s="139" t="n"/>
      <x:c r="N128" s="139" t="n"/>
      <x:c r="O128" s="139" t="n"/>
      <x:c r="P128" s="139" t="n"/>
      <x:c r="Q128" s="139" t="n"/>
      <x:c r="R128" s="139" t="n"/>
      <x:c r="S128" s="139" t="n"/>
      <x:c r="T128" s="139" t="n"/>
      <x:c r="U128" s="139" t="n"/>
      <x:c r="V128" s="139" t="n"/>
      <x:c r="W128" s="139" t="n"/>
      <x:c r="X128" s="139" t="n"/>
      <x:c r="Y128" s="139" t="n"/>
      <x:c r="Z128" s="139" t="n"/>
      <x:c r="AA128" s="139" t="n"/>
      <x:c r="AB128" s="139" t="n"/>
      <x:c r="AC128" s="139" t="n"/>
      <x:c r="AD128" s="139" t="n"/>
      <x:c r="AE128" s="139" t="n"/>
      <x:c r="AF128" s="139" t="n"/>
      <x:c r="AG128" s="139" t="n"/>
      <x:c r="AH128" s="139" t="n"/>
      <x:c r="AI128" s="139" t="n"/>
      <x:c r="AJ128" s="139" t="n"/>
      <x:c r="AK128" s="139" t="n"/>
      <x:c r="AL128" s="139" t="n"/>
      <x:c r="AM128" s="139" t="n"/>
      <x:c r="AN128" s="139" t="n"/>
      <x:c r="AO128" s="139" t="n"/>
      <x:c r="AP128" s="139" t="n"/>
      <x:c r="AQ128" s="139" t="n"/>
      <x:c r="AR128" s="139" t="n"/>
      <x:c r="AS128" s="139" t="n"/>
      <x:c r="AT128" s="139" t="n"/>
      <x:c r="AU128" s="139" t="n"/>
      <x:c r="AV128" s="139" t="n"/>
      <x:c r="AW128" s="139" t="n"/>
      <x:c r="AX128" s="139" t="n"/>
      <x:c r="AY128" s="139" t="n"/>
      <x:c r="AZ128" s="139" t="n"/>
    </x:row>
    <x:row r="129">
      <x:c r="A129" s="139" t="n"/>
      <x:c r="B129" s="139" t="n"/>
      <x:c r="C129" s="139" t="n"/>
      <x:c r="D129" s="139" t="n"/>
      <x:c r="E129" s="139" t="n"/>
      <x:c r="F129" s="139" t="n"/>
      <x:c r="G129" s="139" t="n"/>
      <x:c r="H129" s="139" t="n"/>
      <x:c r="I129" s="139" t="n"/>
      <x:c r="J129" s="139" t="n"/>
      <x:c r="K129" s="139" t="n"/>
      <x:c r="L129" s="139" t="n"/>
      <x:c r="M129" s="139" t="n"/>
      <x:c r="N129" s="139" t="n"/>
      <x:c r="O129" s="139" t="n"/>
      <x:c r="P129" s="139" t="n"/>
      <x:c r="Q129" s="139" t="n"/>
      <x:c r="R129" s="139" t="n"/>
      <x:c r="S129" s="139" t="n"/>
      <x:c r="T129" s="139" t="n"/>
      <x:c r="U129" s="139" t="n"/>
      <x:c r="V129" s="139" t="n"/>
      <x:c r="W129" s="139" t="n"/>
      <x:c r="X129" s="139" t="n"/>
      <x:c r="Y129" s="139" t="n"/>
      <x:c r="Z129" s="139" t="n"/>
      <x:c r="AA129" s="139" t="n"/>
      <x:c r="AB129" s="139" t="n"/>
      <x:c r="AC129" s="139" t="n"/>
      <x:c r="AD129" s="139" t="n"/>
      <x:c r="AE129" s="139" t="n"/>
      <x:c r="AF129" s="139" t="n"/>
      <x:c r="AG129" s="139" t="n"/>
      <x:c r="AH129" s="139" t="n"/>
      <x:c r="AI129" s="139" t="n"/>
      <x:c r="AJ129" s="139" t="n"/>
      <x:c r="AK129" s="139" t="n"/>
      <x:c r="AL129" s="139" t="n"/>
      <x:c r="AM129" s="139" t="n"/>
      <x:c r="AN129" s="139" t="n"/>
      <x:c r="AO129" s="139" t="n"/>
      <x:c r="AP129" s="139" t="n"/>
      <x:c r="AQ129" s="139" t="n"/>
      <x:c r="AR129" s="139" t="n"/>
      <x:c r="AS129" s="139" t="n"/>
      <x:c r="AT129" s="139" t="n"/>
      <x:c r="AU129" s="139" t="n"/>
      <x:c r="AV129" s="139" t="n"/>
      <x:c r="AW129" s="139" t="n"/>
      <x:c r="AX129" s="139" t="n"/>
      <x:c r="AY129" s="139" t="n"/>
      <x:c r="AZ129" s="139" t="n"/>
    </x:row>
    <x:row r="130">
      <x:c r="A130" s="139" t="n"/>
      <x:c r="B130" s="139" t="n"/>
      <x:c r="C130" s="139" t="n"/>
      <x:c r="D130" s="139" t="n"/>
      <x:c r="E130" s="139" t="n"/>
      <x:c r="F130" s="139" t="n"/>
      <x:c r="G130" s="139" t="n"/>
      <x:c r="H130" s="139" t="n"/>
      <x:c r="I130" s="139" t="n"/>
      <x:c r="J130" s="139" t="n"/>
      <x:c r="K130" s="139" t="n"/>
      <x:c r="L130" s="139" t="n"/>
      <x:c r="M130" s="139" t="n"/>
      <x:c r="N130" s="139" t="n"/>
      <x:c r="O130" s="139" t="n"/>
      <x:c r="P130" s="139" t="n"/>
      <x:c r="Q130" s="139" t="n"/>
      <x:c r="R130" s="139" t="n"/>
      <x:c r="S130" s="139" t="n"/>
      <x:c r="T130" s="139" t="n"/>
      <x:c r="U130" s="139" t="n"/>
      <x:c r="V130" s="139" t="n"/>
      <x:c r="W130" s="139" t="n"/>
      <x:c r="X130" s="139" t="n"/>
      <x:c r="Y130" s="139" t="n"/>
      <x:c r="Z130" s="139" t="n"/>
      <x:c r="AA130" s="139" t="n"/>
      <x:c r="AB130" s="139" t="n"/>
      <x:c r="AC130" s="139" t="n"/>
      <x:c r="AD130" s="139" t="n"/>
      <x:c r="AE130" s="139" t="n"/>
      <x:c r="AF130" s="139" t="n"/>
      <x:c r="AG130" s="139" t="n"/>
      <x:c r="AH130" s="139" t="n"/>
      <x:c r="AI130" s="139" t="n"/>
      <x:c r="AJ130" s="139" t="n"/>
      <x:c r="AK130" s="139" t="n"/>
      <x:c r="AL130" s="139" t="n"/>
      <x:c r="AM130" s="139" t="n"/>
      <x:c r="AN130" s="139" t="n"/>
      <x:c r="AO130" s="139" t="n"/>
      <x:c r="AP130" s="139" t="n"/>
      <x:c r="AQ130" s="139" t="n"/>
      <x:c r="AR130" s="139" t="n"/>
      <x:c r="AS130" s="139" t="n"/>
      <x:c r="AT130" s="139" t="n"/>
      <x:c r="AU130" s="139" t="n"/>
      <x:c r="AV130" s="139" t="n"/>
      <x:c r="AW130" s="139" t="n"/>
      <x:c r="AX130" s="139" t="n"/>
      <x:c r="AY130" s="139" t="n"/>
      <x:c r="AZ130" s="139" t="n"/>
    </x:row>
    <x:row r="131">
      <x:c r="A131" s="139" t="n"/>
      <x:c r="B131" s="139" t="n"/>
      <x:c r="C131" s="139" t="n"/>
      <x:c r="D131" s="139" t="n"/>
      <x:c r="E131" s="139" t="n"/>
      <x:c r="F131" s="139" t="n"/>
      <x:c r="G131" s="139" t="n"/>
      <x:c r="H131" s="139" t="n"/>
      <x:c r="I131" s="139" t="n"/>
      <x:c r="J131" s="139" t="n"/>
      <x:c r="K131" s="139" t="n"/>
      <x:c r="L131" s="139" t="n"/>
      <x:c r="M131" s="139" t="n"/>
      <x:c r="N131" s="139" t="n"/>
      <x:c r="O131" s="139" t="n"/>
      <x:c r="P131" s="139" t="n"/>
      <x:c r="Q131" s="139" t="n"/>
      <x:c r="R131" s="139" t="n"/>
      <x:c r="S131" s="139" t="n"/>
      <x:c r="T131" s="139" t="n"/>
      <x:c r="U131" s="139" t="n"/>
      <x:c r="V131" s="139" t="n"/>
      <x:c r="W131" s="139" t="n"/>
      <x:c r="X131" s="139" t="n"/>
      <x:c r="Y131" s="139" t="n"/>
      <x:c r="Z131" s="139" t="n"/>
      <x:c r="AA131" s="139" t="n"/>
      <x:c r="AB131" s="139" t="n"/>
      <x:c r="AC131" s="139" t="n"/>
      <x:c r="AD131" s="139" t="n"/>
      <x:c r="AE131" s="139" t="n"/>
      <x:c r="AF131" s="139" t="n"/>
      <x:c r="AG131" s="139" t="n"/>
      <x:c r="AH131" s="139" t="n"/>
      <x:c r="AI131" s="139" t="n"/>
      <x:c r="AJ131" s="139" t="n"/>
      <x:c r="AK131" s="139" t="n"/>
      <x:c r="AL131" s="139" t="n"/>
      <x:c r="AM131" s="139" t="n"/>
      <x:c r="AN131" s="139" t="n"/>
      <x:c r="AO131" s="139" t="n"/>
      <x:c r="AP131" s="139" t="n"/>
      <x:c r="AQ131" s="139" t="n"/>
      <x:c r="AR131" s="139" t="n"/>
      <x:c r="AS131" s="139" t="n"/>
      <x:c r="AT131" s="139" t="n"/>
      <x:c r="AU131" s="139" t="n"/>
      <x:c r="AV131" s="139" t="n"/>
      <x:c r="AW131" s="139" t="n"/>
      <x:c r="AX131" s="139" t="n"/>
      <x:c r="AY131" s="139" t="n"/>
      <x:c r="AZ131" s="139" t="n"/>
    </x:row>
    <x:row r="132">
      <x:c r="A132" s="139" t="n"/>
      <x:c r="B132" s="139" t="n"/>
      <x:c r="C132" s="139" t="n"/>
      <x:c r="D132" s="139" t="n"/>
      <x:c r="E132" s="139" t="n"/>
      <x:c r="F132" s="139" t="n"/>
      <x:c r="G132" s="139" t="n"/>
      <x:c r="H132" s="139" t="n"/>
      <x:c r="I132" s="139" t="n"/>
      <x:c r="J132" s="139" t="n"/>
      <x:c r="K132" s="139" t="n"/>
      <x:c r="L132" s="139" t="n"/>
      <x:c r="M132" s="139" t="n"/>
      <x:c r="N132" s="139" t="n"/>
      <x:c r="O132" s="139" t="n"/>
      <x:c r="P132" s="139" t="n"/>
      <x:c r="Q132" s="139" t="n"/>
      <x:c r="R132" s="139" t="n"/>
      <x:c r="S132" s="139" t="n"/>
      <x:c r="T132" s="139" t="n"/>
      <x:c r="U132" s="139" t="n"/>
      <x:c r="V132" s="139" t="n"/>
      <x:c r="W132" s="139" t="n"/>
      <x:c r="X132" s="139" t="n"/>
      <x:c r="Y132" s="139" t="n"/>
      <x:c r="Z132" s="139" t="n"/>
      <x:c r="AA132" s="139" t="n"/>
      <x:c r="AB132" s="139" t="n"/>
      <x:c r="AC132" s="139" t="n"/>
      <x:c r="AD132" s="139" t="n"/>
      <x:c r="AE132" s="139" t="n"/>
      <x:c r="AF132" s="139" t="n"/>
      <x:c r="AG132" s="139" t="n"/>
      <x:c r="AH132" s="139" t="n"/>
      <x:c r="AI132" s="139" t="n"/>
      <x:c r="AJ132" s="139" t="n"/>
      <x:c r="AK132" s="139" t="n"/>
      <x:c r="AL132" s="139" t="n"/>
      <x:c r="AM132" s="139" t="n"/>
      <x:c r="AN132" s="139" t="n"/>
      <x:c r="AO132" s="139" t="n"/>
      <x:c r="AP132" s="139" t="n"/>
      <x:c r="AQ132" s="139" t="n"/>
      <x:c r="AR132" s="139" t="n"/>
      <x:c r="AS132" s="139" t="n"/>
      <x:c r="AT132" s="139" t="n"/>
      <x:c r="AU132" s="139" t="n"/>
      <x:c r="AV132" s="139" t="n"/>
      <x:c r="AW132" s="139" t="n"/>
      <x:c r="AX132" s="139" t="n"/>
      <x:c r="AY132" s="139" t="n"/>
      <x:c r="AZ132" s="139" t="n"/>
    </x:row>
    <x:row r="133">
      <x:c r="A133" s="139" t="n"/>
      <x:c r="B133" s="139" t="n"/>
      <x:c r="C133" s="139" t="n"/>
      <x:c r="D133" s="139" t="n"/>
      <x:c r="E133" s="139" t="n"/>
      <x:c r="F133" s="139" t="n"/>
      <x:c r="G133" s="139" t="n"/>
      <x:c r="H133" s="139" t="n"/>
      <x:c r="I133" s="139" t="n"/>
      <x:c r="J133" s="139" t="n"/>
      <x:c r="K133" s="139" t="n"/>
      <x:c r="L133" s="139" t="n"/>
      <x:c r="M133" s="139" t="n"/>
      <x:c r="N133" s="139" t="n"/>
      <x:c r="O133" s="139" t="n"/>
      <x:c r="P133" s="139" t="n"/>
      <x:c r="Q133" s="139" t="n"/>
      <x:c r="R133" s="139" t="n"/>
      <x:c r="S133" s="139" t="n"/>
      <x:c r="T133" s="139" t="n"/>
      <x:c r="U133" s="139" t="n"/>
      <x:c r="V133" s="139" t="n"/>
      <x:c r="W133" s="139" t="n"/>
      <x:c r="X133" s="139" t="n"/>
      <x:c r="Y133" s="139" t="n"/>
      <x:c r="Z133" s="139" t="n"/>
      <x:c r="AA133" s="139" t="n"/>
      <x:c r="AB133" s="139" t="n"/>
      <x:c r="AC133" s="139" t="n"/>
      <x:c r="AD133" s="139" t="n"/>
      <x:c r="AE133" s="139" t="n"/>
      <x:c r="AF133" s="139" t="n"/>
      <x:c r="AG133" s="139" t="n"/>
      <x:c r="AH133" s="139" t="n"/>
      <x:c r="AI133" s="139" t="n"/>
      <x:c r="AJ133" s="139" t="n"/>
      <x:c r="AK133" s="139" t="n"/>
      <x:c r="AL133" s="139" t="n"/>
      <x:c r="AM133" s="139" t="n"/>
      <x:c r="AN133" s="139" t="n"/>
      <x:c r="AO133" s="139" t="n"/>
      <x:c r="AP133" s="139" t="n"/>
      <x:c r="AQ133" s="139" t="n"/>
      <x:c r="AR133" s="139" t="n"/>
      <x:c r="AS133" s="139" t="n"/>
      <x:c r="AT133" s="139" t="n"/>
      <x:c r="AU133" s="139" t="n"/>
      <x:c r="AV133" s="139" t="n"/>
      <x:c r="AW133" s="139" t="n"/>
      <x:c r="AX133" s="139" t="n"/>
      <x:c r="AY133" s="139" t="n"/>
      <x:c r="AZ133" s="139" t="n"/>
    </x:row>
    <x:row r="134">
      <x:c r="A134" s="139" t="n"/>
      <x:c r="B134" s="139" t="n"/>
      <x:c r="C134" s="139" t="n"/>
      <x:c r="D134" s="139" t="n"/>
      <x:c r="E134" s="139" t="n"/>
      <x:c r="F134" s="139" t="n"/>
      <x:c r="G134" s="139" t="n"/>
      <x:c r="H134" s="139" t="n"/>
      <x:c r="I134" s="139" t="n"/>
      <x:c r="J134" s="139" t="n"/>
      <x:c r="K134" s="139" t="n"/>
      <x:c r="L134" s="139" t="n"/>
      <x:c r="M134" s="139" t="n"/>
      <x:c r="N134" s="139" t="n"/>
      <x:c r="O134" s="139" t="n"/>
      <x:c r="P134" s="139" t="n"/>
      <x:c r="Q134" s="139" t="n"/>
      <x:c r="R134" s="139" t="n"/>
      <x:c r="S134" s="139" t="n"/>
      <x:c r="T134" s="139" t="n"/>
      <x:c r="U134" s="139" t="n"/>
      <x:c r="V134" s="139" t="n"/>
      <x:c r="W134" s="139" t="n"/>
      <x:c r="X134" s="139" t="n"/>
      <x:c r="Y134" s="139" t="n"/>
      <x:c r="Z134" s="139" t="n"/>
      <x:c r="AA134" s="139" t="n"/>
      <x:c r="AB134" s="139" t="n"/>
      <x:c r="AC134" s="139" t="n"/>
      <x:c r="AD134" s="139" t="n"/>
      <x:c r="AE134" s="139" t="n"/>
      <x:c r="AF134" s="139" t="n"/>
      <x:c r="AG134" s="139" t="n"/>
      <x:c r="AH134" s="139" t="n"/>
      <x:c r="AI134" s="139" t="n"/>
      <x:c r="AJ134" s="139" t="n"/>
      <x:c r="AK134" s="139" t="n"/>
      <x:c r="AL134" s="139" t="n"/>
      <x:c r="AM134" s="139" t="n"/>
      <x:c r="AN134" s="139" t="n"/>
      <x:c r="AO134" s="139" t="n"/>
      <x:c r="AP134" s="139" t="n"/>
      <x:c r="AQ134" s="139" t="n"/>
      <x:c r="AR134" s="139" t="n"/>
      <x:c r="AS134" s="139" t="n"/>
      <x:c r="AT134" s="139" t="n"/>
      <x:c r="AU134" s="139" t="n"/>
      <x:c r="AV134" s="139" t="n"/>
      <x:c r="AW134" s="139" t="n"/>
      <x:c r="AX134" s="139" t="n"/>
      <x:c r="AY134" s="139" t="n"/>
      <x:c r="AZ134" s="139" t="n"/>
    </x:row>
    <x:row r="135">
      <x:c r="A135" s="139" t="n"/>
      <x:c r="B135" s="139" t="n"/>
      <x:c r="C135" s="139" t="n"/>
      <x:c r="D135" s="139" t="n"/>
      <x:c r="E135" s="139" t="n"/>
      <x:c r="F135" s="139" t="n"/>
      <x:c r="G135" s="139" t="n"/>
      <x:c r="H135" s="139" t="n"/>
      <x:c r="I135" s="139" t="n"/>
      <x:c r="J135" s="139" t="n"/>
      <x:c r="K135" s="139" t="n"/>
      <x:c r="L135" s="139" t="n"/>
      <x:c r="M135" s="139" t="n"/>
      <x:c r="N135" s="139" t="n"/>
      <x:c r="O135" s="139" t="n"/>
      <x:c r="P135" s="139" t="n"/>
      <x:c r="Q135" s="139" t="n"/>
      <x:c r="R135" s="139" t="n"/>
      <x:c r="S135" s="139" t="n"/>
      <x:c r="T135" s="139" t="n"/>
      <x:c r="U135" s="139" t="n"/>
      <x:c r="V135" s="139" t="n"/>
      <x:c r="W135" s="139" t="n"/>
      <x:c r="X135" s="139" t="n"/>
      <x:c r="Y135" s="139" t="n"/>
      <x:c r="Z135" s="139" t="n"/>
      <x:c r="AA135" s="139" t="n"/>
      <x:c r="AB135" s="139" t="n"/>
      <x:c r="AC135" s="139" t="n"/>
      <x:c r="AD135" s="139" t="n"/>
      <x:c r="AE135" s="139" t="n"/>
      <x:c r="AF135" s="139" t="n"/>
      <x:c r="AG135" s="139" t="n"/>
      <x:c r="AH135" s="139" t="n"/>
      <x:c r="AI135" s="139" t="n"/>
      <x:c r="AJ135" s="139" t="n"/>
      <x:c r="AK135" s="139" t="n"/>
      <x:c r="AL135" s="139" t="n"/>
      <x:c r="AM135" s="139" t="n"/>
      <x:c r="AN135" s="139" t="n"/>
      <x:c r="AO135" s="139" t="n"/>
      <x:c r="AP135" s="139" t="n"/>
      <x:c r="AQ135" s="139" t="n"/>
      <x:c r="AR135" s="139" t="n"/>
      <x:c r="AS135" s="139" t="n"/>
      <x:c r="AT135" s="139" t="n"/>
      <x:c r="AU135" s="139" t="n"/>
      <x:c r="AV135" s="139" t="n"/>
      <x:c r="AW135" s="139" t="n"/>
      <x:c r="AX135" s="139" t="n"/>
      <x:c r="AY135" s="139" t="n"/>
      <x:c r="AZ135" s="139" t="n"/>
    </x:row>
    <x:row r="136">
      <x:c r="A136" s="139" t="n"/>
      <x:c r="B136" s="139" t="n"/>
      <x:c r="C136" s="139" t="n"/>
      <x:c r="D136" s="139" t="n"/>
      <x:c r="E136" s="139" t="n"/>
      <x:c r="F136" s="139" t="n"/>
      <x:c r="G136" s="139" t="n"/>
      <x:c r="H136" s="139" t="n"/>
      <x:c r="I136" s="139" t="n"/>
      <x:c r="J136" s="139" t="n"/>
      <x:c r="K136" s="139" t="n"/>
      <x:c r="L136" s="139" t="n"/>
      <x:c r="M136" s="139" t="n"/>
      <x:c r="N136" s="139" t="n"/>
      <x:c r="O136" s="139" t="n"/>
      <x:c r="P136" s="139" t="n"/>
      <x:c r="Q136" s="139" t="n"/>
      <x:c r="R136" s="139" t="n"/>
      <x:c r="S136" s="139" t="n"/>
      <x:c r="T136" s="139" t="n"/>
      <x:c r="U136" s="139" t="n"/>
      <x:c r="V136" s="139" t="n"/>
      <x:c r="W136" s="139" t="n"/>
      <x:c r="X136" s="139" t="n"/>
      <x:c r="Y136" s="139" t="n"/>
      <x:c r="Z136" s="139" t="n"/>
      <x:c r="AA136" s="139" t="n"/>
      <x:c r="AB136" s="139" t="n"/>
      <x:c r="AC136" s="139" t="n"/>
      <x:c r="AD136" s="139" t="n"/>
      <x:c r="AE136" s="139" t="n"/>
      <x:c r="AF136" s="139" t="n"/>
      <x:c r="AG136" s="139" t="n"/>
      <x:c r="AH136" s="139" t="n"/>
      <x:c r="AI136" s="139" t="n"/>
      <x:c r="AJ136" s="139" t="n"/>
      <x:c r="AK136" s="139" t="n"/>
      <x:c r="AL136" s="139" t="n"/>
      <x:c r="AM136" s="139" t="n"/>
      <x:c r="AN136" s="139" t="n"/>
      <x:c r="AO136" s="139" t="n"/>
      <x:c r="AP136" s="139" t="n"/>
      <x:c r="AQ136" s="139" t="n"/>
      <x:c r="AR136" s="139" t="n"/>
      <x:c r="AS136" s="139" t="n"/>
      <x:c r="AT136" s="139" t="n"/>
      <x:c r="AU136" s="139" t="n"/>
      <x:c r="AV136" s="139" t="n"/>
      <x:c r="AW136" s="139" t="n"/>
      <x:c r="AX136" s="139" t="n"/>
      <x:c r="AY136" s="139" t="n"/>
      <x:c r="AZ136" s="139" t="n"/>
    </x:row>
    <x:row r="137">
      <x:c r="A137" s="139" t="n"/>
      <x:c r="B137" s="139" t="n"/>
      <x:c r="C137" s="139" t="n"/>
      <x:c r="D137" s="139" t="n"/>
      <x:c r="E137" s="139" t="n"/>
      <x:c r="F137" s="139" t="n"/>
      <x:c r="G137" s="139" t="n"/>
      <x:c r="H137" s="139" t="n"/>
      <x:c r="I137" s="139" t="n"/>
      <x:c r="J137" s="139" t="n"/>
      <x:c r="K137" s="139" t="n"/>
      <x:c r="L137" s="139" t="n"/>
      <x:c r="M137" s="139" t="n"/>
      <x:c r="N137" s="139" t="n"/>
      <x:c r="O137" s="139" t="n"/>
      <x:c r="P137" s="139" t="n"/>
      <x:c r="Q137" s="139" t="n"/>
      <x:c r="R137" s="139" t="n"/>
      <x:c r="S137" s="139" t="n"/>
      <x:c r="T137" s="139" t="n"/>
      <x:c r="U137" s="139" t="n"/>
      <x:c r="V137" s="139" t="n"/>
      <x:c r="W137" s="139" t="n"/>
      <x:c r="X137" s="139" t="n"/>
      <x:c r="Y137" s="139" t="n"/>
      <x:c r="Z137" s="139" t="n"/>
      <x:c r="AA137" s="139" t="n"/>
      <x:c r="AB137" s="139" t="n"/>
      <x:c r="AC137" s="139" t="n"/>
      <x:c r="AD137" s="139" t="n"/>
      <x:c r="AE137" s="139" t="n"/>
      <x:c r="AF137" s="139" t="n"/>
      <x:c r="AG137" s="139" t="n"/>
      <x:c r="AH137" s="139" t="n"/>
      <x:c r="AI137" s="139" t="n"/>
      <x:c r="AJ137" s="139" t="n"/>
      <x:c r="AK137" s="139" t="n"/>
      <x:c r="AL137" s="139" t="n"/>
      <x:c r="AM137" s="139" t="n"/>
      <x:c r="AN137" s="139" t="n"/>
      <x:c r="AO137" s="139" t="n"/>
      <x:c r="AP137" s="139" t="n"/>
      <x:c r="AQ137" s="139" t="n"/>
      <x:c r="AR137" s="139" t="n"/>
      <x:c r="AS137" s="139" t="n"/>
      <x:c r="AT137" s="139" t="n"/>
      <x:c r="AU137" s="139" t="n"/>
      <x:c r="AV137" s="139" t="n"/>
      <x:c r="AW137" s="139" t="n"/>
      <x:c r="AX137" s="139" t="n"/>
      <x:c r="AY137" s="139" t="n"/>
      <x:c r="AZ137" s="139" t="n"/>
    </x:row>
    <x:row r="138">
      <x:c r="A138" s="139" t="n"/>
      <x:c r="B138" s="139" t="n"/>
      <x:c r="C138" s="139" t="n"/>
      <x:c r="D138" s="139" t="n"/>
      <x:c r="E138" s="139" t="n"/>
      <x:c r="F138" s="139" t="n"/>
      <x:c r="G138" s="139" t="n"/>
      <x:c r="H138" s="139" t="n"/>
      <x:c r="I138" s="139" t="n"/>
      <x:c r="J138" s="139" t="n"/>
      <x:c r="K138" s="139" t="n"/>
      <x:c r="L138" s="139" t="n"/>
      <x:c r="M138" s="139" t="n"/>
      <x:c r="N138" s="139" t="n"/>
      <x:c r="O138" s="139" t="n"/>
      <x:c r="P138" s="139" t="n"/>
      <x:c r="Q138" s="139" t="n"/>
      <x:c r="R138" s="139" t="n"/>
      <x:c r="S138" s="139" t="n"/>
      <x:c r="T138" s="139" t="n"/>
      <x:c r="U138" s="139" t="n"/>
      <x:c r="V138" s="139" t="n"/>
      <x:c r="W138" s="139" t="n"/>
      <x:c r="X138" s="139" t="n"/>
      <x:c r="Y138" s="139" t="n"/>
      <x:c r="Z138" s="139" t="n"/>
      <x:c r="AA138" s="139" t="n"/>
      <x:c r="AB138" s="139" t="n"/>
      <x:c r="AC138" s="139" t="n"/>
      <x:c r="AD138" s="139" t="n"/>
      <x:c r="AE138" s="139" t="n"/>
      <x:c r="AF138" s="139" t="n"/>
      <x:c r="AG138" s="139" t="n"/>
      <x:c r="AH138" s="139" t="n"/>
      <x:c r="AI138" s="139" t="n"/>
      <x:c r="AJ138" s="139" t="n"/>
      <x:c r="AK138" s="139" t="n"/>
      <x:c r="AL138" s="139" t="n"/>
      <x:c r="AM138" s="139" t="n"/>
      <x:c r="AN138" s="139" t="n"/>
      <x:c r="AO138" s="139" t="n"/>
      <x:c r="AP138" s="139" t="n"/>
      <x:c r="AQ138" s="139" t="n"/>
      <x:c r="AR138" s="139" t="n"/>
      <x:c r="AS138" s="139" t="n"/>
      <x:c r="AT138" s="139" t="n"/>
      <x:c r="AU138" s="139" t="n"/>
      <x:c r="AV138" s="139" t="n"/>
      <x:c r="AW138" s="139" t="n"/>
      <x:c r="AX138" s="139" t="n"/>
      <x:c r="AY138" s="139" t="n"/>
      <x:c r="AZ138" s="139" t="n"/>
    </x:row>
    <x:row r="139">
      <x:c r="A139" s="139" t="n"/>
      <x:c r="B139" s="139" t="n"/>
      <x:c r="C139" s="139" t="n"/>
      <x:c r="D139" s="139" t="n"/>
      <x:c r="E139" s="139" t="n"/>
      <x:c r="F139" s="139" t="n"/>
      <x:c r="G139" s="139" t="n"/>
      <x:c r="H139" s="139" t="n"/>
      <x:c r="I139" s="139" t="n"/>
      <x:c r="J139" s="139" t="n"/>
      <x:c r="K139" s="139" t="n"/>
      <x:c r="L139" s="139" t="n"/>
      <x:c r="M139" s="139" t="n"/>
      <x:c r="N139" s="139" t="n"/>
      <x:c r="O139" s="139" t="n"/>
      <x:c r="P139" s="139" t="n"/>
      <x:c r="Q139" s="139" t="n"/>
      <x:c r="R139" s="139" t="n"/>
      <x:c r="S139" s="139" t="n"/>
      <x:c r="T139" s="139" t="n"/>
      <x:c r="U139" s="139" t="n"/>
      <x:c r="V139" s="139" t="n"/>
      <x:c r="W139" s="139" t="n"/>
      <x:c r="X139" s="139" t="n"/>
      <x:c r="Y139" s="139" t="n"/>
      <x:c r="Z139" s="139" t="n"/>
      <x:c r="AA139" s="139" t="n"/>
      <x:c r="AB139" s="139" t="n"/>
      <x:c r="AC139" s="139" t="n"/>
      <x:c r="AD139" s="139" t="n"/>
      <x:c r="AE139" s="139" t="n"/>
      <x:c r="AF139" s="139" t="n"/>
      <x:c r="AG139" s="139" t="n"/>
      <x:c r="AH139" s="139" t="n"/>
      <x:c r="AI139" s="139" t="n"/>
      <x:c r="AJ139" s="139" t="n"/>
      <x:c r="AK139" s="139" t="n"/>
      <x:c r="AL139" s="139" t="n"/>
      <x:c r="AM139" s="139" t="n"/>
      <x:c r="AN139" s="139" t="n"/>
      <x:c r="AO139" s="139" t="n"/>
      <x:c r="AP139" s="139" t="n"/>
      <x:c r="AQ139" s="139" t="n"/>
      <x:c r="AR139" s="139" t="n"/>
      <x:c r="AS139" s="139" t="n"/>
      <x:c r="AT139" s="139" t="n"/>
      <x:c r="AU139" s="139" t="n"/>
      <x:c r="AV139" s="139" t="n"/>
      <x:c r="AW139" s="139" t="n"/>
      <x:c r="AX139" s="139" t="n"/>
      <x:c r="AY139" s="139" t="n"/>
      <x:c r="AZ139" s="139" t="n"/>
    </x:row>
    <x:row r="140">
      <x:c r="A140" s="139" t="n"/>
      <x:c r="B140" s="139" t="n"/>
      <x:c r="C140" s="139" t="n"/>
      <x:c r="D140" s="139" t="n"/>
      <x:c r="E140" s="139" t="n"/>
      <x:c r="F140" s="139" t="n"/>
      <x:c r="G140" s="139" t="n"/>
      <x:c r="H140" s="139" t="n"/>
      <x:c r="I140" s="139" t="n"/>
      <x:c r="J140" s="139" t="n"/>
      <x:c r="K140" s="139" t="n"/>
      <x:c r="L140" s="139" t="n"/>
      <x:c r="M140" s="139" t="n"/>
      <x:c r="N140" s="139" t="n"/>
      <x:c r="O140" s="139" t="n"/>
      <x:c r="P140" s="139" t="n"/>
      <x:c r="Q140" s="139" t="n"/>
      <x:c r="R140" s="139" t="n"/>
      <x:c r="S140" s="139" t="n"/>
      <x:c r="T140" s="139" t="n"/>
      <x:c r="U140" s="139" t="n"/>
      <x:c r="V140" s="139" t="n"/>
      <x:c r="W140" s="139" t="n"/>
      <x:c r="X140" s="139" t="n"/>
      <x:c r="Y140" s="139" t="n"/>
      <x:c r="Z140" s="139" t="n"/>
      <x:c r="AA140" s="139" t="n"/>
      <x:c r="AB140" s="139" t="n"/>
      <x:c r="AC140" s="139" t="n"/>
      <x:c r="AD140" s="139" t="n"/>
      <x:c r="AE140" s="139" t="n"/>
      <x:c r="AF140" s="139" t="n"/>
      <x:c r="AG140" s="139" t="n"/>
      <x:c r="AH140" s="139" t="n"/>
      <x:c r="AI140" s="139" t="n"/>
      <x:c r="AJ140" s="139" t="n"/>
      <x:c r="AK140" s="139" t="n"/>
      <x:c r="AL140" s="139" t="n"/>
      <x:c r="AM140" s="139" t="n"/>
      <x:c r="AN140" s="139" t="n"/>
      <x:c r="AO140" s="139" t="n"/>
      <x:c r="AP140" s="139" t="n"/>
      <x:c r="AQ140" s="139" t="n"/>
      <x:c r="AR140" s="139" t="n"/>
      <x:c r="AS140" s="139" t="n"/>
      <x:c r="AT140" s="139" t="n"/>
      <x:c r="AU140" s="139" t="n"/>
      <x:c r="AV140" s="139" t="n"/>
      <x:c r="AW140" s="139" t="n"/>
      <x:c r="AX140" s="139" t="n"/>
      <x:c r="AY140" s="139" t="n"/>
      <x:c r="AZ140" s="139" t="n"/>
    </x:row>
    <x:row r="141">
      <x:c r="A141" s="139" t="n"/>
      <x:c r="B141" s="139" t="n"/>
      <x:c r="C141" s="139" t="n"/>
      <x:c r="D141" s="139" t="n"/>
      <x:c r="E141" s="139" t="n"/>
      <x:c r="F141" s="139" t="n"/>
      <x:c r="G141" s="139" t="n"/>
      <x:c r="H141" s="139" t="n"/>
      <x:c r="I141" s="139" t="n"/>
      <x:c r="J141" s="139" t="n"/>
      <x:c r="K141" s="139" t="n"/>
      <x:c r="L141" s="139" t="n"/>
      <x:c r="M141" s="139" t="n"/>
      <x:c r="N141" s="139" t="n"/>
      <x:c r="O141" s="139" t="n"/>
      <x:c r="P141" s="139" t="n"/>
      <x:c r="Q141" s="139" t="n"/>
      <x:c r="R141" s="139" t="n"/>
      <x:c r="S141" s="139" t="n"/>
      <x:c r="T141" s="139" t="n"/>
      <x:c r="U141" s="139" t="n"/>
      <x:c r="V141" s="139" t="n"/>
      <x:c r="W141" s="139" t="n"/>
      <x:c r="X141" s="139" t="n"/>
      <x:c r="Y141" s="139" t="n"/>
      <x:c r="Z141" s="139" t="n"/>
      <x:c r="AA141" s="139" t="n"/>
      <x:c r="AB141" s="139" t="n"/>
      <x:c r="AC141" s="139" t="n"/>
      <x:c r="AD141" s="139" t="n"/>
      <x:c r="AE141" s="139" t="n"/>
      <x:c r="AF141" s="139" t="n"/>
      <x:c r="AG141" s="139" t="n"/>
      <x:c r="AH141" s="139" t="n"/>
      <x:c r="AI141" s="139" t="n"/>
      <x:c r="AJ141" s="139" t="n"/>
      <x:c r="AK141" s="139" t="n"/>
      <x:c r="AL141" s="139" t="n"/>
      <x:c r="AM141" s="139" t="n"/>
      <x:c r="AN141" s="139" t="n"/>
      <x:c r="AO141" s="139" t="n"/>
      <x:c r="AP141" s="139" t="n"/>
      <x:c r="AQ141" s="139" t="n"/>
      <x:c r="AR141" s="139" t="n"/>
      <x:c r="AS141" s="139" t="n"/>
      <x:c r="AT141" s="139" t="n"/>
      <x:c r="AU141" s="139" t="n"/>
      <x:c r="AV141" s="139" t="n"/>
      <x:c r="AW141" s="139" t="n"/>
      <x:c r="AX141" s="139" t="n"/>
      <x:c r="AY141" s="139" t="n"/>
      <x:c r="AZ141" s="139" t="n"/>
    </x:row>
    <x:row r="142">
      <x:c r="A142" s="139" t="n"/>
      <x:c r="B142" s="139" t="n"/>
      <x:c r="C142" s="139" t="n"/>
      <x:c r="D142" s="139" t="n"/>
      <x:c r="E142" s="139" t="n"/>
      <x:c r="F142" s="139" t="n"/>
      <x:c r="G142" s="139" t="n"/>
      <x:c r="H142" s="139" t="n"/>
      <x:c r="I142" s="139" t="n"/>
      <x:c r="J142" s="139" t="n"/>
      <x:c r="K142" s="139" t="n"/>
      <x:c r="L142" s="139" t="n"/>
      <x:c r="M142" s="139" t="n"/>
      <x:c r="N142" s="139" t="n"/>
      <x:c r="O142" s="139" t="n"/>
      <x:c r="P142" s="139" t="n"/>
      <x:c r="Q142" s="139" t="n"/>
      <x:c r="R142" s="139" t="n"/>
      <x:c r="S142" s="139" t="n"/>
      <x:c r="T142" s="139" t="n"/>
      <x:c r="U142" s="139" t="n"/>
      <x:c r="V142" s="139" t="n"/>
      <x:c r="W142" s="139" t="n"/>
      <x:c r="X142" s="139" t="n"/>
      <x:c r="Y142" s="139" t="n"/>
      <x:c r="Z142" s="139" t="n"/>
      <x:c r="AA142" s="139" t="n"/>
      <x:c r="AB142" s="139" t="n"/>
      <x:c r="AC142" s="139" t="n"/>
      <x:c r="AD142" s="139" t="n"/>
      <x:c r="AE142" s="139" t="n"/>
      <x:c r="AF142" s="139" t="n"/>
      <x:c r="AG142" s="139" t="n"/>
      <x:c r="AH142" s="139" t="n"/>
      <x:c r="AI142" s="139" t="n"/>
      <x:c r="AJ142" s="139" t="n"/>
      <x:c r="AK142" s="139" t="n"/>
      <x:c r="AL142" s="139" t="n"/>
      <x:c r="AM142" s="139" t="n"/>
      <x:c r="AN142" s="139" t="n"/>
      <x:c r="AO142" s="139" t="n"/>
      <x:c r="AP142" s="139" t="n"/>
      <x:c r="AQ142" s="139" t="n"/>
      <x:c r="AR142" s="139" t="n"/>
      <x:c r="AS142" s="139" t="n"/>
      <x:c r="AT142" s="139" t="n"/>
      <x:c r="AU142" s="139" t="n"/>
      <x:c r="AV142" s="139" t="n"/>
      <x:c r="AW142" s="139" t="n"/>
      <x:c r="AX142" s="139" t="n"/>
      <x:c r="AY142" s="139" t="n"/>
      <x:c r="AZ142" s="139" t="n"/>
    </x:row>
    <x:row r="143">
      <x:c r="A143" s="139" t="n"/>
      <x:c r="B143" s="139" t="n"/>
      <x:c r="C143" s="139" t="n"/>
      <x:c r="D143" s="139" t="n"/>
      <x:c r="E143" s="139" t="n"/>
      <x:c r="F143" s="139" t="n"/>
      <x:c r="G143" s="139" t="n"/>
      <x:c r="H143" s="139" t="n"/>
      <x:c r="I143" s="139" t="n"/>
      <x:c r="J143" s="139" t="n"/>
      <x:c r="K143" s="139" t="n"/>
      <x:c r="L143" s="139" t="n"/>
      <x:c r="M143" s="139" t="n"/>
      <x:c r="N143" s="139" t="n"/>
      <x:c r="O143" s="139" t="n"/>
      <x:c r="P143" s="139" t="n"/>
      <x:c r="Q143" s="139" t="n"/>
      <x:c r="R143" s="139" t="n"/>
      <x:c r="S143" s="139" t="n"/>
      <x:c r="T143" s="139" t="n"/>
      <x:c r="U143" s="139" t="n"/>
      <x:c r="V143" s="139" t="n"/>
      <x:c r="W143" s="139" t="n"/>
      <x:c r="X143" s="139" t="n"/>
      <x:c r="Y143" s="139" t="n"/>
      <x:c r="Z143" s="139" t="n"/>
      <x:c r="AA143" s="139" t="n"/>
      <x:c r="AB143" s="139" t="n"/>
      <x:c r="AC143" s="139" t="n"/>
      <x:c r="AD143" s="139" t="n"/>
      <x:c r="AE143" s="139" t="n"/>
      <x:c r="AF143" s="139" t="n"/>
      <x:c r="AG143" s="139" t="n"/>
      <x:c r="AH143" s="139" t="n"/>
      <x:c r="AI143" s="139" t="n"/>
      <x:c r="AJ143" s="139" t="n"/>
      <x:c r="AK143" s="139" t="n"/>
      <x:c r="AL143" s="139" t="n"/>
      <x:c r="AM143" s="139" t="n"/>
      <x:c r="AN143" s="139" t="n"/>
      <x:c r="AO143" s="139" t="n"/>
      <x:c r="AP143" s="139" t="n"/>
      <x:c r="AQ143" s="139" t="n"/>
      <x:c r="AR143" s="139" t="n"/>
      <x:c r="AS143" s="139" t="n"/>
      <x:c r="AT143" s="139" t="n"/>
      <x:c r="AU143" s="139" t="n"/>
      <x:c r="AV143" s="139" t="n"/>
      <x:c r="AW143" s="139" t="n"/>
      <x:c r="AX143" s="139" t="n"/>
      <x:c r="AY143" s="139" t="n"/>
      <x:c r="AZ143" s="139" t="n"/>
    </x:row>
    <x:row r="144">
      <x:c r="A144" s="139" t="n"/>
      <x:c r="B144" s="139" t="n"/>
      <x:c r="C144" s="139" t="n"/>
      <x:c r="D144" s="139" t="n"/>
      <x:c r="E144" s="139" t="n"/>
      <x:c r="F144" s="139" t="n"/>
      <x:c r="G144" s="139" t="n"/>
      <x:c r="H144" s="139" t="n"/>
      <x:c r="I144" s="139" t="n"/>
      <x:c r="J144" s="139" t="n"/>
      <x:c r="K144" s="139" t="n"/>
      <x:c r="L144" s="139" t="n"/>
      <x:c r="M144" s="139" t="n"/>
      <x:c r="N144" s="139" t="n"/>
      <x:c r="O144" s="139" t="n"/>
      <x:c r="P144" s="139" t="n"/>
      <x:c r="Q144" s="139" t="n"/>
      <x:c r="R144" s="139" t="n"/>
      <x:c r="S144" s="139" t="n"/>
      <x:c r="T144" s="139" t="n"/>
      <x:c r="U144" s="139" t="n"/>
      <x:c r="V144" s="139" t="n"/>
      <x:c r="W144" s="139" t="n"/>
      <x:c r="X144" s="139" t="n"/>
      <x:c r="Y144" s="139" t="n"/>
      <x:c r="Z144" s="139" t="n"/>
      <x:c r="AA144" s="139" t="n"/>
      <x:c r="AB144" s="139" t="n"/>
      <x:c r="AC144" s="139" t="n"/>
      <x:c r="AD144" s="139" t="n"/>
      <x:c r="AE144" s="139" t="n"/>
      <x:c r="AF144" s="139" t="n"/>
      <x:c r="AG144" s="139" t="n"/>
      <x:c r="AH144" s="139" t="n"/>
      <x:c r="AI144" s="139" t="n"/>
      <x:c r="AJ144" s="139" t="n"/>
      <x:c r="AK144" s="139" t="n"/>
      <x:c r="AL144" s="139" t="n"/>
      <x:c r="AM144" s="139" t="n"/>
      <x:c r="AN144" s="139" t="n"/>
      <x:c r="AO144" s="139" t="n"/>
      <x:c r="AP144" s="139" t="n"/>
      <x:c r="AQ144" s="139" t="n"/>
      <x:c r="AR144" s="139" t="n"/>
      <x:c r="AS144" s="139" t="n"/>
      <x:c r="AT144" s="139" t="n"/>
      <x:c r="AU144" s="139" t="n"/>
      <x:c r="AV144" s="139" t="n"/>
      <x:c r="AW144" s="139" t="n"/>
      <x:c r="AX144" s="139" t="n"/>
      <x:c r="AY144" s="139" t="n"/>
      <x:c r="AZ144" s="139" t="n"/>
    </x:row>
    <x:row r="145">
      <x:c r="A145" s="139" t="n"/>
      <x:c r="B145" s="139" t="n"/>
      <x:c r="C145" s="139" t="n"/>
      <x:c r="D145" s="139" t="n"/>
      <x:c r="E145" s="139" t="n"/>
      <x:c r="F145" s="139" t="n"/>
      <x:c r="G145" s="139" t="n"/>
      <x:c r="H145" s="139" t="n"/>
      <x:c r="I145" s="139" t="n"/>
      <x:c r="J145" s="139" t="n"/>
      <x:c r="K145" s="139" t="n"/>
      <x:c r="L145" s="139" t="n"/>
      <x:c r="M145" s="139" t="n"/>
      <x:c r="N145" s="139" t="n"/>
      <x:c r="O145" s="139" t="n"/>
      <x:c r="P145" s="139" t="n"/>
      <x:c r="Q145" s="139" t="n"/>
      <x:c r="R145" s="139" t="n"/>
      <x:c r="S145" s="139" t="n"/>
      <x:c r="T145" s="139" t="n"/>
      <x:c r="U145" s="139" t="n"/>
      <x:c r="V145" s="139" t="n"/>
      <x:c r="W145" s="139" t="n"/>
      <x:c r="X145" s="139" t="n"/>
      <x:c r="Y145" s="139" t="n"/>
      <x:c r="Z145" s="139" t="n"/>
      <x:c r="AA145" s="139" t="n"/>
      <x:c r="AB145" s="139" t="n"/>
      <x:c r="AC145" s="139" t="n"/>
      <x:c r="AD145" s="139" t="n"/>
      <x:c r="AE145" s="139" t="n"/>
      <x:c r="AF145" s="139" t="n"/>
      <x:c r="AG145" s="139" t="n"/>
      <x:c r="AH145" s="139" t="n"/>
      <x:c r="AI145" s="139" t="n"/>
      <x:c r="AJ145" s="139" t="n"/>
      <x:c r="AK145" s="139" t="n"/>
      <x:c r="AL145" s="139" t="n"/>
      <x:c r="AM145" s="139" t="n"/>
      <x:c r="AN145" s="139" t="n"/>
      <x:c r="AO145" s="139" t="n"/>
      <x:c r="AP145" s="139" t="n"/>
      <x:c r="AQ145" s="139" t="n"/>
      <x:c r="AR145" s="139" t="n"/>
      <x:c r="AS145" s="139" t="n"/>
      <x:c r="AT145" s="139" t="n"/>
      <x:c r="AU145" s="139" t="n"/>
      <x:c r="AV145" s="139" t="n"/>
      <x:c r="AW145" s="139" t="n"/>
      <x:c r="AX145" s="139" t="n"/>
      <x:c r="AY145" s="139" t="n"/>
      <x:c r="AZ145" s="139" t="n"/>
    </x:row>
    <x:row r="146">
      <x:c r="A146" s="139" t="n"/>
      <x:c r="B146" s="139" t="n"/>
      <x:c r="C146" s="139" t="n"/>
      <x:c r="D146" s="139" t="n"/>
      <x:c r="E146" s="139" t="n"/>
      <x:c r="F146" s="139" t="n"/>
      <x:c r="G146" s="139" t="n"/>
      <x:c r="H146" s="139" t="n"/>
      <x:c r="I146" s="139" t="n"/>
      <x:c r="J146" s="139" t="n"/>
      <x:c r="K146" s="139" t="n"/>
      <x:c r="L146" s="139" t="n"/>
      <x:c r="M146" s="139" t="n"/>
      <x:c r="N146" s="139" t="n"/>
      <x:c r="O146" s="139" t="n"/>
      <x:c r="P146" s="139" t="n"/>
      <x:c r="Q146" s="139" t="n"/>
      <x:c r="R146" s="139" t="n"/>
      <x:c r="S146" s="139" t="n"/>
      <x:c r="T146" s="139" t="n"/>
      <x:c r="U146" s="139" t="n"/>
      <x:c r="V146" s="139" t="n"/>
      <x:c r="W146" s="139" t="n"/>
      <x:c r="X146" s="139" t="n"/>
      <x:c r="Y146" s="139" t="n"/>
      <x:c r="Z146" s="139" t="n"/>
      <x:c r="AA146" s="139" t="n"/>
      <x:c r="AB146" s="139" t="n"/>
      <x:c r="AC146" s="139" t="n"/>
      <x:c r="AD146" s="139" t="n"/>
      <x:c r="AE146" s="139" t="n"/>
      <x:c r="AF146" s="139" t="n"/>
      <x:c r="AG146" s="139" t="n"/>
      <x:c r="AH146" s="139" t="n"/>
      <x:c r="AI146" s="139" t="n"/>
      <x:c r="AJ146" s="139" t="n"/>
      <x:c r="AK146" s="139" t="n"/>
      <x:c r="AL146" s="139" t="n"/>
      <x:c r="AM146" s="139" t="n"/>
      <x:c r="AN146" s="139" t="n"/>
      <x:c r="AO146" s="139" t="n"/>
      <x:c r="AP146" s="139" t="n"/>
      <x:c r="AQ146" s="139" t="n"/>
      <x:c r="AR146" s="139" t="n"/>
      <x:c r="AS146" s="139" t="n"/>
      <x:c r="AT146" s="139" t="n"/>
      <x:c r="AU146" s="139" t="n"/>
      <x:c r="AV146" s="139" t="n"/>
      <x:c r="AW146" s="139" t="n"/>
      <x:c r="AX146" s="139" t="n"/>
      <x:c r="AY146" s="139" t="n"/>
      <x:c r="AZ146" s="139" t="n"/>
    </x:row>
    <x:row r="147">
      <x:c r="A147" s="139" t="n"/>
      <x:c r="B147" s="139" t="n"/>
      <x:c r="C147" s="139" t="n"/>
      <x:c r="D147" s="139" t="n"/>
      <x:c r="E147" s="139" t="n"/>
      <x:c r="F147" s="139" t="n"/>
      <x:c r="G147" s="139" t="n"/>
      <x:c r="H147" s="139" t="n"/>
      <x:c r="I147" s="139" t="n"/>
      <x:c r="J147" s="139" t="n"/>
      <x:c r="K147" s="139" t="n"/>
      <x:c r="L147" s="139" t="n"/>
      <x:c r="M147" s="139" t="n"/>
      <x:c r="N147" s="139" t="n"/>
      <x:c r="O147" s="139" t="n"/>
      <x:c r="P147" s="139" t="n"/>
      <x:c r="Q147" s="139" t="n"/>
      <x:c r="R147" s="139" t="n"/>
      <x:c r="S147" s="139" t="n"/>
      <x:c r="T147" s="139" t="n"/>
      <x:c r="U147" s="139" t="n"/>
      <x:c r="V147" s="139" t="n"/>
      <x:c r="W147" s="139" t="n"/>
      <x:c r="X147" s="139" t="n"/>
      <x:c r="Y147" s="139" t="n"/>
      <x:c r="Z147" s="139" t="n"/>
      <x:c r="AA147" s="139" t="n"/>
      <x:c r="AB147" s="139" t="n"/>
      <x:c r="AC147" s="139" t="n"/>
      <x:c r="AD147" s="139" t="n"/>
      <x:c r="AE147" s="139" t="n"/>
      <x:c r="AF147" s="139" t="n"/>
      <x:c r="AG147" s="139" t="n"/>
      <x:c r="AH147" s="139" t="n"/>
      <x:c r="AI147" s="139" t="n"/>
      <x:c r="AJ147" s="139" t="n"/>
      <x:c r="AK147" s="139" t="n"/>
      <x:c r="AL147" s="139" t="n"/>
      <x:c r="AM147" s="139" t="n"/>
      <x:c r="AN147" s="139" t="n"/>
      <x:c r="AO147" s="139" t="n"/>
      <x:c r="AP147" s="139" t="n"/>
      <x:c r="AQ147" s="139" t="n"/>
      <x:c r="AR147" s="139" t="n"/>
      <x:c r="AS147" s="139" t="n"/>
      <x:c r="AT147" s="139" t="n"/>
      <x:c r="AU147" s="139" t="n"/>
      <x:c r="AV147" s="139" t="n"/>
      <x:c r="AW147" s="139" t="n"/>
      <x:c r="AX147" s="139" t="n"/>
      <x:c r="AY147" s="139" t="n"/>
      <x:c r="AZ147" s="139" t="n"/>
    </x:row>
    <x:row r="148">
      <x:c r="A148" s="139" t="n"/>
      <x:c r="B148" s="139" t="n"/>
      <x:c r="C148" s="139" t="n"/>
      <x:c r="D148" s="139" t="n"/>
      <x:c r="E148" s="139" t="n"/>
      <x:c r="F148" s="139" t="n"/>
      <x:c r="G148" s="139" t="n"/>
      <x:c r="H148" s="139" t="n"/>
      <x:c r="I148" s="139" t="n"/>
      <x:c r="J148" s="139" t="n"/>
      <x:c r="K148" s="139" t="n"/>
      <x:c r="L148" s="139" t="n"/>
      <x:c r="M148" s="139" t="n"/>
      <x:c r="N148" s="139" t="n"/>
      <x:c r="O148" s="139" t="n"/>
      <x:c r="P148" s="139" t="n"/>
      <x:c r="Q148" s="139" t="n"/>
      <x:c r="R148" s="139" t="n"/>
      <x:c r="S148" s="139" t="n"/>
      <x:c r="T148" s="139" t="n"/>
      <x:c r="U148" s="139" t="n"/>
      <x:c r="V148" s="139" t="n"/>
      <x:c r="W148" s="139" t="n"/>
      <x:c r="X148" s="139" t="n"/>
      <x:c r="Y148" s="139" t="n"/>
      <x:c r="Z148" s="139" t="n"/>
      <x:c r="AA148" s="139" t="n"/>
      <x:c r="AB148" s="139" t="n"/>
      <x:c r="AC148" s="139" t="n"/>
      <x:c r="AD148" s="139" t="n"/>
      <x:c r="AE148" s="139" t="n"/>
      <x:c r="AF148" s="139" t="n"/>
      <x:c r="AG148" s="139" t="n"/>
      <x:c r="AH148" s="139" t="n"/>
      <x:c r="AI148" s="139" t="n"/>
      <x:c r="AJ148" s="139" t="n"/>
      <x:c r="AK148" s="139" t="n"/>
      <x:c r="AL148" s="139" t="n"/>
      <x:c r="AM148" s="139" t="n"/>
      <x:c r="AN148" s="139" t="n"/>
      <x:c r="AO148" s="139" t="n"/>
      <x:c r="AP148" s="139" t="n"/>
      <x:c r="AQ148" s="139" t="n"/>
      <x:c r="AR148" s="139" t="n"/>
      <x:c r="AS148" s="139" t="n"/>
      <x:c r="AT148" s="139" t="n"/>
      <x:c r="AU148" s="139" t="n"/>
      <x:c r="AV148" s="139" t="n"/>
      <x:c r="AW148" s="139" t="n"/>
      <x:c r="AX148" s="139" t="n"/>
      <x:c r="AY148" s="139" t="n"/>
      <x:c r="AZ148" s="139" t="n"/>
    </x:row>
    <x:row r="149">
      <x:c r="A149" s="139" t="n"/>
      <x:c r="B149" s="139" t="n"/>
      <x:c r="C149" s="139" t="n"/>
      <x:c r="D149" s="139" t="n"/>
      <x:c r="E149" s="139" t="n"/>
      <x:c r="F149" s="139" t="n"/>
      <x:c r="G149" s="139" t="n"/>
      <x:c r="H149" s="139" t="n"/>
      <x:c r="I149" s="139" t="n"/>
      <x:c r="J149" s="139" t="n"/>
      <x:c r="K149" s="139" t="n"/>
      <x:c r="L149" s="139" t="n"/>
      <x:c r="M149" s="139" t="n"/>
      <x:c r="N149" s="139" t="n"/>
      <x:c r="O149" s="139" t="n"/>
      <x:c r="P149" s="139" t="n"/>
      <x:c r="Q149" s="139" t="n"/>
      <x:c r="R149" s="139" t="n"/>
      <x:c r="S149" s="139" t="n"/>
      <x:c r="T149" s="139" t="n"/>
      <x:c r="U149" s="139" t="n"/>
      <x:c r="V149" s="139" t="n"/>
      <x:c r="W149" s="139" t="n"/>
      <x:c r="X149" s="139" t="n"/>
      <x:c r="Y149" s="139" t="n"/>
      <x:c r="Z149" s="139" t="n"/>
      <x:c r="AA149" s="139" t="n"/>
      <x:c r="AB149" s="139" t="n"/>
      <x:c r="AC149" s="139" t="n"/>
      <x:c r="AD149" s="139" t="n"/>
      <x:c r="AE149" s="139" t="n"/>
      <x:c r="AF149" s="139" t="n"/>
      <x:c r="AG149" s="139" t="n"/>
      <x:c r="AH149" s="139" t="n"/>
      <x:c r="AI149" s="139" t="n"/>
      <x:c r="AJ149" s="139" t="n"/>
      <x:c r="AK149" s="139" t="n"/>
      <x:c r="AL149" s="139" t="n"/>
      <x:c r="AM149" s="139" t="n"/>
      <x:c r="AN149" s="139" t="n"/>
      <x:c r="AO149" s="139" t="n"/>
      <x:c r="AP149" s="139" t="n"/>
      <x:c r="AQ149" s="139" t="n"/>
      <x:c r="AR149" s="139" t="n"/>
      <x:c r="AS149" s="139" t="n"/>
      <x:c r="AT149" s="139" t="n"/>
      <x:c r="AU149" s="139" t="n"/>
      <x:c r="AV149" s="139" t="n"/>
      <x:c r="AW149" s="139" t="n"/>
      <x:c r="AX149" s="139" t="n"/>
      <x:c r="AY149" s="139" t="n"/>
      <x:c r="AZ149" s="139" t="n"/>
    </x:row>
    <x:row r="150">
      <x:c r="A150" s="139" t="n"/>
      <x:c r="B150" s="139" t="n"/>
      <x:c r="C150" s="139" t="n"/>
      <x:c r="D150" s="139" t="n"/>
      <x:c r="E150" s="139" t="n"/>
      <x:c r="F150" s="139" t="n"/>
      <x:c r="G150" s="139" t="n"/>
      <x:c r="H150" s="139" t="n"/>
      <x:c r="I150" s="139" t="n"/>
      <x:c r="J150" s="139" t="n"/>
      <x:c r="K150" s="139" t="n"/>
      <x:c r="L150" s="139" t="n"/>
      <x:c r="M150" s="139" t="n"/>
      <x:c r="N150" s="139" t="n"/>
      <x:c r="O150" s="139" t="n"/>
      <x:c r="P150" s="139" t="n"/>
      <x:c r="Q150" s="139" t="n"/>
      <x:c r="R150" s="139" t="n"/>
      <x:c r="S150" s="139" t="n"/>
      <x:c r="T150" s="139" t="n"/>
      <x:c r="U150" s="139" t="n"/>
      <x:c r="V150" s="139" t="n"/>
      <x:c r="W150" s="139" t="n"/>
      <x:c r="X150" s="139" t="n"/>
      <x:c r="Y150" s="139" t="n"/>
      <x:c r="Z150" s="139" t="n"/>
      <x:c r="AA150" s="139" t="n"/>
      <x:c r="AB150" s="139" t="n"/>
      <x:c r="AC150" s="139" t="n"/>
      <x:c r="AD150" s="139" t="n"/>
      <x:c r="AE150" s="139" t="n"/>
      <x:c r="AF150" s="139" t="n"/>
      <x:c r="AG150" s="139" t="n"/>
      <x:c r="AH150" s="139" t="n"/>
      <x:c r="AI150" s="139" t="n"/>
      <x:c r="AJ150" s="139" t="n"/>
      <x:c r="AK150" s="139" t="n"/>
      <x:c r="AL150" s="139" t="n"/>
      <x:c r="AM150" s="139" t="n"/>
      <x:c r="AN150" s="139" t="n"/>
      <x:c r="AO150" s="139" t="n"/>
      <x:c r="AP150" s="139" t="n"/>
      <x:c r="AQ150" s="139" t="n"/>
      <x:c r="AR150" s="139" t="n"/>
      <x:c r="AS150" s="139" t="n"/>
      <x:c r="AT150" s="139" t="n"/>
      <x:c r="AU150" s="139" t="n"/>
      <x:c r="AV150" s="139" t="n"/>
      <x:c r="AW150" s="139" t="n"/>
      <x:c r="AX150" s="139" t="n"/>
      <x:c r="AY150" s="139" t="n"/>
      <x:c r="AZ150" s="139" t="n"/>
    </x:row>
    <x:row r="151">
      <x:c r="A151" s="139" t="n"/>
      <x:c r="B151" s="139" t="n"/>
      <x:c r="C151" s="139" t="n"/>
      <x:c r="D151" s="139" t="n"/>
      <x:c r="E151" s="139" t="n"/>
      <x:c r="F151" s="139" t="n"/>
      <x:c r="G151" s="139" t="n"/>
      <x:c r="H151" s="139" t="n"/>
      <x:c r="I151" s="139" t="n"/>
      <x:c r="J151" s="139" t="n"/>
      <x:c r="K151" s="139" t="n"/>
      <x:c r="L151" s="139" t="n"/>
      <x:c r="M151" s="139" t="n"/>
      <x:c r="N151" s="139" t="n"/>
      <x:c r="O151" s="139" t="n"/>
      <x:c r="P151" s="139" t="n"/>
      <x:c r="Q151" s="139" t="n"/>
      <x:c r="R151" s="139" t="n"/>
      <x:c r="S151" s="139" t="n"/>
      <x:c r="T151" s="139" t="n"/>
      <x:c r="U151" s="139" t="n"/>
      <x:c r="V151" s="139" t="n"/>
      <x:c r="W151" s="139" t="n"/>
      <x:c r="X151" s="139" t="n"/>
      <x:c r="Y151" s="139" t="n"/>
      <x:c r="Z151" s="139" t="n"/>
      <x:c r="AA151" s="139" t="n"/>
      <x:c r="AB151" s="139" t="n"/>
      <x:c r="AC151" s="139" t="n"/>
      <x:c r="AD151" s="139" t="n"/>
      <x:c r="AE151" s="139" t="n"/>
      <x:c r="AF151" s="139" t="n"/>
      <x:c r="AG151" s="139" t="n"/>
      <x:c r="AH151" s="139" t="n"/>
      <x:c r="AI151" s="139" t="n"/>
      <x:c r="AJ151" s="139" t="n"/>
      <x:c r="AK151" s="139" t="n"/>
      <x:c r="AL151" s="139" t="n"/>
      <x:c r="AM151" s="139" t="n"/>
      <x:c r="AN151" s="139" t="n"/>
      <x:c r="AO151" s="139" t="n"/>
      <x:c r="AP151" s="139" t="n"/>
      <x:c r="AQ151" s="139" t="n"/>
      <x:c r="AR151" s="139" t="n"/>
      <x:c r="AS151" s="139" t="n"/>
      <x:c r="AT151" s="139" t="n"/>
      <x:c r="AU151" s="139" t="n"/>
      <x:c r="AV151" s="139" t="n"/>
      <x:c r="AW151" s="139" t="n"/>
      <x:c r="AX151" s="139" t="n"/>
      <x:c r="AY151" s="139" t="n"/>
      <x:c r="AZ151" s="139" t="n"/>
    </x:row>
    <x:row r="152">
      <x:c r="A152" s="139" t="n"/>
      <x:c r="B152" s="139" t="n"/>
      <x:c r="C152" s="139" t="n"/>
      <x:c r="D152" s="139" t="n"/>
      <x:c r="E152" s="139" t="n"/>
      <x:c r="F152" s="139" t="n"/>
      <x:c r="G152" s="139" t="n"/>
      <x:c r="H152" s="139" t="n"/>
      <x:c r="I152" s="139" t="n"/>
      <x:c r="J152" s="139" t="n"/>
      <x:c r="K152" s="139" t="n"/>
      <x:c r="L152" s="139" t="n"/>
      <x:c r="M152" s="139" t="n"/>
      <x:c r="N152" s="139" t="n"/>
      <x:c r="O152" s="139" t="n"/>
      <x:c r="P152" s="139" t="n"/>
      <x:c r="Q152" s="139" t="n"/>
      <x:c r="R152" s="139" t="n"/>
      <x:c r="S152" s="139" t="n"/>
      <x:c r="T152" s="139" t="n"/>
      <x:c r="U152" s="139" t="n"/>
      <x:c r="V152" s="139" t="n"/>
      <x:c r="W152" s="139" t="n"/>
      <x:c r="X152" s="139" t="n"/>
      <x:c r="Y152" s="139" t="n"/>
      <x:c r="Z152" s="139" t="n"/>
      <x:c r="AA152" s="139" t="n"/>
      <x:c r="AB152" s="139" t="n"/>
      <x:c r="AC152" s="139" t="n"/>
      <x:c r="AD152" s="139" t="n"/>
      <x:c r="AE152" s="139" t="n"/>
      <x:c r="AF152" s="139" t="n"/>
      <x:c r="AG152" s="139" t="n"/>
      <x:c r="AH152" s="139" t="n"/>
      <x:c r="AI152" s="139" t="n"/>
      <x:c r="AJ152" s="139" t="n"/>
      <x:c r="AK152" s="139" t="n"/>
      <x:c r="AL152" s="139" t="n"/>
      <x:c r="AM152" s="139" t="n"/>
      <x:c r="AN152" s="139" t="n"/>
      <x:c r="AO152" s="139" t="n"/>
      <x:c r="AP152" s="139" t="n"/>
      <x:c r="AQ152" s="139" t="n"/>
      <x:c r="AR152" s="139" t="n"/>
      <x:c r="AS152" s="139" t="n"/>
      <x:c r="AT152" s="139" t="n"/>
      <x:c r="AU152" s="139" t="n"/>
      <x:c r="AV152" s="139" t="n"/>
      <x:c r="AW152" s="139" t="n"/>
      <x:c r="AX152" s="139" t="n"/>
      <x:c r="AY152" s="139" t="n"/>
      <x:c r="AZ152" s="139" t="n"/>
    </x:row>
    <x:row r="153">
      <x:c r="A153" s="139" t="n"/>
      <x:c r="B153" s="139" t="n"/>
      <x:c r="C153" s="139" t="n"/>
      <x:c r="D153" s="139" t="n"/>
      <x:c r="E153" s="139" t="n"/>
      <x:c r="F153" s="139" t="n"/>
      <x:c r="G153" s="139" t="n"/>
      <x:c r="H153" s="139" t="n"/>
      <x:c r="I153" s="139" t="n"/>
      <x:c r="J153" s="139" t="n"/>
      <x:c r="K153" s="139" t="n"/>
      <x:c r="L153" s="139" t="n"/>
      <x:c r="M153" s="139" t="n"/>
      <x:c r="N153" s="139" t="n"/>
      <x:c r="O153" s="139" t="n"/>
      <x:c r="P153" s="139" t="n"/>
      <x:c r="Q153" s="139" t="n"/>
      <x:c r="R153" s="139" t="n"/>
      <x:c r="S153" s="139" t="n"/>
      <x:c r="T153" s="139" t="n"/>
      <x:c r="U153" s="139" t="n"/>
      <x:c r="V153" s="139" t="n"/>
      <x:c r="W153" s="139" t="n"/>
      <x:c r="X153" s="139" t="n"/>
      <x:c r="Y153" s="139" t="n"/>
      <x:c r="Z153" s="139" t="n"/>
      <x:c r="AA153" s="139" t="n"/>
      <x:c r="AB153" s="139" t="n"/>
      <x:c r="AC153" s="139" t="n"/>
      <x:c r="AD153" s="139" t="n"/>
      <x:c r="AE153" s="139" t="n"/>
      <x:c r="AF153" s="139" t="n"/>
      <x:c r="AG153" s="139" t="n"/>
      <x:c r="AH153" s="139" t="n"/>
      <x:c r="AI153" s="139" t="n"/>
      <x:c r="AJ153" s="139" t="n"/>
      <x:c r="AK153" s="139" t="n"/>
      <x:c r="AL153" s="139" t="n"/>
      <x:c r="AM153" s="139" t="n"/>
      <x:c r="AN153" s="139" t="n"/>
      <x:c r="AO153" s="139" t="n"/>
      <x:c r="AP153" s="139" t="n"/>
      <x:c r="AQ153" s="139" t="n"/>
      <x:c r="AR153" s="139" t="n"/>
      <x:c r="AS153" s="139" t="n"/>
      <x:c r="AT153" s="139" t="n"/>
      <x:c r="AU153" s="139" t="n"/>
      <x:c r="AV153" s="139" t="n"/>
      <x:c r="AW153" s="139" t="n"/>
      <x:c r="AX153" s="139" t="n"/>
      <x:c r="AY153" s="139" t="n"/>
      <x:c r="AZ153" s="139" t="n"/>
    </x:row>
    <x:row r="154">
      <x:c r="A154" s="139" t="n"/>
      <x:c r="B154" s="139" t="n"/>
      <x:c r="C154" s="139" t="n"/>
      <x:c r="D154" s="139" t="n"/>
      <x:c r="E154" s="139" t="n"/>
      <x:c r="F154" s="139" t="n"/>
      <x:c r="G154" s="139" t="n"/>
      <x:c r="H154" s="139" t="n"/>
      <x:c r="I154" s="139" t="n"/>
      <x:c r="J154" s="139" t="n"/>
      <x:c r="K154" s="139" t="n"/>
      <x:c r="L154" s="139" t="n"/>
      <x:c r="M154" s="139" t="n"/>
      <x:c r="N154" s="139" t="n"/>
      <x:c r="O154" s="139" t="n"/>
      <x:c r="P154" s="139" t="n"/>
      <x:c r="Q154" s="139" t="n"/>
      <x:c r="R154" s="139" t="n"/>
      <x:c r="S154" s="139" t="n"/>
      <x:c r="T154" s="139" t="n"/>
      <x:c r="U154" s="139" t="n"/>
      <x:c r="V154" s="139" t="n"/>
      <x:c r="W154" s="139" t="n"/>
      <x:c r="X154" s="139" t="n"/>
      <x:c r="Y154" s="139" t="n"/>
      <x:c r="Z154" s="139" t="n"/>
      <x:c r="AA154" s="139" t="n"/>
      <x:c r="AB154" s="139" t="n"/>
      <x:c r="AC154" s="139" t="n"/>
      <x:c r="AD154" s="139" t="n"/>
      <x:c r="AE154" s="139" t="n"/>
      <x:c r="AF154" s="139" t="n"/>
      <x:c r="AG154" s="139" t="n"/>
      <x:c r="AH154" s="139" t="n"/>
      <x:c r="AI154" s="139" t="n"/>
      <x:c r="AJ154" s="139" t="n"/>
      <x:c r="AK154" s="139" t="n"/>
      <x:c r="AL154" s="139" t="n"/>
      <x:c r="AM154" s="139" t="n"/>
      <x:c r="AN154" s="139" t="n"/>
      <x:c r="AO154" s="139" t="n"/>
      <x:c r="AP154" s="139" t="n"/>
      <x:c r="AQ154" s="139" t="n"/>
      <x:c r="AR154" s="139" t="n"/>
      <x:c r="AS154" s="139" t="n"/>
      <x:c r="AT154" s="139" t="n"/>
      <x:c r="AU154" s="139" t="n"/>
      <x:c r="AV154" s="139" t="n"/>
      <x:c r="AW154" s="139" t="n"/>
      <x:c r="AX154" s="139" t="n"/>
      <x:c r="AY154" s="139" t="n"/>
      <x:c r="AZ154" s="139" t="n"/>
    </x:row>
    <x:row r="155">
      <x:c r="A155" s="139" t="n"/>
      <x:c r="B155" s="139" t="n"/>
      <x:c r="C155" s="139" t="n"/>
      <x:c r="D155" s="139" t="n"/>
      <x:c r="E155" s="139" t="n"/>
      <x:c r="F155" s="139" t="n"/>
      <x:c r="G155" s="139" t="n"/>
      <x:c r="H155" s="139" t="n"/>
      <x:c r="I155" s="139" t="n"/>
      <x:c r="J155" s="139" t="n"/>
      <x:c r="K155" s="139" t="n"/>
      <x:c r="L155" s="139" t="n"/>
      <x:c r="M155" s="139" t="n"/>
      <x:c r="N155" s="139" t="n"/>
      <x:c r="O155" s="139" t="n"/>
      <x:c r="P155" s="139" t="n"/>
      <x:c r="Q155" s="139" t="n"/>
      <x:c r="R155" s="139" t="n"/>
      <x:c r="S155" s="139" t="n"/>
      <x:c r="T155" s="139" t="n"/>
      <x:c r="U155" s="139" t="n"/>
      <x:c r="V155" s="139" t="n"/>
      <x:c r="W155" s="139" t="n"/>
      <x:c r="X155" s="139" t="n"/>
      <x:c r="Y155" s="139" t="n"/>
      <x:c r="Z155" s="139" t="n"/>
      <x:c r="AA155" s="139" t="n"/>
      <x:c r="AB155" s="139" t="n"/>
      <x:c r="AC155" s="139" t="n"/>
      <x:c r="AD155" s="139" t="n"/>
      <x:c r="AE155" s="139" t="n"/>
      <x:c r="AF155" s="139" t="n"/>
      <x:c r="AG155" s="139" t="n"/>
      <x:c r="AH155" s="139" t="n"/>
      <x:c r="AI155" s="139" t="n"/>
      <x:c r="AJ155" s="139" t="n"/>
      <x:c r="AK155" s="139" t="n"/>
      <x:c r="AL155" s="139" t="n"/>
      <x:c r="AM155" s="139" t="n"/>
      <x:c r="AN155" s="139" t="n"/>
      <x:c r="AO155" s="139" t="n"/>
      <x:c r="AP155" s="139" t="n"/>
      <x:c r="AQ155" s="139" t="n"/>
      <x:c r="AR155" s="139" t="n"/>
      <x:c r="AS155" s="139" t="n"/>
      <x:c r="AT155" s="139" t="n"/>
      <x:c r="AU155" s="139" t="n"/>
      <x:c r="AV155" s="139" t="n"/>
      <x:c r="AW155" s="139" t="n"/>
      <x:c r="AX155" s="139" t="n"/>
      <x:c r="AY155" s="139" t="n"/>
      <x:c r="AZ155" s="139" t="n"/>
    </x:row>
    <x:row r="156">
      <x:c r="A156" s="139" t="n"/>
      <x:c r="B156" s="139" t="n"/>
      <x:c r="C156" s="139" t="n"/>
      <x:c r="D156" s="139" t="n"/>
      <x:c r="E156" s="139" t="n"/>
      <x:c r="F156" s="139" t="n"/>
      <x:c r="G156" s="139" t="n"/>
      <x:c r="H156" s="139" t="n"/>
      <x:c r="I156" s="139" t="n"/>
      <x:c r="J156" s="139" t="n"/>
      <x:c r="K156" s="139" t="n"/>
      <x:c r="L156" s="139" t="n"/>
      <x:c r="M156" s="139" t="n"/>
      <x:c r="N156" s="139" t="n"/>
      <x:c r="O156" s="139" t="n"/>
      <x:c r="P156" s="139" t="n"/>
      <x:c r="Q156" s="139" t="n"/>
      <x:c r="R156" s="139" t="n"/>
      <x:c r="S156" s="139" t="n"/>
      <x:c r="T156" s="139" t="n"/>
      <x:c r="U156" s="139" t="n"/>
      <x:c r="V156" s="139" t="n"/>
      <x:c r="W156" s="139" t="n"/>
      <x:c r="X156" s="139" t="n"/>
      <x:c r="Y156" s="139" t="n"/>
      <x:c r="Z156" s="139" t="n"/>
      <x:c r="AA156" s="139" t="n"/>
      <x:c r="AB156" s="139" t="n"/>
      <x:c r="AC156" s="139" t="n"/>
      <x:c r="AD156" s="139" t="n"/>
      <x:c r="AE156" s="139" t="n"/>
      <x:c r="AF156" s="139" t="n"/>
      <x:c r="AG156" s="139" t="n"/>
      <x:c r="AH156" s="139" t="n"/>
      <x:c r="AI156" s="139" t="n"/>
      <x:c r="AJ156" s="139" t="n"/>
      <x:c r="AK156" s="139" t="n"/>
      <x:c r="AL156" s="139" t="n"/>
      <x:c r="AM156" s="139" t="n"/>
      <x:c r="AN156" s="139" t="n"/>
      <x:c r="AO156" s="139" t="n"/>
      <x:c r="AP156" s="139" t="n"/>
      <x:c r="AQ156" s="139" t="n"/>
      <x:c r="AR156" s="139" t="n"/>
      <x:c r="AS156" s="139" t="n"/>
      <x:c r="AT156" s="139" t="n"/>
      <x:c r="AU156" s="139" t="n"/>
      <x:c r="AV156" s="139" t="n"/>
      <x:c r="AW156" s="139" t="n"/>
      <x:c r="AX156" s="139" t="n"/>
      <x:c r="AY156" s="139" t="n"/>
      <x:c r="AZ156" s="139" t="n"/>
    </x:row>
    <x:row r="157">
      <x:c r="A157" s="139" t="n"/>
      <x:c r="B157" s="139" t="n"/>
      <x:c r="C157" s="139" t="n"/>
      <x:c r="D157" s="139" t="n"/>
      <x:c r="E157" s="139" t="n"/>
      <x:c r="F157" s="139" t="n"/>
      <x:c r="G157" s="139" t="n"/>
      <x:c r="H157" s="139" t="n"/>
      <x:c r="I157" s="139" t="n"/>
      <x:c r="J157" s="139" t="n"/>
      <x:c r="K157" s="139" t="n"/>
      <x:c r="L157" s="139" t="n"/>
      <x:c r="M157" s="139" t="n"/>
      <x:c r="N157" s="139" t="n"/>
      <x:c r="O157" s="139" t="n"/>
      <x:c r="P157" s="139" t="n"/>
      <x:c r="Q157" s="139" t="n"/>
      <x:c r="R157" s="139" t="n"/>
      <x:c r="S157" s="139" t="n"/>
      <x:c r="T157" s="139" t="n"/>
      <x:c r="U157" s="139" t="n"/>
      <x:c r="V157" s="139" t="n"/>
      <x:c r="W157" s="139" t="n"/>
      <x:c r="X157" s="139" t="n"/>
      <x:c r="Y157" s="139" t="n"/>
      <x:c r="Z157" s="139" t="n"/>
      <x:c r="AA157" s="139" t="n"/>
      <x:c r="AB157" s="139" t="n"/>
      <x:c r="AC157" s="139" t="n"/>
      <x:c r="AD157" s="139" t="n"/>
      <x:c r="AE157" s="139" t="n"/>
      <x:c r="AF157" s="139" t="n"/>
      <x:c r="AG157" s="139" t="n"/>
      <x:c r="AH157" s="139" t="n"/>
      <x:c r="AI157" s="139" t="n"/>
      <x:c r="AJ157" s="139" t="n"/>
      <x:c r="AK157" s="139" t="n"/>
      <x:c r="AL157" s="139" t="n"/>
      <x:c r="AM157" s="139" t="n"/>
      <x:c r="AN157" s="139" t="n"/>
      <x:c r="AO157" s="139" t="n"/>
      <x:c r="AP157" s="139" t="n"/>
      <x:c r="AQ157" s="139" t="n"/>
      <x:c r="AR157" s="139" t="n"/>
      <x:c r="AS157" s="139" t="n"/>
      <x:c r="AT157" s="139" t="n"/>
      <x:c r="AU157" s="139" t="n"/>
      <x:c r="AV157" s="139" t="n"/>
      <x:c r="AW157" s="139" t="n"/>
      <x:c r="AX157" s="139" t="n"/>
      <x:c r="AY157" s="139" t="n"/>
      <x:c r="AZ157" s="139" t="n"/>
    </x:row>
    <x:row r="158">
      <x:c r="A158" s="139" t="n"/>
      <x:c r="B158" s="139" t="n"/>
      <x:c r="C158" s="139" t="n"/>
      <x:c r="D158" s="139" t="n"/>
      <x:c r="E158" s="139" t="n"/>
      <x:c r="F158" s="139" t="n"/>
      <x:c r="G158" s="139" t="n"/>
      <x:c r="H158" s="139" t="n"/>
      <x:c r="I158" s="139" t="n"/>
      <x:c r="J158" s="139" t="n"/>
      <x:c r="K158" s="139" t="n"/>
      <x:c r="L158" s="139" t="n"/>
      <x:c r="M158" s="139" t="n"/>
      <x:c r="N158" s="139" t="n"/>
      <x:c r="O158" s="139" t="n"/>
      <x:c r="P158" s="139" t="n"/>
      <x:c r="Q158" s="139" t="n"/>
      <x:c r="R158" s="139" t="n"/>
      <x:c r="S158" s="139" t="n"/>
      <x:c r="T158" s="139" t="n"/>
      <x:c r="U158" s="139" t="n"/>
      <x:c r="V158" s="139" t="n"/>
      <x:c r="W158" s="139" t="n"/>
      <x:c r="X158" s="139" t="n"/>
      <x:c r="Y158" s="139" t="n"/>
      <x:c r="Z158" s="139" t="n"/>
      <x:c r="AA158" s="139" t="n"/>
      <x:c r="AB158" s="139" t="n"/>
      <x:c r="AC158" s="139" t="n"/>
      <x:c r="AD158" s="139" t="n"/>
      <x:c r="AE158" s="139" t="n"/>
      <x:c r="AF158" s="139" t="n"/>
      <x:c r="AG158" s="139" t="n"/>
      <x:c r="AH158" s="139" t="n"/>
      <x:c r="AI158" s="139" t="n"/>
      <x:c r="AJ158" s="139" t="n"/>
      <x:c r="AK158" s="139" t="n"/>
      <x:c r="AL158" s="139" t="n"/>
      <x:c r="AM158" s="139" t="n"/>
      <x:c r="AN158" s="139" t="n"/>
      <x:c r="AO158" s="139" t="n"/>
      <x:c r="AP158" s="139" t="n"/>
      <x:c r="AQ158" s="139" t="n"/>
      <x:c r="AR158" s="139" t="n"/>
      <x:c r="AS158" s="139" t="n"/>
      <x:c r="AT158" s="139" t="n"/>
      <x:c r="AU158" s="139" t="n"/>
      <x:c r="AV158" s="139" t="n"/>
      <x:c r="AW158" s="139" t="n"/>
      <x:c r="AX158" s="139" t="n"/>
      <x:c r="AY158" s="139" t="n"/>
      <x:c r="AZ158" s="139" t="n"/>
    </x:row>
    <x:row r="159">
      <x:c r="A159" s="139" t="n"/>
      <x:c r="B159" s="139" t="n"/>
      <x:c r="C159" s="139" t="n"/>
      <x:c r="D159" s="139" t="n"/>
      <x:c r="E159" s="139" t="n"/>
      <x:c r="F159" s="139" t="n"/>
      <x:c r="G159" s="139" t="n"/>
      <x:c r="H159" s="139" t="n"/>
      <x:c r="I159" s="139" t="n"/>
      <x:c r="J159" s="139" t="n"/>
      <x:c r="K159" s="139" t="n"/>
      <x:c r="L159" s="139" t="n"/>
      <x:c r="M159" s="139" t="n"/>
      <x:c r="N159" s="139" t="n"/>
      <x:c r="O159" s="139" t="n"/>
      <x:c r="P159" s="139" t="n"/>
      <x:c r="Q159" s="139" t="n"/>
      <x:c r="R159" s="139" t="n"/>
      <x:c r="S159" s="139" t="n"/>
      <x:c r="T159" s="139" t="n"/>
      <x:c r="U159" s="139" t="n"/>
      <x:c r="V159" s="139" t="n"/>
      <x:c r="W159" s="139" t="n"/>
      <x:c r="X159" s="139" t="n"/>
      <x:c r="Y159" s="139" t="n"/>
      <x:c r="Z159" s="139" t="n"/>
      <x:c r="AA159" s="139" t="n"/>
      <x:c r="AB159" s="139" t="n"/>
      <x:c r="AC159" s="139" t="n"/>
      <x:c r="AD159" s="139" t="n"/>
      <x:c r="AE159" s="139" t="n"/>
      <x:c r="AF159" s="139" t="n"/>
      <x:c r="AG159" s="139" t="n"/>
      <x:c r="AH159" s="139" t="n"/>
      <x:c r="AI159" s="139" t="n"/>
      <x:c r="AJ159" s="139" t="n"/>
      <x:c r="AK159" s="139" t="n"/>
      <x:c r="AL159" s="139" t="n"/>
      <x:c r="AM159" s="139" t="n"/>
      <x:c r="AN159" s="139" t="n"/>
      <x:c r="AO159" s="139" t="n"/>
      <x:c r="AP159" s="139" t="n"/>
      <x:c r="AQ159" s="139" t="n"/>
      <x:c r="AR159" s="139" t="n"/>
      <x:c r="AS159" s="139" t="n"/>
      <x:c r="AT159" s="139" t="n"/>
      <x:c r="AU159" s="139" t="n"/>
      <x:c r="AV159" s="139" t="n"/>
      <x:c r="AW159" s="139" t="n"/>
      <x:c r="AX159" s="139" t="n"/>
      <x:c r="AY159" s="139" t="n"/>
      <x:c r="AZ159" s="139" t="n"/>
    </x:row>
    <x:row r="160">
      <x:c r="A160" s="139" t="n"/>
      <x:c r="B160" s="139" t="n"/>
      <x:c r="C160" s="139" t="n"/>
      <x:c r="D160" s="139" t="n"/>
      <x:c r="E160" s="139" t="n"/>
      <x:c r="F160" s="139" t="n"/>
      <x:c r="G160" s="139" t="n"/>
      <x:c r="H160" s="139" t="n"/>
      <x:c r="I160" s="139" t="n"/>
      <x:c r="J160" s="139" t="n"/>
      <x:c r="K160" s="139" t="n"/>
      <x:c r="L160" s="139" t="n"/>
      <x:c r="M160" s="139" t="n"/>
      <x:c r="N160" s="139" t="n"/>
      <x:c r="O160" s="139" t="n"/>
      <x:c r="P160" s="139" t="n"/>
      <x:c r="Q160" s="139" t="n"/>
      <x:c r="R160" s="139" t="n"/>
      <x:c r="S160" s="139" t="n"/>
      <x:c r="T160" s="139" t="n"/>
      <x:c r="U160" s="139" t="n"/>
      <x:c r="V160" s="139" t="n"/>
      <x:c r="W160" s="139" t="n"/>
      <x:c r="X160" s="139" t="n"/>
      <x:c r="Y160" s="139" t="n"/>
      <x:c r="Z160" s="139" t="n"/>
      <x:c r="AA160" s="139" t="n"/>
      <x:c r="AB160" s="139" t="n"/>
      <x:c r="AC160" s="139" t="n"/>
      <x:c r="AD160" s="139" t="n"/>
      <x:c r="AE160" s="139" t="n"/>
      <x:c r="AF160" s="139" t="n"/>
      <x:c r="AG160" s="139" t="n"/>
      <x:c r="AH160" s="139" t="n"/>
      <x:c r="AI160" s="139" t="n"/>
      <x:c r="AJ160" s="139" t="n"/>
      <x:c r="AK160" s="139" t="n"/>
      <x:c r="AL160" s="139" t="n"/>
      <x:c r="AM160" s="139" t="n"/>
      <x:c r="AN160" s="139" t="n"/>
      <x:c r="AO160" s="139" t="n"/>
      <x:c r="AP160" s="139" t="n"/>
      <x:c r="AQ160" s="139" t="n"/>
      <x:c r="AR160" s="139" t="n"/>
      <x:c r="AS160" s="139" t="n"/>
      <x:c r="AT160" s="139" t="n"/>
      <x:c r="AU160" s="139" t="n"/>
      <x:c r="AV160" s="139" t="n"/>
      <x:c r="AW160" s="139" t="n"/>
      <x:c r="AX160" s="139" t="n"/>
      <x:c r="AY160" s="139" t="n"/>
      <x:c r="AZ160" s="139" t="n"/>
    </x:row>
    <x:row r="161">
      <x:c r="A161" s="139" t="n"/>
      <x:c r="B161" s="139" t="n"/>
      <x:c r="C161" s="139" t="n"/>
      <x:c r="D161" s="139" t="n"/>
      <x:c r="E161" s="139" t="n"/>
      <x:c r="F161" s="139" t="n"/>
      <x:c r="G161" s="139" t="n"/>
      <x:c r="H161" s="139" t="n"/>
      <x:c r="I161" s="139" t="n"/>
      <x:c r="J161" s="139" t="n"/>
      <x:c r="K161" s="139" t="n"/>
      <x:c r="L161" s="139" t="n"/>
      <x:c r="M161" s="139" t="n"/>
      <x:c r="N161" s="139" t="n"/>
      <x:c r="O161" s="139" t="n"/>
      <x:c r="P161" s="139" t="n"/>
      <x:c r="Q161" s="139" t="n"/>
      <x:c r="R161" s="139" t="n"/>
      <x:c r="S161" s="139" t="n"/>
      <x:c r="T161" s="139" t="n"/>
      <x:c r="U161" s="139" t="n"/>
      <x:c r="V161" s="139" t="n"/>
      <x:c r="W161" s="139" t="n"/>
      <x:c r="X161" s="139" t="n"/>
      <x:c r="Y161" s="139" t="n"/>
      <x:c r="Z161" s="139" t="n"/>
      <x:c r="AA161" s="139" t="n"/>
      <x:c r="AB161" s="139" t="n"/>
      <x:c r="AC161" s="139" t="n"/>
      <x:c r="AD161" s="139" t="n"/>
      <x:c r="AE161" s="139" t="n"/>
      <x:c r="AF161" s="139" t="n"/>
      <x:c r="AG161" s="139" t="n"/>
      <x:c r="AH161" s="139" t="n"/>
      <x:c r="AI161" s="139" t="n"/>
      <x:c r="AJ161" s="139" t="n"/>
      <x:c r="AK161" s="139" t="n"/>
      <x:c r="AL161" s="139" t="n"/>
      <x:c r="AM161" s="139" t="n"/>
      <x:c r="AN161" s="139" t="n"/>
      <x:c r="AO161" s="139" t="n"/>
      <x:c r="AP161" s="139" t="n"/>
      <x:c r="AQ161" s="139" t="n"/>
      <x:c r="AR161" s="139" t="n"/>
      <x:c r="AS161" s="139" t="n"/>
      <x:c r="AT161" s="139" t="n"/>
      <x:c r="AU161" s="139" t="n"/>
      <x:c r="AV161" s="139" t="n"/>
      <x:c r="AW161" s="139" t="n"/>
      <x:c r="AX161" s="139" t="n"/>
      <x:c r="AY161" s="139" t="n"/>
      <x:c r="AZ161" s="139" t="n"/>
    </x:row>
    <x:row r="162">
      <x:c r="A162" s="139" t="n"/>
      <x:c r="B162" s="139" t="n"/>
      <x:c r="C162" s="139" t="n"/>
      <x:c r="D162" s="139" t="n"/>
      <x:c r="E162" s="139" t="n"/>
      <x:c r="F162" s="139" t="n"/>
      <x:c r="G162" s="139" t="n"/>
      <x:c r="H162" s="139" t="n"/>
      <x:c r="I162" s="139" t="n"/>
      <x:c r="J162" s="139" t="n"/>
      <x:c r="K162" s="139" t="n"/>
      <x:c r="L162" s="139" t="n"/>
      <x:c r="M162" s="139" t="n"/>
      <x:c r="N162" s="139" t="n"/>
      <x:c r="O162" s="139" t="n"/>
      <x:c r="P162" s="139" t="n"/>
      <x:c r="Q162" s="139" t="n"/>
      <x:c r="R162" s="139" t="n"/>
      <x:c r="S162" s="139" t="n"/>
      <x:c r="T162" s="139" t="n"/>
      <x:c r="U162" s="139" t="n"/>
      <x:c r="V162" s="139" t="n"/>
      <x:c r="W162" s="139" t="n"/>
      <x:c r="X162" s="139" t="n"/>
      <x:c r="Y162" s="139" t="n"/>
      <x:c r="Z162" s="139" t="n"/>
      <x:c r="AA162" s="139" t="n"/>
      <x:c r="AB162" s="139" t="n"/>
      <x:c r="AC162" s="139" t="n"/>
      <x:c r="AD162" s="139" t="n"/>
      <x:c r="AE162" s="139" t="n"/>
      <x:c r="AF162" s="139" t="n"/>
      <x:c r="AG162" s="139" t="n"/>
      <x:c r="AH162" s="139" t="n"/>
      <x:c r="AI162" s="139" t="n"/>
      <x:c r="AJ162" s="139" t="n"/>
      <x:c r="AK162" s="139" t="n"/>
      <x:c r="AL162" s="139" t="n"/>
      <x:c r="AM162" s="139" t="n"/>
      <x:c r="AN162" s="139" t="n"/>
      <x:c r="AO162" s="139" t="n"/>
      <x:c r="AP162" s="139" t="n"/>
      <x:c r="AQ162" s="139" t="n"/>
      <x:c r="AR162" s="139" t="n"/>
      <x:c r="AS162" s="139" t="n"/>
      <x:c r="AT162" s="139" t="n"/>
      <x:c r="AU162" s="139" t="n"/>
      <x:c r="AV162" s="139" t="n"/>
      <x:c r="AW162" s="139" t="n"/>
      <x:c r="AX162" s="139" t="n"/>
      <x:c r="AY162" s="139" t="n"/>
      <x:c r="AZ162" s="139" t="n"/>
    </x:row>
    <x:row r="163">
      <x:c r="A163" s="139" t="n"/>
      <x:c r="B163" s="139" t="n"/>
      <x:c r="C163" s="139" t="n"/>
      <x:c r="D163" s="139" t="n"/>
      <x:c r="E163" s="139" t="n"/>
      <x:c r="F163" s="139" t="n"/>
      <x:c r="G163" s="139" t="n"/>
      <x:c r="H163" s="139" t="n"/>
      <x:c r="I163" s="139" t="n"/>
      <x:c r="J163" s="139" t="n"/>
      <x:c r="K163" s="139" t="n"/>
      <x:c r="L163" s="139" t="n"/>
      <x:c r="M163" s="139" t="n"/>
      <x:c r="N163" s="139" t="n"/>
      <x:c r="O163" s="139" t="n"/>
      <x:c r="P163" s="139" t="n"/>
      <x:c r="Q163" s="139" t="n"/>
      <x:c r="R163" s="139" t="n"/>
      <x:c r="S163" s="139" t="n"/>
      <x:c r="T163" s="139" t="n"/>
      <x:c r="U163" s="139" t="n"/>
      <x:c r="V163" s="139" t="n"/>
      <x:c r="W163" s="139" t="n"/>
      <x:c r="X163" s="139" t="n"/>
      <x:c r="Y163" s="139" t="n"/>
      <x:c r="Z163" s="139" t="n"/>
      <x:c r="AA163" s="139" t="n"/>
      <x:c r="AB163" s="139" t="n"/>
      <x:c r="AC163" s="139" t="n"/>
      <x:c r="AD163" s="139" t="n"/>
      <x:c r="AE163" s="139" t="n"/>
      <x:c r="AF163" s="139" t="n"/>
      <x:c r="AG163" s="139" t="n"/>
      <x:c r="AH163" s="139" t="n"/>
      <x:c r="AI163" s="139" t="n"/>
      <x:c r="AJ163" s="139" t="n"/>
      <x:c r="AK163" s="139" t="n"/>
      <x:c r="AL163" s="139" t="n"/>
      <x:c r="AM163" s="139" t="n"/>
      <x:c r="AN163" s="139" t="n"/>
      <x:c r="AO163" s="139" t="n"/>
      <x:c r="AP163" s="139" t="n"/>
      <x:c r="AQ163" s="139" t="n"/>
      <x:c r="AR163" s="139" t="n"/>
      <x:c r="AS163" s="139" t="n"/>
      <x:c r="AT163" s="139" t="n"/>
      <x:c r="AU163" s="139" t="n"/>
      <x:c r="AV163" s="139" t="n"/>
      <x:c r="AW163" s="139" t="n"/>
      <x:c r="AX163" s="139" t="n"/>
      <x:c r="AY163" s="139" t="n"/>
      <x:c r="AZ163" s="139" t="n"/>
    </x:row>
    <x:row r="164">
      <x:c r="A164" s="139" t="n"/>
      <x:c r="B164" s="139" t="n"/>
      <x:c r="C164" s="139" t="n"/>
      <x:c r="D164" s="139" t="n"/>
      <x:c r="E164" s="139" t="n"/>
      <x:c r="F164" s="139" t="n"/>
      <x:c r="G164" s="139" t="n"/>
      <x:c r="H164" s="139" t="n"/>
      <x:c r="I164" s="139" t="n"/>
      <x:c r="J164" s="139" t="n"/>
      <x:c r="K164" s="139" t="n"/>
      <x:c r="L164" s="139" t="n"/>
      <x:c r="M164" s="139" t="n"/>
      <x:c r="N164" s="139" t="n"/>
      <x:c r="O164" s="139" t="n"/>
      <x:c r="P164" s="139" t="n"/>
      <x:c r="Q164" s="139" t="n"/>
      <x:c r="R164" s="139" t="n"/>
      <x:c r="S164" s="139" t="n"/>
      <x:c r="T164" s="139" t="n"/>
      <x:c r="U164" s="139" t="n"/>
      <x:c r="V164" s="139" t="n"/>
      <x:c r="W164" s="139" t="n"/>
      <x:c r="X164" s="139" t="n"/>
      <x:c r="Y164" s="139" t="n"/>
      <x:c r="Z164" s="139" t="n"/>
      <x:c r="AA164" s="139" t="n"/>
      <x:c r="AB164" s="139" t="n"/>
      <x:c r="AC164" s="139" t="n"/>
      <x:c r="AD164" s="139" t="n"/>
      <x:c r="AE164" s="139" t="n"/>
      <x:c r="AF164" s="139" t="n"/>
      <x:c r="AG164" s="139" t="n"/>
      <x:c r="AH164" s="139" t="n"/>
      <x:c r="AI164" s="139" t="n"/>
      <x:c r="AJ164" s="139" t="n"/>
      <x:c r="AK164" s="139" t="n"/>
      <x:c r="AL164" s="139" t="n"/>
      <x:c r="AM164" s="139" t="n"/>
      <x:c r="AN164" s="139" t="n"/>
      <x:c r="AO164" s="139" t="n"/>
      <x:c r="AP164" s="139" t="n"/>
      <x:c r="AQ164" s="139" t="n"/>
      <x:c r="AR164" s="139" t="n"/>
      <x:c r="AS164" s="139" t="n"/>
      <x:c r="AT164" s="139" t="n"/>
      <x:c r="AU164" s="139" t="n"/>
      <x:c r="AV164" s="139" t="n"/>
      <x:c r="AW164" s="139" t="n"/>
      <x:c r="AX164" s="139" t="n"/>
      <x:c r="AY164" s="139" t="n"/>
      <x:c r="AZ164" s="139" t="n"/>
    </x:row>
    <x:row r="165">
      <x:c r="A165" s="139" t="n"/>
      <x:c r="B165" s="139" t="n"/>
      <x:c r="C165" s="139" t="n"/>
      <x:c r="D165" s="139" t="n"/>
      <x:c r="E165" s="139" t="n"/>
      <x:c r="F165" s="139" t="n"/>
      <x:c r="G165" s="139" t="n"/>
      <x:c r="H165" s="139" t="n"/>
      <x:c r="I165" s="139" t="n"/>
      <x:c r="J165" s="139" t="n"/>
      <x:c r="K165" s="139" t="n"/>
      <x:c r="L165" s="139" t="n"/>
      <x:c r="M165" s="139" t="n"/>
      <x:c r="N165" s="139" t="n"/>
      <x:c r="O165" s="139" t="n"/>
      <x:c r="P165" s="139" t="n"/>
      <x:c r="Q165" s="139" t="n"/>
      <x:c r="R165" s="139" t="n"/>
      <x:c r="S165" s="139" t="n"/>
      <x:c r="T165" s="139" t="n"/>
      <x:c r="U165" s="139" t="n"/>
      <x:c r="V165" s="139" t="n"/>
      <x:c r="W165" s="139" t="n"/>
      <x:c r="X165" s="139" t="n"/>
      <x:c r="Y165" s="139" t="n"/>
      <x:c r="Z165" s="139" t="n"/>
      <x:c r="AA165" s="139" t="n"/>
      <x:c r="AB165" s="139" t="n"/>
      <x:c r="AC165" s="139" t="n"/>
      <x:c r="AD165" s="139" t="n"/>
      <x:c r="AE165" s="139" t="n"/>
      <x:c r="AF165" s="139" t="n"/>
      <x:c r="AG165" s="139" t="n"/>
      <x:c r="AH165" s="139" t="n"/>
      <x:c r="AI165" s="139" t="n"/>
      <x:c r="AJ165" s="139" t="n"/>
      <x:c r="AK165" s="139" t="n"/>
      <x:c r="AL165" s="139" t="n"/>
      <x:c r="AM165" s="139" t="n"/>
      <x:c r="AN165" s="139" t="n"/>
      <x:c r="AO165" s="139" t="n"/>
      <x:c r="AP165" s="139" t="n"/>
      <x:c r="AQ165" s="139" t="n"/>
      <x:c r="AR165" s="139" t="n"/>
      <x:c r="AS165" s="139" t="n"/>
      <x:c r="AT165" s="139" t="n"/>
      <x:c r="AU165" s="139" t="n"/>
      <x:c r="AV165" s="139" t="n"/>
      <x:c r="AW165" s="139" t="n"/>
      <x:c r="AX165" s="139" t="n"/>
      <x:c r="AY165" s="139" t="n"/>
      <x:c r="AZ165" s="139" t="n"/>
    </x:row>
    <x:row r="166">
      <x:c r="A166" s="139" t="n"/>
      <x:c r="B166" s="139" t="n"/>
      <x:c r="C166" s="139" t="n"/>
      <x:c r="D166" s="139" t="n"/>
      <x:c r="E166" s="139" t="n"/>
      <x:c r="F166" s="139" t="n"/>
      <x:c r="G166" s="139" t="n"/>
      <x:c r="H166" s="139" t="n"/>
      <x:c r="I166" s="139" t="n"/>
      <x:c r="J166" s="139" t="n"/>
      <x:c r="K166" s="139" t="n"/>
      <x:c r="L166" s="139" t="n"/>
      <x:c r="M166" s="139" t="n"/>
      <x:c r="N166" s="139" t="n"/>
      <x:c r="O166" s="139" t="n"/>
      <x:c r="P166" s="139" t="n"/>
      <x:c r="Q166" s="139" t="n"/>
      <x:c r="R166" s="139" t="n"/>
      <x:c r="S166" s="139" t="n"/>
      <x:c r="T166" s="139" t="n"/>
      <x:c r="U166" s="139" t="n"/>
      <x:c r="V166" s="139" t="n"/>
      <x:c r="W166" s="139" t="n"/>
      <x:c r="X166" s="139" t="n"/>
      <x:c r="Y166" s="139" t="n"/>
      <x:c r="Z166" s="139" t="n"/>
      <x:c r="AA166" s="139" t="n"/>
      <x:c r="AB166" s="139" t="n"/>
      <x:c r="AC166" s="139" t="n"/>
      <x:c r="AD166" s="139" t="n"/>
      <x:c r="AE166" s="139" t="n"/>
      <x:c r="AF166" s="139" t="n"/>
      <x:c r="AG166" s="139" t="n"/>
      <x:c r="AH166" s="139" t="n"/>
      <x:c r="AI166" s="139" t="n"/>
      <x:c r="AJ166" s="139" t="n"/>
      <x:c r="AK166" s="139" t="n"/>
      <x:c r="AL166" s="139" t="n"/>
      <x:c r="AM166" s="139" t="n"/>
      <x:c r="AN166" s="139" t="n"/>
      <x:c r="AO166" s="139" t="n"/>
      <x:c r="AP166" s="139" t="n"/>
      <x:c r="AQ166" s="139" t="n"/>
      <x:c r="AR166" s="139" t="n"/>
      <x:c r="AS166" s="139" t="n"/>
      <x:c r="AT166" s="139" t="n"/>
      <x:c r="AU166" s="139" t="n"/>
      <x:c r="AV166" s="139" t="n"/>
      <x:c r="AW166" s="139" t="n"/>
      <x:c r="AX166" s="139" t="n"/>
      <x:c r="AY166" s="139" t="n"/>
      <x:c r="AZ166" s="139" t="n"/>
    </x:row>
    <x:row r="167">
      <x:c r="A167" s="139" t="n"/>
      <x:c r="B167" s="139" t="n"/>
      <x:c r="C167" s="139" t="n"/>
      <x:c r="D167" s="139" t="n"/>
      <x:c r="E167" s="139" t="n"/>
      <x:c r="F167" s="139" t="n"/>
      <x:c r="G167" s="139" t="n"/>
      <x:c r="H167" s="139" t="n"/>
      <x:c r="I167" s="139" t="n"/>
      <x:c r="J167" s="139" t="n"/>
      <x:c r="K167" s="139" t="n"/>
      <x:c r="L167" s="139" t="n"/>
      <x:c r="M167" s="139" t="n"/>
      <x:c r="N167" s="139" t="n"/>
      <x:c r="O167" s="139" t="n"/>
      <x:c r="P167" s="139" t="n"/>
      <x:c r="Q167" s="139" t="n"/>
      <x:c r="R167" s="139" t="n"/>
      <x:c r="S167" s="139" t="n"/>
      <x:c r="T167" s="139" t="n"/>
      <x:c r="U167" s="139" t="n"/>
      <x:c r="V167" s="139" t="n"/>
      <x:c r="W167" s="139" t="n"/>
      <x:c r="X167" s="139" t="n"/>
      <x:c r="Y167" s="139" t="n"/>
      <x:c r="Z167" s="139" t="n"/>
      <x:c r="AA167" s="139" t="n"/>
      <x:c r="AB167" s="139" t="n"/>
      <x:c r="AC167" s="139" t="n"/>
      <x:c r="AD167" s="139" t="n"/>
      <x:c r="AE167" s="139" t="n"/>
      <x:c r="AF167" s="139" t="n"/>
      <x:c r="AG167" s="139" t="n"/>
      <x:c r="AH167" s="139" t="n"/>
      <x:c r="AI167" s="139" t="n"/>
      <x:c r="AJ167" s="139" t="n"/>
      <x:c r="AK167" s="139" t="n"/>
      <x:c r="AL167" s="139" t="n"/>
      <x:c r="AM167" s="139" t="n"/>
      <x:c r="AN167" s="139" t="n"/>
      <x:c r="AO167" s="139" t="n"/>
      <x:c r="AP167" s="139" t="n"/>
      <x:c r="AQ167" s="139" t="n"/>
      <x:c r="AR167" s="139" t="n"/>
      <x:c r="AS167" s="139" t="n"/>
      <x:c r="AT167" s="139" t="n"/>
      <x:c r="AU167" s="139" t="n"/>
      <x:c r="AV167" s="139" t="n"/>
      <x:c r="AW167" s="139" t="n"/>
      <x:c r="AX167" s="139" t="n"/>
      <x:c r="AY167" s="139" t="n"/>
      <x:c r="AZ167" s="139" t="n"/>
    </x:row>
    <x:row r="168">
      <x:c r="A168" s="139" t="n"/>
      <x:c r="B168" s="139" t="n"/>
      <x:c r="C168" s="139" t="n"/>
      <x:c r="D168" s="139" t="n"/>
      <x:c r="E168" s="139" t="n"/>
      <x:c r="F168" s="139" t="n"/>
      <x:c r="G168" s="139" t="n"/>
      <x:c r="H168" s="139" t="n"/>
      <x:c r="I168" s="139" t="n"/>
      <x:c r="J168" s="139" t="n"/>
      <x:c r="K168" s="139" t="n"/>
      <x:c r="L168" s="139" t="n"/>
      <x:c r="M168" s="139" t="n"/>
      <x:c r="N168" s="139" t="n"/>
      <x:c r="O168" s="139" t="n"/>
      <x:c r="P168" s="139" t="n"/>
      <x:c r="Q168" s="139" t="n"/>
      <x:c r="R168" s="139" t="n"/>
      <x:c r="S168" s="139" t="n"/>
      <x:c r="T168" s="139" t="n"/>
      <x:c r="U168" s="139" t="n"/>
      <x:c r="V168" s="139" t="n"/>
      <x:c r="W168" s="139" t="n"/>
      <x:c r="X168" s="139" t="n"/>
      <x:c r="Y168" s="139" t="n"/>
      <x:c r="Z168" s="139" t="n"/>
      <x:c r="AA168" s="139" t="n"/>
      <x:c r="AB168" s="139" t="n"/>
      <x:c r="AC168" s="139" t="n"/>
      <x:c r="AD168" s="139" t="n"/>
      <x:c r="AE168" s="139" t="n"/>
      <x:c r="AF168" s="139" t="n"/>
      <x:c r="AG168" s="139" t="n"/>
      <x:c r="AH168" s="139" t="n"/>
      <x:c r="AI168" s="139" t="n"/>
      <x:c r="AJ168" s="139" t="n"/>
      <x:c r="AK168" s="139" t="n"/>
      <x:c r="AL168" s="139" t="n"/>
      <x:c r="AM168" s="139" t="n"/>
      <x:c r="AN168" s="139" t="n"/>
      <x:c r="AO168" s="139" t="n"/>
      <x:c r="AP168" s="139" t="n"/>
      <x:c r="AQ168" s="139" t="n"/>
      <x:c r="AR168" s="139" t="n"/>
      <x:c r="AS168" s="139" t="n"/>
      <x:c r="AT168" s="139" t="n"/>
      <x:c r="AU168" s="139" t="n"/>
      <x:c r="AV168" s="139" t="n"/>
      <x:c r="AW168" s="139" t="n"/>
      <x:c r="AX168" s="139" t="n"/>
      <x:c r="AY168" s="139" t="n"/>
      <x:c r="AZ168" s="139" t="n"/>
    </x:row>
    <x:row r="169">
      <x:c r="A169" s="139" t="n"/>
      <x:c r="B169" s="139" t="n"/>
      <x:c r="C169" s="139" t="n"/>
      <x:c r="D169" s="139" t="n"/>
      <x:c r="E169" s="139" t="n"/>
      <x:c r="F169" s="139" t="n"/>
      <x:c r="G169" s="139" t="n"/>
      <x:c r="H169" s="139" t="n"/>
      <x:c r="I169" s="139" t="n"/>
      <x:c r="J169" s="139" t="n"/>
      <x:c r="K169" s="139" t="n"/>
      <x:c r="L169" s="139" t="n"/>
      <x:c r="M169" s="139" t="n"/>
      <x:c r="N169" s="139" t="n"/>
      <x:c r="O169" s="139" t="n"/>
      <x:c r="P169" s="139" t="n"/>
      <x:c r="Q169" s="139" t="n"/>
      <x:c r="R169" s="139" t="n"/>
      <x:c r="S169" s="139" t="n"/>
      <x:c r="T169" s="139" t="n"/>
      <x:c r="U169" s="139" t="n"/>
      <x:c r="V169" s="139" t="n"/>
      <x:c r="W169" s="139" t="n"/>
      <x:c r="X169" s="139" t="n"/>
      <x:c r="Y169" s="139" t="n"/>
      <x:c r="Z169" s="139" t="n"/>
      <x:c r="AA169" s="139" t="n"/>
      <x:c r="AB169" s="139" t="n"/>
      <x:c r="AC169" s="139" t="n"/>
      <x:c r="AD169" s="139" t="n"/>
      <x:c r="AE169" s="139" t="n"/>
      <x:c r="AF169" s="139" t="n"/>
      <x:c r="AG169" s="139" t="n"/>
      <x:c r="AH169" s="139" t="n"/>
      <x:c r="AI169" s="139" t="n"/>
      <x:c r="AJ169" s="139" t="n"/>
      <x:c r="AK169" s="139" t="n"/>
      <x:c r="AL169" s="139" t="n"/>
      <x:c r="AM169" s="139" t="n"/>
      <x:c r="AN169" s="139" t="n"/>
      <x:c r="AO169" s="139" t="n"/>
      <x:c r="AP169" s="139" t="n"/>
      <x:c r="AQ169" s="139" t="n"/>
      <x:c r="AR169" s="139" t="n"/>
      <x:c r="AS169" s="139" t="n"/>
      <x:c r="AT169" s="139" t="n"/>
      <x:c r="AU169" s="139" t="n"/>
      <x:c r="AV169" s="139" t="n"/>
      <x:c r="AW169" s="139" t="n"/>
      <x:c r="AX169" s="139" t="n"/>
      <x:c r="AY169" s="139" t="n"/>
      <x:c r="AZ169" s="139" t="n"/>
    </x:row>
    <x:row r="170">
      <x:c r="A170" s="139" t="n"/>
      <x:c r="B170" s="139" t="n"/>
      <x:c r="C170" s="139" t="n"/>
      <x:c r="D170" s="139" t="n"/>
      <x:c r="E170" s="139" t="n"/>
      <x:c r="F170" s="139" t="n"/>
      <x:c r="G170" s="139" t="n"/>
      <x:c r="H170" s="139" t="n"/>
      <x:c r="I170" s="139" t="n"/>
      <x:c r="J170" s="139" t="n"/>
      <x:c r="K170" s="139" t="n"/>
      <x:c r="L170" s="139" t="n"/>
      <x:c r="M170" s="139" t="n"/>
      <x:c r="N170" s="139" t="n"/>
      <x:c r="O170" s="139" t="n"/>
      <x:c r="P170" s="139" t="n"/>
      <x:c r="Q170" s="139" t="n"/>
      <x:c r="R170" s="139" t="n"/>
      <x:c r="S170" s="139" t="n"/>
      <x:c r="T170" s="139" t="n"/>
      <x:c r="U170" s="139" t="n"/>
      <x:c r="V170" s="139" t="n"/>
      <x:c r="W170" s="139" t="n"/>
      <x:c r="X170" s="139" t="n"/>
      <x:c r="Y170" s="139" t="n"/>
      <x:c r="Z170" s="139" t="n"/>
      <x:c r="AA170" s="139" t="n"/>
      <x:c r="AB170" s="139" t="n"/>
      <x:c r="AC170" s="139" t="n"/>
      <x:c r="AD170" s="139" t="n"/>
      <x:c r="AE170" s="139" t="n"/>
      <x:c r="AF170" s="139" t="n"/>
      <x:c r="AG170" s="139" t="n"/>
      <x:c r="AH170" s="139" t="n"/>
      <x:c r="AI170" s="139" t="n"/>
      <x:c r="AJ170" s="139" t="n"/>
      <x:c r="AK170" s="139" t="n"/>
      <x:c r="AL170" s="139" t="n"/>
      <x:c r="AM170" s="139" t="n"/>
      <x:c r="AN170" s="139" t="n"/>
      <x:c r="AO170" s="139" t="n"/>
      <x:c r="AP170" s="139" t="n"/>
      <x:c r="AQ170" s="139" t="n"/>
      <x:c r="AR170" s="139" t="n"/>
      <x:c r="AS170" s="139" t="n"/>
      <x:c r="AT170" s="139" t="n"/>
      <x:c r="AU170" s="139" t="n"/>
      <x:c r="AV170" s="139" t="n"/>
      <x:c r="AW170" s="139" t="n"/>
      <x:c r="AX170" s="139" t="n"/>
      <x:c r="AY170" s="139" t="n"/>
      <x:c r="AZ170" s="139" t="n"/>
    </x:row>
    <x:row r="171">
      <x:c r="A171" s="139" t="n"/>
      <x:c r="B171" s="139" t="n"/>
      <x:c r="C171" s="139" t="n"/>
      <x:c r="D171" s="139" t="n"/>
      <x:c r="E171" s="139" t="n"/>
      <x:c r="F171" s="139" t="n"/>
      <x:c r="G171" s="139" t="n"/>
      <x:c r="H171" s="139" t="n"/>
      <x:c r="I171" s="139" t="n"/>
      <x:c r="J171" s="139" t="n"/>
      <x:c r="K171" s="139" t="n"/>
      <x:c r="L171" s="139" t="n"/>
      <x:c r="M171" s="139" t="n"/>
      <x:c r="N171" s="139" t="n"/>
      <x:c r="O171" s="139" t="n"/>
      <x:c r="P171" s="139" t="n"/>
      <x:c r="Q171" s="139" t="n"/>
      <x:c r="R171" s="139" t="n"/>
      <x:c r="S171" s="139" t="n"/>
      <x:c r="T171" s="139" t="n"/>
      <x:c r="U171" s="139" t="n"/>
      <x:c r="V171" s="139" t="n"/>
      <x:c r="W171" s="139" t="n"/>
      <x:c r="X171" s="139" t="n"/>
      <x:c r="Y171" s="139" t="n"/>
      <x:c r="Z171" s="139" t="n"/>
      <x:c r="AA171" s="139" t="n"/>
      <x:c r="AB171" s="139" t="n"/>
      <x:c r="AC171" s="139" t="n"/>
      <x:c r="AD171" s="139" t="n"/>
      <x:c r="AE171" s="139" t="n"/>
      <x:c r="AF171" s="139" t="n"/>
      <x:c r="AG171" s="139" t="n"/>
      <x:c r="AH171" s="139" t="n"/>
      <x:c r="AI171" s="139" t="n"/>
      <x:c r="AJ171" s="139" t="n"/>
      <x:c r="AK171" s="139" t="n"/>
      <x:c r="AL171" s="139" t="n"/>
      <x:c r="AM171" s="139" t="n"/>
      <x:c r="AN171" s="139" t="n"/>
      <x:c r="AO171" s="139" t="n"/>
      <x:c r="AP171" s="139" t="n"/>
      <x:c r="AQ171" s="139" t="n"/>
      <x:c r="AR171" s="139" t="n"/>
      <x:c r="AS171" s="139" t="n"/>
      <x:c r="AT171" s="139" t="n"/>
      <x:c r="AU171" s="139" t="n"/>
      <x:c r="AV171" s="139" t="n"/>
      <x:c r="AW171" s="139" t="n"/>
      <x:c r="AX171" s="139" t="n"/>
      <x:c r="AY171" s="139" t="n"/>
      <x:c r="AZ171" s="139" t="n"/>
    </x:row>
    <x:row r="172">
      <x:c r="A172" s="139" t="n"/>
      <x:c r="B172" s="139" t="n"/>
      <x:c r="C172" s="139" t="n"/>
      <x:c r="D172" s="139" t="n"/>
      <x:c r="E172" s="139" t="n"/>
      <x:c r="F172" s="139" t="n"/>
      <x:c r="G172" s="139" t="n"/>
      <x:c r="H172" s="139" t="n"/>
      <x:c r="I172" s="139" t="n"/>
      <x:c r="J172" s="139" t="n"/>
      <x:c r="K172" s="139" t="n"/>
      <x:c r="L172" s="139" t="n"/>
      <x:c r="M172" s="139" t="n"/>
      <x:c r="N172" s="139" t="n"/>
      <x:c r="O172" s="139" t="n"/>
      <x:c r="P172" s="139" t="n"/>
      <x:c r="Q172" s="139" t="n"/>
      <x:c r="R172" s="139" t="n"/>
      <x:c r="S172" s="139" t="n"/>
      <x:c r="T172" s="139" t="n"/>
      <x:c r="U172" s="139" t="n"/>
      <x:c r="V172" s="139" t="n"/>
      <x:c r="W172" s="139" t="n"/>
      <x:c r="X172" s="139" t="n"/>
      <x:c r="Y172" s="139" t="n"/>
      <x:c r="Z172" s="139" t="n"/>
      <x:c r="AA172" s="139" t="n"/>
      <x:c r="AB172" s="139" t="n"/>
      <x:c r="AC172" s="139" t="n"/>
      <x:c r="AD172" s="139" t="n"/>
      <x:c r="AE172" s="139" t="n"/>
      <x:c r="AF172" s="139" t="n"/>
      <x:c r="AG172" s="139" t="n"/>
      <x:c r="AH172" s="139" t="n"/>
      <x:c r="AI172" s="139" t="n"/>
      <x:c r="AJ172" s="139" t="n"/>
      <x:c r="AK172" s="139" t="n"/>
      <x:c r="AL172" s="139" t="n"/>
      <x:c r="AM172" s="139" t="n"/>
      <x:c r="AN172" s="139" t="n"/>
      <x:c r="AO172" s="139" t="n"/>
      <x:c r="AP172" s="139" t="n"/>
      <x:c r="AQ172" s="139" t="n"/>
      <x:c r="AR172" s="139" t="n"/>
      <x:c r="AS172" s="139" t="n"/>
      <x:c r="AT172" s="139" t="n"/>
      <x:c r="AU172" s="139" t="n"/>
      <x:c r="AV172" s="139" t="n"/>
      <x:c r="AW172" s="139" t="n"/>
      <x:c r="AX172" s="139" t="n"/>
      <x:c r="AY172" s="139" t="n"/>
      <x:c r="AZ172" s="139" t="n"/>
    </x:row>
    <x:row r="173">
      <x:c r="A173" s="139" t="n"/>
      <x:c r="B173" s="139" t="n"/>
      <x:c r="C173" s="139" t="n"/>
      <x:c r="D173" s="139" t="n"/>
      <x:c r="E173" s="139" t="n"/>
      <x:c r="F173" s="139" t="n"/>
      <x:c r="G173" s="139" t="n"/>
      <x:c r="H173" s="139" t="n"/>
      <x:c r="I173" s="139" t="n"/>
      <x:c r="J173" s="139" t="n"/>
      <x:c r="K173" s="139" t="n"/>
      <x:c r="L173" s="139" t="n"/>
      <x:c r="M173" s="139" t="n"/>
      <x:c r="N173" s="139" t="n"/>
      <x:c r="O173" s="139" t="n"/>
      <x:c r="P173" s="139" t="n"/>
      <x:c r="Q173" s="139" t="n"/>
      <x:c r="R173" s="139" t="n"/>
      <x:c r="S173" s="139" t="n"/>
      <x:c r="T173" s="139" t="n"/>
      <x:c r="U173" s="139" t="n"/>
      <x:c r="V173" s="139" t="n"/>
      <x:c r="W173" s="139" t="n"/>
      <x:c r="X173" s="139" t="n"/>
      <x:c r="Y173" s="139" t="n"/>
      <x:c r="Z173" s="139" t="n"/>
      <x:c r="AA173" s="139" t="n"/>
      <x:c r="AB173" s="139" t="n"/>
      <x:c r="AC173" s="139" t="n"/>
      <x:c r="AD173" s="139" t="n"/>
      <x:c r="AE173" s="139" t="n"/>
      <x:c r="AF173" s="139" t="n"/>
      <x:c r="AG173" s="139" t="n"/>
      <x:c r="AH173" s="139" t="n"/>
      <x:c r="AI173" s="139" t="n"/>
      <x:c r="AJ173" s="139" t="n"/>
      <x:c r="AK173" s="139" t="n"/>
      <x:c r="AL173" s="139" t="n"/>
      <x:c r="AM173" s="139" t="n"/>
      <x:c r="AN173" s="139" t="n"/>
      <x:c r="AO173" s="139" t="n"/>
      <x:c r="AP173" s="139" t="n"/>
      <x:c r="AQ173" s="139" t="n"/>
      <x:c r="AR173" s="139" t="n"/>
      <x:c r="AS173" s="139" t="n"/>
      <x:c r="AT173" s="139" t="n"/>
      <x:c r="AU173" s="139" t="n"/>
      <x:c r="AV173" s="139" t="n"/>
      <x:c r="AW173" s="139" t="n"/>
      <x:c r="AX173" s="139" t="n"/>
      <x:c r="AY173" s="139" t="n"/>
      <x:c r="AZ173" s="139" t="n"/>
    </x:row>
    <x:row r="174">
      <x:c r="A174" s="139" t="n"/>
      <x:c r="B174" s="139" t="n"/>
      <x:c r="C174" s="139" t="n"/>
      <x:c r="D174" s="139" t="n"/>
      <x:c r="E174" s="139" t="n"/>
      <x:c r="F174" s="139" t="n"/>
      <x:c r="G174" s="139" t="n"/>
      <x:c r="H174" s="139" t="n"/>
      <x:c r="I174" s="139" t="n"/>
      <x:c r="J174" s="139" t="n"/>
      <x:c r="K174" s="139" t="n"/>
      <x:c r="L174" s="139" t="n"/>
      <x:c r="M174" s="139" t="n"/>
      <x:c r="N174" s="139" t="n"/>
      <x:c r="O174" s="139" t="n"/>
      <x:c r="P174" s="139" t="n"/>
      <x:c r="Q174" s="139" t="n"/>
      <x:c r="R174" s="139" t="n"/>
      <x:c r="S174" s="139" t="n"/>
      <x:c r="T174" s="139" t="n"/>
      <x:c r="U174" s="139" t="n"/>
      <x:c r="V174" s="139" t="n"/>
      <x:c r="W174" s="139" t="n"/>
      <x:c r="X174" s="139" t="n"/>
      <x:c r="Y174" s="139" t="n"/>
      <x:c r="Z174" s="139" t="n"/>
      <x:c r="AA174" s="139" t="n"/>
      <x:c r="AB174" s="139" t="n"/>
      <x:c r="AC174" s="139" t="n"/>
      <x:c r="AD174" s="139" t="n"/>
      <x:c r="AE174" s="139" t="n"/>
      <x:c r="AF174" s="139" t="n"/>
      <x:c r="AG174" s="139" t="n"/>
      <x:c r="AH174" s="139" t="n"/>
      <x:c r="AI174" s="139" t="n"/>
      <x:c r="AJ174" s="139" t="n"/>
      <x:c r="AK174" s="139" t="n"/>
      <x:c r="AL174" s="139" t="n"/>
      <x:c r="AM174" s="139" t="n"/>
      <x:c r="AN174" s="139" t="n"/>
      <x:c r="AO174" s="139" t="n"/>
      <x:c r="AP174" s="139" t="n"/>
      <x:c r="AQ174" s="139" t="n"/>
      <x:c r="AR174" s="139" t="n"/>
      <x:c r="AS174" s="139" t="n"/>
      <x:c r="AT174" s="139" t="n"/>
      <x:c r="AU174" s="139" t="n"/>
      <x:c r="AV174" s="139" t="n"/>
      <x:c r="AW174" s="139" t="n"/>
      <x:c r="AX174" s="139" t="n"/>
      <x:c r="AY174" s="139" t="n"/>
      <x:c r="AZ174" s="139" t="n"/>
    </x:row>
    <x:row r="175">
      <x:c r="A175" s="139" t="n"/>
      <x:c r="B175" s="139" t="n"/>
      <x:c r="C175" s="139" t="n"/>
      <x:c r="D175" s="139" t="n"/>
      <x:c r="E175" s="139" t="n"/>
      <x:c r="F175" s="139" t="n"/>
      <x:c r="G175" s="139" t="n"/>
      <x:c r="H175" s="139" t="n"/>
      <x:c r="I175" s="139" t="n"/>
      <x:c r="J175" s="139" t="n"/>
      <x:c r="K175" s="139" t="n"/>
      <x:c r="L175" s="139" t="n"/>
      <x:c r="M175" s="139" t="n"/>
      <x:c r="N175" s="139" t="n"/>
      <x:c r="O175" s="139" t="n"/>
      <x:c r="P175" s="139" t="n"/>
      <x:c r="Q175" s="139" t="n"/>
      <x:c r="R175" s="139" t="n"/>
      <x:c r="S175" s="139" t="n"/>
      <x:c r="T175" s="139" t="n"/>
      <x:c r="U175" s="139" t="n"/>
      <x:c r="V175" s="139" t="n"/>
      <x:c r="W175" s="139" t="n"/>
      <x:c r="X175" s="139" t="n"/>
      <x:c r="Y175" s="139" t="n"/>
      <x:c r="Z175" s="139" t="n"/>
      <x:c r="AA175" s="139" t="n"/>
      <x:c r="AB175" s="139" t="n"/>
      <x:c r="AC175" s="139" t="n"/>
      <x:c r="AD175" s="139" t="n"/>
      <x:c r="AE175" s="139" t="n"/>
      <x:c r="AF175" s="139" t="n"/>
      <x:c r="AG175" s="139" t="n"/>
      <x:c r="AH175" s="139" t="n"/>
      <x:c r="AI175" s="139" t="n"/>
      <x:c r="AJ175" s="139" t="n"/>
      <x:c r="AK175" s="139" t="n"/>
      <x:c r="AL175" s="139" t="n"/>
      <x:c r="AM175" s="139" t="n"/>
      <x:c r="AN175" s="139" t="n"/>
      <x:c r="AO175" s="139" t="n"/>
      <x:c r="AP175" s="139" t="n"/>
      <x:c r="AQ175" s="139" t="n"/>
      <x:c r="AR175" s="139" t="n"/>
      <x:c r="AS175" s="139" t="n"/>
      <x:c r="AT175" s="139" t="n"/>
      <x:c r="AU175" s="139" t="n"/>
      <x:c r="AV175" s="139" t="n"/>
      <x:c r="AW175" s="139" t="n"/>
      <x:c r="AX175" s="139" t="n"/>
      <x:c r="AY175" s="139" t="n"/>
      <x:c r="AZ175" s="139" t="n"/>
    </x:row>
    <x:row r="176">
      <x:c r="A176" s="139" t="n"/>
      <x:c r="B176" s="139" t="n"/>
      <x:c r="C176" s="139" t="n"/>
      <x:c r="D176" s="139" t="n"/>
      <x:c r="E176" s="139" t="n"/>
      <x:c r="F176" s="139" t="n"/>
      <x:c r="G176" s="139" t="n"/>
      <x:c r="H176" s="139" t="n"/>
      <x:c r="I176" s="139" t="n"/>
      <x:c r="J176" s="139" t="n"/>
      <x:c r="K176" s="139" t="n"/>
      <x:c r="L176" s="139" t="n"/>
      <x:c r="M176" s="139" t="n"/>
      <x:c r="N176" s="139" t="n"/>
      <x:c r="O176" s="139" t="n"/>
      <x:c r="P176" s="139" t="n"/>
      <x:c r="Q176" s="139" t="n"/>
      <x:c r="R176" s="139" t="n"/>
      <x:c r="S176" s="139" t="n"/>
      <x:c r="T176" s="139" t="n"/>
      <x:c r="U176" s="139" t="n"/>
      <x:c r="V176" s="139" t="n"/>
      <x:c r="W176" s="139" t="n"/>
      <x:c r="X176" s="139" t="n"/>
      <x:c r="Y176" s="139" t="n"/>
      <x:c r="Z176" s="139" t="n"/>
      <x:c r="AA176" s="139" t="n"/>
      <x:c r="AB176" s="139" t="n"/>
      <x:c r="AC176" s="139" t="n"/>
      <x:c r="AD176" s="139" t="n"/>
      <x:c r="AE176" s="139" t="n"/>
      <x:c r="AF176" s="139" t="n"/>
      <x:c r="AG176" s="139" t="n"/>
      <x:c r="AH176" s="139" t="n"/>
      <x:c r="AI176" s="139" t="n"/>
      <x:c r="AJ176" s="139" t="n"/>
      <x:c r="AK176" s="139" t="n"/>
      <x:c r="AL176" s="139" t="n"/>
      <x:c r="AM176" s="139" t="n"/>
      <x:c r="AN176" s="139" t="n"/>
      <x:c r="AO176" s="139" t="n"/>
      <x:c r="AP176" s="139" t="n"/>
      <x:c r="AQ176" s="139" t="n"/>
      <x:c r="AR176" s="139" t="n"/>
      <x:c r="AS176" s="139" t="n"/>
      <x:c r="AT176" s="139" t="n"/>
      <x:c r="AU176" s="139" t="n"/>
      <x:c r="AV176" s="139" t="n"/>
      <x:c r="AW176" s="139" t="n"/>
      <x:c r="AX176" s="139" t="n"/>
      <x:c r="AY176" s="139" t="n"/>
      <x:c r="AZ176" s="139" t="n"/>
    </x:row>
    <x:row r="177">
      <x:c r="A177" s="139" t="n"/>
      <x:c r="B177" s="139" t="n"/>
      <x:c r="C177" s="139" t="n"/>
      <x:c r="D177" s="139" t="n"/>
      <x:c r="E177" s="139" t="n"/>
      <x:c r="F177" s="139" t="n"/>
      <x:c r="G177" s="139" t="n"/>
      <x:c r="H177" s="139" t="n"/>
      <x:c r="I177" s="139" t="n"/>
      <x:c r="J177" s="139" t="n"/>
      <x:c r="K177" s="139" t="n"/>
      <x:c r="L177" s="139" t="n"/>
      <x:c r="M177" s="139" t="n"/>
      <x:c r="N177" s="139" t="n"/>
      <x:c r="O177" s="139" t="n"/>
      <x:c r="P177" s="139" t="n"/>
      <x:c r="Q177" s="139" t="n"/>
      <x:c r="R177" s="139" t="n"/>
      <x:c r="S177" s="139" t="n"/>
      <x:c r="T177" s="139" t="n"/>
      <x:c r="U177" s="139" t="n"/>
      <x:c r="V177" s="139" t="n"/>
      <x:c r="W177" s="139" t="n"/>
      <x:c r="X177" s="139" t="n"/>
      <x:c r="Y177" s="139" t="n"/>
      <x:c r="Z177" s="139" t="n"/>
      <x:c r="AA177" s="139" t="n"/>
      <x:c r="AB177" s="139" t="n"/>
      <x:c r="AC177" s="139" t="n"/>
      <x:c r="AD177" s="139" t="n"/>
      <x:c r="AE177" s="139" t="n"/>
      <x:c r="AF177" s="139" t="n"/>
      <x:c r="AG177" s="139" t="n"/>
      <x:c r="AH177" s="139" t="n"/>
      <x:c r="AI177" s="139" t="n"/>
      <x:c r="AJ177" s="139" t="n"/>
      <x:c r="AK177" s="139" t="n"/>
      <x:c r="AL177" s="139" t="n"/>
      <x:c r="AM177" s="139" t="n"/>
      <x:c r="AN177" s="139" t="n"/>
      <x:c r="AO177" s="139" t="n"/>
      <x:c r="AP177" s="139" t="n"/>
      <x:c r="AQ177" s="139" t="n"/>
      <x:c r="AR177" s="139" t="n"/>
      <x:c r="AS177" s="139" t="n"/>
      <x:c r="AT177" s="139" t="n"/>
      <x:c r="AU177" s="139" t="n"/>
      <x:c r="AV177" s="139" t="n"/>
      <x:c r="AW177" s="139" t="n"/>
      <x:c r="AX177" s="139" t="n"/>
      <x:c r="AY177" s="139" t="n"/>
      <x:c r="AZ177" s="139" t="n"/>
    </x:row>
    <x:row r="178">
      <x:c r="A178" s="139" t="n"/>
      <x:c r="B178" s="139" t="n"/>
      <x:c r="C178" s="139" t="n"/>
      <x:c r="D178" s="139" t="n"/>
      <x:c r="E178" s="139" t="n"/>
      <x:c r="F178" s="139" t="n"/>
      <x:c r="G178" s="139" t="n"/>
      <x:c r="H178" s="139" t="n"/>
      <x:c r="I178" s="139" t="n"/>
      <x:c r="J178" s="139" t="n"/>
      <x:c r="K178" s="139" t="n"/>
      <x:c r="L178" s="139" t="n"/>
      <x:c r="M178" s="139" t="n"/>
      <x:c r="N178" s="139" t="n"/>
      <x:c r="O178" s="139" t="n"/>
      <x:c r="P178" s="139" t="n"/>
      <x:c r="Q178" s="139" t="n"/>
      <x:c r="R178" s="139" t="n"/>
      <x:c r="S178" s="139" t="n"/>
      <x:c r="T178" s="139" t="n"/>
      <x:c r="U178" s="139" t="n"/>
      <x:c r="V178" s="139" t="n"/>
      <x:c r="W178" s="139" t="n"/>
      <x:c r="X178" s="139" t="n"/>
      <x:c r="Y178" s="139" t="n"/>
      <x:c r="Z178" s="139" t="n"/>
      <x:c r="AA178" s="139" t="n"/>
      <x:c r="AB178" s="139" t="n"/>
      <x:c r="AC178" s="139" t="n"/>
      <x:c r="AD178" s="139" t="n"/>
      <x:c r="AE178" s="139" t="n"/>
      <x:c r="AF178" s="139" t="n"/>
      <x:c r="AG178" s="139" t="n"/>
      <x:c r="AH178" s="139" t="n"/>
      <x:c r="AI178" s="139" t="n"/>
      <x:c r="AJ178" s="139" t="n"/>
      <x:c r="AK178" s="139" t="n"/>
      <x:c r="AL178" s="139" t="n"/>
      <x:c r="AM178" s="139" t="n"/>
      <x:c r="AN178" s="139" t="n"/>
      <x:c r="AO178" s="139" t="n"/>
      <x:c r="AP178" s="139" t="n"/>
      <x:c r="AQ178" s="139" t="n"/>
      <x:c r="AR178" s="139" t="n"/>
      <x:c r="AS178" s="139" t="n"/>
      <x:c r="AT178" s="139" t="n"/>
      <x:c r="AU178" s="139" t="n"/>
      <x:c r="AV178" s="139" t="n"/>
      <x:c r="AW178" s="139" t="n"/>
      <x:c r="AX178" s="139" t="n"/>
      <x:c r="AY178" s="139" t="n"/>
      <x:c r="AZ178" s="139" t="n"/>
    </x:row>
    <x:row r="179">
      <x:c r="A179" s="139" t="n"/>
      <x:c r="B179" s="139" t="n"/>
      <x:c r="C179" s="139" t="n"/>
      <x:c r="D179" s="139" t="n"/>
      <x:c r="E179" s="139" t="n"/>
      <x:c r="F179" s="139" t="n"/>
      <x:c r="G179" s="139" t="n"/>
      <x:c r="H179" s="139" t="n"/>
      <x:c r="I179" s="139" t="n"/>
      <x:c r="J179" s="139" t="n"/>
      <x:c r="K179" s="139" t="n"/>
      <x:c r="L179" s="139" t="n"/>
      <x:c r="M179" s="139" t="n"/>
      <x:c r="N179" s="139" t="n"/>
      <x:c r="O179" s="139" t="n"/>
      <x:c r="P179" s="139" t="n"/>
      <x:c r="Q179" s="139" t="n"/>
      <x:c r="R179" s="139" t="n"/>
      <x:c r="S179" s="139" t="n"/>
      <x:c r="T179" s="139" t="n"/>
      <x:c r="U179" s="139" t="n"/>
      <x:c r="V179" s="139" t="n"/>
      <x:c r="W179" s="139" t="n"/>
      <x:c r="X179" s="139" t="n"/>
      <x:c r="Y179" s="139" t="n"/>
      <x:c r="Z179" s="139" t="n"/>
      <x:c r="AA179" s="139" t="n"/>
      <x:c r="AB179" s="139" t="n"/>
      <x:c r="AC179" s="139" t="n"/>
      <x:c r="AD179" s="139" t="n"/>
      <x:c r="AE179" s="139" t="n"/>
      <x:c r="AF179" s="139" t="n"/>
      <x:c r="AG179" s="139" t="n"/>
      <x:c r="AH179" s="139" t="n"/>
      <x:c r="AI179" s="139" t="n"/>
      <x:c r="AJ179" s="139" t="n"/>
      <x:c r="AK179" s="139" t="n"/>
      <x:c r="AL179" s="139" t="n"/>
      <x:c r="AM179" s="139" t="n"/>
      <x:c r="AN179" s="139" t="n"/>
      <x:c r="AO179" s="139" t="n"/>
      <x:c r="AP179" s="139" t="n"/>
      <x:c r="AQ179" s="139" t="n"/>
      <x:c r="AR179" s="139" t="n"/>
      <x:c r="AS179" s="139" t="n"/>
      <x:c r="AT179" s="139" t="n"/>
      <x:c r="AU179" s="139" t="n"/>
      <x:c r="AV179" s="139" t="n"/>
      <x:c r="AW179" s="139" t="n"/>
      <x:c r="AX179" s="139" t="n"/>
      <x:c r="AY179" s="139" t="n"/>
      <x:c r="AZ179" s="139" t="n"/>
    </x:row>
    <x:row r="180">
      <x:c r="A180" s="139" t="n"/>
      <x:c r="B180" s="139" t="n"/>
      <x:c r="C180" s="139" t="n"/>
      <x:c r="D180" s="139" t="n"/>
      <x:c r="E180" s="139" t="n"/>
      <x:c r="F180" s="139" t="n"/>
      <x:c r="G180" s="139" t="n"/>
      <x:c r="H180" s="139" t="n"/>
      <x:c r="I180" s="139" t="n"/>
      <x:c r="J180" s="139" t="n"/>
      <x:c r="K180" s="139" t="n"/>
      <x:c r="L180" s="139" t="n"/>
      <x:c r="M180" s="139" t="n"/>
      <x:c r="N180" s="139" t="n"/>
      <x:c r="O180" s="139" t="n"/>
      <x:c r="P180" s="139" t="n"/>
      <x:c r="Q180" s="139" t="n"/>
      <x:c r="R180" s="139" t="n"/>
      <x:c r="S180" s="139" t="n"/>
      <x:c r="T180" s="139" t="n"/>
      <x:c r="U180" s="139" t="n"/>
      <x:c r="V180" s="139" t="n"/>
      <x:c r="W180" s="139" t="n"/>
      <x:c r="X180" s="139" t="n"/>
      <x:c r="Y180" s="139" t="n"/>
      <x:c r="Z180" s="139" t="n"/>
      <x:c r="AA180" s="139" t="n"/>
      <x:c r="AB180" s="139" t="n"/>
      <x:c r="AC180" s="139" t="n"/>
      <x:c r="AD180" s="139" t="n"/>
      <x:c r="AE180" s="139" t="n"/>
      <x:c r="AF180" s="139" t="n"/>
      <x:c r="AG180" s="139" t="n"/>
      <x:c r="AH180" s="139" t="n"/>
      <x:c r="AI180" s="139" t="n"/>
      <x:c r="AJ180" s="139" t="n"/>
      <x:c r="AK180" s="139" t="n"/>
      <x:c r="AL180" s="139" t="n"/>
      <x:c r="AM180" s="139" t="n"/>
      <x:c r="AN180" s="139" t="n"/>
      <x:c r="AO180" s="139" t="n"/>
      <x:c r="AP180" s="139" t="n"/>
      <x:c r="AQ180" s="139" t="n"/>
      <x:c r="AR180" s="139" t="n"/>
      <x:c r="AS180" s="139" t="n"/>
      <x:c r="AT180" s="139" t="n"/>
      <x:c r="AU180" s="139" t="n"/>
      <x:c r="AV180" s="139" t="n"/>
      <x:c r="AW180" s="139" t="n"/>
      <x:c r="AX180" s="139" t="n"/>
      <x:c r="AY180" s="139" t="n"/>
      <x:c r="AZ180" s="139" t="n"/>
    </x:row>
    <x:row r="181">
      <x:c r="A181" s="139" t="n"/>
      <x:c r="B181" s="139" t="n"/>
      <x:c r="C181" s="139" t="n"/>
      <x:c r="D181" s="139" t="n"/>
      <x:c r="E181" s="139" t="n"/>
      <x:c r="F181" s="139" t="n"/>
      <x:c r="G181" s="139" t="n"/>
      <x:c r="H181" s="139" t="n"/>
      <x:c r="I181" s="139" t="n"/>
      <x:c r="J181" s="139" t="n"/>
      <x:c r="K181" s="139" t="n"/>
      <x:c r="L181" s="139" t="n"/>
      <x:c r="M181" s="139" t="n"/>
      <x:c r="N181" s="139" t="n"/>
      <x:c r="O181" s="139" t="n"/>
      <x:c r="P181" s="139" t="n"/>
      <x:c r="Q181" s="139" t="n"/>
      <x:c r="R181" s="139" t="n"/>
      <x:c r="S181" s="139" t="n"/>
      <x:c r="T181" s="139" t="n"/>
      <x:c r="U181" s="139" t="n"/>
      <x:c r="V181" s="139" t="n"/>
      <x:c r="W181" s="139" t="n"/>
      <x:c r="X181" s="139" t="n"/>
      <x:c r="Y181" s="139" t="n"/>
      <x:c r="Z181" s="139" t="n"/>
      <x:c r="AA181" s="139" t="n"/>
      <x:c r="AB181" s="139" t="n"/>
      <x:c r="AC181" s="139" t="n"/>
      <x:c r="AD181" s="139" t="n"/>
      <x:c r="AE181" s="139" t="n"/>
      <x:c r="AF181" s="139" t="n"/>
      <x:c r="AG181" s="139" t="n"/>
      <x:c r="AH181" s="139" t="n"/>
      <x:c r="AI181" s="139" t="n"/>
      <x:c r="AJ181" s="139" t="n"/>
      <x:c r="AK181" s="139" t="n"/>
      <x:c r="AL181" s="139" t="n"/>
      <x:c r="AM181" s="139" t="n"/>
      <x:c r="AN181" s="139" t="n"/>
      <x:c r="AO181" s="139" t="n"/>
      <x:c r="AP181" s="139" t="n"/>
      <x:c r="AQ181" s="139" t="n"/>
      <x:c r="AR181" s="139" t="n"/>
      <x:c r="AS181" s="139" t="n"/>
      <x:c r="AT181" s="139" t="n"/>
      <x:c r="AU181" s="139" t="n"/>
      <x:c r="AV181" s="139" t="n"/>
      <x:c r="AW181" s="139" t="n"/>
      <x:c r="AX181" s="139" t="n"/>
      <x:c r="AY181" s="139" t="n"/>
      <x:c r="AZ181" s="139" t="n"/>
    </x:row>
    <x:row r="182">
      <x:c r="A182" s="139" t="n"/>
      <x:c r="B182" s="139" t="n"/>
      <x:c r="C182" s="139" t="n"/>
      <x:c r="D182" s="139" t="n"/>
      <x:c r="E182" s="139" t="n"/>
      <x:c r="F182" s="139" t="n"/>
      <x:c r="G182" s="139" t="n"/>
      <x:c r="H182" s="139" t="n"/>
      <x:c r="I182" s="139" t="n"/>
      <x:c r="J182" s="139" t="n"/>
      <x:c r="K182" s="139" t="n"/>
      <x:c r="L182" s="139" t="n"/>
      <x:c r="M182" s="139" t="n"/>
      <x:c r="N182" s="139" t="n"/>
      <x:c r="O182" s="139" t="n"/>
      <x:c r="P182" s="139" t="n"/>
      <x:c r="Q182" s="139" t="n"/>
      <x:c r="R182" s="139" t="n"/>
      <x:c r="S182" s="139" t="n"/>
      <x:c r="T182" s="139" t="n"/>
      <x:c r="U182" s="139" t="n"/>
      <x:c r="V182" s="139" t="n"/>
      <x:c r="W182" s="139" t="n"/>
      <x:c r="X182" s="139" t="n"/>
      <x:c r="Y182" s="139" t="n"/>
      <x:c r="Z182" s="139" t="n"/>
      <x:c r="AA182" s="139" t="n"/>
      <x:c r="AB182" s="139" t="n"/>
      <x:c r="AC182" s="139" t="n"/>
      <x:c r="AD182" s="139" t="n"/>
      <x:c r="AE182" s="139" t="n"/>
      <x:c r="AF182" s="139" t="n"/>
      <x:c r="AG182" s="139" t="n"/>
      <x:c r="AH182" s="139" t="n"/>
      <x:c r="AI182" s="139" t="n"/>
      <x:c r="AJ182" s="139" t="n"/>
      <x:c r="AK182" s="139" t="n"/>
      <x:c r="AL182" s="139" t="n"/>
      <x:c r="AM182" s="139" t="n"/>
      <x:c r="AN182" s="139" t="n"/>
      <x:c r="AO182" s="139" t="n"/>
      <x:c r="AP182" s="139" t="n"/>
      <x:c r="AQ182" s="139" t="n"/>
      <x:c r="AR182" s="139" t="n"/>
      <x:c r="AS182" s="139" t="n"/>
      <x:c r="AT182" s="139" t="n"/>
      <x:c r="AU182" s="139" t="n"/>
      <x:c r="AV182" s="139" t="n"/>
      <x:c r="AW182" s="139" t="n"/>
      <x:c r="AX182" s="139" t="n"/>
      <x:c r="AY182" s="139" t="n"/>
      <x:c r="AZ182" s="139" t="n"/>
    </x:row>
    <x:row r="183">
      <x:c r="A183" s="139" t="n"/>
      <x:c r="B183" s="139" t="n"/>
      <x:c r="C183" s="139" t="n"/>
      <x:c r="D183" s="139" t="n"/>
      <x:c r="E183" s="139" t="n"/>
      <x:c r="F183" s="139" t="n"/>
      <x:c r="G183" s="139" t="n"/>
      <x:c r="H183" s="139" t="n"/>
      <x:c r="I183" s="139" t="n"/>
      <x:c r="J183" s="139" t="n"/>
      <x:c r="K183" s="139" t="n"/>
      <x:c r="L183" s="139" t="n"/>
      <x:c r="M183" s="139" t="n"/>
      <x:c r="N183" s="139" t="n"/>
      <x:c r="O183" s="139" t="n"/>
      <x:c r="P183" s="139" t="n"/>
      <x:c r="Q183" s="139" t="n"/>
      <x:c r="R183" s="139" t="n"/>
      <x:c r="S183" s="139" t="n"/>
      <x:c r="T183" s="139" t="n"/>
      <x:c r="U183" s="139" t="n"/>
      <x:c r="V183" s="139" t="n"/>
      <x:c r="W183" s="139" t="n"/>
      <x:c r="X183" s="139" t="n"/>
      <x:c r="Y183" s="139" t="n"/>
      <x:c r="Z183" s="139" t="n"/>
      <x:c r="AA183" s="139" t="n"/>
      <x:c r="AB183" s="139" t="n"/>
      <x:c r="AC183" s="139" t="n"/>
      <x:c r="AD183" s="139" t="n"/>
      <x:c r="AE183" s="139" t="n"/>
      <x:c r="AF183" s="139" t="n"/>
      <x:c r="AG183" s="139" t="n"/>
      <x:c r="AH183" s="139" t="n"/>
      <x:c r="AI183" s="139" t="n"/>
      <x:c r="AJ183" s="139" t="n"/>
      <x:c r="AK183" s="139" t="n"/>
      <x:c r="AL183" s="139" t="n"/>
      <x:c r="AM183" s="139" t="n"/>
      <x:c r="AN183" s="139" t="n"/>
      <x:c r="AO183" s="139" t="n"/>
      <x:c r="AP183" s="139" t="n"/>
      <x:c r="AQ183" s="139" t="n"/>
      <x:c r="AR183" s="139" t="n"/>
      <x:c r="AS183" s="139" t="n"/>
      <x:c r="AT183" s="139" t="n"/>
      <x:c r="AU183" s="139" t="n"/>
      <x:c r="AV183" s="139" t="n"/>
      <x:c r="AW183" s="139" t="n"/>
      <x:c r="AX183" s="139" t="n"/>
      <x:c r="AY183" s="139" t="n"/>
      <x:c r="AZ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c r="V184" s="139" t="n"/>
      <x:c r="W184" s="139" t="n"/>
      <x:c r="X184" s="139" t="n"/>
      <x:c r="Y184" s="139" t="n"/>
      <x:c r="Z184" s="139" t="n"/>
      <x:c r="AA184" s="139" t="n"/>
      <x:c r="AB184" s="139" t="n"/>
      <x:c r="AC184" s="139" t="n"/>
      <x:c r="AD184" s="139" t="n"/>
      <x:c r="AE184" s="139" t="n"/>
      <x:c r="AF184" s="139" t="n"/>
      <x:c r="AG184" s="139" t="n"/>
      <x:c r="AH184" s="139" t="n"/>
      <x:c r="AI184" s="139" t="n"/>
      <x:c r="AJ184" s="139" t="n"/>
      <x:c r="AK184" s="139" t="n"/>
      <x:c r="AL184" s="139" t="n"/>
      <x:c r="AM184" s="139" t="n"/>
      <x:c r="AN184" s="139" t="n"/>
      <x:c r="AO184" s="139" t="n"/>
      <x:c r="AP184" s="139" t="n"/>
      <x:c r="AQ184" s="139" t="n"/>
      <x:c r="AR184" s="139" t="n"/>
      <x:c r="AS184" s="139" t="n"/>
      <x:c r="AT184" s="139" t="n"/>
      <x:c r="AU184" s="139" t="n"/>
      <x:c r="AV184" s="139" t="n"/>
      <x:c r="AW184" s="139" t="n"/>
      <x:c r="AX184" s="139" t="n"/>
      <x:c r="AY184" s="139" t="n"/>
      <x:c r="AZ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c r="V185" s="139" t="n"/>
      <x:c r="W185" s="139" t="n"/>
      <x:c r="X185" s="139" t="n"/>
      <x:c r="Y185" s="139" t="n"/>
      <x:c r="Z185" s="139" t="n"/>
      <x:c r="AA185" s="139" t="n"/>
      <x:c r="AB185" s="139" t="n"/>
      <x:c r="AC185" s="139" t="n"/>
      <x:c r="AD185" s="139" t="n"/>
      <x:c r="AE185" s="139" t="n"/>
      <x:c r="AF185" s="139" t="n"/>
      <x:c r="AG185" s="139" t="n"/>
      <x:c r="AH185" s="139" t="n"/>
      <x:c r="AI185" s="139" t="n"/>
      <x:c r="AJ185" s="139" t="n"/>
      <x:c r="AK185" s="139" t="n"/>
      <x:c r="AL185" s="139" t="n"/>
      <x:c r="AM185" s="139" t="n"/>
      <x:c r="AN185" s="139" t="n"/>
      <x:c r="AO185" s="139" t="n"/>
      <x:c r="AP185" s="139" t="n"/>
      <x:c r="AQ185" s="139" t="n"/>
      <x:c r="AR185" s="139" t="n"/>
      <x:c r="AS185" s="139" t="n"/>
      <x:c r="AT185" s="139" t="n"/>
      <x:c r="AU185" s="139" t="n"/>
      <x:c r="AV185" s="139" t="n"/>
      <x:c r="AW185" s="139" t="n"/>
      <x:c r="AX185" s="139" t="n"/>
      <x:c r="AY185" s="139" t="n"/>
      <x:c r="AZ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c r="V186" s="139" t="n"/>
      <x:c r="W186" s="139" t="n"/>
      <x:c r="X186" s="139" t="n"/>
      <x:c r="Y186" s="139" t="n"/>
      <x:c r="Z186" s="139" t="n"/>
      <x:c r="AA186" s="139" t="n"/>
      <x:c r="AB186" s="139" t="n"/>
      <x:c r="AC186" s="139" t="n"/>
      <x:c r="AD186" s="139" t="n"/>
      <x:c r="AE186" s="139" t="n"/>
      <x:c r="AF186" s="139" t="n"/>
      <x:c r="AG186" s="139" t="n"/>
      <x:c r="AH186" s="139" t="n"/>
      <x:c r="AI186" s="139" t="n"/>
      <x:c r="AJ186" s="139" t="n"/>
      <x:c r="AK186" s="139" t="n"/>
      <x:c r="AL186" s="139" t="n"/>
      <x:c r="AM186" s="139" t="n"/>
      <x:c r="AN186" s="139" t="n"/>
      <x:c r="AO186" s="139" t="n"/>
      <x:c r="AP186" s="139" t="n"/>
      <x:c r="AQ186" s="139" t="n"/>
      <x:c r="AR186" s="139" t="n"/>
      <x:c r="AS186" s="139" t="n"/>
      <x:c r="AT186" s="139" t="n"/>
      <x:c r="AU186" s="139" t="n"/>
      <x:c r="AV186" s="139" t="n"/>
      <x:c r="AW186" s="139" t="n"/>
      <x:c r="AX186" s="139" t="n"/>
      <x:c r="AY186" s="139" t="n"/>
      <x:c r="AZ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c r="V187" s="139" t="n"/>
      <x:c r="W187" s="139" t="n"/>
      <x:c r="X187" s="139" t="n"/>
      <x:c r="Y187" s="139" t="n"/>
      <x:c r="Z187" s="139" t="n"/>
      <x:c r="AA187" s="139" t="n"/>
      <x:c r="AB187" s="139" t="n"/>
      <x:c r="AC187" s="139" t="n"/>
      <x:c r="AD187" s="139" t="n"/>
      <x:c r="AE187" s="139" t="n"/>
      <x:c r="AF187" s="139" t="n"/>
      <x:c r="AG187" s="139" t="n"/>
      <x:c r="AH187" s="139" t="n"/>
      <x:c r="AI187" s="139" t="n"/>
      <x:c r="AJ187" s="139" t="n"/>
      <x:c r="AK187" s="139" t="n"/>
      <x:c r="AL187" s="139" t="n"/>
      <x:c r="AM187" s="139" t="n"/>
      <x:c r="AN187" s="139" t="n"/>
      <x:c r="AO187" s="139" t="n"/>
      <x:c r="AP187" s="139" t="n"/>
      <x:c r="AQ187" s="139" t="n"/>
      <x:c r="AR187" s="139" t="n"/>
      <x:c r="AS187" s="139" t="n"/>
      <x:c r="AT187" s="139" t="n"/>
      <x:c r="AU187" s="139" t="n"/>
      <x:c r="AV187" s="139" t="n"/>
      <x:c r="AW187" s="139" t="n"/>
      <x:c r="AX187" s="139" t="n"/>
      <x:c r="AY187" s="139" t="n"/>
      <x:c r="AZ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c r="V188" s="139" t="n"/>
      <x:c r="W188" s="139" t="n"/>
      <x:c r="X188" s="139" t="n"/>
      <x:c r="Y188" s="139" t="n"/>
      <x:c r="Z188" s="139" t="n"/>
      <x:c r="AA188" s="139" t="n"/>
      <x:c r="AB188" s="139" t="n"/>
      <x:c r="AC188" s="139" t="n"/>
      <x:c r="AD188" s="139" t="n"/>
      <x:c r="AE188" s="139" t="n"/>
      <x:c r="AF188" s="139" t="n"/>
      <x:c r="AG188" s="139" t="n"/>
      <x:c r="AH188" s="139" t="n"/>
      <x:c r="AI188" s="139" t="n"/>
      <x:c r="AJ188" s="139" t="n"/>
      <x:c r="AK188" s="139" t="n"/>
      <x:c r="AL188" s="139" t="n"/>
      <x:c r="AM188" s="139" t="n"/>
      <x:c r="AN188" s="139" t="n"/>
      <x:c r="AO188" s="139" t="n"/>
      <x:c r="AP188" s="139" t="n"/>
      <x:c r="AQ188" s="139" t="n"/>
      <x:c r="AR188" s="139" t="n"/>
      <x:c r="AS188" s="139" t="n"/>
      <x:c r="AT188" s="139" t="n"/>
      <x:c r="AU188" s="139" t="n"/>
      <x:c r="AV188" s="139" t="n"/>
      <x:c r="AW188" s="139" t="n"/>
      <x:c r="AX188" s="139" t="n"/>
      <x:c r="AY188" s="139" t="n"/>
      <x:c r="AZ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c r="V189" s="139" t="n"/>
      <x:c r="W189" s="139" t="n"/>
      <x:c r="X189" s="139" t="n"/>
      <x:c r="Y189" s="139" t="n"/>
      <x:c r="Z189" s="139" t="n"/>
      <x:c r="AA189" s="139" t="n"/>
      <x:c r="AB189" s="139" t="n"/>
      <x:c r="AC189" s="139" t="n"/>
      <x:c r="AD189" s="139" t="n"/>
      <x:c r="AE189" s="139" t="n"/>
      <x:c r="AF189" s="139" t="n"/>
      <x:c r="AG189" s="139" t="n"/>
      <x:c r="AH189" s="139" t="n"/>
      <x:c r="AI189" s="139" t="n"/>
      <x:c r="AJ189" s="139" t="n"/>
      <x:c r="AK189" s="139" t="n"/>
      <x:c r="AL189" s="139" t="n"/>
      <x:c r="AM189" s="139" t="n"/>
      <x:c r="AN189" s="139" t="n"/>
      <x:c r="AO189" s="139" t="n"/>
      <x:c r="AP189" s="139" t="n"/>
      <x:c r="AQ189" s="139" t="n"/>
      <x:c r="AR189" s="139" t="n"/>
      <x:c r="AS189" s="139" t="n"/>
      <x:c r="AT189" s="139" t="n"/>
      <x:c r="AU189" s="139" t="n"/>
      <x:c r="AV189" s="139" t="n"/>
      <x:c r="AW189" s="139" t="n"/>
      <x:c r="AX189" s="139" t="n"/>
      <x:c r="AY189" s="139" t="n"/>
      <x:c r="AZ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c r="V190" s="139" t="n"/>
      <x:c r="W190" s="139" t="n"/>
      <x:c r="X190" s="139" t="n"/>
      <x:c r="Y190" s="139" t="n"/>
      <x:c r="Z190" s="139" t="n"/>
      <x:c r="AA190" s="139" t="n"/>
      <x:c r="AB190" s="139" t="n"/>
      <x:c r="AC190" s="139" t="n"/>
      <x:c r="AD190" s="139" t="n"/>
      <x:c r="AE190" s="139" t="n"/>
      <x:c r="AF190" s="139" t="n"/>
      <x:c r="AG190" s="139" t="n"/>
      <x:c r="AH190" s="139" t="n"/>
      <x:c r="AI190" s="139" t="n"/>
      <x:c r="AJ190" s="139" t="n"/>
      <x:c r="AK190" s="139" t="n"/>
      <x:c r="AL190" s="139" t="n"/>
      <x:c r="AM190" s="139" t="n"/>
      <x:c r="AN190" s="139" t="n"/>
      <x:c r="AO190" s="139" t="n"/>
      <x:c r="AP190" s="139" t="n"/>
      <x:c r="AQ190" s="139" t="n"/>
      <x:c r="AR190" s="139" t="n"/>
      <x:c r="AS190" s="139" t="n"/>
      <x:c r="AT190" s="139" t="n"/>
      <x:c r="AU190" s="139" t="n"/>
      <x:c r="AV190" s="139" t="n"/>
      <x:c r="AW190" s="139" t="n"/>
      <x:c r="AX190" s="139" t="n"/>
      <x:c r="AY190" s="139" t="n"/>
      <x:c r="AZ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c r="V191" s="139" t="n"/>
      <x:c r="W191" s="139" t="n"/>
      <x:c r="X191" s="139" t="n"/>
      <x:c r="Y191" s="139" t="n"/>
      <x:c r="Z191" s="139" t="n"/>
      <x:c r="AA191" s="139" t="n"/>
      <x:c r="AB191" s="139" t="n"/>
      <x:c r="AC191" s="139" t="n"/>
      <x:c r="AD191" s="139" t="n"/>
      <x:c r="AE191" s="139" t="n"/>
      <x:c r="AF191" s="139" t="n"/>
      <x:c r="AG191" s="139" t="n"/>
      <x:c r="AH191" s="139" t="n"/>
      <x:c r="AI191" s="139" t="n"/>
      <x:c r="AJ191" s="139" t="n"/>
      <x:c r="AK191" s="139" t="n"/>
      <x:c r="AL191" s="139" t="n"/>
      <x:c r="AM191" s="139" t="n"/>
      <x:c r="AN191" s="139" t="n"/>
      <x:c r="AO191" s="139" t="n"/>
      <x:c r="AP191" s="139" t="n"/>
      <x:c r="AQ191" s="139" t="n"/>
      <x:c r="AR191" s="139" t="n"/>
      <x:c r="AS191" s="139" t="n"/>
      <x:c r="AT191" s="139" t="n"/>
      <x:c r="AU191" s="139" t="n"/>
      <x:c r="AV191" s="139" t="n"/>
      <x:c r="AW191" s="139" t="n"/>
      <x:c r="AX191" s="139" t="n"/>
      <x:c r="AY191" s="139" t="n"/>
      <x:c r="AZ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c r="V192" s="139" t="n"/>
      <x:c r="W192" s="139" t="n"/>
      <x:c r="X192" s="139" t="n"/>
      <x:c r="Y192" s="139" t="n"/>
      <x:c r="Z192" s="139" t="n"/>
      <x:c r="AA192" s="139" t="n"/>
      <x:c r="AB192" s="139" t="n"/>
      <x:c r="AC192" s="139" t="n"/>
      <x:c r="AD192" s="139" t="n"/>
      <x:c r="AE192" s="139" t="n"/>
      <x:c r="AF192" s="139" t="n"/>
      <x:c r="AG192" s="139" t="n"/>
      <x:c r="AH192" s="139" t="n"/>
      <x:c r="AI192" s="139" t="n"/>
      <x:c r="AJ192" s="139" t="n"/>
      <x:c r="AK192" s="139" t="n"/>
      <x:c r="AL192" s="139" t="n"/>
      <x:c r="AM192" s="139" t="n"/>
      <x:c r="AN192" s="139" t="n"/>
      <x:c r="AO192" s="139" t="n"/>
      <x:c r="AP192" s="139" t="n"/>
      <x:c r="AQ192" s="139" t="n"/>
      <x:c r="AR192" s="139" t="n"/>
      <x:c r="AS192" s="139" t="n"/>
      <x:c r="AT192" s="139" t="n"/>
      <x:c r="AU192" s="139" t="n"/>
      <x:c r="AV192" s="139" t="n"/>
      <x:c r="AW192" s="139" t="n"/>
      <x:c r="AX192" s="139" t="n"/>
      <x:c r="AY192" s="139" t="n"/>
      <x:c r="AZ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c r="V193" s="139" t="n"/>
      <x:c r="W193" s="139" t="n"/>
      <x:c r="X193" s="139" t="n"/>
      <x:c r="Y193" s="139" t="n"/>
      <x:c r="Z193" s="139" t="n"/>
      <x:c r="AA193" s="139" t="n"/>
      <x:c r="AB193" s="139" t="n"/>
      <x:c r="AC193" s="139" t="n"/>
      <x:c r="AD193" s="139" t="n"/>
      <x:c r="AE193" s="139" t="n"/>
      <x:c r="AF193" s="139" t="n"/>
      <x:c r="AG193" s="139" t="n"/>
      <x:c r="AH193" s="139" t="n"/>
      <x:c r="AI193" s="139" t="n"/>
      <x:c r="AJ193" s="139" t="n"/>
      <x:c r="AK193" s="139" t="n"/>
      <x:c r="AL193" s="139" t="n"/>
      <x:c r="AM193" s="139" t="n"/>
      <x:c r="AN193" s="139" t="n"/>
      <x:c r="AO193" s="139" t="n"/>
      <x:c r="AP193" s="139" t="n"/>
      <x:c r="AQ193" s="139" t="n"/>
      <x:c r="AR193" s="139" t="n"/>
      <x:c r="AS193" s="139" t="n"/>
      <x:c r="AT193" s="139" t="n"/>
      <x:c r="AU193" s="139" t="n"/>
      <x:c r="AV193" s="139" t="n"/>
      <x:c r="AW193" s="139" t="n"/>
      <x:c r="AX193" s="139" t="n"/>
      <x:c r="AY193" s="139" t="n"/>
      <x:c r="AZ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c r="V194" s="139" t="n"/>
      <x:c r="W194" s="139" t="n"/>
      <x:c r="X194" s="139" t="n"/>
      <x:c r="Y194" s="139" t="n"/>
      <x:c r="Z194" s="139" t="n"/>
      <x:c r="AA194" s="139" t="n"/>
      <x:c r="AB194" s="139" t="n"/>
      <x:c r="AC194" s="139" t="n"/>
      <x:c r="AD194" s="139" t="n"/>
      <x:c r="AE194" s="139" t="n"/>
      <x:c r="AF194" s="139" t="n"/>
      <x:c r="AG194" s="139" t="n"/>
      <x:c r="AH194" s="139" t="n"/>
      <x:c r="AI194" s="139" t="n"/>
      <x:c r="AJ194" s="139" t="n"/>
      <x:c r="AK194" s="139" t="n"/>
      <x:c r="AL194" s="139" t="n"/>
      <x:c r="AM194" s="139" t="n"/>
      <x:c r="AN194" s="139" t="n"/>
      <x:c r="AO194" s="139" t="n"/>
      <x:c r="AP194" s="139" t="n"/>
      <x:c r="AQ194" s="139" t="n"/>
      <x:c r="AR194" s="139" t="n"/>
      <x:c r="AS194" s="139" t="n"/>
      <x:c r="AT194" s="139" t="n"/>
      <x:c r="AU194" s="139" t="n"/>
      <x:c r="AV194" s="139" t="n"/>
      <x:c r="AW194" s="139" t="n"/>
      <x:c r="AX194" s="139" t="n"/>
      <x:c r="AY194" s="139" t="n"/>
      <x:c r="AZ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c r="V195" s="139" t="n"/>
      <x:c r="W195" s="139" t="n"/>
      <x:c r="X195" s="139" t="n"/>
      <x:c r="Y195" s="139" t="n"/>
      <x:c r="Z195" s="139" t="n"/>
      <x:c r="AA195" s="139" t="n"/>
      <x:c r="AB195" s="139" t="n"/>
      <x:c r="AC195" s="139" t="n"/>
      <x:c r="AD195" s="139" t="n"/>
      <x:c r="AE195" s="139" t="n"/>
      <x:c r="AF195" s="139" t="n"/>
      <x:c r="AG195" s="139" t="n"/>
      <x:c r="AH195" s="139" t="n"/>
      <x:c r="AI195" s="139" t="n"/>
      <x:c r="AJ195" s="139" t="n"/>
      <x:c r="AK195" s="139" t="n"/>
      <x:c r="AL195" s="139" t="n"/>
      <x:c r="AM195" s="139" t="n"/>
      <x:c r="AN195" s="139" t="n"/>
      <x:c r="AO195" s="139" t="n"/>
      <x:c r="AP195" s="139" t="n"/>
      <x:c r="AQ195" s="139" t="n"/>
      <x:c r="AR195" s="139" t="n"/>
      <x:c r="AS195" s="139" t="n"/>
      <x:c r="AT195" s="139" t="n"/>
      <x:c r="AU195" s="139" t="n"/>
      <x:c r="AV195" s="139" t="n"/>
      <x:c r="AW195" s="139" t="n"/>
      <x:c r="AX195" s="139" t="n"/>
      <x:c r="AY195" s="139" t="n"/>
      <x:c r="AZ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c r="V196" s="139" t="n"/>
      <x:c r="W196" s="139" t="n"/>
      <x:c r="X196" s="139" t="n"/>
      <x:c r="Y196" s="139" t="n"/>
      <x:c r="Z196" s="139" t="n"/>
      <x:c r="AA196" s="139" t="n"/>
      <x:c r="AB196" s="139" t="n"/>
      <x:c r="AC196" s="139" t="n"/>
      <x:c r="AD196" s="139" t="n"/>
      <x:c r="AE196" s="139" t="n"/>
      <x:c r="AF196" s="139" t="n"/>
      <x:c r="AG196" s="139" t="n"/>
      <x:c r="AH196" s="139" t="n"/>
      <x:c r="AI196" s="139" t="n"/>
      <x:c r="AJ196" s="139" t="n"/>
      <x:c r="AK196" s="139" t="n"/>
      <x:c r="AL196" s="139" t="n"/>
      <x:c r="AM196" s="139" t="n"/>
      <x:c r="AN196" s="139" t="n"/>
      <x:c r="AO196" s="139" t="n"/>
      <x:c r="AP196" s="139" t="n"/>
      <x:c r="AQ196" s="139" t="n"/>
      <x:c r="AR196" s="139" t="n"/>
      <x:c r="AS196" s="139" t="n"/>
      <x:c r="AT196" s="139" t="n"/>
      <x:c r="AU196" s="139" t="n"/>
      <x:c r="AV196" s="139" t="n"/>
      <x:c r="AW196" s="139" t="n"/>
      <x:c r="AX196" s="139" t="n"/>
      <x:c r="AY196" s="139" t="n"/>
      <x:c r="AZ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c r="V197" s="139" t="n"/>
      <x:c r="W197" s="139" t="n"/>
      <x:c r="X197" s="139" t="n"/>
      <x:c r="Y197" s="139" t="n"/>
      <x:c r="Z197" s="139" t="n"/>
      <x:c r="AA197" s="139" t="n"/>
      <x:c r="AB197" s="139" t="n"/>
      <x:c r="AC197" s="139" t="n"/>
      <x:c r="AD197" s="139" t="n"/>
      <x:c r="AE197" s="139" t="n"/>
      <x:c r="AF197" s="139" t="n"/>
      <x:c r="AG197" s="139" t="n"/>
      <x:c r="AH197" s="139" t="n"/>
      <x:c r="AI197" s="139" t="n"/>
      <x:c r="AJ197" s="139" t="n"/>
      <x:c r="AK197" s="139" t="n"/>
      <x:c r="AL197" s="139" t="n"/>
      <x:c r="AM197" s="139" t="n"/>
      <x:c r="AN197" s="139" t="n"/>
      <x:c r="AO197" s="139" t="n"/>
      <x:c r="AP197" s="139" t="n"/>
      <x:c r="AQ197" s="139" t="n"/>
      <x:c r="AR197" s="139" t="n"/>
      <x:c r="AS197" s="139" t="n"/>
      <x:c r="AT197" s="139" t="n"/>
      <x:c r="AU197" s="139" t="n"/>
      <x:c r="AV197" s="139" t="n"/>
      <x:c r="AW197" s="139" t="n"/>
      <x:c r="AX197" s="139" t="n"/>
      <x:c r="AY197" s="139" t="n"/>
      <x:c r="AZ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c r="V198" s="139" t="n"/>
      <x:c r="W198" s="139" t="n"/>
      <x:c r="X198" s="139" t="n"/>
      <x:c r="Y198" s="139" t="n"/>
      <x:c r="Z198" s="139" t="n"/>
      <x:c r="AA198" s="139" t="n"/>
      <x:c r="AB198" s="139" t="n"/>
      <x:c r="AC198" s="139" t="n"/>
      <x:c r="AD198" s="139" t="n"/>
      <x:c r="AE198" s="139" t="n"/>
      <x:c r="AF198" s="139" t="n"/>
      <x:c r="AG198" s="139" t="n"/>
      <x:c r="AH198" s="139" t="n"/>
      <x:c r="AI198" s="139" t="n"/>
      <x:c r="AJ198" s="139" t="n"/>
      <x:c r="AK198" s="139" t="n"/>
      <x:c r="AL198" s="139" t="n"/>
      <x:c r="AM198" s="139" t="n"/>
      <x:c r="AN198" s="139" t="n"/>
      <x:c r="AO198" s="139" t="n"/>
      <x:c r="AP198" s="139" t="n"/>
      <x:c r="AQ198" s="139" t="n"/>
      <x:c r="AR198" s="139" t="n"/>
      <x:c r="AS198" s="139" t="n"/>
      <x:c r="AT198" s="139" t="n"/>
      <x:c r="AU198" s="139" t="n"/>
      <x:c r="AV198" s="139" t="n"/>
      <x:c r="AW198" s="139" t="n"/>
      <x:c r="AX198" s="139" t="n"/>
      <x:c r="AY198" s="139" t="n"/>
      <x:c r="AZ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c r="V199" s="139" t="n"/>
      <x:c r="W199" s="139" t="n"/>
      <x:c r="X199" s="139" t="n"/>
      <x:c r="Y199" s="139" t="n"/>
      <x:c r="Z199" s="139" t="n"/>
      <x:c r="AA199" s="139" t="n"/>
      <x:c r="AB199" s="139" t="n"/>
      <x:c r="AC199" s="139" t="n"/>
      <x:c r="AD199" s="139" t="n"/>
      <x:c r="AE199" s="139" t="n"/>
      <x:c r="AF199" s="139" t="n"/>
      <x:c r="AG199" s="139" t="n"/>
      <x:c r="AH199" s="139" t="n"/>
      <x:c r="AI199" s="139" t="n"/>
      <x:c r="AJ199" s="139" t="n"/>
      <x:c r="AK199" s="139" t="n"/>
      <x:c r="AL199" s="139" t="n"/>
      <x:c r="AM199" s="139" t="n"/>
      <x:c r="AN199" s="139" t="n"/>
      <x:c r="AO199" s="139" t="n"/>
      <x:c r="AP199" s="139" t="n"/>
      <x:c r="AQ199" s="139" t="n"/>
      <x:c r="AR199" s="139" t="n"/>
      <x:c r="AS199" s="139" t="n"/>
      <x:c r="AT199" s="139" t="n"/>
      <x:c r="AU199" s="139" t="n"/>
      <x:c r="AV199" s="139" t="n"/>
      <x:c r="AW199" s="139" t="n"/>
      <x:c r="AX199" s="139" t="n"/>
      <x:c r="AY199" s="139" t="n"/>
      <x:c r="AZ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c r="V200" s="139" t="n"/>
      <x:c r="W200" s="139" t="n"/>
      <x:c r="X200" s="139" t="n"/>
      <x:c r="Y200" s="139" t="n"/>
      <x:c r="Z200" s="139" t="n"/>
      <x:c r="AA200" s="139" t="n"/>
      <x:c r="AB200" s="139" t="n"/>
      <x:c r="AC200" s="139" t="n"/>
      <x:c r="AD200" s="139" t="n"/>
      <x:c r="AE200" s="139" t="n"/>
      <x:c r="AF200" s="139" t="n"/>
      <x:c r="AG200" s="139" t="n"/>
      <x:c r="AH200" s="139" t="n"/>
      <x:c r="AI200" s="139" t="n"/>
      <x:c r="AJ200" s="139" t="n"/>
      <x:c r="AK200" s="139" t="n"/>
      <x:c r="AL200" s="139" t="n"/>
      <x:c r="AM200" s="139" t="n"/>
      <x:c r="AN200" s="139" t="n"/>
      <x:c r="AO200" s="139" t="n"/>
      <x:c r="AP200" s="139" t="n"/>
      <x:c r="AQ200" s="139" t="n"/>
      <x:c r="AR200" s="139" t="n"/>
      <x:c r="AS200" s="139" t="n"/>
      <x:c r="AT200" s="139" t="n"/>
      <x:c r="AU200" s="139" t="n"/>
      <x:c r="AV200" s="139" t="n"/>
      <x:c r="AW200" s="139" t="n"/>
      <x:c r="AX200" s="139" t="n"/>
      <x:c r="AY200" s="139" t="n"/>
      <x:c r="AZ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c r="V201" s="139" t="n"/>
      <x:c r="W201" s="139" t="n"/>
      <x:c r="X201" s="139" t="n"/>
      <x:c r="Y201" s="139" t="n"/>
      <x:c r="Z201" s="139" t="n"/>
      <x:c r="AA201" s="139" t="n"/>
      <x:c r="AB201" s="139" t="n"/>
      <x:c r="AC201" s="139" t="n"/>
      <x:c r="AD201" s="139" t="n"/>
      <x:c r="AE201" s="139" t="n"/>
      <x:c r="AF201" s="139" t="n"/>
      <x:c r="AG201" s="139" t="n"/>
      <x:c r="AH201" s="139" t="n"/>
      <x:c r="AI201" s="139" t="n"/>
      <x:c r="AJ201" s="139" t="n"/>
      <x:c r="AK201" s="139" t="n"/>
      <x:c r="AL201" s="139" t="n"/>
      <x:c r="AM201" s="139" t="n"/>
      <x:c r="AN201" s="139" t="n"/>
      <x:c r="AO201" s="139" t="n"/>
      <x:c r="AP201" s="139" t="n"/>
      <x:c r="AQ201" s="139" t="n"/>
      <x:c r="AR201" s="139" t="n"/>
      <x:c r="AS201" s="139" t="n"/>
      <x:c r="AT201" s="139" t="n"/>
      <x:c r="AU201" s="139" t="n"/>
      <x:c r="AV201" s="139" t="n"/>
      <x:c r="AW201" s="139" t="n"/>
      <x:c r="AX201" s="139" t="n"/>
      <x:c r="AY201" s="139" t="n"/>
      <x:c r="AZ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c r="V202" s="139" t="n"/>
      <x:c r="W202" s="139" t="n"/>
      <x:c r="X202" s="139" t="n"/>
      <x:c r="Y202" s="139" t="n"/>
      <x:c r="Z202" s="139" t="n"/>
      <x:c r="AA202" s="139" t="n"/>
      <x:c r="AB202" s="139" t="n"/>
      <x:c r="AC202" s="139" t="n"/>
      <x:c r="AD202" s="139" t="n"/>
      <x:c r="AE202" s="139" t="n"/>
      <x:c r="AF202" s="139" t="n"/>
      <x:c r="AG202" s="139" t="n"/>
      <x:c r="AH202" s="139" t="n"/>
      <x:c r="AI202" s="139" t="n"/>
      <x:c r="AJ202" s="139" t="n"/>
      <x:c r="AK202" s="139" t="n"/>
      <x:c r="AL202" s="139" t="n"/>
      <x:c r="AM202" s="139" t="n"/>
      <x:c r="AN202" s="139" t="n"/>
      <x:c r="AO202" s="139" t="n"/>
      <x:c r="AP202" s="139" t="n"/>
      <x:c r="AQ202" s="139" t="n"/>
      <x:c r="AR202" s="139" t="n"/>
      <x:c r="AS202" s="139" t="n"/>
      <x:c r="AT202" s="139" t="n"/>
      <x:c r="AU202" s="139" t="n"/>
      <x:c r="AV202" s="139" t="n"/>
      <x:c r="AW202" s="139" t="n"/>
      <x:c r="AX202" s="139" t="n"/>
      <x:c r="AY202" s="139" t="n"/>
      <x:c r="AZ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c r="V203" s="139" t="n"/>
      <x:c r="W203" s="139" t="n"/>
      <x:c r="X203" s="139" t="n"/>
      <x:c r="Y203" s="139" t="n"/>
      <x:c r="Z203" s="139" t="n"/>
      <x:c r="AA203" s="139" t="n"/>
      <x:c r="AB203" s="139" t="n"/>
      <x:c r="AC203" s="139" t="n"/>
      <x:c r="AD203" s="139" t="n"/>
      <x:c r="AE203" s="139" t="n"/>
      <x:c r="AF203" s="139" t="n"/>
      <x:c r="AG203" s="139" t="n"/>
      <x:c r="AH203" s="139" t="n"/>
      <x:c r="AI203" s="139" t="n"/>
      <x:c r="AJ203" s="139" t="n"/>
      <x:c r="AK203" s="139" t="n"/>
      <x:c r="AL203" s="139" t="n"/>
      <x:c r="AM203" s="139" t="n"/>
      <x:c r="AN203" s="139" t="n"/>
      <x:c r="AO203" s="139" t="n"/>
      <x:c r="AP203" s="139" t="n"/>
      <x:c r="AQ203" s="139" t="n"/>
      <x:c r="AR203" s="139" t="n"/>
      <x:c r="AS203" s="139" t="n"/>
      <x:c r="AT203" s="139" t="n"/>
      <x:c r="AU203" s="139" t="n"/>
      <x:c r="AV203" s="139" t="n"/>
      <x:c r="AW203" s="139" t="n"/>
      <x:c r="AX203" s="139" t="n"/>
      <x:c r="AY203" s="139" t="n"/>
      <x:c r="AZ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c r="V204" s="139" t="n"/>
      <x:c r="W204" s="139" t="n"/>
      <x:c r="X204" s="139" t="n"/>
      <x:c r="Y204" s="139" t="n"/>
      <x:c r="Z204" s="139" t="n"/>
      <x:c r="AA204" s="139" t="n"/>
      <x:c r="AB204" s="139" t="n"/>
      <x:c r="AC204" s="139" t="n"/>
      <x:c r="AD204" s="139" t="n"/>
      <x:c r="AE204" s="139" t="n"/>
      <x:c r="AF204" s="139" t="n"/>
      <x:c r="AG204" s="139" t="n"/>
      <x:c r="AH204" s="139" t="n"/>
      <x:c r="AI204" s="139" t="n"/>
      <x:c r="AJ204" s="139" t="n"/>
      <x:c r="AK204" s="139" t="n"/>
      <x:c r="AL204" s="139" t="n"/>
      <x:c r="AM204" s="139" t="n"/>
      <x:c r="AN204" s="139" t="n"/>
      <x:c r="AO204" s="139" t="n"/>
      <x:c r="AP204" s="139" t="n"/>
      <x:c r="AQ204" s="139" t="n"/>
      <x:c r="AR204" s="139" t="n"/>
      <x:c r="AS204" s="139" t="n"/>
      <x:c r="AT204" s="139" t="n"/>
      <x:c r="AU204" s="139" t="n"/>
      <x:c r="AV204" s="139" t="n"/>
      <x:c r="AW204" s="139" t="n"/>
      <x:c r="AX204" s="139" t="n"/>
      <x:c r="AY204" s="139" t="n"/>
      <x:c r="AZ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c r="V205" s="139" t="n"/>
      <x:c r="W205" s="139" t="n"/>
      <x:c r="X205" s="139" t="n"/>
      <x:c r="Y205" s="139" t="n"/>
      <x:c r="Z205" s="139" t="n"/>
      <x:c r="AA205" s="139" t="n"/>
      <x:c r="AB205" s="139" t="n"/>
      <x:c r="AC205" s="139" t="n"/>
      <x:c r="AD205" s="139" t="n"/>
      <x:c r="AE205" s="139" t="n"/>
      <x:c r="AF205" s="139" t="n"/>
      <x:c r="AG205" s="139" t="n"/>
      <x:c r="AH205" s="139" t="n"/>
      <x:c r="AI205" s="139" t="n"/>
      <x:c r="AJ205" s="139" t="n"/>
      <x:c r="AK205" s="139" t="n"/>
      <x:c r="AL205" s="139" t="n"/>
      <x:c r="AM205" s="139" t="n"/>
      <x:c r="AN205" s="139" t="n"/>
      <x:c r="AO205" s="139" t="n"/>
      <x:c r="AP205" s="139" t="n"/>
      <x:c r="AQ205" s="139" t="n"/>
      <x:c r="AR205" s="139" t="n"/>
      <x:c r="AS205" s="139" t="n"/>
      <x:c r="AT205" s="139" t="n"/>
      <x:c r="AU205" s="139" t="n"/>
      <x:c r="AV205" s="139" t="n"/>
      <x:c r="AW205" s="139" t="n"/>
      <x:c r="AX205" s="139" t="n"/>
      <x:c r="AY205" s="139" t="n"/>
      <x:c r="AZ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c r="V206" s="139" t="n"/>
      <x:c r="W206" s="139" t="n"/>
      <x:c r="X206" s="139" t="n"/>
      <x:c r="Y206" s="139" t="n"/>
      <x:c r="Z206" s="139" t="n"/>
      <x:c r="AA206" s="139" t="n"/>
      <x:c r="AB206" s="139" t="n"/>
      <x:c r="AC206" s="139" t="n"/>
      <x:c r="AD206" s="139" t="n"/>
      <x:c r="AE206" s="139" t="n"/>
      <x:c r="AF206" s="139" t="n"/>
      <x:c r="AG206" s="139" t="n"/>
      <x:c r="AH206" s="139" t="n"/>
      <x:c r="AI206" s="139" t="n"/>
      <x:c r="AJ206" s="139" t="n"/>
      <x:c r="AK206" s="139" t="n"/>
      <x:c r="AL206" s="139" t="n"/>
      <x:c r="AM206" s="139" t="n"/>
      <x:c r="AN206" s="139" t="n"/>
      <x:c r="AO206" s="139" t="n"/>
      <x:c r="AP206" s="139" t="n"/>
      <x:c r="AQ206" s="139" t="n"/>
      <x:c r="AR206" s="139" t="n"/>
      <x:c r="AS206" s="139" t="n"/>
      <x:c r="AT206" s="139" t="n"/>
      <x:c r="AU206" s="139" t="n"/>
      <x:c r="AV206" s="139" t="n"/>
      <x:c r="AW206" s="139" t="n"/>
      <x:c r="AX206" s="139" t="n"/>
      <x:c r="AY206" s="139" t="n"/>
      <x:c r="AZ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c r="V207" s="139" t="n"/>
      <x:c r="W207" s="139" t="n"/>
      <x:c r="X207" s="139" t="n"/>
      <x:c r="Y207" s="139" t="n"/>
      <x:c r="Z207" s="139" t="n"/>
      <x:c r="AA207" s="139" t="n"/>
      <x:c r="AB207" s="139" t="n"/>
      <x:c r="AC207" s="139" t="n"/>
      <x:c r="AD207" s="139" t="n"/>
      <x:c r="AE207" s="139" t="n"/>
      <x:c r="AF207" s="139" t="n"/>
      <x:c r="AG207" s="139" t="n"/>
      <x:c r="AH207" s="139" t="n"/>
      <x:c r="AI207" s="139" t="n"/>
      <x:c r="AJ207" s="139" t="n"/>
      <x:c r="AK207" s="139" t="n"/>
      <x:c r="AL207" s="139" t="n"/>
      <x:c r="AM207" s="139" t="n"/>
      <x:c r="AN207" s="139" t="n"/>
      <x:c r="AO207" s="139" t="n"/>
      <x:c r="AP207" s="139" t="n"/>
      <x:c r="AQ207" s="139" t="n"/>
      <x:c r="AR207" s="139" t="n"/>
      <x:c r="AS207" s="139" t="n"/>
      <x:c r="AT207" s="139" t="n"/>
      <x:c r="AU207" s="139" t="n"/>
      <x:c r="AV207" s="139" t="n"/>
      <x:c r="AW207" s="139" t="n"/>
      <x:c r="AX207" s="139" t="n"/>
      <x:c r="AY207" s="139" t="n"/>
      <x:c r="AZ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c r="V208" s="139" t="n"/>
      <x:c r="W208" s="139" t="n"/>
      <x:c r="X208" s="139" t="n"/>
      <x:c r="Y208" s="139" t="n"/>
      <x:c r="Z208" s="139" t="n"/>
      <x:c r="AA208" s="139" t="n"/>
      <x:c r="AB208" s="139" t="n"/>
      <x:c r="AC208" s="139" t="n"/>
      <x:c r="AD208" s="139" t="n"/>
      <x:c r="AE208" s="139" t="n"/>
      <x:c r="AF208" s="139" t="n"/>
      <x:c r="AG208" s="139" t="n"/>
      <x:c r="AH208" s="139" t="n"/>
      <x:c r="AI208" s="139" t="n"/>
      <x:c r="AJ208" s="139" t="n"/>
      <x:c r="AK208" s="139" t="n"/>
      <x:c r="AL208" s="139" t="n"/>
      <x:c r="AM208" s="139" t="n"/>
      <x:c r="AN208" s="139" t="n"/>
      <x:c r="AO208" s="139" t="n"/>
      <x:c r="AP208" s="139" t="n"/>
      <x:c r="AQ208" s="139" t="n"/>
      <x:c r="AR208" s="139" t="n"/>
      <x:c r="AS208" s="139" t="n"/>
      <x:c r="AT208" s="139" t="n"/>
      <x:c r="AU208" s="139" t="n"/>
      <x:c r="AV208" s="139" t="n"/>
      <x:c r="AW208" s="139" t="n"/>
      <x:c r="AX208" s="139" t="n"/>
      <x:c r="AY208" s="139" t="n"/>
      <x:c r="AZ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c r="V209" s="139" t="n"/>
      <x:c r="W209" s="139" t="n"/>
      <x:c r="X209" s="139" t="n"/>
      <x:c r="Y209" s="139" t="n"/>
      <x:c r="Z209" s="139" t="n"/>
      <x:c r="AA209" s="139" t="n"/>
      <x:c r="AB209" s="139" t="n"/>
      <x:c r="AC209" s="139" t="n"/>
      <x:c r="AD209" s="139" t="n"/>
      <x:c r="AE209" s="139" t="n"/>
      <x:c r="AF209" s="139" t="n"/>
      <x:c r="AG209" s="139" t="n"/>
      <x:c r="AH209" s="139" t="n"/>
      <x:c r="AI209" s="139" t="n"/>
      <x:c r="AJ209" s="139" t="n"/>
      <x:c r="AK209" s="139" t="n"/>
      <x:c r="AL209" s="139" t="n"/>
      <x:c r="AM209" s="139" t="n"/>
      <x:c r="AN209" s="139" t="n"/>
      <x:c r="AO209" s="139" t="n"/>
      <x:c r="AP209" s="139" t="n"/>
      <x:c r="AQ209" s="139" t="n"/>
      <x:c r="AR209" s="139" t="n"/>
      <x:c r="AS209" s="139" t="n"/>
      <x:c r="AT209" s="139" t="n"/>
      <x:c r="AU209" s="139" t="n"/>
      <x:c r="AV209" s="139" t="n"/>
      <x:c r="AW209" s="139" t="n"/>
      <x:c r="AX209" s="139" t="n"/>
      <x:c r="AY209" s="139" t="n"/>
      <x:c r="AZ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c r="V210" s="139" t="n"/>
      <x:c r="W210" s="139" t="n"/>
      <x:c r="X210" s="139" t="n"/>
      <x:c r="Y210" s="139" t="n"/>
      <x:c r="Z210" s="139" t="n"/>
      <x:c r="AA210" s="139" t="n"/>
      <x:c r="AB210" s="139" t="n"/>
      <x:c r="AC210" s="139" t="n"/>
      <x:c r="AD210" s="139" t="n"/>
      <x:c r="AE210" s="139" t="n"/>
      <x:c r="AF210" s="139" t="n"/>
      <x:c r="AG210" s="139" t="n"/>
      <x:c r="AH210" s="139" t="n"/>
      <x:c r="AI210" s="139" t="n"/>
      <x:c r="AJ210" s="139" t="n"/>
      <x:c r="AK210" s="139" t="n"/>
      <x:c r="AL210" s="139" t="n"/>
      <x:c r="AM210" s="139" t="n"/>
      <x:c r="AN210" s="139" t="n"/>
      <x:c r="AO210" s="139" t="n"/>
      <x:c r="AP210" s="139" t="n"/>
      <x:c r="AQ210" s="139" t="n"/>
      <x:c r="AR210" s="139" t="n"/>
      <x:c r="AS210" s="139" t="n"/>
      <x:c r="AT210" s="139" t="n"/>
      <x:c r="AU210" s="139" t="n"/>
      <x:c r="AV210" s="139" t="n"/>
      <x:c r="AW210" s="139" t="n"/>
      <x:c r="AX210" s="139" t="n"/>
      <x:c r="AY210" s="139" t="n"/>
      <x:c r="AZ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c r="V211" s="139" t="n"/>
      <x:c r="W211" s="139" t="n"/>
      <x:c r="X211" s="139" t="n"/>
      <x:c r="Y211" s="139" t="n"/>
      <x:c r="Z211" s="139" t="n"/>
      <x:c r="AA211" s="139" t="n"/>
      <x:c r="AB211" s="139" t="n"/>
      <x:c r="AC211" s="139" t="n"/>
      <x:c r="AD211" s="139" t="n"/>
      <x:c r="AE211" s="139" t="n"/>
      <x:c r="AF211" s="139" t="n"/>
      <x:c r="AG211" s="139" t="n"/>
      <x:c r="AH211" s="139" t="n"/>
      <x:c r="AI211" s="139" t="n"/>
      <x:c r="AJ211" s="139" t="n"/>
      <x:c r="AK211" s="139" t="n"/>
      <x:c r="AL211" s="139" t="n"/>
      <x:c r="AM211" s="139" t="n"/>
      <x:c r="AN211" s="139" t="n"/>
      <x:c r="AO211" s="139" t="n"/>
      <x:c r="AP211" s="139" t="n"/>
      <x:c r="AQ211" s="139" t="n"/>
      <x:c r="AR211" s="139" t="n"/>
      <x:c r="AS211" s="139" t="n"/>
      <x:c r="AT211" s="139" t="n"/>
      <x:c r="AU211" s="139" t="n"/>
      <x:c r="AV211" s="139" t="n"/>
      <x:c r="AW211" s="139" t="n"/>
      <x:c r="AX211" s="139" t="n"/>
      <x:c r="AY211" s="139" t="n"/>
      <x:c r="AZ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c r="V212" s="139" t="n"/>
      <x:c r="W212" s="139" t="n"/>
      <x:c r="X212" s="139" t="n"/>
      <x:c r="Y212" s="139" t="n"/>
      <x:c r="Z212" s="139" t="n"/>
      <x:c r="AA212" s="139" t="n"/>
      <x:c r="AB212" s="139" t="n"/>
      <x:c r="AC212" s="139" t="n"/>
      <x:c r="AD212" s="139" t="n"/>
      <x:c r="AE212" s="139" t="n"/>
      <x:c r="AF212" s="139" t="n"/>
      <x:c r="AG212" s="139" t="n"/>
      <x:c r="AH212" s="139" t="n"/>
      <x:c r="AI212" s="139" t="n"/>
      <x:c r="AJ212" s="139" t="n"/>
      <x:c r="AK212" s="139" t="n"/>
      <x:c r="AL212" s="139" t="n"/>
      <x:c r="AM212" s="139" t="n"/>
      <x:c r="AN212" s="139" t="n"/>
      <x:c r="AO212" s="139" t="n"/>
      <x:c r="AP212" s="139" t="n"/>
      <x:c r="AQ212" s="139" t="n"/>
      <x:c r="AR212" s="139" t="n"/>
      <x:c r="AS212" s="139" t="n"/>
      <x:c r="AT212" s="139" t="n"/>
      <x:c r="AU212" s="139" t="n"/>
      <x:c r="AV212" s="139" t="n"/>
      <x:c r="AW212" s="139" t="n"/>
      <x:c r="AX212" s="139" t="n"/>
      <x:c r="AY212" s="139" t="n"/>
      <x:c r="AZ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c r="V213" s="139" t="n"/>
      <x:c r="W213" s="139" t="n"/>
      <x:c r="X213" s="139" t="n"/>
      <x:c r="Y213" s="139" t="n"/>
      <x:c r="Z213" s="139" t="n"/>
      <x:c r="AA213" s="139" t="n"/>
      <x:c r="AB213" s="139" t="n"/>
      <x:c r="AC213" s="139" t="n"/>
      <x:c r="AD213" s="139" t="n"/>
      <x:c r="AE213" s="139" t="n"/>
      <x:c r="AF213" s="139" t="n"/>
      <x:c r="AG213" s="139" t="n"/>
      <x:c r="AH213" s="139" t="n"/>
      <x:c r="AI213" s="139" t="n"/>
      <x:c r="AJ213" s="139" t="n"/>
      <x:c r="AK213" s="139" t="n"/>
      <x:c r="AL213" s="139" t="n"/>
      <x:c r="AM213" s="139" t="n"/>
      <x:c r="AN213" s="139" t="n"/>
      <x:c r="AO213" s="139" t="n"/>
      <x:c r="AP213" s="139" t="n"/>
      <x:c r="AQ213" s="139" t="n"/>
      <x:c r="AR213" s="139" t="n"/>
      <x:c r="AS213" s="139" t="n"/>
      <x:c r="AT213" s="139" t="n"/>
      <x:c r="AU213" s="139" t="n"/>
      <x:c r="AV213" s="139" t="n"/>
      <x:c r="AW213" s="139" t="n"/>
      <x:c r="AX213" s="139" t="n"/>
      <x:c r="AY213" s="139" t="n"/>
      <x:c r="AZ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c r="V214" s="139" t="n"/>
      <x:c r="W214" s="139" t="n"/>
      <x:c r="X214" s="139" t="n"/>
      <x:c r="Y214" s="139" t="n"/>
      <x:c r="Z214" s="139" t="n"/>
      <x:c r="AA214" s="139" t="n"/>
      <x:c r="AB214" s="139" t="n"/>
      <x:c r="AC214" s="139" t="n"/>
      <x:c r="AD214" s="139" t="n"/>
      <x:c r="AE214" s="139" t="n"/>
      <x:c r="AF214" s="139" t="n"/>
      <x:c r="AG214" s="139" t="n"/>
      <x:c r="AH214" s="139" t="n"/>
      <x:c r="AI214" s="139" t="n"/>
      <x:c r="AJ214" s="139" t="n"/>
      <x:c r="AK214" s="139" t="n"/>
      <x:c r="AL214" s="139" t="n"/>
      <x:c r="AM214" s="139" t="n"/>
      <x:c r="AN214" s="139" t="n"/>
      <x:c r="AO214" s="139" t="n"/>
      <x:c r="AP214" s="139" t="n"/>
      <x:c r="AQ214" s="139" t="n"/>
      <x:c r="AR214" s="139" t="n"/>
      <x:c r="AS214" s="139" t="n"/>
      <x:c r="AT214" s="139" t="n"/>
      <x:c r="AU214" s="139" t="n"/>
      <x:c r="AV214" s="139" t="n"/>
      <x:c r="AW214" s="139" t="n"/>
      <x:c r="AX214" s="139" t="n"/>
      <x:c r="AY214" s="139" t="n"/>
      <x:c r="AZ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c r="V215" s="139" t="n"/>
      <x:c r="W215" s="139" t="n"/>
      <x:c r="X215" s="139" t="n"/>
      <x:c r="Y215" s="139" t="n"/>
      <x:c r="Z215" s="139" t="n"/>
      <x:c r="AA215" s="139" t="n"/>
      <x:c r="AB215" s="139" t="n"/>
      <x:c r="AC215" s="139" t="n"/>
      <x:c r="AD215" s="139" t="n"/>
      <x:c r="AE215" s="139" t="n"/>
      <x:c r="AF215" s="139" t="n"/>
      <x:c r="AG215" s="139" t="n"/>
      <x:c r="AH215" s="139" t="n"/>
      <x:c r="AI215" s="139" t="n"/>
      <x:c r="AJ215" s="139" t="n"/>
      <x:c r="AK215" s="139" t="n"/>
      <x:c r="AL215" s="139" t="n"/>
      <x:c r="AM215" s="139" t="n"/>
      <x:c r="AN215" s="139" t="n"/>
      <x:c r="AO215" s="139" t="n"/>
      <x:c r="AP215" s="139" t="n"/>
      <x:c r="AQ215" s="139" t="n"/>
      <x:c r="AR215" s="139" t="n"/>
      <x:c r="AS215" s="139" t="n"/>
      <x:c r="AT215" s="139" t="n"/>
      <x:c r="AU215" s="139" t="n"/>
      <x:c r="AV215" s="139" t="n"/>
      <x:c r="AW215" s="139" t="n"/>
      <x:c r="AX215" s="139" t="n"/>
      <x:c r="AY215" s="139" t="n"/>
      <x:c r="AZ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c r="V216" s="139" t="n"/>
      <x:c r="W216" s="139" t="n"/>
      <x:c r="X216" s="139" t="n"/>
      <x:c r="Y216" s="139" t="n"/>
      <x:c r="Z216" s="139" t="n"/>
      <x:c r="AA216" s="139" t="n"/>
      <x:c r="AB216" s="139" t="n"/>
      <x:c r="AC216" s="139" t="n"/>
      <x:c r="AD216" s="139" t="n"/>
      <x:c r="AE216" s="139" t="n"/>
      <x:c r="AF216" s="139" t="n"/>
      <x:c r="AG216" s="139" t="n"/>
      <x:c r="AH216" s="139" t="n"/>
      <x:c r="AI216" s="139" t="n"/>
      <x:c r="AJ216" s="139" t="n"/>
      <x:c r="AK216" s="139" t="n"/>
      <x:c r="AL216" s="139" t="n"/>
      <x:c r="AM216" s="139" t="n"/>
      <x:c r="AN216" s="139" t="n"/>
      <x:c r="AO216" s="139" t="n"/>
      <x:c r="AP216" s="139" t="n"/>
      <x:c r="AQ216" s="139" t="n"/>
      <x:c r="AR216" s="139" t="n"/>
      <x:c r="AS216" s="139" t="n"/>
      <x:c r="AT216" s="139" t="n"/>
      <x:c r="AU216" s="139" t="n"/>
      <x:c r="AV216" s="139" t="n"/>
      <x:c r="AW216" s="139" t="n"/>
      <x:c r="AX216" s="139" t="n"/>
      <x:c r="AY216" s="139" t="n"/>
      <x:c r="AZ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c r="V217" s="139" t="n"/>
      <x:c r="W217" s="139" t="n"/>
      <x:c r="X217" s="139" t="n"/>
      <x:c r="Y217" s="139" t="n"/>
      <x:c r="Z217" s="139" t="n"/>
      <x:c r="AA217" s="139" t="n"/>
      <x:c r="AB217" s="139" t="n"/>
      <x:c r="AC217" s="139" t="n"/>
      <x:c r="AD217" s="139" t="n"/>
      <x:c r="AE217" s="139" t="n"/>
      <x:c r="AF217" s="139" t="n"/>
      <x:c r="AG217" s="139" t="n"/>
      <x:c r="AH217" s="139" t="n"/>
      <x:c r="AI217" s="139" t="n"/>
      <x:c r="AJ217" s="139" t="n"/>
      <x:c r="AK217" s="139" t="n"/>
      <x:c r="AL217" s="139" t="n"/>
      <x:c r="AM217" s="139" t="n"/>
      <x:c r="AN217" s="139" t="n"/>
      <x:c r="AO217" s="139" t="n"/>
      <x:c r="AP217" s="139" t="n"/>
      <x:c r="AQ217" s="139" t="n"/>
      <x:c r="AR217" s="139" t="n"/>
      <x:c r="AS217" s="139" t="n"/>
      <x:c r="AT217" s="139" t="n"/>
      <x:c r="AU217" s="139" t="n"/>
      <x:c r="AV217" s="139" t="n"/>
      <x:c r="AW217" s="139" t="n"/>
      <x:c r="AX217" s="139" t="n"/>
      <x:c r="AY217" s="139" t="n"/>
      <x:c r="AZ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c r="V218" s="139" t="n"/>
      <x:c r="W218" s="139" t="n"/>
      <x:c r="X218" s="139" t="n"/>
      <x:c r="Y218" s="139" t="n"/>
      <x:c r="Z218" s="139" t="n"/>
      <x:c r="AA218" s="139" t="n"/>
      <x:c r="AB218" s="139" t="n"/>
      <x:c r="AC218" s="139" t="n"/>
      <x:c r="AD218" s="139" t="n"/>
      <x:c r="AE218" s="139" t="n"/>
      <x:c r="AF218" s="139" t="n"/>
      <x:c r="AG218" s="139" t="n"/>
      <x:c r="AH218" s="139" t="n"/>
      <x:c r="AI218" s="139" t="n"/>
      <x:c r="AJ218" s="139" t="n"/>
      <x:c r="AK218" s="139" t="n"/>
      <x:c r="AL218" s="139" t="n"/>
      <x:c r="AM218" s="139" t="n"/>
      <x:c r="AN218" s="139" t="n"/>
      <x:c r="AO218" s="139" t="n"/>
      <x:c r="AP218" s="139" t="n"/>
      <x:c r="AQ218" s="139" t="n"/>
      <x:c r="AR218" s="139" t="n"/>
      <x:c r="AS218" s="139" t="n"/>
      <x:c r="AT218" s="139" t="n"/>
      <x:c r="AU218" s="139" t="n"/>
      <x:c r="AV218" s="139" t="n"/>
      <x:c r="AW218" s="139" t="n"/>
      <x:c r="AX218" s="139" t="n"/>
      <x:c r="AY218" s="139" t="n"/>
      <x:c r="AZ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c r="V219" s="139" t="n"/>
      <x:c r="W219" s="139" t="n"/>
      <x:c r="X219" s="139" t="n"/>
      <x:c r="Y219" s="139" t="n"/>
      <x:c r="Z219" s="139" t="n"/>
      <x:c r="AA219" s="139" t="n"/>
      <x:c r="AB219" s="139" t="n"/>
      <x:c r="AC219" s="139" t="n"/>
      <x:c r="AD219" s="139" t="n"/>
      <x:c r="AE219" s="139" t="n"/>
      <x:c r="AF219" s="139" t="n"/>
      <x:c r="AG219" s="139" t="n"/>
      <x:c r="AH219" s="139" t="n"/>
      <x:c r="AI219" s="139" t="n"/>
      <x:c r="AJ219" s="139" t="n"/>
      <x:c r="AK219" s="139" t="n"/>
      <x:c r="AL219" s="139" t="n"/>
      <x:c r="AM219" s="139" t="n"/>
      <x:c r="AN219" s="139" t="n"/>
      <x:c r="AO219" s="139" t="n"/>
      <x:c r="AP219" s="139" t="n"/>
      <x:c r="AQ219" s="139" t="n"/>
      <x:c r="AR219" s="139" t="n"/>
      <x:c r="AS219" s="139" t="n"/>
      <x:c r="AT219" s="139" t="n"/>
      <x:c r="AU219" s="139" t="n"/>
      <x:c r="AV219" s="139" t="n"/>
      <x:c r="AW219" s="139" t="n"/>
      <x:c r="AX219" s="139" t="n"/>
      <x:c r="AY219" s="139" t="n"/>
      <x:c r="AZ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c r="V220" s="139" t="n"/>
      <x:c r="W220" s="139" t="n"/>
      <x:c r="X220" s="139" t="n"/>
      <x:c r="Y220" s="139" t="n"/>
      <x:c r="Z220" s="139" t="n"/>
      <x:c r="AA220" s="139" t="n"/>
      <x:c r="AB220" s="139" t="n"/>
      <x:c r="AC220" s="139" t="n"/>
      <x:c r="AD220" s="139" t="n"/>
      <x:c r="AE220" s="139" t="n"/>
      <x:c r="AF220" s="139" t="n"/>
      <x:c r="AG220" s="139" t="n"/>
      <x:c r="AH220" s="139" t="n"/>
      <x:c r="AI220" s="139" t="n"/>
      <x:c r="AJ220" s="139" t="n"/>
      <x:c r="AK220" s="139" t="n"/>
      <x:c r="AL220" s="139" t="n"/>
      <x:c r="AM220" s="139" t="n"/>
      <x:c r="AN220" s="139" t="n"/>
      <x:c r="AO220" s="139" t="n"/>
      <x:c r="AP220" s="139" t="n"/>
      <x:c r="AQ220" s="139" t="n"/>
      <x:c r="AR220" s="139" t="n"/>
      <x:c r="AS220" s="139" t="n"/>
      <x:c r="AT220" s="139" t="n"/>
      <x:c r="AU220" s="139" t="n"/>
      <x:c r="AV220" s="139" t="n"/>
      <x:c r="AW220" s="139" t="n"/>
      <x:c r="AX220" s="139" t="n"/>
      <x:c r="AY220" s="139" t="n"/>
      <x:c r="AZ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c r="V221" s="139" t="n"/>
      <x:c r="W221" s="139" t="n"/>
      <x:c r="X221" s="139" t="n"/>
      <x:c r="Y221" s="139" t="n"/>
      <x:c r="Z221" s="139" t="n"/>
      <x:c r="AA221" s="139" t="n"/>
      <x:c r="AB221" s="139" t="n"/>
      <x:c r="AC221" s="139" t="n"/>
      <x:c r="AD221" s="139" t="n"/>
      <x:c r="AE221" s="139" t="n"/>
      <x:c r="AF221" s="139" t="n"/>
      <x:c r="AG221" s="139" t="n"/>
      <x:c r="AH221" s="139" t="n"/>
      <x:c r="AI221" s="139" t="n"/>
      <x:c r="AJ221" s="139" t="n"/>
      <x:c r="AK221" s="139" t="n"/>
      <x:c r="AL221" s="139" t="n"/>
      <x:c r="AM221" s="139" t="n"/>
      <x:c r="AN221" s="139" t="n"/>
      <x:c r="AO221" s="139" t="n"/>
      <x:c r="AP221" s="139" t="n"/>
      <x:c r="AQ221" s="139" t="n"/>
      <x:c r="AR221" s="139" t="n"/>
      <x:c r="AS221" s="139" t="n"/>
      <x:c r="AT221" s="139" t="n"/>
      <x:c r="AU221" s="139" t="n"/>
      <x:c r="AV221" s="139" t="n"/>
      <x:c r="AW221" s="139" t="n"/>
      <x:c r="AX221" s="139" t="n"/>
      <x:c r="AY221" s="139" t="n"/>
      <x:c r="AZ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c r="V222" s="139" t="n"/>
      <x:c r="W222" s="139" t="n"/>
      <x:c r="X222" s="139" t="n"/>
      <x:c r="Y222" s="139" t="n"/>
      <x:c r="Z222" s="139" t="n"/>
      <x:c r="AA222" s="139" t="n"/>
      <x:c r="AB222" s="139" t="n"/>
      <x:c r="AC222" s="139" t="n"/>
      <x:c r="AD222" s="139" t="n"/>
      <x:c r="AE222" s="139" t="n"/>
      <x:c r="AF222" s="139" t="n"/>
      <x:c r="AG222" s="139" t="n"/>
      <x:c r="AH222" s="139" t="n"/>
      <x:c r="AI222" s="139" t="n"/>
      <x:c r="AJ222" s="139" t="n"/>
      <x:c r="AK222" s="139" t="n"/>
      <x:c r="AL222" s="139" t="n"/>
      <x:c r="AM222" s="139" t="n"/>
      <x:c r="AN222" s="139" t="n"/>
      <x:c r="AO222" s="139" t="n"/>
      <x:c r="AP222" s="139" t="n"/>
      <x:c r="AQ222" s="139" t="n"/>
      <x:c r="AR222" s="139" t="n"/>
      <x:c r="AS222" s="139" t="n"/>
      <x:c r="AT222" s="139" t="n"/>
      <x:c r="AU222" s="139" t="n"/>
      <x:c r="AV222" s="139" t="n"/>
      <x:c r="AW222" s="139" t="n"/>
      <x:c r="AX222" s="139" t="n"/>
      <x:c r="AY222" s="139" t="n"/>
      <x:c r="AZ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c r="V223" s="139" t="n"/>
      <x:c r="W223" s="139" t="n"/>
      <x:c r="X223" s="139" t="n"/>
      <x:c r="Y223" s="139" t="n"/>
      <x:c r="Z223" s="139" t="n"/>
      <x:c r="AA223" s="139" t="n"/>
      <x:c r="AB223" s="139" t="n"/>
      <x:c r="AC223" s="139" t="n"/>
      <x:c r="AD223" s="139" t="n"/>
      <x:c r="AE223" s="139" t="n"/>
      <x:c r="AF223" s="139" t="n"/>
      <x:c r="AG223" s="139" t="n"/>
      <x:c r="AH223" s="139" t="n"/>
      <x:c r="AI223" s="139" t="n"/>
      <x:c r="AJ223" s="139" t="n"/>
      <x:c r="AK223" s="139" t="n"/>
      <x:c r="AL223" s="139" t="n"/>
      <x:c r="AM223" s="139" t="n"/>
      <x:c r="AN223" s="139" t="n"/>
      <x:c r="AO223" s="139" t="n"/>
      <x:c r="AP223" s="139" t="n"/>
      <x:c r="AQ223" s="139" t="n"/>
      <x:c r="AR223" s="139" t="n"/>
      <x:c r="AS223" s="139" t="n"/>
      <x:c r="AT223" s="139" t="n"/>
      <x:c r="AU223" s="139" t="n"/>
      <x:c r="AV223" s="139" t="n"/>
      <x:c r="AW223" s="139" t="n"/>
      <x:c r="AX223" s="139" t="n"/>
      <x:c r="AY223" s="139" t="n"/>
      <x:c r="AZ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c r="V224" s="139" t="n"/>
      <x:c r="W224" s="139" t="n"/>
      <x:c r="X224" s="139" t="n"/>
      <x:c r="Y224" s="139" t="n"/>
      <x:c r="Z224" s="139" t="n"/>
      <x:c r="AA224" s="139" t="n"/>
      <x:c r="AB224" s="139" t="n"/>
      <x:c r="AC224" s="139" t="n"/>
      <x:c r="AD224" s="139" t="n"/>
      <x:c r="AE224" s="139" t="n"/>
      <x:c r="AF224" s="139" t="n"/>
      <x:c r="AG224" s="139" t="n"/>
      <x:c r="AH224" s="139" t="n"/>
      <x:c r="AI224" s="139" t="n"/>
      <x:c r="AJ224" s="139" t="n"/>
      <x:c r="AK224" s="139" t="n"/>
      <x:c r="AL224" s="139" t="n"/>
      <x:c r="AM224" s="139" t="n"/>
      <x:c r="AN224" s="139" t="n"/>
      <x:c r="AO224" s="139" t="n"/>
      <x:c r="AP224" s="139" t="n"/>
      <x:c r="AQ224" s="139" t="n"/>
      <x:c r="AR224" s="139" t="n"/>
      <x:c r="AS224" s="139" t="n"/>
      <x:c r="AT224" s="139" t="n"/>
      <x:c r="AU224" s="139" t="n"/>
      <x:c r="AV224" s="139" t="n"/>
      <x:c r="AW224" s="139" t="n"/>
      <x:c r="AX224" s="139" t="n"/>
      <x:c r="AY224" s="139" t="n"/>
      <x:c r="AZ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c r="V225" s="139" t="n"/>
      <x:c r="W225" s="139" t="n"/>
      <x:c r="X225" s="139" t="n"/>
      <x:c r="Y225" s="139" t="n"/>
      <x:c r="Z225" s="139" t="n"/>
      <x:c r="AA225" s="139" t="n"/>
      <x:c r="AB225" s="139" t="n"/>
      <x:c r="AC225" s="139" t="n"/>
      <x:c r="AD225" s="139" t="n"/>
      <x:c r="AE225" s="139" t="n"/>
      <x:c r="AF225" s="139" t="n"/>
      <x:c r="AG225" s="139" t="n"/>
      <x:c r="AH225" s="139" t="n"/>
      <x:c r="AI225" s="139" t="n"/>
      <x:c r="AJ225" s="139" t="n"/>
      <x:c r="AK225" s="139" t="n"/>
      <x:c r="AL225" s="139" t="n"/>
      <x:c r="AM225" s="139" t="n"/>
      <x:c r="AN225" s="139" t="n"/>
      <x:c r="AO225" s="139" t="n"/>
      <x:c r="AP225" s="139" t="n"/>
      <x:c r="AQ225" s="139" t="n"/>
      <x:c r="AR225" s="139" t="n"/>
      <x:c r="AS225" s="139" t="n"/>
      <x:c r="AT225" s="139" t="n"/>
      <x:c r="AU225" s="139" t="n"/>
      <x:c r="AV225" s="139" t="n"/>
      <x:c r="AW225" s="139" t="n"/>
      <x:c r="AX225" s="139" t="n"/>
      <x:c r="AY225" s="139" t="n"/>
      <x:c r="AZ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c r="V226" s="139" t="n"/>
      <x:c r="W226" s="139" t="n"/>
      <x:c r="X226" s="139" t="n"/>
      <x:c r="Y226" s="139" t="n"/>
      <x:c r="Z226" s="139" t="n"/>
      <x:c r="AA226" s="139" t="n"/>
      <x:c r="AB226" s="139" t="n"/>
      <x:c r="AC226" s="139" t="n"/>
      <x:c r="AD226" s="139" t="n"/>
      <x:c r="AE226" s="139" t="n"/>
      <x:c r="AF226" s="139" t="n"/>
      <x:c r="AG226" s="139" t="n"/>
      <x:c r="AH226" s="139" t="n"/>
      <x:c r="AI226" s="139" t="n"/>
      <x:c r="AJ226" s="139" t="n"/>
      <x:c r="AK226" s="139" t="n"/>
      <x:c r="AL226" s="139" t="n"/>
      <x:c r="AM226" s="139" t="n"/>
      <x:c r="AN226" s="139" t="n"/>
      <x:c r="AO226" s="139" t="n"/>
      <x:c r="AP226" s="139" t="n"/>
      <x:c r="AQ226" s="139" t="n"/>
      <x:c r="AR226" s="139" t="n"/>
      <x:c r="AS226" s="139" t="n"/>
      <x:c r="AT226" s="139" t="n"/>
      <x:c r="AU226" s="139" t="n"/>
      <x:c r="AV226" s="139" t="n"/>
      <x:c r="AW226" s="139" t="n"/>
      <x:c r="AX226" s="139" t="n"/>
      <x:c r="AY226" s="139" t="n"/>
      <x:c r="AZ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c r="V227" s="139" t="n"/>
      <x:c r="W227" s="139" t="n"/>
      <x:c r="X227" s="139" t="n"/>
      <x:c r="Y227" s="139" t="n"/>
      <x:c r="Z227" s="139" t="n"/>
      <x:c r="AA227" s="139" t="n"/>
      <x:c r="AB227" s="139" t="n"/>
      <x:c r="AC227" s="139" t="n"/>
      <x:c r="AD227" s="139" t="n"/>
      <x:c r="AE227" s="139" t="n"/>
      <x:c r="AF227" s="139" t="n"/>
      <x:c r="AG227" s="139" t="n"/>
      <x:c r="AH227" s="139" t="n"/>
      <x:c r="AI227" s="139" t="n"/>
      <x:c r="AJ227" s="139" t="n"/>
      <x:c r="AK227" s="139" t="n"/>
      <x:c r="AL227" s="139" t="n"/>
      <x:c r="AM227" s="139" t="n"/>
      <x:c r="AN227" s="139" t="n"/>
      <x:c r="AO227" s="139" t="n"/>
      <x:c r="AP227" s="139" t="n"/>
      <x:c r="AQ227" s="139" t="n"/>
      <x:c r="AR227" s="139" t="n"/>
      <x:c r="AS227" s="139" t="n"/>
      <x:c r="AT227" s="139" t="n"/>
      <x:c r="AU227" s="139" t="n"/>
      <x:c r="AV227" s="139" t="n"/>
      <x:c r="AW227" s="139" t="n"/>
      <x:c r="AX227" s="139" t="n"/>
      <x:c r="AY227" s="139" t="n"/>
      <x:c r="AZ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c r="V228" s="139" t="n"/>
      <x:c r="W228" s="139" t="n"/>
      <x:c r="X228" s="139" t="n"/>
      <x:c r="Y228" s="139" t="n"/>
      <x:c r="Z228" s="139" t="n"/>
      <x:c r="AA228" s="139" t="n"/>
      <x:c r="AB228" s="139" t="n"/>
      <x:c r="AC228" s="139" t="n"/>
      <x:c r="AD228" s="139" t="n"/>
      <x:c r="AE228" s="139" t="n"/>
      <x:c r="AF228" s="139" t="n"/>
      <x:c r="AG228" s="139" t="n"/>
      <x:c r="AH228" s="139" t="n"/>
      <x:c r="AI228" s="139" t="n"/>
      <x:c r="AJ228" s="139" t="n"/>
      <x:c r="AK228" s="139" t="n"/>
      <x:c r="AL228" s="139" t="n"/>
      <x:c r="AM228" s="139" t="n"/>
      <x:c r="AN228" s="139" t="n"/>
      <x:c r="AO228" s="139" t="n"/>
      <x:c r="AP228" s="139" t="n"/>
      <x:c r="AQ228" s="139" t="n"/>
      <x:c r="AR228" s="139" t="n"/>
      <x:c r="AS228" s="139" t="n"/>
      <x:c r="AT228" s="139" t="n"/>
      <x:c r="AU228" s="139" t="n"/>
      <x:c r="AV228" s="139" t="n"/>
      <x:c r="AW228" s="139" t="n"/>
      <x:c r="AX228" s="139" t="n"/>
      <x:c r="AY228" s="139" t="n"/>
      <x:c r="AZ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c r="V229" s="139" t="n"/>
      <x:c r="W229" s="139" t="n"/>
      <x:c r="X229" s="139" t="n"/>
      <x:c r="Y229" s="139" t="n"/>
      <x:c r="Z229" s="139" t="n"/>
      <x:c r="AA229" s="139" t="n"/>
      <x:c r="AB229" s="139" t="n"/>
      <x:c r="AC229" s="139" t="n"/>
      <x:c r="AD229" s="139" t="n"/>
      <x:c r="AE229" s="139" t="n"/>
      <x:c r="AF229" s="139" t="n"/>
      <x:c r="AG229" s="139" t="n"/>
      <x:c r="AH229" s="139" t="n"/>
      <x:c r="AI229" s="139" t="n"/>
      <x:c r="AJ229" s="139" t="n"/>
      <x:c r="AK229" s="139" t="n"/>
      <x:c r="AL229" s="139" t="n"/>
      <x:c r="AM229" s="139" t="n"/>
      <x:c r="AN229" s="139" t="n"/>
      <x:c r="AO229" s="139" t="n"/>
      <x:c r="AP229" s="139" t="n"/>
      <x:c r="AQ229" s="139" t="n"/>
      <x:c r="AR229" s="139" t="n"/>
      <x:c r="AS229" s="139" t="n"/>
      <x:c r="AT229" s="139" t="n"/>
      <x:c r="AU229" s="139" t="n"/>
      <x:c r="AV229" s="139" t="n"/>
      <x:c r="AW229" s="139" t="n"/>
      <x:c r="AX229" s="139" t="n"/>
      <x:c r="AY229" s="139" t="n"/>
      <x:c r="AZ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c r="V230" s="139" t="n"/>
      <x:c r="W230" s="139" t="n"/>
      <x:c r="X230" s="139" t="n"/>
      <x:c r="Y230" s="139" t="n"/>
      <x:c r="Z230" s="139" t="n"/>
      <x:c r="AA230" s="139" t="n"/>
      <x:c r="AB230" s="139" t="n"/>
      <x:c r="AC230" s="139" t="n"/>
      <x:c r="AD230" s="139" t="n"/>
      <x:c r="AE230" s="139" t="n"/>
      <x:c r="AF230" s="139" t="n"/>
      <x:c r="AG230" s="139" t="n"/>
      <x:c r="AH230" s="139" t="n"/>
      <x:c r="AI230" s="139" t="n"/>
      <x:c r="AJ230" s="139" t="n"/>
      <x:c r="AK230" s="139" t="n"/>
      <x:c r="AL230" s="139" t="n"/>
      <x:c r="AM230" s="139" t="n"/>
      <x:c r="AN230" s="139" t="n"/>
      <x:c r="AO230" s="139" t="n"/>
      <x:c r="AP230" s="139" t="n"/>
      <x:c r="AQ230" s="139" t="n"/>
      <x:c r="AR230" s="139" t="n"/>
      <x:c r="AS230" s="139" t="n"/>
      <x:c r="AT230" s="139" t="n"/>
      <x:c r="AU230" s="139" t="n"/>
      <x:c r="AV230" s="139" t="n"/>
      <x:c r="AW230" s="139" t="n"/>
      <x:c r="AX230" s="139" t="n"/>
      <x:c r="AY230" s="139" t="n"/>
      <x:c r="AZ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c r="V231" s="139" t="n"/>
      <x:c r="W231" s="139" t="n"/>
      <x:c r="X231" s="139" t="n"/>
      <x:c r="Y231" s="139" t="n"/>
      <x:c r="Z231" s="139" t="n"/>
      <x:c r="AA231" s="139" t="n"/>
      <x:c r="AB231" s="139" t="n"/>
      <x:c r="AC231" s="139" t="n"/>
      <x:c r="AD231" s="139" t="n"/>
      <x:c r="AE231" s="139" t="n"/>
      <x:c r="AF231" s="139" t="n"/>
      <x:c r="AG231" s="139" t="n"/>
      <x:c r="AH231" s="139" t="n"/>
      <x:c r="AI231" s="139" t="n"/>
      <x:c r="AJ231" s="139" t="n"/>
      <x:c r="AK231" s="139" t="n"/>
      <x:c r="AL231" s="139" t="n"/>
      <x:c r="AM231" s="139" t="n"/>
      <x:c r="AN231" s="139" t="n"/>
      <x:c r="AO231" s="139" t="n"/>
      <x:c r="AP231" s="139" t="n"/>
      <x:c r="AQ231" s="139" t="n"/>
      <x:c r="AR231" s="139" t="n"/>
      <x:c r="AS231" s="139" t="n"/>
      <x:c r="AT231" s="139" t="n"/>
      <x:c r="AU231" s="139" t="n"/>
      <x:c r="AV231" s="139" t="n"/>
      <x:c r="AW231" s="139" t="n"/>
      <x:c r="AX231" s="139" t="n"/>
      <x:c r="AY231" s="139" t="n"/>
      <x:c r="AZ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c r="V232" s="139" t="n"/>
      <x:c r="W232" s="139" t="n"/>
      <x:c r="X232" s="139" t="n"/>
      <x:c r="Y232" s="139" t="n"/>
      <x:c r="Z232" s="139" t="n"/>
      <x:c r="AA232" s="139" t="n"/>
      <x:c r="AB232" s="139" t="n"/>
      <x:c r="AC232" s="139" t="n"/>
      <x:c r="AD232" s="139" t="n"/>
      <x:c r="AE232" s="139" t="n"/>
      <x:c r="AF232" s="139" t="n"/>
      <x:c r="AG232" s="139" t="n"/>
      <x:c r="AH232" s="139" t="n"/>
      <x:c r="AI232" s="139" t="n"/>
      <x:c r="AJ232" s="139" t="n"/>
      <x:c r="AK232" s="139" t="n"/>
      <x:c r="AL232" s="139" t="n"/>
      <x:c r="AM232" s="139" t="n"/>
      <x:c r="AN232" s="139" t="n"/>
      <x:c r="AO232" s="139" t="n"/>
      <x:c r="AP232" s="139" t="n"/>
      <x:c r="AQ232" s="139" t="n"/>
      <x:c r="AR232" s="139" t="n"/>
      <x:c r="AS232" s="139" t="n"/>
      <x:c r="AT232" s="139" t="n"/>
      <x:c r="AU232" s="139" t="n"/>
      <x:c r="AV232" s="139" t="n"/>
      <x:c r="AW232" s="139" t="n"/>
      <x:c r="AX232" s="139" t="n"/>
      <x:c r="AY232" s="139" t="n"/>
      <x:c r="AZ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c r="V233" s="139" t="n"/>
      <x:c r="W233" s="139" t="n"/>
      <x:c r="X233" s="139" t="n"/>
      <x:c r="Y233" s="139" t="n"/>
      <x:c r="Z233" s="139" t="n"/>
      <x:c r="AA233" s="139" t="n"/>
      <x:c r="AB233" s="139" t="n"/>
      <x:c r="AC233" s="139" t="n"/>
      <x:c r="AD233" s="139" t="n"/>
      <x:c r="AE233" s="139" t="n"/>
      <x:c r="AF233" s="139" t="n"/>
      <x:c r="AG233" s="139" t="n"/>
      <x:c r="AH233" s="139" t="n"/>
      <x:c r="AI233" s="139" t="n"/>
      <x:c r="AJ233" s="139" t="n"/>
      <x:c r="AK233" s="139" t="n"/>
      <x:c r="AL233" s="139" t="n"/>
      <x:c r="AM233" s="139" t="n"/>
      <x:c r="AN233" s="139" t="n"/>
      <x:c r="AO233" s="139" t="n"/>
      <x:c r="AP233" s="139" t="n"/>
      <x:c r="AQ233" s="139" t="n"/>
      <x:c r="AR233" s="139" t="n"/>
      <x:c r="AS233" s="139" t="n"/>
      <x:c r="AT233" s="139" t="n"/>
      <x:c r="AU233" s="139" t="n"/>
      <x:c r="AV233" s="139" t="n"/>
      <x:c r="AW233" s="139" t="n"/>
      <x:c r="AX233" s="139" t="n"/>
      <x:c r="AY233" s="139" t="n"/>
      <x:c r="AZ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c r="V234" s="139" t="n"/>
      <x:c r="W234" s="139" t="n"/>
      <x:c r="X234" s="139" t="n"/>
      <x:c r="Y234" s="139" t="n"/>
      <x:c r="Z234" s="139" t="n"/>
      <x:c r="AA234" s="139" t="n"/>
      <x:c r="AB234" s="139" t="n"/>
      <x:c r="AC234" s="139" t="n"/>
      <x:c r="AD234" s="139" t="n"/>
      <x:c r="AE234" s="139" t="n"/>
      <x:c r="AF234" s="139" t="n"/>
      <x:c r="AG234" s="139" t="n"/>
      <x:c r="AH234" s="139" t="n"/>
      <x:c r="AI234" s="139" t="n"/>
      <x:c r="AJ234" s="139" t="n"/>
      <x:c r="AK234" s="139" t="n"/>
      <x:c r="AL234" s="139" t="n"/>
      <x:c r="AM234" s="139" t="n"/>
      <x:c r="AN234" s="139" t="n"/>
      <x:c r="AO234" s="139" t="n"/>
      <x:c r="AP234" s="139" t="n"/>
      <x:c r="AQ234" s="139" t="n"/>
      <x:c r="AR234" s="139" t="n"/>
      <x:c r="AS234" s="139" t="n"/>
      <x:c r="AT234" s="139" t="n"/>
      <x:c r="AU234" s="139" t="n"/>
      <x:c r="AV234" s="139" t="n"/>
      <x:c r="AW234" s="139" t="n"/>
      <x:c r="AX234" s="139" t="n"/>
      <x:c r="AY234" s="139" t="n"/>
      <x:c r="AZ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c r="V235" s="139" t="n"/>
      <x:c r="W235" s="139" t="n"/>
      <x:c r="X235" s="139" t="n"/>
      <x:c r="Y235" s="139" t="n"/>
      <x:c r="Z235" s="139" t="n"/>
      <x:c r="AA235" s="139" t="n"/>
      <x:c r="AB235" s="139" t="n"/>
      <x:c r="AC235" s="139" t="n"/>
      <x:c r="AD235" s="139" t="n"/>
      <x:c r="AE235" s="139" t="n"/>
      <x:c r="AF235" s="139" t="n"/>
      <x:c r="AG235" s="139" t="n"/>
      <x:c r="AH235" s="139" t="n"/>
      <x:c r="AI235" s="139" t="n"/>
      <x:c r="AJ235" s="139" t="n"/>
      <x:c r="AK235" s="139" t="n"/>
      <x:c r="AL235" s="139" t="n"/>
      <x:c r="AM235" s="139" t="n"/>
      <x:c r="AN235" s="139" t="n"/>
      <x:c r="AO235" s="139" t="n"/>
      <x:c r="AP235" s="139" t="n"/>
      <x:c r="AQ235" s="139" t="n"/>
      <x:c r="AR235" s="139" t="n"/>
      <x:c r="AS235" s="139" t="n"/>
      <x:c r="AT235" s="139" t="n"/>
      <x:c r="AU235" s="139" t="n"/>
      <x:c r="AV235" s="139" t="n"/>
      <x:c r="AW235" s="139" t="n"/>
      <x:c r="AX235" s="139" t="n"/>
      <x:c r="AY235" s="139" t="n"/>
      <x:c r="AZ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c r="V236" s="139" t="n"/>
      <x:c r="W236" s="139" t="n"/>
      <x:c r="X236" s="139" t="n"/>
      <x:c r="Y236" s="139" t="n"/>
      <x:c r="Z236" s="139" t="n"/>
      <x:c r="AA236" s="139" t="n"/>
      <x:c r="AB236" s="139" t="n"/>
      <x:c r="AC236" s="139" t="n"/>
      <x:c r="AD236" s="139" t="n"/>
      <x:c r="AE236" s="139" t="n"/>
      <x:c r="AF236" s="139" t="n"/>
      <x:c r="AG236" s="139" t="n"/>
      <x:c r="AH236" s="139" t="n"/>
      <x:c r="AI236" s="139" t="n"/>
      <x:c r="AJ236" s="139" t="n"/>
      <x:c r="AK236" s="139" t="n"/>
      <x:c r="AL236" s="139" t="n"/>
      <x:c r="AM236" s="139" t="n"/>
      <x:c r="AN236" s="139" t="n"/>
      <x:c r="AO236" s="139" t="n"/>
      <x:c r="AP236" s="139" t="n"/>
      <x:c r="AQ236" s="139" t="n"/>
      <x:c r="AR236" s="139" t="n"/>
      <x:c r="AS236" s="139" t="n"/>
      <x:c r="AT236" s="139" t="n"/>
      <x:c r="AU236" s="139" t="n"/>
      <x:c r="AV236" s="139" t="n"/>
      <x:c r="AW236" s="139" t="n"/>
      <x:c r="AX236" s="139" t="n"/>
      <x:c r="AY236" s="139" t="n"/>
      <x:c r="AZ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c r="V237" s="139" t="n"/>
      <x:c r="W237" s="139" t="n"/>
      <x:c r="X237" s="139" t="n"/>
      <x:c r="Y237" s="139" t="n"/>
      <x:c r="Z237" s="139" t="n"/>
      <x:c r="AA237" s="139" t="n"/>
      <x:c r="AB237" s="139" t="n"/>
      <x:c r="AC237" s="139" t="n"/>
      <x:c r="AD237" s="139" t="n"/>
      <x:c r="AE237" s="139" t="n"/>
      <x:c r="AF237" s="139" t="n"/>
      <x:c r="AG237" s="139" t="n"/>
      <x:c r="AH237" s="139" t="n"/>
      <x:c r="AI237" s="139" t="n"/>
      <x:c r="AJ237" s="139" t="n"/>
      <x:c r="AK237" s="139" t="n"/>
      <x:c r="AL237" s="139" t="n"/>
      <x:c r="AM237" s="139" t="n"/>
      <x:c r="AN237" s="139" t="n"/>
      <x:c r="AO237" s="139" t="n"/>
      <x:c r="AP237" s="139" t="n"/>
      <x:c r="AQ237" s="139" t="n"/>
      <x:c r="AR237" s="139" t="n"/>
      <x:c r="AS237" s="139" t="n"/>
      <x:c r="AT237" s="139" t="n"/>
      <x:c r="AU237" s="139" t="n"/>
      <x:c r="AV237" s="139" t="n"/>
      <x:c r="AW237" s="139" t="n"/>
      <x:c r="AX237" s="139" t="n"/>
      <x:c r="AY237" s="139" t="n"/>
      <x:c r="AZ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c r="V238" s="139" t="n"/>
      <x:c r="W238" s="139" t="n"/>
      <x:c r="X238" s="139" t="n"/>
      <x:c r="Y238" s="139" t="n"/>
      <x:c r="Z238" s="139" t="n"/>
      <x:c r="AA238" s="139" t="n"/>
      <x:c r="AB238" s="139" t="n"/>
      <x:c r="AC238" s="139" t="n"/>
      <x:c r="AD238" s="139" t="n"/>
      <x:c r="AE238" s="139" t="n"/>
      <x:c r="AF238" s="139" t="n"/>
      <x:c r="AG238" s="139" t="n"/>
      <x:c r="AH238" s="139" t="n"/>
      <x:c r="AI238" s="139" t="n"/>
      <x:c r="AJ238" s="139" t="n"/>
      <x:c r="AK238" s="139" t="n"/>
      <x:c r="AL238" s="139" t="n"/>
      <x:c r="AM238" s="139" t="n"/>
      <x:c r="AN238" s="139" t="n"/>
      <x:c r="AO238" s="139" t="n"/>
      <x:c r="AP238" s="139" t="n"/>
      <x:c r="AQ238" s="139" t="n"/>
      <x:c r="AR238" s="139" t="n"/>
      <x:c r="AS238" s="139" t="n"/>
      <x:c r="AT238" s="139" t="n"/>
      <x:c r="AU238" s="139" t="n"/>
      <x:c r="AV238" s="139" t="n"/>
      <x:c r="AW238" s="139" t="n"/>
      <x:c r="AX238" s="139" t="n"/>
      <x:c r="AY238" s="139" t="n"/>
      <x:c r="AZ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c r="V239" s="139" t="n"/>
      <x:c r="W239" s="139" t="n"/>
      <x:c r="X239" s="139" t="n"/>
      <x:c r="Y239" s="139" t="n"/>
      <x:c r="Z239" s="139" t="n"/>
      <x:c r="AA239" s="139" t="n"/>
      <x:c r="AB239" s="139" t="n"/>
      <x:c r="AC239" s="139" t="n"/>
      <x:c r="AD239" s="139" t="n"/>
      <x:c r="AE239" s="139" t="n"/>
      <x:c r="AF239" s="139" t="n"/>
      <x:c r="AG239" s="139" t="n"/>
      <x:c r="AH239" s="139" t="n"/>
      <x:c r="AI239" s="139" t="n"/>
      <x:c r="AJ239" s="139" t="n"/>
      <x:c r="AK239" s="139" t="n"/>
      <x:c r="AL239" s="139" t="n"/>
      <x:c r="AM239" s="139" t="n"/>
      <x:c r="AN239" s="139" t="n"/>
      <x:c r="AO239" s="139" t="n"/>
      <x:c r="AP239" s="139" t="n"/>
      <x:c r="AQ239" s="139" t="n"/>
      <x:c r="AR239" s="139" t="n"/>
      <x:c r="AS239" s="139" t="n"/>
      <x:c r="AT239" s="139" t="n"/>
      <x:c r="AU239" s="139" t="n"/>
      <x:c r="AV239" s="139" t="n"/>
      <x:c r="AW239" s="139" t="n"/>
      <x:c r="AX239" s="139" t="n"/>
      <x:c r="AY239" s="139" t="n"/>
      <x:c r="AZ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c r="V240" s="139" t="n"/>
      <x:c r="W240" s="139" t="n"/>
      <x:c r="X240" s="139" t="n"/>
      <x:c r="Y240" s="139" t="n"/>
      <x:c r="Z240" s="139" t="n"/>
      <x:c r="AA240" s="139" t="n"/>
      <x:c r="AB240" s="139" t="n"/>
      <x:c r="AC240" s="139" t="n"/>
      <x:c r="AD240" s="139" t="n"/>
      <x:c r="AE240" s="139" t="n"/>
      <x:c r="AF240" s="139" t="n"/>
      <x:c r="AG240" s="139" t="n"/>
      <x:c r="AH240" s="139" t="n"/>
      <x:c r="AI240" s="139" t="n"/>
      <x:c r="AJ240" s="139" t="n"/>
      <x:c r="AK240" s="139" t="n"/>
      <x:c r="AL240" s="139" t="n"/>
      <x:c r="AM240" s="139" t="n"/>
      <x:c r="AN240" s="139" t="n"/>
      <x:c r="AO240" s="139" t="n"/>
      <x:c r="AP240" s="139" t="n"/>
      <x:c r="AQ240" s="139" t="n"/>
      <x:c r="AR240" s="139" t="n"/>
      <x:c r="AS240" s="139" t="n"/>
      <x:c r="AT240" s="139" t="n"/>
      <x:c r="AU240" s="139" t="n"/>
      <x:c r="AV240" s="139" t="n"/>
      <x:c r="AW240" s="139" t="n"/>
      <x:c r="AX240" s="139" t="n"/>
      <x:c r="AY240" s="139" t="n"/>
      <x:c r="AZ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c r="V241" s="139" t="n"/>
      <x:c r="W241" s="139" t="n"/>
      <x:c r="X241" s="139" t="n"/>
      <x:c r="Y241" s="139" t="n"/>
      <x:c r="Z241" s="139" t="n"/>
      <x:c r="AA241" s="139" t="n"/>
      <x:c r="AB241" s="139" t="n"/>
      <x:c r="AC241" s="139" t="n"/>
      <x:c r="AD241" s="139" t="n"/>
      <x:c r="AE241" s="139" t="n"/>
      <x:c r="AF241" s="139" t="n"/>
      <x:c r="AG241" s="139" t="n"/>
      <x:c r="AH241" s="139" t="n"/>
      <x:c r="AI241" s="139" t="n"/>
      <x:c r="AJ241" s="139" t="n"/>
      <x:c r="AK241" s="139" t="n"/>
      <x:c r="AL241" s="139" t="n"/>
      <x:c r="AM241" s="139" t="n"/>
      <x:c r="AN241" s="139" t="n"/>
      <x:c r="AO241" s="139" t="n"/>
      <x:c r="AP241" s="139" t="n"/>
      <x:c r="AQ241" s="139" t="n"/>
      <x:c r="AR241" s="139" t="n"/>
      <x:c r="AS241" s="139" t="n"/>
      <x:c r="AT241" s="139" t="n"/>
      <x:c r="AU241" s="139" t="n"/>
      <x:c r="AV241" s="139" t="n"/>
      <x:c r="AW241" s="139" t="n"/>
      <x:c r="AX241" s="139" t="n"/>
      <x:c r="AY241" s="139" t="n"/>
      <x:c r="AZ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c r="V242" s="139" t="n"/>
      <x:c r="W242" s="139" t="n"/>
      <x:c r="X242" s="139" t="n"/>
      <x:c r="Y242" s="139" t="n"/>
      <x:c r="Z242" s="139" t="n"/>
      <x:c r="AA242" s="139" t="n"/>
      <x:c r="AB242" s="139" t="n"/>
      <x:c r="AC242" s="139" t="n"/>
      <x:c r="AD242" s="139" t="n"/>
      <x:c r="AE242" s="139" t="n"/>
      <x:c r="AF242" s="139" t="n"/>
      <x:c r="AG242" s="139" t="n"/>
      <x:c r="AH242" s="139" t="n"/>
      <x:c r="AI242" s="139" t="n"/>
      <x:c r="AJ242" s="139" t="n"/>
      <x:c r="AK242" s="139" t="n"/>
      <x:c r="AL242" s="139" t="n"/>
      <x:c r="AM242" s="139" t="n"/>
      <x:c r="AN242" s="139" t="n"/>
      <x:c r="AO242" s="139" t="n"/>
      <x:c r="AP242" s="139" t="n"/>
      <x:c r="AQ242" s="139" t="n"/>
      <x:c r="AR242" s="139" t="n"/>
      <x:c r="AS242" s="139" t="n"/>
      <x:c r="AT242" s="139" t="n"/>
      <x:c r="AU242" s="139" t="n"/>
      <x:c r="AV242" s="139" t="n"/>
      <x:c r="AW242" s="139" t="n"/>
      <x:c r="AX242" s="139" t="n"/>
      <x:c r="AY242" s="139" t="n"/>
      <x:c r="AZ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c r="V243" s="139" t="n"/>
      <x:c r="W243" s="139" t="n"/>
      <x:c r="X243" s="139" t="n"/>
      <x:c r="Y243" s="139" t="n"/>
      <x:c r="Z243" s="139" t="n"/>
      <x:c r="AA243" s="139" t="n"/>
      <x:c r="AB243" s="139" t="n"/>
      <x:c r="AC243" s="139" t="n"/>
      <x:c r="AD243" s="139" t="n"/>
      <x:c r="AE243" s="139" t="n"/>
      <x:c r="AF243" s="139" t="n"/>
      <x:c r="AG243" s="139" t="n"/>
      <x:c r="AH243" s="139" t="n"/>
      <x:c r="AI243" s="139" t="n"/>
      <x:c r="AJ243" s="139" t="n"/>
      <x:c r="AK243" s="139" t="n"/>
      <x:c r="AL243" s="139" t="n"/>
      <x:c r="AM243" s="139" t="n"/>
      <x:c r="AN243" s="139" t="n"/>
      <x:c r="AO243" s="139" t="n"/>
      <x:c r="AP243" s="139" t="n"/>
      <x:c r="AQ243" s="139" t="n"/>
      <x:c r="AR243" s="139" t="n"/>
      <x:c r="AS243" s="139" t="n"/>
      <x:c r="AT243" s="139" t="n"/>
      <x:c r="AU243" s="139" t="n"/>
      <x:c r="AV243" s="139" t="n"/>
      <x:c r="AW243" s="139" t="n"/>
      <x:c r="AX243" s="139" t="n"/>
      <x:c r="AY243" s="139" t="n"/>
      <x:c r="AZ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c r="V244" s="139" t="n"/>
      <x:c r="W244" s="139" t="n"/>
      <x:c r="X244" s="139" t="n"/>
      <x:c r="Y244" s="139" t="n"/>
      <x:c r="Z244" s="139" t="n"/>
      <x:c r="AA244" s="139" t="n"/>
      <x:c r="AB244" s="139" t="n"/>
      <x:c r="AC244" s="139" t="n"/>
      <x:c r="AD244" s="139" t="n"/>
      <x:c r="AE244" s="139" t="n"/>
      <x:c r="AF244" s="139" t="n"/>
      <x:c r="AG244" s="139" t="n"/>
      <x:c r="AH244" s="139" t="n"/>
      <x:c r="AI244" s="139" t="n"/>
      <x:c r="AJ244" s="139" t="n"/>
      <x:c r="AK244" s="139" t="n"/>
      <x:c r="AL244" s="139" t="n"/>
      <x:c r="AM244" s="139" t="n"/>
      <x:c r="AN244" s="139" t="n"/>
      <x:c r="AO244" s="139" t="n"/>
      <x:c r="AP244" s="139" t="n"/>
      <x:c r="AQ244" s="139" t="n"/>
      <x:c r="AR244" s="139" t="n"/>
      <x:c r="AS244" s="139" t="n"/>
      <x:c r="AT244" s="139" t="n"/>
      <x:c r="AU244" s="139" t="n"/>
      <x:c r="AV244" s="139" t="n"/>
      <x:c r="AW244" s="139" t="n"/>
      <x:c r="AX244" s="139" t="n"/>
      <x:c r="AY244" s="139" t="n"/>
      <x:c r="AZ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c r="V245" s="139" t="n"/>
      <x:c r="W245" s="139" t="n"/>
      <x:c r="X245" s="139" t="n"/>
      <x:c r="Y245" s="139" t="n"/>
      <x:c r="Z245" s="139" t="n"/>
      <x:c r="AA245" s="139" t="n"/>
      <x:c r="AB245" s="139" t="n"/>
      <x:c r="AC245" s="139" t="n"/>
      <x:c r="AD245" s="139" t="n"/>
      <x:c r="AE245" s="139" t="n"/>
      <x:c r="AF245" s="139" t="n"/>
      <x:c r="AG245" s="139" t="n"/>
      <x:c r="AH245" s="139" t="n"/>
      <x:c r="AI245" s="139" t="n"/>
      <x:c r="AJ245" s="139" t="n"/>
      <x:c r="AK245" s="139" t="n"/>
      <x:c r="AL245" s="139" t="n"/>
      <x:c r="AM245" s="139" t="n"/>
      <x:c r="AN245" s="139" t="n"/>
      <x:c r="AO245" s="139" t="n"/>
      <x:c r="AP245" s="139" t="n"/>
      <x:c r="AQ245" s="139" t="n"/>
      <x:c r="AR245" s="139" t="n"/>
      <x:c r="AS245" s="139" t="n"/>
      <x:c r="AT245" s="139" t="n"/>
      <x:c r="AU245" s="139" t="n"/>
      <x:c r="AV245" s="139" t="n"/>
      <x:c r="AW245" s="139" t="n"/>
      <x:c r="AX245" s="139" t="n"/>
      <x:c r="AY245" s="139" t="n"/>
      <x:c r="AZ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c r="V246" s="139" t="n"/>
      <x:c r="W246" s="139" t="n"/>
      <x:c r="X246" s="139" t="n"/>
      <x:c r="Y246" s="139" t="n"/>
      <x:c r="Z246" s="139" t="n"/>
      <x:c r="AA246" s="139" t="n"/>
      <x:c r="AB246" s="139" t="n"/>
      <x:c r="AC246" s="139" t="n"/>
      <x:c r="AD246" s="139" t="n"/>
      <x:c r="AE246" s="139" t="n"/>
      <x:c r="AF246" s="139" t="n"/>
      <x:c r="AG246" s="139" t="n"/>
      <x:c r="AH246" s="139" t="n"/>
      <x:c r="AI246" s="139" t="n"/>
      <x:c r="AJ246" s="139" t="n"/>
      <x:c r="AK246" s="139" t="n"/>
      <x:c r="AL246" s="139" t="n"/>
      <x:c r="AM246" s="139" t="n"/>
      <x:c r="AN246" s="139" t="n"/>
      <x:c r="AO246" s="139" t="n"/>
      <x:c r="AP246" s="139" t="n"/>
      <x:c r="AQ246" s="139" t="n"/>
      <x:c r="AR246" s="139" t="n"/>
      <x:c r="AS246" s="139" t="n"/>
      <x:c r="AT246" s="139" t="n"/>
      <x:c r="AU246" s="139" t="n"/>
      <x:c r="AV246" s="139" t="n"/>
      <x:c r="AW246" s="139" t="n"/>
      <x:c r="AX246" s="139" t="n"/>
      <x:c r="AY246" s="139" t="n"/>
      <x:c r="AZ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c r="V247" s="139" t="n"/>
      <x:c r="W247" s="139" t="n"/>
      <x:c r="X247" s="139" t="n"/>
      <x:c r="Y247" s="139" t="n"/>
      <x:c r="Z247" s="139" t="n"/>
      <x:c r="AA247" s="139" t="n"/>
      <x:c r="AB247" s="139" t="n"/>
      <x:c r="AC247" s="139" t="n"/>
      <x:c r="AD247" s="139" t="n"/>
      <x:c r="AE247" s="139" t="n"/>
      <x:c r="AF247" s="139" t="n"/>
      <x:c r="AG247" s="139" t="n"/>
      <x:c r="AH247" s="139" t="n"/>
      <x:c r="AI247" s="139" t="n"/>
      <x:c r="AJ247" s="139" t="n"/>
      <x:c r="AK247" s="139" t="n"/>
      <x:c r="AL247" s="139" t="n"/>
      <x:c r="AM247" s="139" t="n"/>
      <x:c r="AN247" s="139" t="n"/>
      <x:c r="AO247" s="139" t="n"/>
      <x:c r="AP247" s="139" t="n"/>
      <x:c r="AQ247" s="139" t="n"/>
      <x:c r="AR247" s="139" t="n"/>
      <x:c r="AS247" s="139" t="n"/>
      <x:c r="AT247" s="139" t="n"/>
      <x:c r="AU247" s="139" t="n"/>
      <x:c r="AV247" s="139" t="n"/>
      <x:c r="AW247" s="139" t="n"/>
      <x:c r="AX247" s="139" t="n"/>
      <x:c r="AY247" s="139" t="n"/>
      <x:c r="AZ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c r="V248" s="139" t="n"/>
      <x:c r="W248" s="139" t="n"/>
      <x:c r="X248" s="139" t="n"/>
      <x:c r="Y248" s="139" t="n"/>
      <x:c r="Z248" s="139" t="n"/>
      <x:c r="AA248" s="139" t="n"/>
      <x:c r="AB248" s="139" t="n"/>
      <x:c r="AC248" s="139" t="n"/>
      <x:c r="AD248" s="139" t="n"/>
      <x:c r="AE248" s="139" t="n"/>
      <x:c r="AF248" s="139" t="n"/>
      <x:c r="AG248" s="139" t="n"/>
      <x:c r="AH248" s="139" t="n"/>
      <x:c r="AI248" s="139" t="n"/>
      <x:c r="AJ248" s="139" t="n"/>
      <x:c r="AK248" s="139" t="n"/>
      <x:c r="AL248" s="139" t="n"/>
      <x:c r="AM248" s="139" t="n"/>
      <x:c r="AN248" s="139" t="n"/>
      <x:c r="AO248" s="139" t="n"/>
      <x:c r="AP248" s="139" t="n"/>
      <x:c r="AQ248" s="139" t="n"/>
      <x:c r="AR248" s="139" t="n"/>
      <x:c r="AS248" s="139" t="n"/>
      <x:c r="AT248" s="139" t="n"/>
      <x:c r="AU248" s="139" t="n"/>
      <x:c r="AV248" s="139" t="n"/>
      <x:c r="AW248" s="139" t="n"/>
      <x:c r="AX248" s="139" t="n"/>
      <x:c r="AY248" s="139" t="n"/>
      <x:c r="AZ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c r="V249" s="139" t="n"/>
      <x:c r="W249" s="139" t="n"/>
      <x:c r="X249" s="139" t="n"/>
      <x:c r="Y249" s="139" t="n"/>
      <x:c r="Z249" s="139" t="n"/>
      <x:c r="AA249" s="139" t="n"/>
      <x:c r="AB249" s="139" t="n"/>
      <x:c r="AC249" s="139" t="n"/>
      <x:c r="AD249" s="139" t="n"/>
      <x:c r="AE249" s="139" t="n"/>
      <x:c r="AF249" s="139" t="n"/>
      <x:c r="AG249" s="139" t="n"/>
      <x:c r="AH249" s="139" t="n"/>
      <x:c r="AI249" s="139" t="n"/>
      <x:c r="AJ249" s="139" t="n"/>
      <x:c r="AK249" s="139" t="n"/>
      <x:c r="AL249" s="139" t="n"/>
      <x:c r="AM249" s="139" t="n"/>
      <x:c r="AN249" s="139" t="n"/>
      <x:c r="AO249" s="139" t="n"/>
      <x:c r="AP249" s="139" t="n"/>
      <x:c r="AQ249" s="139" t="n"/>
      <x:c r="AR249" s="139" t="n"/>
      <x:c r="AS249" s="139" t="n"/>
      <x:c r="AT249" s="139" t="n"/>
      <x:c r="AU249" s="139" t="n"/>
      <x:c r="AV249" s="139" t="n"/>
      <x:c r="AW249" s="139" t="n"/>
      <x:c r="AX249" s="139" t="n"/>
      <x:c r="AY249" s="139" t="n"/>
      <x:c r="AZ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c r="V250" s="139" t="n"/>
      <x:c r="W250" s="139" t="n"/>
      <x:c r="X250" s="139" t="n"/>
      <x:c r="Y250" s="139" t="n"/>
      <x:c r="Z250" s="139" t="n"/>
      <x:c r="AA250" s="139" t="n"/>
      <x:c r="AB250" s="139" t="n"/>
      <x:c r="AC250" s="139" t="n"/>
      <x:c r="AD250" s="139" t="n"/>
      <x:c r="AE250" s="139" t="n"/>
      <x:c r="AF250" s="139" t="n"/>
      <x:c r="AG250" s="139" t="n"/>
      <x:c r="AH250" s="139" t="n"/>
      <x:c r="AI250" s="139" t="n"/>
      <x:c r="AJ250" s="139" t="n"/>
      <x:c r="AK250" s="139" t="n"/>
      <x:c r="AL250" s="139" t="n"/>
      <x:c r="AM250" s="139" t="n"/>
      <x:c r="AN250" s="139" t="n"/>
      <x:c r="AO250" s="139" t="n"/>
      <x:c r="AP250" s="139" t="n"/>
      <x:c r="AQ250" s="139" t="n"/>
      <x:c r="AR250" s="139" t="n"/>
      <x:c r="AS250" s="139" t="n"/>
      <x:c r="AT250" s="139" t="n"/>
      <x:c r="AU250" s="139" t="n"/>
      <x:c r="AV250" s="139" t="n"/>
      <x:c r="AW250" s="139" t="n"/>
      <x:c r="AX250" s="139" t="n"/>
      <x:c r="AY250" s="139" t="n"/>
      <x:c r="AZ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c r="V251" s="139" t="n"/>
      <x:c r="W251" s="139" t="n"/>
      <x:c r="X251" s="139" t="n"/>
      <x:c r="Y251" s="139" t="n"/>
      <x:c r="Z251" s="139" t="n"/>
      <x:c r="AA251" s="139" t="n"/>
      <x:c r="AB251" s="139" t="n"/>
      <x:c r="AC251" s="139" t="n"/>
      <x:c r="AD251" s="139" t="n"/>
      <x:c r="AE251" s="139" t="n"/>
      <x:c r="AF251" s="139" t="n"/>
      <x:c r="AG251" s="139" t="n"/>
      <x:c r="AH251" s="139" t="n"/>
      <x:c r="AI251" s="139" t="n"/>
      <x:c r="AJ251" s="139" t="n"/>
      <x:c r="AK251" s="139" t="n"/>
      <x:c r="AL251" s="139" t="n"/>
      <x:c r="AM251" s="139" t="n"/>
      <x:c r="AN251" s="139" t="n"/>
      <x:c r="AO251" s="139" t="n"/>
      <x:c r="AP251" s="139" t="n"/>
      <x:c r="AQ251" s="139" t="n"/>
      <x:c r="AR251" s="139" t="n"/>
      <x:c r="AS251" s="139" t="n"/>
      <x:c r="AT251" s="139" t="n"/>
      <x:c r="AU251" s="139" t="n"/>
      <x:c r="AV251" s="139" t="n"/>
      <x:c r="AW251" s="139" t="n"/>
      <x:c r="AX251" s="139" t="n"/>
      <x:c r="AY251" s="139" t="n"/>
      <x:c r="AZ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c r="V252" s="139" t="n"/>
      <x:c r="W252" s="139" t="n"/>
      <x:c r="X252" s="139" t="n"/>
      <x:c r="Y252" s="139" t="n"/>
      <x:c r="Z252" s="139" t="n"/>
      <x:c r="AA252" s="139" t="n"/>
      <x:c r="AB252" s="139" t="n"/>
      <x:c r="AC252" s="139" t="n"/>
      <x:c r="AD252" s="139" t="n"/>
      <x:c r="AE252" s="139" t="n"/>
      <x:c r="AF252" s="139" t="n"/>
      <x:c r="AG252" s="139" t="n"/>
      <x:c r="AH252" s="139" t="n"/>
      <x:c r="AI252" s="139" t="n"/>
      <x:c r="AJ252" s="139" t="n"/>
      <x:c r="AK252" s="139" t="n"/>
      <x:c r="AL252" s="139" t="n"/>
      <x:c r="AM252" s="139" t="n"/>
      <x:c r="AN252" s="139" t="n"/>
      <x:c r="AO252" s="139" t="n"/>
      <x:c r="AP252" s="139" t="n"/>
      <x:c r="AQ252" s="139" t="n"/>
      <x:c r="AR252" s="139" t="n"/>
      <x:c r="AS252" s="139" t="n"/>
      <x:c r="AT252" s="139" t="n"/>
      <x:c r="AU252" s="139" t="n"/>
      <x:c r="AV252" s="139" t="n"/>
      <x:c r="AW252" s="139" t="n"/>
      <x:c r="AX252" s="139" t="n"/>
      <x:c r="AY252" s="139" t="n"/>
      <x:c r="AZ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c r="V253" s="139" t="n"/>
      <x:c r="W253" s="139" t="n"/>
      <x:c r="X253" s="139" t="n"/>
      <x:c r="Y253" s="139" t="n"/>
      <x:c r="Z253" s="139" t="n"/>
      <x:c r="AA253" s="139" t="n"/>
      <x:c r="AB253" s="139" t="n"/>
      <x:c r="AC253" s="139" t="n"/>
      <x:c r="AD253" s="139" t="n"/>
      <x:c r="AE253" s="139" t="n"/>
      <x:c r="AF253" s="139" t="n"/>
      <x:c r="AG253" s="139" t="n"/>
      <x:c r="AH253" s="139" t="n"/>
      <x:c r="AI253" s="139" t="n"/>
      <x:c r="AJ253" s="139" t="n"/>
      <x:c r="AK253" s="139" t="n"/>
      <x:c r="AL253" s="139" t="n"/>
      <x:c r="AM253" s="139" t="n"/>
      <x:c r="AN253" s="139" t="n"/>
      <x:c r="AO253" s="139" t="n"/>
      <x:c r="AP253" s="139" t="n"/>
      <x:c r="AQ253" s="139" t="n"/>
      <x:c r="AR253" s="139" t="n"/>
      <x:c r="AS253" s="139" t="n"/>
      <x:c r="AT253" s="139" t="n"/>
      <x:c r="AU253" s="139" t="n"/>
      <x:c r="AV253" s="139" t="n"/>
      <x:c r="AW253" s="139" t="n"/>
      <x:c r="AX253" s="139" t="n"/>
      <x:c r="AY253" s="139" t="n"/>
      <x:c r="AZ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c r="V254" s="139" t="n"/>
      <x:c r="W254" s="139" t="n"/>
      <x:c r="X254" s="139" t="n"/>
      <x:c r="Y254" s="139" t="n"/>
      <x:c r="Z254" s="139" t="n"/>
      <x:c r="AA254" s="139" t="n"/>
      <x:c r="AB254" s="139" t="n"/>
      <x:c r="AC254" s="139" t="n"/>
      <x:c r="AD254" s="139" t="n"/>
      <x:c r="AE254" s="139" t="n"/>
      <x:c r="AF254" s="139" t="n"/>
      <x:c r="AG254" s="139" t="n"/>
      <x:c r="AH254" s="139" t="n"/>
      <x:c r="AI254" s="139" t="n"/>
      <x:c r="AJ254" s="139" t="n"/>
      <x:c r="AK254" s="139" t="n"/>
      <x:c r="AL254" s="139" t="n"/>
      <x:c r="AM254" s="139" t="n"/>
      <x:c r="AN254" s="139" t="n"/>
      <x:c r="AO254" s="139" t="n"/>
      <x:c r="AP254" s="139" t="n"/>
      <x:c r="AQ254" s="139" t="n"/>
      <x:c r="AR254" s="139" t="n"/>
      <x:c r="AS254" s="139" t="n"/>
      <x:c r="AT254" s="139" t="n"/>
      <x:c r="AU254" s="139" t="n"/>
      <x:c r="AV254" s="139" t="n"/>
      <x:c r="AW254" s="139" t="n"/>
      <x:c r="AX254" s="139" t="n"/>
      <x:c r="AY254" s="139" t="n"/>
      <x:c r="AZ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c r="V255" s="139" t="n"/>
      <x:c r="W255" s="139" t="n"/>
      <x:c r="X255" s="139" t="n"/>
      <x:c r="Y255" s="139" t="n"/>
      <x:c r="Z255" s="139" t="n"/>
      <x:c r="AA255" s="139" t="n"/>
      <x:c r="AB255" s="139" t="n"/>
      <x:c r="AC255" s="139" t="n"/>
      <x:c r="AD255" s="139" t="n"/>
      <x:c r="AE255" s="139" t="n"/>
      <x:c r="AF255" s="139" t="n"/>
      <x:c r="AG255" s="139" t="n"/>
      <x:c r="AH255" s="139" t="n"/>
      <x:c r="AI255" s="139" t="n"/>
      <x:c r="AJ255" s="139" t="n"/>
      <x:c r="AK255" s="139" t="n"/>
      <x:c r="AL255" s="139" t="n"/>
      <x:c r="AM255" s="139" t="n"/>
      <x:c r="AN255" s="139" t="n"/>
      <x:c r="AO255" s="139" t="n"/>
      <x:c r="AP255" s="139" t="n"/>
      <x:c r="AQ255" s="139" t="n"/>
      <x:c r="AR255" s="139" t="n"/>
      <x:c r="AS255" s="139" t="n"/>
      <x:c r="AT255" s="139" t="n"/>
      <x:c r="AU255" s="139" t="n"/>
      <x:c r="AV255" s="139" t="n"/>
      <x:c r="AW255" s="139" t="n"/>
      <x:c r="AX255" s="139" t="n"/>
      <x:c r="AY255" s="139" t="n"/>
      <x:c r="AZ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c r="V256" s="139" t="n"/>
      <x:c r="W256" s="139" t="n"/>
      <x:c r="X256" s="139" t="n"/>
      <x:c r="Y256" s="139" t="n"/>
      <x:c r="Z256" s="139" t="n"/>
      <x:c r="AA256" s="139" t="n"/>
      <x:c r="AB256" s="139" t="n"/>
      <x:c r="AC256" s="139" t="n"/>
      <x:c r="AD256" s="139" t="n"/>
      <x:c r="AE256" s="139" t="n"/>
      <x:c r="AF256" s="139" t="n"/>
      <x:c r="AG256" s="139" t="n"/>
      <x:c r="AH256" s="139" t="n"/>
      <x:c r="AI256" s="139" t="n"/>
      <x:c r="AJ256" s="139" t="n"/>
      <x:c r="AK256" s="139" t="n"/>
      <x:c r="AL256" s="139" t="n"/>
      <x:c r="AM256" s="139" t="n"/>
      <x:c r="AN256" s="139" t="n"/>
      <x:c r="AO256" s="139" t="n"/>
      <x:c r="AP256" s="139" t="n"/>
      <x:c r="AQ256" s="139" t="n"/>
      <x:c r="AR256" s="139" t="n"/>
      <x:c r="AS256" s="139" t="n"/>
      <x:c r="AT256" s="139" t="n"/>
      <x:c r="AU256" s="139" t="n"/>
      <x:c r="AV256" s="139" t="n"/>
      <x:c r="AW256" s="139" t="n"/>
      <x:c r="AX256" s="139" t="n"/>
      <x:c r="AY256" s="139" t="n"/>
      <x:c r="AZ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c r="V257" s="139" t="n"/>
      <x:c r="W257" s="139" t="n"/>
      <x:c r="X257" s="139" t="n"/>
      <x:c r="Y257" s="139" t="n"/>
      <x:c r="Z257" s="139" t="n"/>
      <x:c r="AA257" s="139" t="n"/>
      <x:c r="AB257" s="139" t="n"/>
      <x:c r="AC257" s="139" t="n"/>
      <x:c r="AD257" s="139" t="n"/>
      <x:c r="AE257" s="139" t="n"/>
      <x:c r="AF257" s="139" t="n"/>
      <x:c r="AG257" s="139" t="n"/>
      <x:c r="AH257" s="139" t="n"/>
      <x:c r="AI257" s="139" t="n"/>
      <x:c r="AJ257" s="139" t="n"/>
      <x:c r="AK257" s="139" t="n"/>
      <x:c r="AL257" s="139" t="n"/>
      <x:c r="AM257" s="139" t="n"/>
      <x:c r="AN257" s="139" t="n"/>
      <x:c r="AO257" s="139" t="n"/>
      <x:c r="AP257" s="139" t="n"/>
      <x:c r="AQ257" s="139" t="n"/>
      <x:c r="AR257" s="139" t="n"/>
      <x:c r="AS257" s="139" t="n"/>
      <x:c r="AT257" s="139" t="n"/>
      <x:c r="AU257" s="139" t="n"/>
      <x:c r="AV257" s="139" t="n"/>
      <x:c r="AW257" s="139" t="n"/>
      <x:c r="AX257" s="139" t="n"/>
      <x:c r="AY257" s="139" t="n"/>
      <x:c r="AZ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c r="V258" s="139" t="n"/>
      <x:c r="W258" s="139" t="n"/>
      <x:c r="X258" s="139" t="n"/>
      <x:c r="Y258" s="139" t="n"/>
      <x:c r="Z258" s="139" t="n"/>
      <x:c r="AA258" s="139" t="n"/>
      <x:c r="AB258" s="139" t="n"/>
      <x:c r="AC258" s="139" t="n"/>
      <x:c r="AD258" s="139" t="n"/>
      <x:c r="AE258" s="139" t="n"/>
      <x:c r="AF258" s="139" t="n"/>
      <x:c r="AG258" s="139" t="n"/>
      <x:c r="AH258" s="139" t="n"/>
      <x:c r="AI258" s="139" t="n"/>
      <x:c r="AJ258" s="139" t="n"/>
      <x:c r="AK258" s="139" t="n"/>
      <x:c r="AL258" s="139" t="n"/>
      <x:c r="AM258" s="139" t="n"/>
      <x:c r="AN258" s="139" t="n"/>
      <x:c r="AO258" s="139" t="n"/>
      <x:c r="AP258" s="139" t="n"/>
      <x:c r="AQ258" s="139" t="n"/>
      <x:c r="AR258" s="139" t="n"/>
      <x:c r="AS258" s="139" t="n"/>
      <x:c r="AT258" s="139" t="n"/>
      <x:c r="AU258" s="139" t="n"/>
      <x:c r="AV258" s="139" t="n"/>
      <x:c r="AW258" s="139" t="n"/>
      <x:c r="AX258" s="139" t="n"/>
      <x:c r="AY258" s="139" t="n"/>
      <x:c r="AZ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c r="V259" s="139" t="n"/>
      <x:c r="W259" s="139" t="n"/>
      <x:c r="X259" s="139" t="n"/>
      <x:c r="Y259" s="139" t="n"/>
      <x:c r="Z259" s="139" t="n"/>
      <x:c r="AA259" s="139" t="n"/>
      <x:c r="AB259" s="139" t="n"/>
      <x:c r="AC259" s="139" t="n"/>
      <x:c r="AD259" s="139" t="n"/>
      <x:c r="AE259" s="139" t="n"/>
      <x:c r="AF259" s="139" t="n"/>
      <x:c r="AG259" s="139" t="n"/>
      <x:c r="AH259" s="139" t="n"/>
      <x:c r="AI259" s="139" t="n"/>
      <x:c r="AJ259" s="139" t="n"/>
      <x:c r="AK259" s="139" t="n"/>
      <x:c r="AL259" s="139" t="n"/>
      <x:c r="AM259" s="139" t="n"/>
      <x:c r="AN259" s="139" t="n"/>
      <x:c r="AO259" s="139" t="n"/>
      <x:c r="AP259" s="139" t="n"/>
      <x:c r="AQ259" s="139" t="n"/>
      <x:c r="AR259" s="139" t="n"/>
      <x:c r="AS259" s="139" t="n"/>
      <x:c r="AT259" s="139" t="n"/>
      <x:c r="AU259" s="139" t="n"/>
      <x:c r="AV259" s="139" t="n"/>
      <x:c r="AW259" s="139" t="n"/>
      <x:c r="AX259" s="139" t="n"/>
      <x:c r="AY259" s="139" t="n"/>
      <x:c r="AZ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c r="V260" s="139" t="n"/>
      <x:c r="W260" s="139" t="n"/>
      <x:c r="X260" s="139" t="n"/>
      <x:c r="Y260" s="139" t="n"/>
      <x:c r="Z260" s="139" t="n"/>
      <x:c r="AA260" s="139" t="n"/>
      <x:c r="AB260" s="139" t="n"/>
      <x:c r="AC260" s="139" t="n"/>
      <x:c r="AD260" s="139" t="n"/>
      <x:c r="AE260" s="139" t="n"/>
      <x:c r="AF260" s="139" t="n"/>
      <x:c r="AG260" s="139" t="n"/>
      <x:c r="AH260" s="139" t="n"/>
      <x:c r="AI260" s="139" t="n"/>
      <x:c r="AJ260" s="139" t="n"/>
      <x:c r="AK260" s="139" t="n"/>
      <x:c r="AL260" s="139" t="n"/>
      <x:c r="AM260" s="139" t="n"/>
      <x:c r="AN260" s="139" t="n"/>
      <x:c r="AO260" s="139" t="n"/>
      <x:c r="AP260" s="139" t="n"/>
      <x:c r="AQ260" s="139" t="n"/>
      <x:c r="AR260" s="139" t="n"/>
      <x:c r="AS260" s="139" t="n"/>
      <x:c r="AT260" s="139" t="n"/>
      <x:c r="AU260" s="139" t="n"/>
      <x:c r="AV260" s="139" t="n"/>
      <x:c r="AW260" s="139" t="n"/>
      <x:c r="AX260" s="139" t="n"/>
      <x:c r="AY260" s="139" t="n"/>
      <x:c r="AZ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c r="V261" s="139" t="n"/>
      <x:c r="W261" s="139" t="n"/>
      <x:c r="X261" s="139" t="n"/>
      <x:c r="Y261" s="139" t="n"/>
      <x:c r="Z261" s="139" t="n"/>
      <x:c r="AA261" s="139" t="n"/>
      <x:c r="AB261" s="139" t="n"/>
      <x:c r="AC261" s="139" t="n"/>
      <x:c r="AD261" s="139" t="n"/>
      <x:c r="AE261" s="139" t="n"/>
      <x:c r="AF261" s="139" t="n"/>
      <x:c r="AG261" s="139" t="n"/>
      <x:c r="AH261" s="139" t="n"/>
      <x:c r="AI261" s="139" t="n"/>
      <x:c r="AJ261" s="139" t="n"/>
      <x:c r="AK261" s="139" t="n"/>
      <x:c r="AL261" s="139" t="n"/>
      <x:c r="AM261" s="139" t="n"/>
      <x:c r="AN261" s="139" t="n"/>
      <x:c r="AO261" s="139" t="n"/>
      <x:c r="AP261" s="139" t="n"/>
      <x:c r="AQ261" s="139" t="n"/>
      <x:c r="AR261" s="139" t="n"/>
      <x:c r="AS261" s="139" t="n"/>
      <x:c r="AT261" s="139" t="n"/>
      <x:c r="AU261" s="139" t="n"/>
      <x:c r="AV261" s="139" t="n"/>
      <x:c r="AW261" s="139" t="n"/>
      <x:c r="AX261" s="139" t="n"/>
      <x:c r="AY261" s="139" t="n"/>
      <x:c r="AZ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c r="V262" s="139" t="n"/>
      <x:c r="W262" s="139" t="n"/>
      <x:c r="X262" s="139" t="n"/>
      <x:c r="Y262" s="139" t="n"/>
      <x:c r="Z262" s="139" t="n"/>
      <x:c r="AA262" s="139" t="n"/>
      <x:c r="AB262" s="139" t="n"/>
      <x:c r="AC262" s="139" t="n"/>
      <x:c r="AD262" s="139" t="n"/>
      <x:c r="AE262" s="139" t="n"/>
      <x:c r="AF262" s="139" t="n"/>
      <x:c r="AG262" s="139" t="n"/>
      <x:c r="AH262" s="139" t="n"/>
      <x:c r="AI262" s="139" t="n"/>
      <x:c r="AJ262" s="139" t="n"/>
      <x:c r="AK262" s="139" t="n"/>
      <x:c r="AL262" s="139" t="n"/>
      <x:c r="AM262" s="139" t="n"/>
      <x:c r="AN262" s="139" t="n"/>
      <x:c r="AO262" s="139" t="n"/>
      <x:c r="AP262" s="139" t="n"/>
      <x:c r="AQ262" s="139" t="n"/>
      <x:c r="AR262" s="139" t="n"/>
      <x:c r="AS262" s="139" t="n"/>
      <x:c r="AT262" s="139" t="n"/>
      <x:c r="AU262" s="139" t="n"/>
      <x:c r="AV262" s="139" t="n"/>
      <x:c r="AW262" s="139" t="n"/>
      <x:c r="AX262" s="139" t="n"/>
      <x:c r="AY262" s="139" t="n"/>
      <x:c r="AZ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c r="V263" s="139" t="n"/>
      <x:c r="W263" s="139" t="n"/>
      <x:c r="X263" s="139" t="n"/>
      <x:c r="Y263" s="139" t="n"/>
      <x:c r="Z263" s="139" t="n"/>
      <x:c r="AA263" s="139" t="n"/>
      <x:c r="AB263" s="139" t="n"/>
      <x:c r="AC263" s="139" t="n"/>
      <x:c r="AD263" s="139" t="n"/>
      <x:c r="AE263" s="139" t="n"/>
      <x:c r="AF263" s="139" t="n"/>
      <x:c r="AG263" s="139" t="n"/>
      <x:c r="AH263" s="139" t="n"/>
      <x:c r="AI263" s="139" t="n"/>
      <x:c r="AJ263" s="139" t="n"/>
      <x:c r="AK263" s="139" t="n"/>
      <x:c r="AL263" s="139" t="n"/>
      <x:c r="AM263" s="139" t="n"/>
      <x:c r="AN263" s="139" t="n"/>
      <x:c r="AO263" s="139" t="n"/>
      <x:c r="AP263" s="139" t="n"/>
      <x:c r="AQ263" s="139" t="n"/>
      <x:c r="AR263" s="139" t="n"/>
      <x:c r="AS263" s="139" t="n"/>
      <x:c r="AT263" s="139" t="n"/>
      <x:c r="AU263" s="139" t="n"/>
      <x:c r="AV263" s="139" t="n"/>
      <x:c r="AW263" s="139" t="n"/>
      <x:c r="AX263" s="139" t="n"/>
      <x:c r="AY263" s="139" t="n"/>
      <x:c r="AZ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c r="V264" s="139" t="n"/>
      <x:c r="W264" s="139" t="n"/>
      <x:c r="X264" s="139" t="n"/>
      <x:c r="Y264" s="139" t="n"/>
      <x:c r="Z264" s="139" t="n"/>
      <x:c r="AA264" s="139" t="n"/>
      <x:c r="AB264" s="139" t="n"/>
      <x:c r="AC264" s="139" t="n"/>
      <x:c r="AD264" s="139" t="n"/>
      <x:c r="AE264" s="139" t="n"/>
      <x:c r="AF264" s="139" t="n"/>
      <x:c r="AG264" s="139" t="n"/>
      <x:c r="AH264" s="139" t="n"/>
      <x:c r="AI264" s="139" t="n"/>
      <x:c r="AJ264" s="139" t="n"/>
      <x:c r="AK264" s="139" t="n"/>
      <x:c r="AL264" s="139" t="n"/>
      <x:c r="AM264" s="139" t="n"/>
      <x:c r="AN264" s="139" t="n"/>
      <x:c r="AO264" s="139" t="n"/>
      <x:c r="AP264" s="139" t="n"/>
      <x:c r="AQ264" s="139" t="n"/>
      <x:c r="AR264" s="139" t="n"/>
      <x:c r="AS264" s="139" t="n"/>
      <x:c r="AT264" s="139" t="n"/>
      <x:c r="AU264" s="139" t="n"/>
      <x:c r="AV264" s="139" t="n"/>
      <x:c r="AW264" s="139" t="n"/>
      <x:c r="AX264" s="139" t="n"/>
      <x:c r="AY264" s="139" t="n"/>
      <x:c r="AZ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c r="V265" s="139" t="n"/>
      <x:c r="W265" s="139" t="n"/>
      <x:c r="X265" s="139" t="n"/>
      <x:c r="Y265" s="139" t="n"/>
      <x:c r="Z265" s="139" t="n"/>
      <x:c r="AA265" s="139" t="n"/>
      <x:c r="AB265" s="139" t="n"/>
      <x:c r="AC265" s="139" t="n"/>
      <x:c r="AD265" s="139" t="n"/>
      <x:c r="AE265" s="139" t="n"/>
      <x:c r="AF265" s="139" t="n"/>
      <x:c r="AG265" s="139" t="n"/>
      <x:c r="AH265" s="139" t="n"/>
      <x:c r="AI265" s="139" t="n"/>
      <x:c r="AJ265" s="139" t="n"/>
      <x:c r="AK265" s="139" t="n"/>
      <x:c r="AL265" s="139" t="n"/>
      <x:c r="AM265" s="139" t="n"/>
      <x:c r="AN265" s="139" t="n"/>
      <x:c r="AO265" s="139" t="n"/>
      <x:c r="AP265" s="139" t="n"/>
      <x:c r="AQ265" s="139" t="n"/>
      <x:c r="AR265" s="139" t="n"/>
      <x:c r="AS265" s="139" t="n"/>
      <x:c r="AT265" s="139" t="n"/>
      <x:c r="AU265" s="139" t="n"/>
      <x:c r="AV265" s="139" t="n"/>
      <x:c r="AW265" s="139" t="n"/>
      <x:c r="AX265" s="139" t="n"/>
      <x:c r="AY265" s="139" t="n"/>
      <x:c r="AZ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c r="V266" s="139" t="n"/>
      <x:c r="W266" s="139" t="n"/>
      <x:c r="X266" s="139" t="n"/>
      <x:c r="Y266" s="139" t="n"/>
      <x:c r="Z266" s="139" t="n"/>
      <x:c r="AA266" s="139" t="n"/>
      <x:c r="AB266" s="139" t="n"/>
      <x:c r="AC266" s="139" t="n"/>
      <x:c r="AD266" s="139" t="n"/>
      <x:c r="AE266" s="139" t="n"/>
      <x:c r="AF266" s="139" t="n"/>
      <x:c r="AG266" s="139" t="n"/>
      <x:c r="AH266" s="139" t="n"/>
      <x:c r="AI266" s="139" t="n"/>
      <x:c r="AJ266" s="139" t="n"/>
      <x:c r="AK266" s="139" t="n"/>
      <x:c r="AL266" s="139" t="n"/>
      <x:c r="AM266" s="139" t="n"/>
      <x:c r="AN266" s="139" t="n"/>
      <x:c r="AO266" s="139" t="n"/>
      <x:c r="AP266" s="139" t="n"/>
      <x:c r="AQ266" s="139" t="n"/>
      <x:c r="AR266" s="139" t="n"/>
      <x:c r="AS266" s="139" t="n"/>
      <x:c r="AT266" s="139" t="n"/>
      <x:c r="AU266" s="139" t="n"/>
      <x:c r="AV266" s="139" t="n"/>
      <x:c r="AW266" s="139" t="n"/>
      <x:c r="AX266" s="139" t="n"/>
      <x:c r="AY266" s="139" t="n"/>
      <x:c r="AZ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c r="V267" s="139" t="n"/>
      <x:c r="W267" s="139" t="n"/>
      <x:c r="X267" s="139" t="n"/>
      <x:c r="Y267" s="139" t="n"/>
      <x:c r="Z267" s="139" t="n"/>
      <x:c r="AA267" s="139" t="n"/>
      <x:c r="AB267" s="139" t="n"/>
      <x:c r="AC267" s="139" t="n"/>
      <x:c r="AD267" s="139" t="n"/>
      <x:c r="AE267" s="139" t="n"/>
      <x:c r="AF267" s="139" t="n"/>
      <x:c r="AG267" s="139" t="n"/>
      <x:c r="AH267" s="139" t="n"/>
      <x:c r="AI267" s="139" t="n"/>
      <x:c r="AJ267" s="139" t="n"/>
      <x:c r="AK267" s="139" t="n"/>
      <x:c r="AL267" s="139" t="n"/>
      <x:c r="AM267" s="139" t="n"/>
      <x:c r="AN267" s="139" t="n"/>
      <x:c r="AO267" s="139" t="n"/>
      <x:c r="AP267" s="139" t="n"/>
      <x:c r="AQ267" s="139" t="n"/>
      <x:c r="AR267" s="139" t="n"/>
      <x:c r="AS267" s="139" t="n"/>
      <x:c r="AT267" s="139" t="n"/>
      <x:c r="AU267" s="139" t="n"/>
      <x:c r="AV267" s="139" t="n"/>
      <x:c r="AW267" s="139" t="n"/>
      <x:c r="AX267" s="139" t="n"/>
      <x:c r="AY267" s="139" t="n"/>
      <x:c r="AZ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c r="V268" s="139" t="n"/>
      <x:c r="W268" s="139" t="n"/>
      <x:c r="X268" s="139" t="n"/>
      <x:c r="Y268" s="139" t="n"/>
      <x:c r="Z268" s="139" t="n"/>
      <x:c r="AA268" s="139" t="n"/>
      <x:c r="AB268" s="139" t="n"/>
      <x:c r="AC268" s="139" t="n"/>
      <x:c r="AD268" s="139" t="n"/>
      <x:c r="AE268" s="139" t="n"/>
      <x:c r="AF268" s="139" t="n"/>
      <x:c r="AG268" s="139" t="n"/>
      <x:c r="AH268" s="139" t="n"/>
      <x:c r="AI268" s="139" t="n"/>
      <x:c r="AJ268" s="139" t="n"/>
      <x:c r="AK268" s="139" t="n"/>
      <x:c r="AL268" s="139" t="n"/>
      <x:c r="AM268" s="139" t="n"/>
      <x:c r="AN268" s="139" t="n"/>
      <x:c r="AO268" s="139" t="n"/>
      <x:c r="AP268" s="139" t="n"/>
      <x:c r="AQ268" s="139" t="n"/>
      <x:c r="AR268" s="139" t="n"/>
      <x:c r="AS268" s="139" t="n"/>
      <x:c r="AT268" s="139" t="n"/>
      <x:c r="AU268" s="139" t="n"/>
      <x:c r="AV268" s="139" t="n"/>
      <x:c r="AW268" s="139" t="n"/>
      <x:c r="AX268" s="139" t="n"/>
      <x:c r="AY268" s="139" t="n"/>
      <x:c r="AZ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c r="V269" s="139" t="n"/>
      <x:c r="W269" s="139" t="n"/>
      <x:c r="X269" s="139" t="n"/>
      <x:c r="Y269" s="139" t="n"/>
      <x:c r="Z269" s="139" t="n"/>
      <x:c r="AA269" s="139" t="n"/>
      <x:c r="AB269" s="139" t="n"/>
      <x:c r="AC269" s="139" t="n"/>
      <x:c r="AD269" s="139" t="n"/>
      <x:c r="AE269" s="139" t="n"/>
      <x:c r="AF269" s="139" t="n"/>
      <x:c r="AG269" s="139" t="n"/>
      <x:c r="AH269" s="139" t="n"/>
      <x:c r="AI269" s="139" t="n"/>
      <x:c r="AJ269" s="139" t="n"/>
      <x:c r="AK269" s="139" t="n"/>
      <x:c r="AL269" s="139" t="n"/>
      <x:c r="AM269" s="139" t="n"/>
      <x:c r="AN269" s="139" t="n"/>
      <x:c r="AO269" s="139" t="n"/>
      <x:c r="AP269" s="139" t="n"/>
      <x:c r="AQ269" s="139" t="n"/>
      <x:c r="AR269" s="139" t="n"/>
      <x:c r="AS269" s="139" t="n"/>
      <x:c r="AT269" s="139" t="n"/>
      <x:c r="AU269" s="139" t="n"/>
      <x:c r="AV269" s="139" t="n"/>
      <x:c r="AW269" s="139" t="n"/>
      <x:c r="AX269" s="139" t="n"/>
      <x:c r="AY269" s="139" t="n"/>
      <x:c r="AZ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c r="V270" s="139" t="n"/>
      <x:c r="W270" s="139" t="n"/>
      <x:c r="X270" s="139" t="n"/>
      <x:c r="Y270" s="139" t="n"/>
      <x:c r="Z270" s="139" t="n"/>
      <x:c r="AA270" s="139" t="n"/>
      <x:c r="AB270" s="139" t="n"/>
      <x:c r="AC270" s="139" t="n"/>
      <x:c r="AD270" s="139" t="n"/>
      <x:c r="AE270" s="139" t="n"/>
      <x:c r="AF270" s="139" t="n"/>
      <x:c r="AG270" s="139" t="n"/>
      <x:c r="AH270" s="139" t="n"/>
      <x:c r="AI270" s="139" t="n"/>
      <x:c r="AJ270" s="139" t="n"/>
      <x:c r="AK270" s="139" t="n"/>
      <x:c r="AL270" s="139" t="n"/>
      <x:c r="AM270" s="139" t="n"/>
      <x:c r="AN270" s="139" t="n"/>
      <x:c r="AO270" s="139" t="n"/>
      <x:c r="AP270" s="139" t="n"/>
      <x:c r="AQ270" s="139" t="n"/>
      <x:c r="AR270" s="139" t="n"/>
      <x:c r="AS270" s="139" t="n"/>
      <x:c r="AT270" s="139" t="n"/>
      <x:c r="AU270" s="139" t="n"/>
      <x:c r="AV270" s="139" t="n"/>
      <x:c r="AW270" s="139" t="n"/>
      <x:c r="AX270" s="139" t="n"/>
      <x:c r="AY270" s="139" t="n"/>
      <x:c r="AZ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c r="V271" s="139" t="n"/>
      <x:c r="W271" s="139" t="n"/>
      <x:c r="X271" s="139" t="n"/>
      <x:c r="Y271" s="139" t="n"/>
      <x:c r="Z271" s="139" t="n"/>
      <x:c r="AA271" s="139" t="n"/>
      <x:c r="AB271" s="139" t="n"/>
      <x:c r="AC271" s="139" t="n"/>
      <x:c r="AD271" s="139" t="n"/>
      <x:c r="AE271" s="139" t="n"/>
      <x:c r="AF271" s="139" t="n"/>
      <x:c r="AG271" s="139" t="n"/>
      <x:c r="AH271" s="139" t="n"/>
      <x:c r="AI271" s="139" t="n"/>
      <x:c r="AJ271" s="139" t="n"/>
      <x:c r="AK271" s="139" t="n"/>
      <x:c r="AL271" s="139" t="n"/>
      <x:c r="AM271" s="139" t="n"/>
      <x:c r="AN271" s="139" t="n"/>
      <x:c r="AO271" s="139" t="n"/>
      <x:c r="AP271" s="139" t="n"/>
      <x:c r="AQ271" s="139" t="n"/>
      <x:c r="AR271" s="139" t="n"/>
      <x:c r="AS271" s="139" t="n"/>
      <x:c r="AT271" s="139" t="n"/>
      <x:c r="AU271" s="139" t="n"/>
      <x:c r="AV271" s="139" t="n"/>
      <x:c r="AW271" s="139" t="n"/>
      <x:c r="AX271" s="139" t="n"/>
      <x:c r="AY271" s="139" t="n"/>
      <x:c r="AZ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c r="V272" s="139" t="n"/>
      <x:c r="W272" s="139" t="n"/>
      <x:c r="X272" s="139" t="n"/>
      <x:c r="Y272" s="139" t="n"/>
      <x:c r="Z272" s="139" t="n"/>
      <x:c r="AA272" s="139" t="n"/>
      <x:c r="AB272" s="139" t="n"/>
      <x:c r="AC272" s="139" t="n"/>
      <x:c r="AD272" s="139" t="n"/>
      <x:c r="AE272" s="139" t="n"/>
      <x:c r="AF272" s="139" t="n"/>
      <x:c r="AG272" s="139" t="n"/>
      <x:c r="AH272" s="139" t="n"/>
      <x:c r="AI272" s="139" t="n"/>
      <x:c r="AJ272" s="139" t="n"/>
      <x:c r="AK272" s="139" t="n"/>
      <x:c r="AL272" s="139" t="n"/>
      <x:c r="AM272" s="139" t="n"/>
      <x:c r="AN272" s="139" t="n"/>
      <x:c r="AO272" s="139" t="n"/>
      <x:c r="AP272" s="139" t="n"/>
      <x:c r="AQ272" s="139" t="n"/>
      <x:c r="AR272" s="139" t="n"/>
      <x:c r="AS272" s="139" t="n"/>
      <x:c r="AT272" s="139" t="n"/>
      <x:c r="AU272" s="139" t="n"/>
      <x:c r="AV272" s="139" t="n"/>
      <x:c r="AW272" s="139" t="n"/>
      <x:c r="AX272" s="139" t="n"/>
      <x:c r="AY272" s="139" t="n"/>
      <x:c r="AZ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c r="V273" s="139" t="n"/>
      <x:c r="W273" s="139" t="n"/>
      <x:c r="X273" s="139" t="n"/>
      <x:c r="Y273" s="139" t="n"/>
      <x:c r="Z273" s="139" t="n"/>
      <x:c r="AA273" s="139" t="n"/>
      <x:c r="AB273" s="139" t="n"/>
      <x:c r="AC273" s="139" t="n"/>
      <x:c r="AD273" s="139" t="n"/>
      <x:c r="AE273" s="139" t="n"/>
      <x:c r="AF273" s="139" t="n"/>
      <x:c r="AG273" s="139" t="n"/>
      <x:c r="AH273" s="139" t="n"/>
      <x:c r="AI273" s="139" t="n"/>
      <x:c r="AJ273" s="139" t="n"/>
      <x:c r="AK273" s="139" t="n"/>
      <x:c r="AL273" s="139" t="n"/>
      <x:c r="AM273" s="139" t="n"/>
      <x:c r="AN273" s="139" t="n"/>
      <x:c r="AO273" s="139" t="n"/>
      <x:c r="AP273" s="139" t="n"/>
      <x:c r="AQ273" s="139" t="n"/>
      <x:c r="AR273" s="139" t="n"/>
      <x:c r="AS273" s="139" t="n"/>
      <x:c r="AT273" s="139" t="n"/>
      <x:c r="AU273" s="139" t="n"/>
      <x:c r="AV273" s="139" t="n"/>
      <x:c r="AW273" s="139" t="n"/>
      <x:c r="AX273" s="139" t="n"/>
      <x:c r="AY273" s="139" t="n"/>
      <x:c r="AZ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c r="V274" s="139" t="n"/>
      <x:c r="W274" s="139" t="n"/>
      <x:c r="X274" s="139" t="n"/>
      <x:c r="Y274" s="139" t="n"/>
      <x:c r="Z274" s="139" t="n"/>
      <x:c r="AA274" s="139" t="n"/>
      <x:c r="AB274" s="139" t="n"/>
      <x:c r="AC274" s="139" t="n"/>
      <x:c r="AD274" s="139" t="n"/>
      <x:c r="AE274" s="139" t="n"/>
      <x:c r="AF274" s="139" t="n"/>
      <x:c r="AG274" s="139" t="n"/>
      <x:c r="AH274" s="139" t="n"/>
      <x:c r="AI274" s="139" t="n"/>
      <x:c r="AJ274" s="139" t="n"/>
      <x:c r="AK274" s="139" t="n"/>
      <x:c r="AL274" s="139" t="n"/>
      <x:c r="AM274" s="139" t="n"/>
      <x:c r="AN274" s="139" t="n"/>
      <x:c r="AO274" s="139" t="n"/>
      <x:c r="AP274" s="139" t="n"/>
      <x:c r="AQ274" s="139" t="n"/>
      <x:c r="AR274" s="139" t="n"/>
      <x:c r="AS274" s="139" t="n"/>
      <x:c r="AT274" s="139" t="n"/>
      <x:c r="AU274" s="139" t="n"/>
      <x:c r="AV274" s="139" t="n"/>
      <x:c r="AW274" s="139" t="n"/>
      <x:c r="AX274" s="139" t="n"/>
      <x:c r="AY274" s="139" t="n"/>
      <x:c r="AZ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c r="V275" s="139" t="n"/>
      <x:c r="W275" s="139" t="n"/>
      <x:c r="X275" s="139" t="n"/>
      <x:c r="Y275" s="139" t="n"/>
      <x:c r="Z275" s="139" t="n"/>
      <x:c r="AA275" s="139" t="n"/>
      <x:c r="AB275" s="139" t="n"/>
      <x:c r="AC275" s="139" t="n"/>
      <x:c r="AD275" s="139" t="n"/>
      <x:c r="AE275" s="139" t="n"/>
      <x:c r="AF275" s="139" t="n"/>
      <x:c r="AG275" s="139" t="n"/>
      <x:c r="AH275" s="139" t="n"/>
      <x:c r="AI275" s="139" t="n"/>
      <x:c r="AJ275" s="139" t="n"/>
      <x:c r="AK275" s="139" t="n"/>
      <x:c r="AL275" s="139" t="n"/>
      <x:c r="AM275" s="139" t="n"/>
      <x:c r="AN275" s="139" t="n"/>
      <x:c r="AO275" s="139" t="n"/>
      <x:c r="AP275" s="139" t="n"/>
      <x:c r="AQ275" s="139" t="n"/>
      <x:c r="AR275" s="139" t="n"/>
      <x:c r="AS275" s="139" t="n"/>
      <x:c r="AT275" s="139" t="n"/>
      <x:c r="AU275" s="139" t="n"/>
      <x:c r="AV275" s="139" t="n"/>
      <x:c r="AW275" s="139" t="n"/>
      <x:c r="AX275" s="139" t="n"/>
      <x:c r="AY275" s="139" t="n"/>
      <x:c r="AZ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c r="V276" s="139" t="n"/>
      <x:c r="W276" s="139" t="n"/>
      <x:c r="X276" s="139" t="n"/>
      <x:c r="Y276" s="139" t="n"/>
      <x:c r="Z276" s="139" t="n"/>
      <x:c r="AA276" s="139" t="n"/>
      <x:c r="AB276" s="139" t="n"/>
      <x:c r="AC276" s="139" t="n"/>
      <x:c r="AD276" s="139" t="n"/>
      <x:c r="AE276" s="139" t="n"/>
      <x:c r="AF276" s="139" t="n"/>
      <x:c r="AG276" s="139" t="n"/>
      <x:c r="AH276" s="139" t="n"/>
      <x:c r="AI276" s="139" t="n"/>
      <x:c r="AJ276" s="139" t="n"/>
      <x:c r="AK276" s="139" t="n"/>
      <x:c r="AL276" s="139" t="n"/>
      <x:c r="AM276" s="139" t="n"/>
      <x:c r="AN276" s="139" t="n"/>
      <x:c r="AO276" s="139" t="n"/>
      <x:c r="AP276" s="139" t="n"/>
      <x:c r="AQ276" s="139" t="n"/>
      <x:c r="AR276" s="139" t="n"/>
      <x:c r="AS276" s="139" t="n"/>
      <x:c r="AT276" s="139" t="n"/>
      <x:c r="AU276" s="139" t="n"/>
      <x:c r="AV276" s="139" t="n"/>
      <x:c r="AW276" s="139" t="n"/>
      <x:c r="AX276" s="139" t="n"/>
      <x:c r="AY276" s="139" t="n"/>
      <x:c r="AZ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c r="V277" s="139" t="n"/>
      <x:c r="W277" s="139" t="n"/>
      <x:c r="X277" s="139" t="n"/>
      <x:c r="Y277" s="139" t="n"/>
      <x:c r="Z277" s="139" t="n"/>
      <x:c r="AA277" s="139" t="n"/>
      <x:c r="AB277" s="139" t="n"/>
      <x:c r="AC277" s="139" t="n"/>
      <x:c r="AD277" s="139" t="n"/>
      <x:c r="AE277" s="139" t="n"/>
      <x:c r="AF277" s="139" t="n"/>
      <x:c r="AG277" s="139" t="n"/>
      <x:c r="AH277" s="139" t="n"/>
      <x:c r="AI277" s="139" t="n"/>
      <x:c r="AJ277" s="139" t="n"/>
      <x:c r="AK277" s="139" t="n"/>
      <x:c r="AL277" s="139" t="n"/>
      <x:c r="AM277" s="139" t="n"/>
      <x:c r="AN277" s="139" t="n"/>
      <x:c r="AO277" s="139" t="n"/>
      <x:c r="AP277" s="139" t="n"/>
      <x:c r="AQ277" s="139" t="n"/>
      <x:c r="AR277" s="139" t="n"/>
      <x:c r="AS277" s="139" t="n"/>
      <x:c r="AT277" s="139" t="n"/>
      <x:c r="AU277" s="139" t="n"/>
      <x:c r="AV277" s="139" t="n"/>
      <x:c r="AW277" s="139" t="n"/>
      <x:c r="AX277" s="139" t="n"/>
      <x:c r="AY277" s="139" t="n"/>
      <x:c r="AZ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c r="V278" s="139" t="n"/>
      <x:c r="W278" s="139" t="n"/>
      <x:c r="X278" s="139" t="n"/>
      <x:c r="Y278" s="139" t="n"/>
      <x:c r="Z278" s="139" t="n"/>
      <x:c r="AA278" s="139" t="n"/>
      <x:c r="AB278" s="139" t="n"/>
      <x:c r="AC278" s="139" t="n"/>
      <x:c r="AD278" s="139" t="n"/>
      <x:c r="AE278" s="139" t="n"/>
      <x:c r="AF278" s="139" t="n"/>
      <x:c r="AG278" s="139" t="n"/>
      <x:c r="AH278" s="139" t="n"/>
      <x:c r="AI278" s="139" t="n"/>
      <x:c r="AJ278" s="139" t="n"/>
      <x:c r="AK278" s="139" t="n"/>
      <x:c r="AL278" s="139" t="n"/>
      <x:c r="AM278" s="139" t="n"/>
      <x:c r="AN278" s="139" t="n"/>
      <x:c r="AO278" s="139" t="n"/>
      <x:c r="AP278" s="139" t="n"/>
      <x:c r="AQ278" s="139" t="n"/>
      <x:c r="AR278" s="139" t="n"/>
      <x:c r="AS278" s="139" t="n"/>
      <x:c r="AT278" s="139" t="n"/>
      <x:c r="AU278" s="139" t="n"/>
      <x:c r="AV278" s="139" t="n"/>
      <x:c r="AW278" s="139" t="n"/>
      <x:c r="AX278" s="139" t="n"/>
      <x:c r="AY278" s="139" t="n"/>
      <x:c r="AZ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c r="V279" s="139" t="n"/>
      <x:c r="W279" s="139" t="n"/>
      <x:c r="X279" s="139" t="n"/>
      <x:c r="Y279" s="139" t="n"/>
      <x:c r="Z279" s="139" t="n"/>
      <x:c r="AA279" s="139" t="n"/>
      <x:c r="AB279" s="139" t="n"/>
      <x:c r="AC279" s="139" t="n"/>
      <x:c r="AD279" s="139" t="n"/>
      <x:c r="AE279" s="139" t="n"/>
      <x:c r="AF279" s="139" t="n"/>
      <x:c r="AG279" s="139" t="n"/>
      <x:c r="AH279" s="139" t="n"/>
      <x:c r="AI279" s="139" t="n"/>
      <x:c r="AJ279" s="139" t="n"/>
      <x:c r="AK279" s="139" t="n"/>
      <x:c r="AL279" s="139" t="n"/>
      <x:c r="AM279" s="139" t="n"/>
      <x:c r="AN279" s="139" t="n"/>
      <x:c r="AO279" s="139" t="n"/>
      <x:c r="AP279" s="139" t="n"/>
      <x:c r="AQ279" s="139" t="n"/>
      <x:c r="AR279" s="139" t="n"/>
      <x:c r="AS279" s="139" t="n"/>
      <x:c r="AT279" s="139" t="n"/>
      <x:c r="AU279" s="139" t="n"/>
      <x:c r="AV279" s="139" t="n"/>
      <x:c r="AW279" s="139" t="n"/>
      <x:c r="AX279" s="139" t="n"/>
      <x:c r="AY279" s="139" t="n"/>
      <x:c r="AZ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c r="V280" s="139" t="n"/>
      <x:c r="W280" s="139" t="n"/>
      <x:c r="X280" s="139" t="n"/>
      <x:c r="Y280" s="139" t="n"/>
      <x:c r="Z280" s="139" t="n"/>
      <x:c r="AA280" s="139" t="n"/>
      <x:c r="AB280" s="139" t="n"/>
      <x:c r="AC280" s="139" t="n"/>
      <x:c r="AD280" s="139" t="n"/>
      <x:c r="AE280" s="139" t="n"/>
      <x:c r="AF280" s="139" t="n"/>
      <x:c r="AG280" s="139" t="n"/>
      <x:c r="AH280" s="139" t="n"/>
      <x:c r="AI280" s="139" t="n"/>
      <x:c r="AJ280" s="139" t="n"/>
      <x:c r="AK280" s="139" t="n"/>
      <x:c r="AL280" s="139" t="n"/>
      <x:c r="AM280" s="139" t="n"/>
      <x:c r="AN280" s="139" t="n"/>
      <x:c r="AO280" s="139" t="n"/>
      <x:c r="AP280" s="139" t="n"/>
      <x:c r="AQ280" s="139" t="n"/>
      <x:c r="AR280" s="139" t="n"/>
      <x:c r="AS280" s="139" t="n"/>
      <x:c r="AT280" s="139" t="n"/>
      <x:c r="AU280" s="139" t="n"/>
      <x:c r="AV280" s="139" t="n"/>
      <x:c r="AW280" s="139" t="n"/>
      <x:c r="AX280" s="139" t="n"/>
      <x:c r="AY280" s="139" t="n"/>
      <x:c r="AZ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c r="V281" s="139" t="n"/>
      <x:c r="W281" s="139" t="n"/>
      <x:c r="X281" s="139" t="n"/>
      <x:c r="Y281" s="139" t="n"/>
      <x:c r="Z281" s="139" t="n"/>
      <x:c r="AA281" s="139" t="n"/>
      <x:c r="AB281" s="139" t="n"/>
      <x:c r="AC281" s="139" t="n"/>
      <x:c r="AD281" s="139" t="n"/>
      <x:c r="AE281" s="139" t="n"/>
      <x:c r="AF281" s="139" t="n"/>
      <x:c r="AG281" s="139" t="n"/>
      <x:c r="AH281" s="139" t="n"/>
      <x:c r="AI281" s="139" t="n"/>
      <x:c r="AJ281" s="139" t="n"/>
      <x:c r="AK281" s="139" t="n"/>
      <x:c r="AL281" s="139" t="n"/>
      <x:c r="AM281" s="139" t="n"/>
      <x:c r="AN281" s="139" t="n"/>
      <x:c r="AO281" s="139" t="n"/>
      <x:c r="AP281" s="139" t="n"/>
      <x:c r="AQ281" s="139" t="n"/>
      <x:c r="AR281" s="139" t="n"/>
      <x:c r="AS281" s="139" t="n"/>
      <x:c r="AT281" s="139" t="n"/>
      <x:c r="AU281" s="139" t="n"/>
      <x:c r="AV281" s="139" t="n"/>
      <x:c r="AW281" s="139" t="n"/>
      <x:c r="AX281" s="139" t="n"/>
      <x:c r="AY281" s="139" t="n"/>
      <x:c r="AZ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c r="V282" s="139" t="n"/>
      <x:c r="W282" s="139" t="n"/>
      <x:c r="X282" s="139" t="n"/>
      <x:c r="Y282" s="139" t="n"/>
      <x:c r="Z282" s="139" t="n"/>
      <x:c r="AA282" s="139" t="n"/>
      <x:c r="AB282" s="139" t="n"/>
      <x:c r="AC282" s="139" t="n"/>
      <x:c r="AD282" s="139" t="n"/>
      <x:c r="AE282" s="139" t="n"/>
      <x:c r="AF282" s="139" t="n"/>
      <x:c r="AG282" s="139" t="n"/>
      <x:c r="AH282" s="139" t="n"/>
      <x:c r="AI282" s="139" t="n"/>
      <x:c r="AJ282" s="139" t="n"/>
      <x:c r="AK282" s="139" t="n"/>
      <x:c r="AL282" s="139" t="n"/>
      <x:c r="AM282" s="139" t="n"/>
      <x:c r="AN282" s="139" t="n"/>
      <x:c r="AO282" s="139" t="n"/>
      <x:c r="AP282" s="139" t="n"/>
      <x:c r="AQ282" s="139" t="n"/>
      <x:c r="AR282" s="139" t="n"/>
      <x:c r="AS282" s="139" t="n"/>
      <x:c r="AT282" s="139" t="n"/>
      <x:c r="AU282" s="139" t="n"/>
      <x:c r="AV282" s="139" t="n"/>
      <x:c r="AW282" s="139" t="n"/>
      <x:c r="AX282" s="139" t="n"/>
      <x:c r="AY282" s="139" t="n"/>
      <x:c r="AZ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c r="V283" s="139" t="n"/>
      <x:c r="W283" s="139" t="n"/>
      <x:c r="X283" s="139" t="n"/>
      <x:c r="Y283" s="139" t="n"/>
      <x:c r="Z283" s="139" t="n"/>
      <x:c r="AA283" s="139" t="n"/>
      <x:c r="AB283" s="139" t="n"/>
      <x:c r="AC283" s="139" t="n"/>
      <x:c r="AD283" s="139" t="n"/>
      <x:c r="AE283" s="139" t="n"/>
      <x:c r="AF283" s="139" t="n"/>
      <x:c r="AG283" s="139" t="n"/>
      <x:c r="AH283" s="139" t="n"/>
      <x:c r="AI283" s="139" t="n"/>
      <x:c r="AJ283" s="139" t="n"/>
      <x:c r="AK283" s="139" t="n"/>
      <x:c r="AL283" s="139" t="n"/>
      <x:c r="AM283" s="139" t="n"/>
      <x:c r="AN283" s="139" t="n"/>
      <x:c r="AO283" s="139" t="n"/>
      <x:c r="AP283" s="139" t="n"/>
      <x:c r="AQ283" s="139" t="n"/>
      <x:c r="AR283" s="139" t="n"/>
      <x:c r="AS283" s="139" t="n"/>
      <x:c r="AT283" s="139" t="n"/>
      <x:c r="AU283" s="139" t="n"/>
      <x:c r="AV283" s="139" t="n"/>
      <x:c r="AW283" s="139" t="n"/>
      <x:c r="AX283" s="139" t="n"/>
      <x:c r="AY283" s="139" t="n"/>
      <x:c r="AZ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c r="V284" s="139" t="n"/>
      <x:c r="W284" s="139" t="n"/>
      <x:c r="X284" s="139" t="n"/>
      <x:c r="Y284" s="139" t="n"/>
      <x:c r="Z284" s="139" t="n"/>
      <x:c r="AA284" s="139" t="n"/>
      <x:c r="AB284" s="139" t="n"/>
      <x:c r="AC284" s="139" t="n"/>
      <x:c r="AD284" s="139" t="n"/>
      <x:c r="AE284" s="139" t="n"/>
      <x:c r="AF284" s="139" t="n"/>
      <x:c r="AG284" s="139" t="n"/>
      <x:c r="AH284" s="139" t="n"/>
      <x:c r="AI284" s="139" t="n"/>
      <x:c r="AJ284" s="139" t="n"/>
      <x:c r="AK284" s="139" t="n"/>
      <x:c r="AL284" s="139" t="n"/>
      <x:c r="AM284" s="139" t="n"/>
      <x:c r="AN284" s="139" t="n"/>
      <x:c r="AO284" s="139" t="n"/>
      <x:c r="AP284" s="139" t="n"/>
      <x:c r="AQ284" s="139" t="n"/>
      <x:c r="AR284" s="139" t="n"/>
      <x:c r="AS284" s="139" t="n"/>
      <x:c r="AT284" s="139" t="n"/>
      <x:c r="AU284" s="139" t="n"/>
      <x:c r="AV284" s="139" t="n"/>
      <x:c r="AW284" s="139" t="n"/>
      <x:c r="AX284" s="139" t="n"/>
      <x:c r="AY284" s="139" t="n"/>
      <x:c r="AZ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c r="V285" s="139" t="n"/>
      <x:c r="W285" s="139" t="n"/>
      <x:c r="X285" s="139" t="n"/>
      <x:c r="Y285" s="139" t="n"/>
      <x:c r="Z285" s="139" t="n"/>
      <x:c r="AA285" s="139" t="n"/>
      <x:c r="AB285" s="139" t="n"/>
      <x:c r="AC285" s="139" t="n"/>
      <x:c r="AD285" s="139" t="n"/>
      <x:c r="AE285" s="139" t="n"/>
      <x:c r="AF285" s="139" t="n"/>
      <x:c r="AG285" s="139" t="n"/>
      <x:c r="AH285" s="139" t="n"/>
      <x:c r="AI285" s="139" t="n"/>
      <x:c r="AJ285" s="139" t="n"/>
      <x:c r="AK285" s="139" t="n"/>
      <x:c r="AL285" s="139" t="n"/>
      <x:c r="AM285" s="139" t="n"/>
      <x:c r="AN285" s="139" t="n"/>
      <x:c r="AO285" s="139" t="n"/>
      <x:c r="AP285" s="139" t="n"/>
      <x:c r="AQ285" s="139" t="n"/>
      <x:c r="AR285" s="139" t="n"/>
      <x:c r="AS285" s="139" t="n"/>
      <x:c r="AT285" s="139" t="n"/>
      <x:c r="AU285" s="139" t="n"/>
      <x:c r="AV285" s="139" t="n"/>
      <x:c r="AW285" s="139" t="n"/>
      <x:c r="AX285" s="139" t="n"/>
      <x:c r="AY285" s="139" t="n"/>
      <x:c r="AZ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c r="V286" s="139" t="n"/>
      <x:c r="W286" s="139" t="n"/>
      <x:c r="X286" s="139" t="n"/>
      <x:c r="Y286" s="139" t="n"/>
      <x:c r="Z286" s="139" t="n"/>
      <x:c r="AA286" s="139" t="n"/>
      <x:c r="AB286" s="139" t="n"/>
      <x:c r="AC286" s="139" t="n"/>
      <x:c r="AD286" s="139" t="n"/>
      <x:c r="AE286" s="139" t="n"/>
      <x:c r="AF286" s="139" t="n"/>
      <x:c r="AG286" s="139" t="n"/>
      <x:c r="AH286" s="139" t="n"/>
      <x:c r="AI286" s="139" t="n"/>
      <x:c r="AJ286" s="139" t="n"/>
      <x:c r="AK286" s="139" t="n"/>
      <x:c r="AL286" s="139" t="n"/>
      <x:c r="AM286" s="139" t="n"/>
      <x:c r="AN286" s="139" t="n"/>
      <x:c r="AO286" s="139" t="n"/>
      <x:c r="AP286" s="139" t="n"/>
      <x:c r="AQ286" s="139" t="n"/>
      <x:c r="AR286" s="139" t="n"/>
      <x:c r="AS286" s="139" t="n"/>
      <x:c r="AT286" s="139" t="n"/>
      <x:c r="AU286" s="139" t="n"/>
      <x:c r="AV286" s="139" t="n"/>
      <x:c r="AW286" s="139" t="n"/>
      <x:c r="AX286" s="139" t="n"/>
      <x:c r="AY286" s="139" t="n"/>
      <x:c r="AZ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c r="V287" s="139" t="n"/>
      <x:c r="W287" s="139" t="n"/>
      <x:c r="X287" s="139" t="n"/>
      <x:c r="Y287" s="139" t="n"/>
      <x:c r="Z287" s="139" t="n"/>
      <x:c r="AA287" s="139" t="n"/>
      <x:c r="AB287" s="139" t="n"/>
      <x:c r="AC287" s="139" t="n"/>
      <x:c r="AD287" s="139" t="n"/>
      <x:c r="AE287" s="139" t="n"/>
      <x:c r="AF287" s="139" t="n"/>
      <x:c r="AG287" s="139" t="n"/>
      <x:c r="AH287" s="139" t="n"/>
      <x:c r="AI287" s="139" t="n"/>
      <x:c r="AJ287" s="139" t="n"/>
      <x:c r="AK287" s="139" t="n"/>
      <x:c r="AL287" s="139" t="n"/>
      <x:c r="AM287" s="139" t="n"/>
      <x:c r="AN287" s="139" t="n"/>
      <x:c r="AO287" s="139" t="n"/>
      <x:c r="AP287" s="139" t="n"/>
      <x:c r="AQ287" s="139" t="n"/>
      <x:c r="AR287" s="139" t="n"/>
      <x:c r="AS287" s="139" t="n"/>
      <x:c r="AT287" s="139" t="n"/>
      <x:c r="AU287" s="139" t="n"/>
      <x:c r="AV287" s="139" t="n"/>
      <x:c r="AW287" s="139" t="n"/>
      <x:c r="AX287" s="139" t="n"/>
      <x:c r="AY287" s="139" t="n"/>
      <x:c r="AZ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c r="V288" s="139" t="n"/>
      <x:c r="W288" s="139" t="n"/>
      <x:c r="X288" s="139" t="n"/>
      <x:c r="Y288" s="139" t="n"/>
      <x:c r="Z288" s="139" t="n"/>
      <x:c r="AA288" s="139" t="n"/>
      <x:c r="AB288" s="139" t="n"/>
      <x:c r="AC288" s="139" t="n"/>
      <x:c r="AD288" s="139" t="n"/>
      <x:c r="AE288" s="139" t="n"/>
      <x:c r="AF288" s="139" t="n"/>
      <x:c r="AG288" s="139" t="n"/>
      <x:c r="AH288" s="139" t="n"/>
      <x:c r="AI288" s="139" t="n"/>
      <x:c r="AJ288" s="139" t="n"/>
      <x:c r="AK288" s="139" t="n"/>
      <x:c r="AL288" s="139" t="n"/>
      <x:c r="AM288" s="139" t="n"/>
      <x:c r="AN288" s="139" t="n"/>
      <x:c r="AO288" s="139" t="n"/>
      <x:c r="AP288" s="139" t="n"/>
      <x:c r="AQ288" s="139" t="n"/>
      <x:c r="AR288" s="139" t="n"/>
      <x:c r="AS288" s="139" t="n"/>
      <x:c r="AT288" s="139" t="n"/>
      <x:c r="AU288" s="139" t="n"/>
      <x:c r="AV288" s="139" t="n"/>
      <x:c r="AW288" s="139" t="n"/>
      <x:c r="AX288" s="139" t="n"/>
      <x:c r="AY288" s="139" t="n"/>
      <x:c r="AZ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c r="V289" s="139" t="n"/>
      <x:c r="W289" s="139" t="n"/>
      <x:c r="X289" s="139" t="n"/>
      <x:c r="Y289" s="139" t="n"/>
      <x:c r="Z289" s="139" t="n"/>
      <x:c r="AA289" s="139" t="n"/>
      <x:c r="AB289" s="139" t="n"/>
      <x:c r="AC289" s="139" t="n"/>
      <x:c r="AD289" s="139" t="n"/>
      <x:c r="AE289" s="139" t="n"/>
      <x:c r="AF289" s="139" t="n"/>
      <x:c r="AG289" s="139" t="n"/>
      <x:c r="AH289" s="139" t="n"/>
      <x:c r="AI289" s="139" t="n"/>
      <x:c r="AJ289" s="139" t="n"/>
      <x:c r="AK289" s="139" t="n"/>
      <x:c r="AL289" s="139" t="n"/>
      <x:c r="AM289" s="139" t="n"/>
      <x:c r="AN289" s="139" t="n"/>
      <x:c r="AO289" s="139" t="n"/>
      <x:c r="AP289" s="139" t="n"/>
      <x:c r="AQ289" s="139" t="n"/>
      <x:c r="AR289" s="139" t="n"/>
      <x:c r="AS289" s="139" t="n"/>
      <x:c r="AT289" s="139" t="n"/>
      <x:c r="AU289" s="139" t="n"/>
      <x:c r="AV289" s="139" t="n"/>
      <x:c r="AW289" s="139" t="n"/>
      <x:c r="AX289" s="139" t="n"/>
      <x:c r="AY289" s="139" t="n"/>
      <x:c r="AZ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c r="V290" s="139" t="n"/>
      <x:c r="W290" s="139" t="n"/>
      <x:c r="X290" s="139" t="n"/>
      <x:c r="Y290" s="139" t="n"/>
      <x:c r="Z290" s="139" t="n"/>
      <x:c r="AA290" s="139" t="n"/>
      <x:c r="AB290" s="139" t="n"/>
      <x:c r="AC290" s="139" t="n"/>
      <x:c r="AD290" s="139" t="n"/>
      <x:c r="AE290" s="139" t="n"/>
      <x:c r="AF290" s="139" t="n"/>
      <x:c r="AG290" s="139" t="n"/>
      <x:c r="AH290" s="139" t="n"/>
      <x:c r="AI290" s="139" t="n"/>
      <x:c r="AJ290" s="139" t="n"/>
      <x:c r="AK290" s="139" t="n"/>
      <x:c r="AL290" s="139" t="n"/>
      <x:c r="AM290" s="139" t="n"/>
      <x:c r="AN290" s="139" t="n"/>
      <x:c r="AO290" s="139" t="n"/>
      <x:c r="AP290" s="139" t="n"/>
      <x:c r="AQ290" s="139" t="n"/>
      <x:c r="AR290" s="139" t="n"/>
      <x:c r="AS290" s="139" t="n"/>
      <x:c r="AT290" s="139" t="n"/>
      <x:c r="AU290" s="139" t="n"/>
      <x:c r="AV290" s="139" t="n"/>
      <x:c r="AW290" s="139" t="n"/>
      <x:c r="AX290" s="139" t="n"/>
      <x:c r="AY290" s="139" t="n"/>
      <x:c r="AZ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c r="V291" s="139" t="n"/>
      <x:c r="W291" s="139" t="n"/>
      <x:c r="X291" s="139" t="n"/>
      <x:c r="Y291" s="139" t="n"/>
      <x:c r="Z291" s="139" t="n"/>
      <x:c r="AA291" s="139" t="n"/>
      <x:c r="AB291" s="139" t="n"/>
      <x:c r="AC291" s="139" t="n"/>
      <x:c r="AD291" s="139" t="n"/>
      <x:c r="AE291" s="139" t="n"/>
      <x:c r="AF291" s="139" t="n"/>
      <x:c r="AG291" s="139" t="n"/>
      <x:c r="AH291" s="139" t="n"/>
      <x:c r="AI291" s="139" t="n"/>
      <x:c r="AJ291" s="139" t="n"/>
      <x:c r="AK291" s="139" t="n"/>
      <x:c r="AL291" s="139" t="n"/>
      <x:c r="AM291" s="139" t="n"/>
      <x:c r="AN291" s="139" t="n"/>
      <x:c r="AO291" s="139" t="n"/>
      <x:c r="AP291" s="139" t="n"/>
      <x:c r="AQ291" s="139" t="n"/>
      <x:c r="AR291" s="139" t="n"/>
      <x:c r="AS291" s="139" t="n"/>
      <x:c r="AT291" s="139" t="n"/>
      <x:c r="AU291" s="139" t="n"/>
      <x:c r="AV291" s="139" t="n"/>
      <x:c r="AW291" s="139" t="n"/>
      <x:c r="AX291" s="139" t="n"/>
      <x:c r="AY291" s="139" t="n"/>
      <x:c r="AZ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c r="V292" s="139" t="n"/>
      <x:c r="W292" s="139" t="n"/>
      <x:c r="X292" s="139" t="n"/>
      <x:c r="Y292" s="139" t="n"/>
      <x:c r="Z292" s="139" t="n"/>
      <x:c r="AA292" s="139" t="n"/>
      <x:c r="AB292" s="139" t="n"/>
      <x:c r="AC292" s="139" t="n"/>
      <x:c r="AD292" s="139" t="n"/>
      <x:c r="AE292" s="139" t="n"/>
      <x:c r="AF292" s="139" t="n"/>
      <x:c r="AG292" s="139" t="n"/>
      <x:c r="AH292" s="139" t="n"/>
      <x:c r="AI292" s="139" t="n"/>
      <x:c r="AJ292" s="139" t="n"/>
      <x:c r="AK292" s="139" t="n"/>
      <x:c r="AL292" s="139" t="n"/>
      <x:c r="AM292" s="139" t="n"/>
      <x:c r="AN292" s="139" t="n"/>
      <x:c r="AO292" s="139" t="n"/>
      <x:c r="AP292" s="139" t="n"/>
      <x:c r="AQ292" s="139" t="n"/>
      <x:c r="AR292" s="139" t="n"/>
      <x:c r="AS292" s="139" t="n"/>
      <x:c r="AT292" s="139" t="n"/>
      <x:c r="AU292" s="139" t="n"/>
      <x:c r="AV292" s="139" t="n"/>
      <x:c r="AW292" s="139" t="n"/>
      <x:c r="AX292" s="139" t="n"/>
      <x:c r="AY292" s="139" t="n"/>
      <x:c r="AZ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c r="V293" s="139" t="n"/>
      <x:c r="W293" s="139" t="n"/>
      <x:c r="X293" s="139" t="n"/>
      <x:c r="Y293" s="139" t="n"/>
      <x:c r="Z293" s="139" t="n"/>
      <x:c r="AA293" s="139" t="n"/>
      <x:c r="AB293" s="139" t="n"/>
      <x:c r="AC293" s="139" t="n"/>
      <x:c r="AD293" s="139" t="n"/>
      <x:c r="AE293" s="139" t="n"/>
      <x:c r="AF293" s="139" t="n"/>
      <x:c r="AG293" s="139" t="n"/>
      <x:c r="AH293" s="139" t="n"/>
      <x:c r="AI293" s="139" t="n"/>
      <x:c r="AJ293" s="139" t="n"/>
      <x:c r="AK293" s="139" t="n"/>
      <x:c r="AL293" s="139" t="n"/>
      <x:c r="AM293" s="139" t="n"/>
      <x:c r="AN293" s="139" t="n"/>
      <x:c r="AO293" s="139" t="n"/>
      <x:c r="AP293" s="139" t="n"/>
      <x:c r="AQ293" s="139" t="n"/>
      <x:c r="AR293" s="139" t="n"/>
      <x:c r="AS293" s="139" t="n"/>
      <x:c r="AT293" s="139" t="n"/>
      <x:c r="AU293" s="139" t="n"/>
      <x:c r="AV293" s="139" t="n"/>
      <x:c r="AW293" s="139" t="n"/>
      <x:c r="AX293" s="139" t="n"/>
      <x:c r="AY293" s="139" t="n"/>
      <x:c r="AZ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c r="V294" s="139" t="n"/>
      <x:c r="W294" s="139" t="n"/>
      <x:c r="X294" s="139" t="n"/>
      <x:c r="Y294" s="139" t="n"/>
      <x:c r="Z294" s="139" t="n"/>
      <x:c r="AA294" s="139" t="n"/>
      <x:c r="AB294" s="139" t="n"/>
      <x:c r="AC294" s="139" t="n"/>
      <x:c r="AD294" s="139" t="n"/>
      <x:c r="AE294" s="139" t="n"/>
      <x:c r="AF294" s="139" t="n"/>
      <x:c r="AG294" s="139" t="n"/>
      <x:c r="AH294" s="139" t="n"/>
      <x:c r="AI294" s="139" t="n"/>
      <x:c r="AJ294" s="139" t="n"/>
      <x:c r="AK294" s="139" t="n"/>
      <x:c r="AL294" s="139" t="n"/>
      <x:c r="AM294" s="139" t="n"/>
      <x:c r="AN294" s="139" t="n"/>
      <x:c r="AO294" s="139" t="n"/>
      <x:c r="AP294" s="139" t="n"/>
      <x:c r="AQ294" s="139" t="n"/>
      <x:c r="AR294" s="139" t="n"/>
      <x:c r="AS294" s="139" t="n"/>
      <x:c r="AT294" s="139" t="n"/>
      <x:c r="AU294" s="139" t="n"/>
      <x:c r="AV294" s="139" t="n"/>
      <x:c r="AW294" s="139" t="n"/>
      <x:c r="AX294" s="139" t="n"/>
      <x:c r="AY294" s="139" t="n"/>
      <x:c r="AZ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c r="V295" s="139" t="n"/>
      <x:c r="W295" s="139" t="n"/>
      <x:c r="X295" s="139" t="n"/>
      <x:c r="Y295" s="139" t="n"/>
      <x:c r="Z295" s="139" t="n"/>
      <x:c r="AA295" s="139" t="n"/>
      <x:c r="AB295" s="139" t="n"/>
      <x:c r="AC295" s="139" t="n"/>
      <x:c r="AD295" s="139" t="n"/>
      <x:c r="AE295" s="139" t="n"/>
      <x:c r="AF295" s="139" t="n"/>
      <x:c r="AG295" s="139" t="n"/>
      <x:c r="AH295" s="139" t="n"/>
      <x:c r="AI295" s="139" t="n"/>
      <x:c r="AJ295" s="139" t="n"/>
      <x:c r="AK295" s="139" t="n"/>
      <x:c r="AL295" s="139" t="n"/>
      <x:c r="AM295" s="139" t="n"/>
      <x:c r="AN295" s="139" t="n"/>
      <x:c r="AO295" s="139" t="n"/>
      <x:c r="AP295" s="139" t="n"/>
      <x:c r="AQ295" s="139" t="n"/>
      <x:c r="AR295" s="139" t="n"/>
      <x:c r="AS295" s="139" t="n"/>
      <x:c r="AT295" s="139" t="n"/>
      <x:c r="AU295" s="139" t="n"/>
      <x:c r="AV295" s="139" t="n"/>
      <x:c r="AW295" s="139" t="n"/>
      <x:c r="AX295" s="139" t="n"/>
      <x:c r="AY295" s="139" t="n"/>
      <x:c r="AZ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c r="V296" s="139" t="n"/>
      <x:c r="W296" s="139" t="n"/>
      <x:c r="X296" s="139" t="n"/>
      <x:c r="Y296" s="139" t="n"/>
      <x:c r="Z296" s="139" t="n"/>
      <x:c r="AA296" s="139" t="n"/>
      <x:c r="AB296" s="139" t="n"/>
      <x:c r="AC296" s="139" t="n"/>
      <x:c r="AD296" s="139" t="n"/>
      <x:c r="AE296" s="139" t="n"/>
      <x:c r="AF296" s="139" t="n"/>
      <x:c r="AG296" s="139" t="n"/>
      <x:c r="AH296" s="139" t="n"/>
      <x:c r="AI296" s="139" t="n"/>
      <x:c r="AJ296" s="139" t="n"/>
      <x:c r="AK296" s="139" t="n"/>
      <x:c r="AL296" s="139" t="n"/>
      <x:c r="AM296" s="139" t="n"/>
      <x:c r="AN296" s="139" t="n"/>
      <x:c r="AO296" s="139" t="n"/>
      <x:c r="AP296" s="139" t="n"/>
      <x:c r="AQ296" s="139" t="n"/>
      <x:c r="AR296" s="139" t="n"/>
      <x:c r="AS296" s="139" t="n"/>
      <x:c r="AT296" s="139" t="n"/>
      <x:c r="AU296" s="139" t="n"/>
      <x:c r="AV296" s="139" t="n"/>
      <x:c r="AW296" s="139" t="n"/>
      <x:c r="AX296" s="139" t="n"/>
      <x:c r="AY296" s="139" t="n"/>
      <x:c r="AZ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c r="V297" s="139" t="n"/>
      <x:c r="W297" s="139" t="n"/>
      <x:c r="X297" s="139" t="n"/>
      <x:c r="Y297" s="139" t="n"/>
      <x:c r="Z297" s="139" t="n"/>
      <x:c r="AA297" s="139" t="n"/>
      <x:c r="AB297" s="139" t="n"/>
      <x:c r="AC297" s="139" t="n"/>
      <x:c r="AD297" s="139" t="n"/>
      <x:c r="AE297" s="139" t="n"/>
      <x:c r="AF297" s="139" t="n"/>
      <x:c r="AG297" s="139" t="n"/>
      <x:c r="AH297" s="139" t="n"/>
      <x:c r="AI297" s="139" t="n"/>
      <x:c r="AJ297" s="139" t="n"/>
      <x:c r="AK297" s="139" t="n"/>
      <x:c r="AL297" s="139" t="n"/>
      <x:c r="AM297" s="139" t="n"/>
      <x:c r="AN297" s="139" t="n"/>
      <x:c r="AO297" s="139" t="n"/>
      <x:c r="AP297" s="139" t="n"/>
      <x:c r="AQ297" s="139" t="n"/>
      <x:c r="AR297" s="139" t="n"/>
      <x:c r="AS297" s="139" t="n"/>
      <x:c r="AT297" s="139" t="n"/>
      <x:c r="AU297" s="139" t="n"/>
      <x:c r="AV297" s="139" t="n"/>
      <x:c r="AW297" s="139" t="n"/>
      <x:c r="AX297" s="139" t="n"/>
      <x:c r="AY297" s="139" t="n"/>
      <x:c r="AZ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c r="V298" s="139" t="n"/>
      <x:c r="W298" s="139" t="n"/>
      <x:c r="X298" s="139" t="n"/>
      <x:c r="Y298" s="139" t="n"/>
      <x:c r="Z298" s="139" t="n"/>
      <x:c r="AA298" s="139" t="n"/>
      <x:c r="AB298" s="139" t="n"/>
      <x:c r="AC298" s="139" t="n"/>
      <x:c r="AD298" s="139" t="n"/>
      <x:c r="AE298" s="139" t="n"/>
      <x:c r="AF298" s="139" t="n"/>
      <x:c r="AG298" s="139" t="n"/>
      <x:c r="AH298" s="139" t="n"/>
      <x:c r="AI298" s="139" t="n"/>
      <x:c r="AJ298" s="139" t="n"/>
      <x:c r="AK298" s="139" t="n"/>
      <x:c r="AL298" s="139" t="n"/>
      <x:c r="AM298" s="139" t="n"/>
      <x:c r="AN298" s="139" t="n"/>
      <x:c r="AO298" s="139" t="n"/>
      <x:c r="AP298" s="139" t="n"/>
      <x:c r="AQ298" s="139" t="n"/>
      <x:c r="AR298" s="139" t="n"/>
      <x:c r="AS298" s="139" t="n"/>
      <x:c r="AT298" s="139" t="n"/>
      <x:c r="AU298" s="139" t="n"/>
      <x:c r="AV298" s="139" t="n"/>
      <x:c r="AW298" s="139" t="n"/>
      <x:c r="AX298" s="139" t="n"/>
      <x:c r="AY298" s="139" t="n"/>
      <x:c r="AZ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c r="V299" s="139" t="n"/>
      <x:c r="W299" s="139" t="n"/>
      <x:c r="X299" s="139" t="n"/>
      <x:c r="Y299" s="139" t="n"/>
      <x:c r="Z299" s="139" t="n"/>
      <x:c r="AA299" s="139" t="n"/>
      <x:c r="AB299" s="139" t="n"/>
      <x:c r="AC299" s="139" t="n"/>
      <x:c r="AD299" s="139" t="n"/>
      <x:c r="AE299" s="139" t="n"/>
      <x:c r="AF299" s="139" t="n"/>
      <x:c r="AG299" s="139" t="n"/>
      <x:c r="AH299" s="139" t="n"/>
      <x:c r="AI299" s="139" t="n"/>
      <x:c r="AJ299" s="139" t="n"/>
      <x:c r="AK299" s="139" t="n"/>
      <x:c r="AL299" s="139" t="n"/>
      <x:c r="AM299" s="139" t="n"/>
      <x:c r="AN299" s="139" t="n"/>
      <x:c r="AO299" s="139" t="n"/>
      <x:c r="AP299" s="139" t="n"/>
      <x:c r="AQ299" s="139" t="n"/>
      <x:c r="AR299" s="139" t="n"/>
      <x:c r="AS299" s="139" t="n"/>
      <x:c r="AT299" s="139" t="n"/>
      <x:c r="AU299" s="139" t="n"/>
      <x:c r="AV299" s="139" t="n"/>
      <x:c r="AW299" s="139" t="n"/>
      <x:c r="AX299" s="139" t="n"/>
      <x:c r="AY299" s="139" t="n"/>
      <x:c r="AZ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c r="V300" s="139" t="n"/>
      <x:c r="W300" s="139" t="n"/>
      <x:c r="X300" s="139" t="n"/>
      <x:c r="Y300" s="139" t="n"/>
      <x:c r="Z300" s="139" t="n"/>
      <x:c r="AA300" s="139" t="n"/>
      <x:c r="AB300" s="139" t="n"/>
      <x:c r="AC300" s="139" t="n"/>
      <x:c r="AD300" s="139" t="n"/>
      <x:c r="AE300" s="139" t="n"/>
      <x:c r="AF300" s="139" t="n"/>
      <x:c r="AG300" s="139" t="n"/>
      <x:c r="AH300" s="139" t="n"/>
      <x:c r="AI300" s="139" t="n"/>
      <x:c r="AJ300" s="139" t="n"/>
      <x:c r="AK300" s="139" t="n"/>
      <x:c r="AL300" s="139" t="n"/>
      <x:c r="AM300" s="139" t="n"/>
      <x:c r="AN300" s="139" t="n"/>
      <x:c r="AO300" s="139" t="n"/>
      <x:c r="AP300" s="139" t="n"/>
      <x:c r="AQ300" s="139" t="n"/>
      <x:c r="AR300" s="139" t="n"/>
      <x:c r="AS300" s="139" t="n"/>
      <x:c r="AT300" s="139" t="n"/>
      <x:c r="AU300" s="139" t="n"/>
      <x:c r="AV300" s="139" t="n"/>
      <x:c r="AW300" s="139" t="n"/>
      <x:c r="AX300" s="139" t="n"/>
      <x:c r="AY300" s="139" t="n"/>
      <x:c r="AZ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c r="V301" s="139" t="n"/>
      <x:c r="W301" s="139" t="n"/>
      <x:c r="X301" s="139" t="n"/>
      <x:c r="Y301" s="139" t="n"/>
      <x:c r="Z301" s="139" t="n"/>
      <x:c r="AA301" s="139" t="n"/>
      <x:c r="AB301" s="139" t="n"/>
      <x:c r="AC301" s="139" t="n"/>
      <x:c r="AD301" s="139" t="n"/>
      <x:c r="AE301" s="139" t="n"/>
      <x:c r="AF301" s="139" t="n"/>
      <x:c r="AG301" s="139" t="n"/>
      <x:c r="AH301" s="139" t="n"/>
      <x:c r="AI301" s="139" t="n"/>
      <x:c r="AJ301" s="139" t="n"/>
      <x:c r="AK301" s="139" t="n"/>
      <x:c r="AL301" s="139" t="n"/>
      <x:c r="AM301" s="139" t="n"/>
      <x:c r="AN301" s="139" t="n"/>
      <x:c r="AO301" s="139" t="n"/>
      <x:c r="AP301" s="139" t="n"/>
      <x:c r="AQ301" s="139" t="n"/>
      <x:c r="AR301" s="139" t="n"/>
      <x:c r="AS301" s="139" t="n"/>
      <x:c r="AT301" s="139" t="n"/>
      <x:c r="AU301" s="139" t="n"/>
      <x:c r="AV301" s="139" t="n"/>
      <x:c r="AW301" s="139" t="n"/>
      <x:c r="AX301" s="139" t="n"/>
      <x:c r="AY301" s="139" t="n"/>
      <x:c r="AZ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c r="V302" s="139" t="n"/>
      <x:c r="W302" s="139" t="n"/>
      <x:c r="X302" s="139" t="n"/>
      <x:c r="Y302" s="139" t="n"/>
      <x:c r="Z302" s="139" t="n"/>
      <x:c r="AA302" s="139" t="n"/>
      <x:c r="AB302" s="139" t="n"/>
      <x:c r="AC302" s="139" t="n"/>
      <x:c r="AD302" s="139" t="n"/>
      <x:c r="AE302" s="139" t="n"/>
      <x:c r="AF302" s="139" t="n"/>
      <x:c r="AG302" s="139" t="n"/>
      <x:c r="AH302" s="139" t="n"/>
      <x:c r="AI302" s="139" t="n"/>
      <x:c r="AJ302" s="139" t="n"/>
      <x:c r="AK302" s="139" t="n"/>
      <x:c r="AL302" s="139" t="n"/>
      <x:c r="AM302" s="139" t="n"/>
      <x:c r="AN302" s="139" t="n"/>
      <x:c r="AO302" s="139" t="n"/>
      <x:c r="AP302" s="139" t="n"/>
      <x:c r="AQ302" s="139" t="n"/>
      <x:c r="AR302" s="139" t="n"/>
      <x:c r="AS302" s="139" t="n"/>
      <x:c r="AT302" s="139" t="n"/>
      <x:c r="AU302" s="139" t="n"/>
      <x:c r="AV302" s="139" t="n"/>
      <x:c r="AW302" s="139" t="n"/>
      <x:c r="AX302" s="139" t="n"/>
      <x:c r="AY302" s="139" t="n"/>
      <x:c r="AZ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c r="V303" s="139" t="n"/>
      <x:c r="W303" s="139" t="n"/>
      <x:c r="X303" s="139" t="n"/>
      <x:c r="Y303" s="139" t="n"/>
      <x:c r="Z303" s="139" t="n"/>
      <x:c r="AA303" s="139" t="n"/>
      <x:c r="AB303" s="139" t="n"/>
      <x:c r="AC303" s="139" t="n"/>
      <x:c r="AD303" s="139" t="n"/>
      <x:c r="AE303" s="139" t="n"/>
      <x:c r="AF303" s="139" t="n"/>
      <x:c r="AG303" s="139" t="n"/>
      <x:c r="AH303" s="139" t="n"/>
      <x:c r="AI303" s="139" t="n"/>
      <x:c r="AJ303" s="139" t="n"/>
      <x:c r="AK303" s="139" t="n"/>
      <x:c r="AL303" s="139" t="n"/>
      <x:c r="AM303" s="139" t="n"/>
      <x:c r="AN303" s="139" t="n"/>
      <x:c r="AO303" s="139" t="n"/>
      <x:c r="AP303" s="139" t="n"/>
      <x:c r="AQ303" s="139" t="n"/>
      <x:c r="AR303" s="139" t="n"/>
      <x:c r="AS303" s="139" t="n"/>
      <x:c r="AT303" s="139" t="n"/>
      <x:c r="AU303" s="139" t="n"/>
      <x:c r="AV303" s="139" t="n"/>
      <x:c r="AW303" s="139" t="n"/>
      <x:c r="AX303" s="139" t="n"/>
      <x:c r="AY303" s="139" t="n"/>
      <x:c r="AZ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c r="V304" s="139" t="n"/>
      <x:c r="W304" s="139" t="n"/>
      <x:c r="X304" s="139" t="n"/>
      <x:c r="Y304" s="139" t="n"/>
      <x:c r="Z304" s="139" t="n"/>
      <x:c r="AA304" s="139" t="n"/>
      <x:c r="AB304" s="139" t="n"/>
      <x:c r="AC304" s="139" t="n"/>
      <x:c r="AD304" s="139" t="n"/>
      <x:c r="AE304" s="139" t="n"/>
      <x:c r="AF304" s="139" t="n"/>
      <x:c r="AG304" s="139" t="n"/>
      <x:c r="AH304" s="139" t="n"/>
      <x:c r="AI304" s="139" t="n"/>
      <x:c r="AJ304" s="139" t="n"/>
      <x:c r="AK304" s="139" t="n"/>
      <x:c r="AL304" s="139" t="n"/>
      <x:c r="AM304" s="139" t="n"/>
      <x:c r="AN304" s="139" t="n"/>
      <x:c r="AO304" s="139" t="n"/>
      <x:c r="AP304" s="139" t="n"/>
      <x:c r="AQ304" s="139" t="n"/>
      <x:c r="AR304" s="139" t="n"/>
      <x:c r="AS304" s="139" t="n"/>
      <x:c r="AT304" s="139" t="n"/>
      <x:c r="AU304" s="139" t="n"/>
      <x:c r="AV304" s="139" t="n"/>
      <x:c r="AW304" s="139" t="n"/>
      <x:c r="AX304" s="139" t="n"/>
      <x:c r="AY304" s="139" t="n"/>
      <x:c r="AZ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c r="V305" s="139" t="n"/>
      <x:c r="W305" s="139" t="n"/>
      <x:c r="X305" s="139" t="n"/>
      <x:c r="Y305" s="139" t="n"/>
      <x:c r="Z305" s="139" t="n"/>
      <x:c r="AA305" s="139" t="n"/>
      <x:c r="AB305" s="139" t="n"/>
      <x:c r="AC305" s="139" t="n"/>
      <x:c r="AD305" s="139" t="n"/>
      <x:c r="AE305" s="139" t="n"/>
      <x:c r="AF305" s="139" t="n"/>
      <x:c r="AG305" s="139" t="n"/>
      <x:c r="AH305" s="139" t="n"/>
      <x:c r="AI305" s="139" t="n"/>
      <x:c r="AJ305" s="139" t="n"/>
      <x:c r="AK305" s="139" t="n"/>
      <x:c r="AL305" s="139" t="n"/>
      <x:c r="AM305" s="139" t="n"/>
      <x:c r="AN305" s="139" t="n"/>
      <x:c r="AO305" s="139" t="n"/>
      <x:c r="AP305" s="139" t="n"/>
      <x:c r="AQ305" s="139" t="n"/>
      <x:c r="AR305" s="139" t="n"/>
      <x:c r="AS305" s="139" t="n"/>
      <x:c r="AT305" s="139" t="n"/>
      <x:c r="AU305" s="139" t="n"/>
      <x:c r="AV305" s="139" t="n"/>
      <x:c r="AW305" s="139" t="n"/>
      <x:c r="AX305" s="139" t="n"/>
      <x:c r="AY305" s="139" t="n"/>
      <x:c r="AZ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c r="V306" s="139" t="n"/>
      <x:c r="W306" s="139" t="n"/>
      <x:c r="X306" s="139" t="n"/>
      <x:c r="Y306" s="139" t="n"/>
      <x:c r="Z306" s="139" t="n"/>
      <x:c r="AA306" s="139" t="n"/>
      <x:c r="AB306" s="139" t="n"/>
      <x:c r="AC306" s="139" t="n"/>
      <x:c r="AD306" s="139" t="n"/>
      <x:c r="AE306" s="139" t="n"/>
      <x:c r="AF306" s="139" t="n"/>
      <x:c r="AG306" s="139" t="n"/>
      <x:c r="AH306" s="139" t="n"/>
      <x:c r="AI306" s="139" t="n"/>
      <x:c r="AJ306" s="139" t="n"/>
      <x:c r="AK306" s="139" t="n"/>
      <x:c r="AL306" s="139" t="n"/>
      <x:c r="AM306" s="139" t="n"/>
      <x:c r="AN306" s="139" t="n"/>
      <x:c r="AO306" s="139" t="n"/>
      <x:c r="AP306" s="139" t="n"/>
      <x:c r="AQ306" s="139" t="n"/>
      <x:c r="AR306" s="139" t="n"/>
      <x:c r="AS306" s="139" t="n"/>
      <x:c r="AT306" s="139" t="n"/>
      <x:c r="AU306" s="139" t="n"/>
      <x:c r="AV306" s="139" t="n"/>
      <x:c r="AW306" s="139" t="n"/>
      <x:c r="AX306" s="139" t="n"/>
      <x:c r="AY306" s="139" t="n"/>
      <x:c r="AZ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c r="V307" s="139" t="n"/>
      <x:c r="W307" s="139" t="n"/>
      <x:c r="X307" s="139" t="n"/>
      <x:c r="Y307" s="139" t="n"/>
      <x:c r="Z307" s="139" t="n"/>
      <x:c r="AA307" s="139" t="n"/>
      <x:c r="AB307" s="139" t="n"/>
      <x:c r="AC307" s="139" t="n"/>
      <x:c r="AD307" s="139" t="n"/>
      <x:c r="AE307" s="139" t="n"/>
      <x:c r="AF307" s="139" t="n"/>
      <x:c r="AG307" s="139" t="n"/>
      <x:c r="AH307" s="139" t="n"/>
      <x:c r="AI307" s="139" t="n"/>
      <x:c r="AJ307" s="139" t="n"/>
      <x:c r="AK307" s="139" t="n"/>
      <x:c r="AL307" s="139" t="n"/>
      <x:c r="AM307" s="139" t="n"/>
      <x:c r="AN307" s="139" t="n"/>
      <x:c r="AO307" s="139" t="n"/>
      <x:c r="AP307" s="139" t="n"/>
      <x:c r="AQ307" s="139" t="n"/>
      <x:c r="AR307" s="139" t="n"/>
      <x:c r="AS307" s="139" t="n"/>
      <x:c r="AT307" s="139" t="n"/>
      <x:c r="AU307" s="139" t="n"/>
      <x:c r="AV307" s="139" t="n"/>
      <x:c r="AW307" s="139" t="n"/>
      <x:c r="AX307" s="139" t="n"/>
      <x:c r="AY307" s="139" t="n"/>
      <x:c r="AZ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c r="V308" s="139" t="n"/>
      <x:c r="W308" s="139" t="n"/>
      <x:c r="X308" s="139" t="n"/>
      <x:c r="Y308" s="139" t="n"/>
      <x:c r="Z308" s="139" t="n"/>
      <x:c r="AA308" s="139" t="n"/>
      <x:c r="AB308" s="139" t="n"/>
      <x:c r="AC308" s="139" t="n"/>
      <x:c r="AD308" s="139" t="n"/>
      <x:c r="AE308" s="139" t="n"/>
      <x:c r="AF308" s="139" t="n"/>
      <x:c r="AG308" s="139" t="n"/>
      <x:c r="AH308" s="139" t="n"/>
      <x:c r="AI308" s="139" t="n"/>
      <x:c r="AJ308" s="139" t="n"/>
      <x:c r="AK308" s="139" t="n"/>
      <x:c r="AL308" s="139" t="n"/>
      <x:c r="AM308" s="139" t="n"/>
      <x:c r="AN308" s="139" t="n"/>
      <x:c r="AO308" s="139" t="n"/>
      <x:c r="AP308" s="139" t="n"/>
      <x:c r="AQ308" s="139" t="n"/>
      <x:c r="AR308" s="139" t="n"/>
      <x:c r="AS308" s="139" t="n"/>
      <x:c r="AT308" s="139" t="n"/>
      <x:c r="AU308" s="139" t="n"/>
      <x:c r="AV308" s="139" t="n"/>
      <x:c r="AW308" s="139" t="n"/>
      <x:c r="AX308" s="139" t="n"/>
      <x:c r="AY308" s="139" t="n"/>
      <x:c r="AZ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c r="V309" s="139" t="n"/>
      <x:c r="W309" s="139" t="n"/>
      <x:c r="X309" s="139" t="n"/>
      <x:c r="Y309" s="139" t="n"/>
      <x:c r="Z309" s="139" t="n"/>
      <x:c r="AA309" s="139" t="n"/>
      <x:c r="AB309" s="139" t="n"/>
      <x:c r="AC309" s="139" t="n"/>
      <x:c r="AD309" s="139" t="n"/>
      <x:c r="AE309" s="139" t="n"/>
      <x:c r="AF309" s="139" t="n"/>
      <x:c r="AG309" s="139" t="n"/>
      <x:c r="AH309" s="139" t="n"/>
      <x:c r="AI309" s="139" t="n"/>
      <x:c r="AJ309" s="139" t="n"/>
      <x:c r="AK309" s="139" t="n"/>
      <x:c r="AL309" s="139" t="n"/>
      <x:c r="AM309" s="139" t="n"/>
      <x:c r="AN309" s="139" t="n"/>
      <x:c r="AO309" s="139" t="n"/>
      <x:c r="AP309" s="139" t="n"/>
      <x:c r="AQ309" s="139" t="n"/>
      <x:c r="AR309" s="139" t="n"/>
      <x:c r="AS309" s="139" t="n"/>
      <x:c r="AT309" s="139" t="n"/>
      <x:c r="AU309" s="139" t="n"/>
      <x:c r="AV309" s="139" t="n"/>
      <x:c r="AW309" s="139" t="n"/>
      <x:c r="AX309" s="139" t="n"/>
      <x:c r="AY309" s="139" t="n"/>
      <x:c r="AZ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c r="V310" s="139" t="n"/>
      <x:c r="W310" s="139" t="n"/>
      <x:c r="X310" s="139" t="n"/>
      <x:c r="Y310" s="139" t="n"/>
      <x:c r="Z310" s="139" t="n"/>
      <x:c r="AA310" s="139" t="n"/>
      <x:c r="AB310" s="139" t="n"/>
      <x:c r="AC310" s="139" t="n"/>
      <x:c r="AD310" s="139" t="n"/>
      <x:c r="AE310" s="139" t="n"/>
      <x:c r="AF310" s="139" t="n"/>
      <x:c r="AG310" s="139" t="n"/>
      <x:c r="AH310" s="139" t="n"/>
      <x:c r="AI310" s="139" t="n"/>
      <x:c r="AJ310" s="139" t="n"/>
      <x:c r="AK310" s="139" t="n"/>
      <x:c r="AL310" s="139" t="n"/>
      <x:c r="AM310" s="139" t="n"/>
      <x:c r="AN310" s="139" t="n"/>
      <x:c r="AO310" s="139" t="n"/>
      <x:c r="AP310" s="139" t="n"/>
      <x:c r="AQ310" s="139" t="n"/>
      <x:c r="AR310" s="139" t="n"/>
      <x:c r="AS310" s="139" t="n"/>
      <x:c r="AT310" s="139" t="n"/>
      <x:c r="AU310" s="139" t="n"/>
      <x:c r="AV310" s="139" t="n"/>
      <x:c r="AW310" s="139" t="n"/>
      <x:c r="AX310" s="139" t="n"/>
      <x:c r="AY310" s="139" t="n"/>
      <x:c r="AZ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c r="V311" s="139" t="n"/>
      <x:c r="W311" s="139" t="n"/>
      <x:c r="X311" s="139" t="n"/>
      <x:c r="Y311" s="139" t="n"/>
      <x:c r="Z311" s="139" t="n"/>
      <x:c r="AA311" s="139" t="n"/>
      <x:c r="AB311" s="139" t="n"/>
      <x:c r="AC311" s="139" t="n"/>
      <x:c r="AD311" s="139" t="n"/>
      <x:c r="AE311" s="139" t="n"/>
      <x:c r="AF311" s="139" t="n"/>
      <x:c r="AG311" s="139" t="n"/>
      <x:c r="AH311" s="139" t="n"/>
      <x:c r="AI311" s="139" t="n"/>
      <x:c r="AJ311" s="139" t="n"/>
      <x:c r="AK311" s="139" t="n"/>
      <x:c r="AL311" s="139" t="n"/>
      <x:c r="AM311" s="139" t="n"/>
      <x:c r="AN311" s="139" t="n"/>
      <x:c r="AO311" s="139" t="n"/>
      <x:c r="AP311" s="139" t="n"/>
      <x:c r="AQ311" s="139" t="n"/>
      <x:c r="AR311" s="139" t="n"/>
      <x:c r="AS311" s="139" t="n"/>
      <x:c r="AT311" s="139" t="n"/>
      <x:c r="AU311" s="139" t="n"/>
      <x:c r="AV311" s="139" t="n"/>
      <x:c r="AW311" s="139" t="n"/>
      <x:c r="AX311" s="139" t="n"/>
      <x:c r="AY311" s="139" t="n"/>
      <x:c r="AZ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c r="V312" s="139" t="n"/>
      <x:c r="W312" s="139" t="n"/>
      <x:c r="X312" s="139" t="n"/>
      <x:c r="Y312" s="139" t="n"/>
      <x:c r="Z312" s="139" t="n"/>
      <x:c r="AA312" s="139" t="n"/>
      <x:c r="AB312" s="139" t="n"/>
      <x:c r="AC312" s="139" t="n"/>
      <x:c r="AD312" s="139" t="n"/>
      <x:c r="AE312" s="139" t="n"/>
      <x:c r="AF312" s="139" t="n"/>
      <x:c r="AG312" s="139" t="n"/>
      <x:c r="AH312" s="139" t="n"/>
      <x:c r="AI312" s="139" t="n"/>
      <x:c r="AJ312" s="139" t="n"/>
      <x:c r="AK312" s="139" t="n"/>
      <x:c r="AL312" s="139" t="n"/>
      <x:c r="AM312" s="139" t="n"/>
      <x:c r="AN312" s="139" t="n"/>
      <x:c r="AO312" s="139" t="n"/>
      <x:c r="AP312" s="139" t="n"/>
      <x:c r="AQ312" s="139" t="n"/>
      <x:c r="AR312" s="139" t="n"/>
      <x:c r="AS312" s="139" t="n"/>
      <x:c r="AT312" s="139" t="n"/>
      <x:c r="AU312" s="139" t="n"/>
      <x:c r="AV312" s="139" t="n"/>
      <x:c r="AW312" s="139" t="n"/>
      <x:c r="AX312" s="139" t="n"/>
      <x:c r="AY312" s="139" t="n"/>
      <x:c r="AZ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c r="V313" s="139" t="n"/>
      <x:c r="W313" s="139" t="n"/>
      <x:c r="X313" s="139" t="n"/>
      <x:c r="Y313" s="139" t="n"/>
      <x:c r="Z313" s="139" t="n"/>
      <x:c r="AA313" s="139" t="n"/>
      <x:c r="AB313" s="139" t="n"/>
      <x:c r="AC313" s="139" t="n"/>
      <x:c r="AD313" s="139" t="n"/>
      <x:c r="AE313" s="139" t="n"/>
      <x:c r="AF313" s="139" t="n"/>
      <x:c r="AG313" s="139" t="n"/>
      <x:c r="AH313" s="139" t="n"/>
      <x:c r="AI313" s="139" t="n"/>
      <x:c r="AJ313" s="139" t="n"/>
      <x:c r="AK313" s="139" t="n"/>
      <x:c r="AL313" s="139" t="n"/>
      <x:c r="AM313" s="139" t="n"/>
      <x:c r="AN313" s="139" t="n"/>
      <x:c r="AO313" s="139" t="n"/>
      <x:c r="AP313" s="139" t="n"/>
      <x:c r="AQ313" s="139" t="n"/>
      <x:c r="AR313" s="139" t="n"/>
      <x:c r="AS313" s="139" t="n"/>
      <x:c r="AT313" s="139" t="n"/>
      <x:c r="AU313" s="139" t="n"/>
      <x:c r="AV313" s="139" t="n"/>
      <x:c r="AW313" s="139" t="n"/>
      <x:c r="AX313" s="139" t="n"/>
      <x:c r="AY313" s="139" t="n"/>
      <x:c r="AZ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c r="V314" s="139" t="n"/>
      <x:c r="W314" s="139" t="n"/>
      <x:c r="X314" s="139" t="n"/>
      <x:c r="Y314" s="139" t="n"/>
      <x:c r="Z314" s="139" t="n"/>
      <x:c r="AA314" s="139" t="n"/>
      <x:c r="AB314" s="139" t="n"/>
      <x:c r="AC314" s="139" t="n"/>
      <x:c r="AD314" s="139" t="n"/>
      <x:c r="AE314" s="139" t="n"/>
      <x:c r="AF314" s="139" t="n"/>
      <x:c r="AG314" s="139" t="n"/>
      <x:c r="AH314" s="139" t="n"/>
      <x:c r="AI314" s="139" t="n"/>
      <x:c r="AJ314" s="139" t="n"/>
      <x:c r="AK314" s="139" t="n"/>
      <x:c r="AL314" s="139" t="n"/>
      <x:c r="AM314" s="139" t="n"/>
      <x:c r="AN314" s="139" t="n"/>
      <x:c r="AO314" s="139" t="n"/>
      <x:c r="AP314" s="139" t="n"/>
      <x:c r="AQ314" s="139" t="n"/>
      <x:c r="AR314" s="139" t="n"/>
      <x:c r="AS314" s="139" t="n"/>
      <x:c r="AT314" s="139" t="n"/>
      <x:c r="AU314" s="139" t="n"/>
      <x:c r="AV314" s="139" t="n"/>
      <x:c r="AW314" s="139" t="n"/>
      <x:c r="AX314" s="139" t="n"/>
      <x:c r="AY314" s="139" t="n"/>
      <x:c r="AZ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c r="V315" s="139" t="n"/>
      <x:c r="W315" s="139" t="n"/>
      <x:c r="X315" s="139" t="n"/>
      <x:c r="Y315" s="139" t="n"/>
      <x:c r="Z315" s="139" t="n"/>
      <x:c r="AA315" s="139" t="n"/>
      <x:c r="AB315" s="139" t="n"/>
      <x:c r="AC315" s="139" t="n"/>
      <x:c r="AD315" s="139" t="n"/>
      <x:c r="AE315" s="139" t="n"/>
      <x:c r="AF315" s="139" t="n"/>
      <x:c r="AG315" s="139" t="n"/>
      <x:c r="AH315" s="139" t="n"/>
      <x:c r="AI315" s="139" t="n"/>
      <x:c r="AJ315" s="139" t="n"/>
      <x:c r="AK315" s="139" t="n"/>
      <x:c r="AL315" s="139" t="n"/>
      <x:c r="AM315" s="139" t="n"/>
      <x:c r="AN315" s="139" t="n"/>
      <x:c r="AO315" s="139" t="n"/>
      <x:c r="AP315" s="139" t="n"/>
      <x:c r="AQ315" s="139" t="n"/>
      <x:c r="AR315" s="139" t="n"/>
      <x:c r="AS315" s="139" t="n"/>
      <x:c r="AT315" s="139" t="n"/>
      <x:c r="AU315" s="139" t="n"/>
      <x:c r="AV315" s="139" t="n"/>
      <x:c r="AW315" s="139" t="n"/>
      <x:c r="AX315" s="139" t="n"/>
      <x:c r="AY315" s="139" t="n"/>
      <x:c r="AZ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c r="V316" s="139" t="n"/>
      <x:c r="W316" s="139" t="n"/>
      <x:c r="X316" s="139" t="n"/>
      <x:c r="Y316" s="139" t="n"/>
      <x:c r="Z316" s="139" t="n"/>
      <x:c r="AA316" s="139" t="n"/>
      <x:c r="AB316" s="139" t="n"/>
      <x:c r="AC316" s="139" t="n"/>
      <x:c r="AD316" s="139" t="n"/>
      <x:c r="AE316" s="139" t="n"/>
      <x:c r="AF316" s="139" t="n"/>
      <x:c r="AG316" s="139" t="n"/>
      <x:c r="AH316" s="139" t="n"/>
      <x:c r="AI316" s="139" t="n"/>
      <x:c r="AJ316" s="139" t="n"/>
      <x:c r="AK316" s="139" t="n"/>
      <x:c r="AL316" s="139" t="n"/>
      <x:c r="AM316" s="139" t="n"/>
      <x:c r="AN316" s="139" t="n"/>
      <x:c r="AO316" s="139" t="n"/>
      <x:c r="AP316" s="139" t="n"/>
      <x:c r="AQ316" s="139" t="n"/>
      <x:c r="AR316" s="139" t="n"/>
      <x:c r="AS316" s="139" t="n"/>
      <x:c r="AT316" s="139" t="n"/>
      <x:c r="AU316" s="139" t="n"/>
      <x:c r="AV316" s="139" t="n"/>
      <x:c r="AW316" s="139" t="n"/>
      <x:c r="AX316" s="139" t="n"/>
      <x:c r="AY316" s="139" t="n"/>
      <x:c r="AZ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c r="V317" s="139" t="n"/>
      <x:c r="W317" s="139" t="n"/>
      <x:c r="X317" s="139" t="n"/>
      <x:c r="Y317" s="139" t="n"/>
      <x:c r="Z317" s="139" t="n"/>
      <x:c r="AA317" s="139" t="n"/>
      <x:c r="AB317" s="139" t="n"/>
      <x:c r="AC317" s="139" t="n"/>
      <x:c r="AD317" s="139" t="n"/>
      <x:c r="AE317" s="139" t="n"/>
      <x:c r="AF317" s="139" t="n"/>
      <x:c r="AG317" s="139" t="n"/>
      <x:c r="AH317" s="139" t="n"/>
      <x:c r="AI317" s="139" t="n"/>
      <x:c r="AJ317" s="139" t="n"/>
      <x:c r="AK317" s="139" t="n"/>
      <x:c r="AL317" s="139" t="n"/>
      <x:c r="AM317" s="139" t="n"/>
      <x:c r="AN317" s="139" t="n"/>
      <x:c r="AO317" s="139" t="n"/>
      <x:c r="AP317" s="139" t="n"/>
      <x:c r="AQ317" s="139" t="n"/>
      <x:c r="AR317" s="139" t="n"/>
      <x:c r="AS317" s="139" t="n"/>
      <x:c r="AT317" s="139" t="n"/>
      <x:c r="AU317" s="139" t="n"/>
      <x:c r="AV317" s="139" t="n"/>
      <x:c r="AW317" s="139" t="n"/>
      <x:c r="AX317" s="139" t="n"/>
      <x:c r="AY317" s="139" t="n"/>
      <x:c r="AZ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c r="V318" s="139" t="n"/>
      <x:c r="W318" s="139" t="n"/>
      <x:c r="X318" s="139" t="n"/>
      <x:c r="Y318" s="139" t="n"/>
      <x:c r="Z318" s="139" t="n"/>
      <x:c r="AA318" s="139" t="n"/>
      <x:c r="AB318" s="139" t="n"/>
      <x:c r="AC318" s="139" t="n"/>
      <x:c r="AD318" s="139" t="n"/>
      <x:c r="AE318" s="139" t="n"/>
      <x:c r="AF318" s="139" t="n"/>
      <x:c r="AG318" s="139" t="n"/>
      <x:c r="AH318" s="139" t="n"/>
      <x:c r="AI318" s="139" t="n"/>
      <x:c r="AJ318" s="139" t="n"/>
      <x:c r="AK318" s="139" t="n"/>
      <x:c r="AL318" s="139" t="n"/>
      <x:c r="AM318" s="139" t="n"/>
      <x:c r="AN318" s="139" t="n"/>
      <x:c r="AO318" s="139" t="n"/>
      <x:c r="AP318" s="139" t="n"/>
      <x:c r="AQ318" s="139" t="n"/>
      <x:c r="AR318" s="139" t="n"/>
      <x:c r="AS318" s="139" t="n"/>
      <x:c r="AT318" s="139" t="n"/>
      <x:c r="AU318" s="139" t="n"/>
      <x:c r="AV318" s="139" t="n"/>
      <x:c r="AW318" s="139" t="n"/>
      <x:c r="AX318" s="139" t="n"/>
      <x:c r="AY318" s="139" t="n"/>
      <x:c r="AZ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c r="V319" s="139" t="n"/>
      <x:c r="W319" s="139" t="n"/>
      <x:c r="X319" s="139" t="n"/>
      <x:c r="Y319" s="139" t="n"/>
      <x:c r="Z319" s="139" t="n"/>
      <x:c r="AA319" s="139" t="n"/>
      <x:c r="AB319" s="139" t="n"/>
      <x:c r="AC319" s="139" t="n"/>
      <x:c r="AD319" s="139" t="n"/>
      <x:c r="AE319" s="139" t="n"/>
      <x:c r="AF319" s="139" t="n"/>
      <x:c r="AG319" s="139" t="n"/>
      <x:c r="AH319" s="139" t="n"/>
      <x:c r="AI319" s="139" t="n"/>
      <x:c r="AJ319" s="139" t="n"/>
      <x:c r="AK319" s="139" t="n"/>
      <x:c r="AL319" s="139" t="n"/>
      <x:c r="AM319" s="139" t="n"/>
      <x:c r="AN319" s="139" t="n"/>
      <x:c r="AO319" s="139" t="n"/>
      <x:c r="AP319" s="139" t="n"/>
      <x:c r="AQ319" s="139" t="n"/>
      <x:c r="AR319" s="139" t="n"/>
      <x:c r="AS319" s="139" t="n"/>
      <x:c r="AT319" s="139" t="n"/>
      <x:c r="AU319" s="139" t="n"/>
      <x:c r="AV319" s="139" t="n"/>
      <x:c r="AW319" s="139" t="n"/>
      <x:c r="AX319" s="139" t="n"/>
      <x:c r="AY319" s="139" t="n"/>
      <x:c r="AZ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c r="V320" s="139" t="n"/>
      <x:c r="W320" s="139" t="n"/>
      <x:c r="X320" s="139" t="n"/>
      <x:c r="Y320" s="139" t="n"/>
      <x:c r="Z320" s="139" t="n"/>
      <x:c r="AA320" s="139" t="n"/>
      <x:c r="AB320" s="139" t="n"/>
      <x:c r="AC320" s="139" t="n"/>
      <x:c r="AD320" s="139" t="n"/>
      <x:c r="AE320" s="139" t="n"/>
      <x:c r="AF320" s="139" t="n"/>
      <x:c r="AG320" s="139" t="n"/>
      <x:c r="AH320" s="139" t="n"/>
      <x:c r="AI320" s="139" t="n"/>
      <x:c r="AJ320" s="139" t="n"/>
      <x:c r="AK320" s="139" t="n"/>
      <x:c r="AL320" s="139" t="n"/>
      <x:c r="AM320" s="139" t="n"/>
      <x:c r="AN320" s="139" t="n"/>
      <x:c r="AO320" s="139" t="n"/>
      <x:c r="AP320" s="139" t="n"/>
      <x:c r="AQ320" s="139" t="n"/>
      <x:c r="AR320" s="139" t="n"/>
      <x:c r="AS320" s="139" t="n"/>
      <x:c r="AT320" s="139" t="n"/>
      <x:c r="AU320" s="139" t="n"/>
      <x:c r="AV320" s="139" t="n"/>
      <x:c r="AW320" s="139" t="n"/>
      <x:c r="AX320" s="139" t="n"/>
      <x:c r="AY320" s="139" t="n"/>
      <x:c r="AZ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c r="V321" s="139" t="n"/>
      <x:c r="W321" s="139" t="n"/>
      <x:c r="X321" s="139" t="n"/>
      <x:c r="Y321" s="139" t="n"/>
      <x:c r="Z321" s="139" t="n"/>
      <x:c r="AA321" s="139" t="n"/>
      <x:c r="AB321" s="139" t="n"/>
      <x:c r="AC321" s="139" t="n"/>
      <x:c r="AD321" s="139" t="n"/>
      <x:c r="AE321" s="139" t="n"/>
      <x:c r="AF321" s="139" t="n"/>
      <x:c r="AG321" s="139" t="n"/>
      <x:c r="AH321" s="139" t="n"/>
      <x:c r="AI321" s="139" t="n"/>
      <x:c r="AJ321" s="139" t="n"/>
      <x:c r="AK321" s="139" t="n"/>
      <x:c r="AL321" s="139" t="n"/>
      <x:c r="AM321" s="139" t="n"/>
      <x:c r="AN321" s="139" t="n"/>
      <x:c r="AO321" s="139" t="n"/>
      <x:c r="AP321" s="139" t="n"/>
      <x:c r="AQ321" s="139" t="n"/>
      <x:c r="AR321" s="139" t="n"/>
      <x:c r="AS321" s="139" t="n"/>
      <x:c r="AT321" s="139" t="n"/>
      <x:c r="AU321" s="139" t="n"/>
      <x:c r="AV321" s="139" t="n"/>
      <x:c r="AW321" s="139" t="n"/>
      <x:c r="AX321" s="139" t="n"/>
      <x:c r="AY321" s="139" t="n"/>
      <x:c r="AZ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c r="V322" s="139" t="n"/>
      <x:c r="W322" s="139" t="n"/>
      <x:c r="X322" s="139" t="n"/>
      <x:c r="Y322" s="139" t="n"/>
      <x:c r="Z322" s="139" t="n"/>
      <x:c r="AA322" s="139" t="n"/>
      <x:c r="AB322" s="139" t="n"/>
      <x:c r="AC322" s="139" t="n"/>
      <x:c r="AD322" s="139" t="n"/>
      <x:c r="AE322" s="139" t="n"/>
      <x:c r="AF322" s="139" t="n"/>
      <x:c r="AG322" s="139" t="n"/>
      <x:c r="AH322" s="139" t="n"/>
      <x:c r="AI322" s="139" t="n"/>
      <x:c r="AJ322" s="139" t="n"/>
      <x:c r="AK322" s="139" t="n"/>
      <x:c r="AL322" s="139" t="n"/>
      <x:c r="AM322" s="139" t="n"/>
      <x:c r="AN322" s="139" t="n"/>
      <x:c r="AO322" s="139" t="n"/>
      <x:c r="AP322" s="139" t="n"/>
      <x:c r="AQ322" s="139" t="n"/>
      <x:c r="AR322" s="139" t="n"/>
      <x:c r="AS322" s="139" t="n"/>
      <x:c r="AT322" s="139" t="n"/>
      <x:c r="AU322" s="139" t="n"/>
      <x:c r="AV322" s="139" t="n"/>
      <x:c r="AW322" s="139" t="n"/>
      <x:c r="AX322" s="139" t="n"/>
      <x:c r="AY322" s="139" t="n"/>
      <x:c r="AZ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c r="V323" s="139" t="n"/>
      <x:c r="W323" s="139" t="n"/>
      <x:c r="X323" s="139" t="n"/>
      <x:c r="Y323" s="139" t="n"/>
      <x:c r="Z323" s="139" t="n"/>
      <x:c r="AA323" s="139" t="n"/>
      <x:c r="AB323" s="139" t="n"/>
      <x:c r="AC323" s="139" t="n"/>
      <x:c r="AD323" s="139" t="n"/>
      <x:c r="AE323" s="139" t="n"/>
      <x:c r="AF323" s="139" t="n"/>
      <x:c r="AG323" s="139" t="n"/>
      <x:c r="AH323" s="139" t="n"/>
      <x:c r="AI323" s="139" t="n"/>
      <x:c r="AJ323" s="139" t="n"/>
      <x:c r="AK323" s="139" t="n"/>
      <x:c r="AL323" s="139" t="n"/>
      <x:c r="AM323" s="139" t="n"/>
      <x:c r="AN323" s="139" t="n"/>
      <x:c r="AO323" s="139" t="n"/>
      <x:c r="AP323" s="139" t="n"/>
      <x:c r="AQ323" s="139" t="n"/>
      <x:c r="AR323" s="139" t="n"/>
      <x:c r="AS323" s="139" t="n"/>
      <x:c r="AT323" s="139" t="n"/>
      <x:c r="AU323" s="139" t="n"/>
      <x:c r="AV323" s="139" t="n"/>
      <x:c r="AW323" s="139" t="n"/>
      <x:c r="AX323" s="139" t="n"/>
      <x:c r="AY323" s="139" t="n"/>
      <x:c r="AZ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c r="V324" s="139" t="n"/>
      <x:c r="W324" s="139" t="n"/>
      <x:c r="X324" s="139" t="n"/>
      <x:c r="Y324" s="139" t="n"/>
      <x:c r="Z324" s="139" t="n"/>
      <x:c r="AA324" s="139" t="n"/>
      <x:c r="AB324" s="139" t="n"/>
      <x:c r="AC324" s="139" t="n"/>
      <x:c r="AD324" s="139" t="n"/>
      <x:c r="AE324" s="139" t="n"/>
      <x:c r="AF324" s="139" t="n"/>
      <x:c r="AG324" s="139" t="n"/>
      <x:c r="AH324" s="139" t="n"/>
      <x:c r="AI324" s="139" t="n"/>
      <x:c r="AJ324" s="139" t="n"/>
      <x:c r="AK324" s="139" t="n"/>
      <x:c r="AL324" s="139" t="n"/>
      <x:c r="AM324" s="139" t="n"/>
      <x:c r="AN324" s="139" t="n"/>
      <x:c r="AO324" s="139" t="n"/>
      <x:c r="AP324" s="139" t="n"/>
      <x:c r="AQ324" s="139" t="n"/>
      <x:c r="AR324" s="139" t="n"/>
      <x:c r="AS324" s="139" t="n"/>
      <x:c r="AT324" s="139" t="n"/>
      <x:c r="AU324" s="139" t="n"/>
      <x:c r="AV324" s="139" t="n"/>
      <x:c r="AW324" s="139" t="n"/>
      <x:c r="AX324" s="139" t="n"/>
      <x:c r="AY324" s="139" t="n"/>
      <x:c r="AZ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c r="V325" s="139" t="n"/>
      <x:c r="W325" s="139" t="n"/>
      <x:c r="X325" s="139" t="n"/>
      <x:c r="Y325" s="139" t="n"/>
      <x:c r="Z325" s="139" t="n"/>
      <x:c r="AA325" s="139" t="n"/>
      <x:c r="AB325" s="139" t="n"/>
      <x:c r="AC325" s="139" t="n"/>
      <x:c r="AD325" s="139" t="n"/>
      <x:c r="AE325" s="139" t="n"/>
      <x:c r="AF325" s="139" t="n"/>
      <x:c r="AG325" s="139" t="n"/>
      <x:c r="AH325" s="139" t="n"/>
      <x:c r="AI325" s="139" t="n"/>
      <x:c r="AJ325" s="139" t="n"/>
      <x:c r="AK325" s="139" t="n"/>
      <x:c r="AL325" s="139" t="n"/>
      <x:c r="AM325" s="139" t="n"/>
      <x:c r="AN325" s="139" t="n"/>
      <x:c r="AO325" s="139" t="n"/>
      <x:c r="AP325" s="139" t="n"/>
      <x:c r="AQ325" s="139" t="n"/>
      <x:c r="AR325" s="139" t="n"/>
      <x:c r="AS325" s="139" t="n"/>
      <x:c r="AT325" s="139" t="n"/>
      <x:c r="AU325" s="139" t="n"/>
      <x:c r="AV325" s="139" t="n"/>
      <x:c r="AW325" s="139" t="n"/>
      <x:c r="AX325" s="139" t="n"/>
      <x:c r="AY325" s="139" t="n"/>
      <x:c r="AZ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c r="V326" s="139" t="n"/>
      <x:c r="W326" s="139" t="n"/>
      <x:c r="X326" s="139" t="n"/>
      <x:c r="Y326" s="139" t="n"/>
      <x:c r="Z326" s="139" t="n"/>
      <x:c r="AA326" s="139" t="n"/>
      <x:c r="AB326" s="139" t="n"/>
      <x:c r="AC326" s="139" t="n"/>
      <x:c r="AD326" s="139" t="n"/>
      <x:c r="AE326" s="139" t="n"/>
      <x:c r="AF326" s="139" t="n"/>
      <x:c r="AG326" s="139" t="n"/>
      <x:c r="AH326" s="139" t="n"/>
      <x:c r="AI326" s="139" t="n"/>
      <x:c r="AJ326" s="139" t="n"/>
      <x:c r="AK326" s="139" t="n"/>
      <x:c r="AL326" s="139" t="n"/>
      <x:c r="AM326" s="139" t="n"/>
      <x:c r="AN326" s="139" t="n"/>
      <x:c r="AO326" s="139" t="n"/>
      <x:c r="AP326" s="139" t="n"/>
      <x:c r="AQ326" s="139" t="n"/>
      <x:c r="AR326" s="139" t="n"/>
      <x:c r="AS326" s="139" t="n"/>
      <x:c r="AT326" s="139" t="n"/>
      <x:c r="AU326" s="139" t="n"/>
      <x:c r="AV326" s="139" t="n"/>
      <x:c r="AW326" s="139" t="n"/>
      <x:c r="AX326" s="139" t="n"/>
      <x:c r="AY326" s="139" t="n"/>
      <x:c r="AZ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c r="V327" s="139" t="n"/>
      <x:c r="W327" s="139" t="n"/>
      <x:c r="X327" s="139" t="n"/>
      <x:c r="Y327" s="139" t="n"/>
      <x:c r="Z327" s="139" t="n"/>
      <x:c r="AA327" s="139" t="n"/>
      <x:c r="AB327" s="139" t="n"/>
      <x:c r="AC327" s="139" t="n"/>
      <x:c r="AD327" s="139" t="n"/>
      <x:c r="AE327" s="139" t="n"/>
      <x:c r="AF327" s="139" t="n"/>
      <x:c r="AG327" s="139" t="n"/>
      <x:c r="AH327" s="139" t="n"/>
      <x:c r="AI327" s="139" t="n"/>
      <x:c r="AJ327" s="139" t="n"/>
      <x:c r="AK327" s="139" t="n"/>
      <x:c r="AL327" s="139" t="n"/>
      <x:c r="AM327" s="139" t="n"/>
      <x:c r="AN327" s="139" t="n"/>
      <x:c r="AO327" s="139" t="n"/>
      <x:c r="AP327" s="139" t="n"/>
      <x:c r="AQ327" s="139" t="n"/>
      <x:c r="AR327" s="139" t="n"/>
      <x:c r="AS327" s="139" t="n"/>
      <x:c r="AT327" s="139" t="n"/>
      <x:c r="AU327" s="139" t="n"/>
      <x:c r="AV327" s="139" t="n"/>
      <x:c r="AW327" s="139" t="n"/>
      <x:c r="AX327" s="139" t="n"/>
      <x:c r="AY327" s="139" t="n"/>
      <x:c r="AZ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c r="V328" s="139" t="n"/>
      <x:c r="W328" s="139" t="n"/>
      <x:c r="X328" s="139" t="n"/>
      <x:c r="Y328" s="139" t="n"/>
      <x:c r="Z328" s="139" t="n"/>
      <x:c r="AA328" s="139" t="n"/>
      <x:c r="AB328" s="139" t="n"/>
      <x:c r="AC328" s="139" t="n"/>
      <x:c r="AD328" s="139" t="n"/>
      <x:c r="AE328" s="139" t="n"/>
      <x:c r="AF328" s="139" t="n"/>
      <x:c r="AG328" s="139" t="n"/>
      <x:c r="AH328" s="139" t="n"/>
      <x:c r="AI328" s="139" t="n"/>
      <x:c r="AJ328" s="139" t="n"/>
      <x:c r="AK328" s="139" t="n"/>
      <x:c r="AL328" s="139" t="n"/>
      <x:c r="AM328" s="139" t="n"/>
      <x:c r="AN328" s="139" t="n"/>
      <x:c r="AO328" s="139" t="n"/>
      <x:c r="AP328" s="139" t="n"/>
      <x:c r="AQ328" s="139" t="n"/>
      <x:c r="AR328" s="139" t="n"/>
      <x:c r="AS328" s="139" t="n"/>
      <x:c r="AT328" s="139" t="n"/>
      <x:c r="AU328" s="139" t="n"/>
      <x:c r="AV328" s="139" t="n"/>
      <x:c r="AW328" s="139" t="n"/>
      <x:c r="AX328" s="139" t="n"/>
      <x:c r="AY328" s="139" t="n"/>
      <x:c r="AZ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c r="V329" s="139" t="n"/>
      <x:c r="W329" s="139" t="n"/>
      <x:c r="X329" s="139" t="n"/>
      <x:c r="Y329" s="139" t="n"/>
      <x:c r="Z329" s="139" t="n"/>
      <x:c r="AA329" s="139" t="n"/>
      <x:c r="AB329" s="139" t="n"/>
      <x:c r="AC329" s="139" t="n"/>
      <x:c r="AD329" s="139" t="n"/>
      <x:c r="AE329" s="139" t="n"/>
      <x:c r="AF329" s="139" t="n"/>
      <x:c r="AG329" s="139" t="n"/>
      <x:c r="AH329" s="139" t="n"/>
      <x:c r="AI329" s="139" t="n"/>
      <x:c r="AJ329" s="139" t="n"/>
      <x:c r="AK329" s="139" t="n"/>
      <x:c r="AL329" s="139" t="n"/>
      <x:c r="AM329" s="139" t="n"/>
      <x:c r="AN329" s="139" t="n"/>
      <x:c r="AO329" s="139" t="n"/>
      <x:c r="AP329" s="139" t="n"/>
      <x:c r="AQ329" s="139" t="n"/>
      <x:c r="AR329" s="139" t="n"/>
      <x:c r="AS329" s="139" t="n"/>
      <x:c r="AT329" s="139" t="n"/>
      <x:c r="AU329" s="139" t="n"/>
      <x:c r="AV329" s="139" t="n"/>
      <x:c r="AW329" s="139" t="n"/>
      <x:c r="AX329" s="139" t="n"/>
      <x:c r="AY329" s="139" t="n"/>
      <x:c r="AZ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c r="V330" s="139" t="n"/>
      <x:c r="W330" s="139" t="n"/>
      <x:c r="X330" s="139" t="n"/>
      <x:c r="Y330" s="139" t="n"/>
      <x:c r="Z330" s="139" t="n"/>
      <x:c r="AA330" s="139" t="n"/>
      <x:c r="AB330" s="139" t="n"/>
      <x:c r="AC330" s="139" t="n"/>
      <x:c r="AD330" s="139" t="n"/>
      <x:c r="AE330" s="139" t="n"/>
      <x:c r="AF330" s="139" t="n"/>
      <x:c r="AG330" s="139" t="n"/>
      <x:c r="AH330" s="139" t="n"/>
      <x:c r="AI330" s="139" t="n"/>
      <x:c r="AJ330" s="139" t="n"/>
      <x:c r="AK330" s="139" t="n"/>
      <x:c r="AL330" s="139" t="n"/>
      <x:c r="AM330" s="139" t="n"/>
      <x:c r="AN330" s="139" t="n"/>
      <x:c r="AO330" s="139" t="n"/>
      <x:c r="AP330" s="139" t="n"/>
      <x:c r="AQ330" s="139" t="n"/>
      <x:c r="AR330" s="139" t="n"/>
      <x:c r="AS330" s="139" t="n"/>
      <x:c r="AT330" s="139" t="n"/>
      <x:c r="AU330" s="139" t="n"/>
      <x:c r="AV330" s="139" t="n"/>
      <x:c r="AW330" s="139" t="n"/>
      <x:c r="AX330" s="139" t="n"/>
      <x:c r="AY330" s="139" t="n"/>
      <x:c r="AZ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c r="V331" s="139" t="n"/>
      <x:c r="W331" s="139" t="n"/>
      <x:c r="X331" s="139" t="n"/>
      <x:c r="Y331" s="139" t="n"/>
      <x:c r="Z331" s="139" t="n"/>
      <x:c r="AA331" s="139" t="n"/>
      <x:c r="AB331" s="139" t="n"/>
      <x:c r="AC331" s="139" t="n"/>
      <x:c r="AD331" s="139" t="n"/>
      <x:c r="AE331" s="139" t="n"/>
      <x:c r="AF331" s="139" t="n"/>
      <x:c r="AG331" s="139" t="n"/>
      <x:c r="AH331" s="139" t="n"/>
      <x:c r="AI331" s="139" t="n"/>
      <x:c r="AJ331" s="139" t="n"/>
      <x:c r="AK331" s="139" t="n"/>
      <x:c r="AL331" s="139" t="n"/>
      <x:c r="AM331" s="139" t="n"/>
      <x:c r="AN331" s="139" t="n"/>
      <x:c r="AO331" s="139" t="n"/>
      <x:c r="AP331" s="139" t="n"/>
      <x:c r="AQ331" s="139" t="n"/>
      <x:c r="AR331" s="139" t="n"/>
      <x:c r="AS331" s="139" t="n"/>
      <x:c r="AT331" s="139" t="n"/>
      <x:c r="AU331" s="139" t="n"/>
      <x:c r="AV331" s="139" t="n"/>
      <x:c r="AW331" s="139" t="n"/>
      <x:c r="AX331" s="139" t="n"/>
      <x:c r="AY331" s="139" t="n"/>
      <x:c r="AZ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c r="V332" s="139" t="n"/>
      <x:c r="W332" s="139" t="n"/>
      <x:c r="X332" s="139" t="n"/>
      <x:c r="Y332" s="139" t="n"/>
      <x:c r="Z332" s="139" t="n"/>
      <x:c r="AA332" s="139" t="n"/>
      <x:c r="AB332" s="139" t="n"/>
      <x:c r="AC332" s="139" t="n"/>
      <x:c r="AD332" s="139" t="n"/>
      <x:c r="AE332" s="139" t="n"/>
      <x:c r="AF332" s="139" t="n"/>
      <x:c r="AG332" s="139" t="n"/>
      <x:c r="AH332" s="139" t="n"/>
      <x:c r="AI332" s="139" t="n"/>
      <x:c r="AJ332" s="139" t="n"/>
      <x:c r="AK332" s="139" t="n"/>
      <x:c r="AL332" s="139" t="n"/>
      <x:c r="AM332" s="139" t="n"/>
      <x:c r="AN332" s="139" t="n"/>
      <x:c r="AO332" s="139" t="n"/>
      <x:c r="AP332" s="139" t="n"/>
      <x:c r="AQ332" s="139" t="n"/>
      <x:c r="AR332" s="139" t="n"/>
      <x:c r="AS332" s="139" t="n"/>
      <x:c r="AT332" s="139" t="n"/>
      <x:c r="AU332" s="139" t="n"/>
      <x:c r="AV332" s="139" t="n"/>
      <x:c r="AW332" s="139" t="n"/>
      <x:c r="AX332" s="139" t="n"/>
      <x:c r="AY332" s="139" t="n"/>
      <x:c r="AZ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c r="V333" s="139" t="n"/>
      <x:c r="W333" s="139" t="n"/>
      <x:c r="X333" s="139" t="n"/>
      <x:c r="Y333" s="139" t="n"/>
      <x:c r="Z333" s="139" t="n"/>
      <x:c r="AA333" s="139" t="n"/>
      <x:c r="AB333" s="139" t="n"/>
      <x:c r="AC333" s="139" t="n"/>
      <x:c r="AD333" s="139" t="n"/>
      <x:c r="AE333" s="139" t="n"/>
      <x:c r="AF333" s="139" t="n"/>
      <x:c r="AG333" s="139" t="n"/>
      <x:c r="AH333" s="139" t="n"/>
      <x:c r="AI333" s="139" t="n"/>
      <x:c r="AJ333" s="139" t="n"/>
      <x:c r="AK333" s="139" t="n"/>
      <x:c r="AL333" s="139" t="n"/>
      <x:c r="AM333" s="139" t="n"/>
      <x:c r="AN333" s="139" t="n"/>
      <x:c r="AO333" s="139" t="n"/>
      <x:c r="AP333" s="139" t="n"/>
      <x:c r="AQ333" s="139" t="n"/>
      <x:c r="AR333" s="139" t="n"/>
      <x:c r="AS333" s="139" t="n"/>
      <x:c r="AT333" s="139" t="n"/>
      <x:c r="AU333" s="139" t="n"/>
      <x:c r="AV333" s="139" t="n"/>
      <x:c r="AW333" s="139" t="n"/>
      <x:c r="AX333" s="139" t="n"/>
      <x:c r="AY333" s="139" t="n"/>
      <x:c r="AZ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c r="V334" s="139" t="n"/>
      <x:c r="W334" s="139" t="n"/>
      <x:c r="X334" s="139" t="n"/>
      <x:c r="Y334" s="139" t="n"/>
      <x:c r="Z334" s="139" t="n"/>
      <x:c r="AA334" s="139" t="n"/>
      <x:c r="AB334" s="139" t="n"/>
      <x:c r="AC334" s="139" t="n"/>
      <x:c r="AD334" s="139" t="n"/>
      <x:c r="AE334" s="139" t="n"/>
      <x:c r="AF334" s="139" t="n"/>
      <x:c r="AG334" s="139" t="n"/>
      <x:c r="AH334" s="139" t="n"/>
      <x:c r="AI334" s="139" t="n"/>
      <x:c r="AJ334" s="139" t="n"/>
      <x:c r="AK334" s="139" t="n"/>
      <x:c r="AL334" s="139" t="n"/>
      <x:c r="AM334" s="139" t="n"/>
      <x:c r="AN334" s="139" t="n"/>
      <x:c r="AO334" s="139" t="n"/>
      <x:c r="AP334" s="139" t="n"/>
      <x:c r="AQ334" s="139" t="n"/>
      <x:c r="AR334" s="139" t="n"/>
      <x:c r="AS334" s="139" t="n"/>
      <x:c r="AT334" s="139" t="n"/>
      <x:c r="AU334" s="139" t="n"/>
      <x:c r="AV334" s="139" t="n"/>
      <x:c r="AW334" s="139" t="n"/>
      <x:c r="AX334" s="139" t="n"/>
      <x:c r="AY334" s="139" t="n"/>
      <x:c r="AZ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c r="V335" s="139" t="n"/>
      <x:c r="W335" s="139" t="n"/>
      <x:c r="X335" s="139" t="n"/>
      <x:c r="Y335" s="139" t="n"/>
      <x:c r="Z335" s="139" t="n"/>
      <x:c r="AA335" s="139" t="n"/>
      <x:c r="AB335" s="139" t="n"/>
      <x:c r="AC335" s="139" t="n"/>
      <x:c r="AD335" s="139" t="n"/>
      <x:c r="AE335" s="139" t="n"/>
      <x:c r="AF335" s="139" t="n"/>
      <x:c r="AG335" s="139" t="n"/>
      <x:c r="AH335" s="139" t="n"/>
      <x:c r="AI335" s="139" t="n"/>
      <x:c r="AJ335" s="139" t="n"/>
      <x:c r="AK335" s="139" t="n"/>
      <x:c r="AL335" s="139" t="n"/>
      <x:c r="AM335" s="139" t="n"/>
      <x:c r="AN335" s="139" t="n"/>
      <x:c r="AO335" s="139" t="n"/>
      <x:c r="AP335" s="139" t="n"/>
      <x:c r="AQ335" s="139" t="n"/>
      <x:c r="AR335" s="139" t="n"/>
      <x:c r="AS335" s="139" t="n"/>
      <x:c r="AT335" s="139" t="n"/>
      <x:c r="AU335" s="139" t="n"/>
      <x:c r="AV335" s="139" t="n"/>
      <x:c r="AW335" s="139" t="n"/>
      <x:c r="AX335" s="139" t="n"/>
      <x:c r="AY335" s="139" t="n"/>
      <x:c r="AZ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c r="V336" s="139" t="n"/>
      <x:c r="W336" s="139" t="n"/>
      <x:c r="X336" s="139" t="n"/>
      <x:c r="Y336" s="139" t="n"/>
      <x:c r="Z336" s="139" t="n"/>
      <x:c r="AA336" s="139" t="n"/>
      <x:c r="AB336" s="139" t="n"/>
      <x:c r="AC336" s="139" t="n"/>
      <x:c r="AD336" s="139" t="n"/>
      <x:c r="AE336" s="139" t="n"/>
      <x:c r="AF336" s="139" t="n"/>
      <x:c r="AG336" s="139" t="n"/>
      <x:c r="AH336" s="139" t="n"/>
      <x:c r="AI336" s="139" t="n"/>
      <x:c r="AJ336" s="139" t="n"/>
      <x:c r="AK336" s="139" t="n"/>
      <x:c r="AL336" s="139" t="n"/>
      <x:c r="AM336" s="139" t="n"/>
      <x:c r="AN336" s="139" t="n"/>
      <x:c r="AO336" s="139" t="n"/>
      <x:c r="AP336" s="139" t="n"/>
      <x:c r="AQ336" s="139" t="n"/>
      <x:c r="AR336" s="139" t="n"/>
      <x:c r="AS336" s="139" t="n"/>
      <x:c r="AT336" s="139" t="n"/>
      <x:c r="AU336" s="139" t="n"/>
      <x:c r="AV336" s="139" t="n"/>
      <x:c r="AW336" s="139" t="n"/>
      <x:c r="AX336" s="139" t="n"/>
      <x:c r="AY336" s="139" t="n"/>
      <x:c r="AZ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c r="V337" s="139" t="n"/>
      <x:c r="W337" s="139" t="n"/>
      <x:c r="X337" s="139" t="n"/>
      <x:c r="Y337" s="139" t="n"/>
      <x:c r="Z337" s="139" t="n"/>
      <x:c r="AA337" s="139" t="n"/>
      <x:c r="AB337" s="139" t="n"/>
      <x:c r="AC337" s="139" t="n"/>
      <x:c r="AD337" s="139" t="n"/>
      <x:c r="AE337" s="139" t="n"/>
      <x:c r="AF337" s="139" t="n"/>
      <x:c r="AG337" s="139" t="n"/>
      <x:c r="AH337" s="139" t="n"/>
      <x:c r="AI337" s="139" t="n"/>
      <x:c r="AJ337" s="139" t="n"/>
      <x:c r="AK337" s="139" t="n"/>
      <x:c r="AL337" s="139" t="n"/>
      <x:c r="AM337" s="139" t="n"/>
      <x:c r="AN337" s="139" t="n"/>
      <x:c r="AO337" s="139" t="n"/>
      <x:c r="AP337" s="139" t="n"/>
      <x:c r="AQ337" s="139" t="n"/>
      <x:c r="AR337" s="139" t="n"/>
      <x:c r="AS337" s="139" t="n"/>
      <x:c r="AT337" s="139" t="n"/>
      <x:c r="AU337" s="139" t="n"/>
      <x:c r="AV337" s="139" t="n"/>
      <x:c r="AW337" s="139" t="n"/>
      <x:c r="AX337" s="139" t="n"/>
      <x:c r="AY337" s="139" t="n"/>
      <x:c r="AZ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c r="V338" s="139" t="n"/>
      <x:c r="W338" s="139" t="n"/>
      <x:c r="X338" s="139" t="n"/>
      <x:c r="Y338" s="139" t="n"/>
      <x:c r="Z338" s="139" t="n"/>
      <x:c r="AA338" s="139" t="n"/>
      <x:c r="AB338" s="139" t="n"/>
      <x:c r="AC338" s="139" t="n"/>
      <x:c r="AD338" s="139" t="n"/>
      <x:c r="AE338" s="139" t="n"/>
      <x:c r="AF338" s="139" t="n"/>
      <x:c r="AG338" s="139" t="n"/>
      <x:c r="AH338" s="139" t="n"/>
      <x:c r="AI338" s="139" t="n"/>
      <x:c r="AJ338" s="139" t="n"/>
      <x:c r="AK338" s="139" t="n"/>
      <x:c r="AL338" s="139" t="n"/>
      <x:c r="AM338" s="139" t="n"/>
      <x:c r="AN338" s="139" t="n"/>
      <x:c r="AO338" s="139" t="n"/>
      <x:c r="AP338" s="139" t="n"/>
      <x:c r="AQ338" s="139" t="n"/>
      <x:c r="AR338" s="139" t="n"/>
      <x:c r="AS338" s="139" t="n"/>
      <x:c r="AT338" s="139" t="n"/>
      <x:c r="AU338" s="139" t="n"/>
      <x:c r="AV338" s="139" t="n"/>
      <x:c r="AW338" s="139" t="n"/>
      <x:c r="AX338" s="139" t="n"/>
      <x:c r="AY338" s="139" t="n"/>
      <x:c r="AZ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c r="V339" s="139" t="n"/>
      <x:c r="W339" s="139" t="n"/>
      <x:c r="X339" s="139" t="n"/>
      <x:c r="Y339" s="139" t="n"/>
      <x:c r="Z339" s="139" t="n"/>
      <x:c r="AA339" s="139" t="n"/>
      <x:c r="AB339" s="139" t="n"/>
      <x:c r="AC339" s="139" t="n"/>
      <x:c r="AD339" s="139" t="n"/>
      <x:c r="AE339" s="139" t="n"/>
      <x:c r="AF339" s="139" t="n"/>
      <x:c r="AG339" s="139" t="n"/>
      <x:c r="AH339" s="139" t="n"/>
      <x:c r="AI339" s="139" t="n"/>
      <x:c r="AJ339" s="139" t="n"/>
      <x:c r="AK339" s="139" t="n"/>
      <x:c r="AL339" s="139" t="n"/>
      <x:c r="AM339" s="139" t="n"/>
      <x:c r="AN339" s="139" t="n"/>
      <x:c r="AO339" s="139" t="n"/>
      <x:c r="AP339" s="139" t="n"/>
      <x:c r="AQ339" s="139" t="n"/>
      <x:c r="AR339" s="139" t="n"/>
      <x:c r="AS339" s="139" t="n"/>
      <x:c r="AT339" s="139" t="n"/>
      <x:c r="AU339" s="139" t="n"/>
      <x:c r="AV339" s="139" t="n"/>
      <x:c r="AW339" s="139" t="n"/>
      <x:c r="AX339" s="139" t="n"/>
      <x:c r="AY339" s="139" t="n"/>
      <x:c r="AZ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c r="V340" s="139" t="n"/>
      <x:c r="W340" s="139" t="n"/>
      <x:c r="X340" s="139" t="n"/>
      <x:c r="Y340" s="139" t="n"/>
      <x:c r="Z340" s="139" t="n"/>
      <x:c r="AA340" s="139" t="n"/>
      <x:c r="AB340" s="139" t="n"/>
      <x:c r="AC340" s="139" t="n"/>
      <x:c r="AD340" s="139" t="n"/>
      <x:c r="AE340" s="139" t="n"/>
      <x:c r="AF340" s="139" t="n"/>
      <x:c r="AG340" s="139" t="n"/>
      <x:c r="AH340" s="139" t="n"/>
      <x:c r="AI340" s="139" t="n"/>
      <x:c r="AJ340" s="139" t="n"/>
      <x:c r="AK340" s="139" t="n"/>
      <x:c r="AL340" s="139" t="n"/>
      <x:c r="AM340" s="139" t="n"/>
      <x:c r="AN340" s="139" t="n"/>
      <x:c r="AO340" s="139" t="n"/>
      <x:c r="AP340" s="139" t="n"/>
      <x:c r="AQ340" s="139" t="n"/>
      <x:c r="AR340" s="139" t="n"/>
      <x:c r="AS340" s="139" t="n"/>
      <x:c r="AT340" s="139" t="n"/>
      <x:c r="AU340" s="139" t="n"/>
      <x:c r="AV340" s="139" t="n"/>
      <x:c r="AW340" s="139" t="n"/>
      <x:c r="AX340" s="139" t="n"/>
      <x:c r="AY340" s="139" t="n"/>
      <x:c r="AZ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c r="V341" s="139" t="n"/>
      <x:c r="W341" s="139" t="n"/>
      <x:c r="X341" s="139" t="n"/>
      <x:c r="Y341" s="139" t="n"/>
      <x:c r="Z341" s="139" t="n"/>
      <x:c r="AA341" s="139" t="n"/>
      <x:c r="AB341" s="139" t="n"/>
      <x:c r="AC341" s="139" t="n"/>
      <x:c r="AD341" s="139" t="n"/>
      <x:c r="AE341" s="139" t="n"/>
      <x:c r="AF341" s="139" t="n"/>
      <x:c r="AG341" s="139" t="n"/>
      <x:c r="AH341" s="139" t="n"/>
      <x:c r="AI341" s="139" t="n"/>
      <x:c r="AJ341" s="139" t="n"/>
      <x:c r="AK341" s="139" t="n"/>
      <x:c r="AL341" s="139" t="n"/>
      <x:c r="AM341" s="139" t="n"/>
      <x:c r="AN341" s="139" t="n"/>
      <x:c r="AO341" s="139" t="n"/>
      <x:c r="AP341" s="139" t="n"/>
      <x:c r="AQ341" s="139" t="n"/>
      <x:c r="AR341" s="139" t="n"/>
      <x:c r="AS341" s="139" t="n"/>
      <x:c r="AT341" s="139" t="n"/>
      <x:c r="AU341" s="139" t="n"/>
      <x:c r="AV341" s="139" t="n"/>
      <x:c r="AW341" s="139" t="n"/>
      <x:c r="AX341" s="139" t="n"/>
      <x:c r="AY341" s="139" t="n"/>
      <x:c r="AZ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c r="V342" s="139" t="n"/>
      <x:c r="W342" s="139" t="n"/>
      <x:c r="X342" s="139" t="n"/>
      <x:c r="Y342" s="139" t="n"/>
      <x:c r="Z342" s="139" t="n"/>
      <x:c r="AA342" s="139" t="n"/>
      <x:c r="AB342" s="139" t="n"/>
      <x:c r="AC342" s="139" t="n"/>
      <x:c r="AD342" s="139" t="n"/>
      <x:c r="AE342" s="139" t="n"/>
      <x:c r="AF342" s="139" t="n"/>
      <x:c r="AG342" s="139" t="n"/>
      <x:c r="AH342" s="139" t="n"/>
      <x:c r="AI342" s="139" t="n"/>
      <x:c r="AJ342" s="139" t="n"/>
      <x:c r="AK342" s="139" t="n"/>
      <x:c r="AL342" s="139" t="n"/>
      <x:c r="AM342" s="139" t="n"/>
      <x:c r="AN342" s="139" t="n"/>
      <x:c r="AO342" s="139" t="n"/>
      <x:c r="AP342" s="139" t="n"/>
      <x:c r="AQ342" s="139" t="n"/>
      <x:c r="AR342" s="139" t="n"/>
      <x:c r="AS342" s="139" t="n"/>
      <x:c r="AT342" s="139" t="n"/>
      <x:c r="AU342" s="139" t="n"/>
      <x:c r="AV342" s="139" t="n"/>
      <x:c r="AW342" s="139" t="n"/>
      <x:c r="AX342" s="139" t="n"/>
      <x:c r="AY342" s="139" t="n"/>
      <x:c r="AZ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c r="V343" s="139" t="n"/>
      <x:c r="W343" s="139" t="n"/>
      <x:c r="X343" s="139" t="n"/>
      <x:c r="Y343" s="139" t="n"/>
      <x:c r="Z343" s="139" t="n"/>
      <x:c r="AA343" s="139" t="n"/>
      <x:c r="AB343" s="139" t="n"/>
      <x:c r="AC343" s="139" t="n"/>
      <x:c r="AD343" s="139" t="n"/>
      <x:c r="AE343" s="139" t="n"/>
      <x:c r="AF343" s="139" t="n"/>
      <x:c r="AG343" s="139" t="n"/>
      <x:c r="AH343" s="139" t="n"/>
      <x:c r="AI343" s="139" t="n"/>
      <x:c r="AJ343" s="139" t="n"/>
      <x:c r="AK343" s="139" t="n"/>
      <x:c r="AL343" s="139" t="n"/>
      <x:c r="AM343" s="139" t="n"/>
      <x:c r="AN343" s="139" t="n"/>
      <x:c r="AO343" s="139" t="n"/>
      <x:c r="AP343" s="139" t="n"/>
      <x:c r="AQ343" s="139" t="n"/>
      <x:c r="AR343" s="139" t="n"/>
      <x:c r="AS343" s="139" t="n"/>
      <x:c r="AT343" s="139" t="n"/>
      <x:c r="AU343" s="139" t="n"/>
      <x:c r="AV343" s="139" t="n"/>
      <x:c r="AW343" s="139" t="n"/>
      <x:c r="AX343" s="139" t="n"/>
      <x:c r="AY343" s="139" t="n"/>
      <x:c r="AZ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c r="V344" s="139" t="n"/>
      <x:c r="W344" s="139" t="n"/>
      <x:c r="X344" s="139" t="n"/>
      <x:c r="Y344" s="139" t="n"/>
      <x:c r="Z344" s="139" t="n"/>
      <x:c r="AA344" s="139" t="n"/>
      <x:c r="AB344" s="139" t="n"/>
      <x:c r="AC344" s="139" t="n"/>
      <x:c r="AD344" s="139" t="n"/>
      <x:c r="AE344" s="139" t="n"/>
      <x:c r="AF344" s="139" t="n"/>
      <x:c r="AG344" s="139" t="n"/>
      <x:c r="AH344" s="139" t="n"/>
      <x:c r="AI344" s="139" t="n"/>
      <x:c r="AJ344" s="139" t="n"/>
      <x:c r="AK344" s="139" t="n"/>
      <x:c r="AL344" s="139" t="n"/>
      <x:c r="AM344" s="139" t="n"/>
      <x:c r="AN344" s="139" t="n"/>
      <x:c r="AO344" s="139" t="n"/>
      <x:c r="AP344" s="139" t="n"/>
      <x:c r="AQ344" s="139" t="n"/>
      <x:c r="AR344" s="139" t="n"/>
      <x:c r="AS344" s="139" t="n"/>
      <x:c r="AT344" s="139" t="n"/>
      <x:c r="AU344" s="139" t="n"/>
      <x:c r="AV344" s="139" t="n"/>
      <x:c r="AW344" s="139" t="n"/>
      <x:c r="AX344" s="139" t="n"/>
      <x:c r="AY344" s="139" t="n"/>
      <x:c r="AZ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c r="V345" s="139" t="n"/>
      <x:c r="W345" s="139" t="n"/>
      <x:c r="X345" s="139" t="n"/>
      <x:c r="Y345" s="139" t="n"/>
      <x:c r="Z345" s="139" t="n"/>
      <x:c r="AA345" s="139" t="n"/>
      <x:c r="AB345" s="139" t="n"/>
      <x:c r="AC345" s="139" t="n"/>
      <x:c r="AD345" s="139" t="n"/>
      <x:c r="AE345" s="139" t="n"/>
      <x:c r="AF345" s="139" t="n"/>
      <x:c r="AG345" s="139" t="n"/>
      <x:c r="AH345" s="139" t="n"/>
      <x:c r="AI345" s="139" t="n"/>
      <x:c r="AJ345" s="139" t="n"/>
      <x:c r="AK345" s="139" t="n"/>
      <x:c r="AL345" s="139" t="n"/>
      <x:c r="AM345" s="139" t="n"/>
      <x:c r="AN345" s="139" t="n"/>
      <x:c r="AO345" s="139" t="n"/>
      <x:c r="AP345" s="139" t="n"/>
      <x:c r="AQ345" s="139" t="n"/>
      <x:c r="AR345" s="139" t="n"/>
      <x:c r="AS345" s="139" t="n"/>
      <x:c r="AT345" s="139" t="n"/>
      <x:c r="AU345" s="139" t="n"/>
      <x:c r="AV345" s="139" t="n"/>
      <x:c r="AW345" s="139" t="n"/>
      <x:c r="AX345" s="139" t="n"/>
      <x:c r="AY345" s="139" t="n"/>
      <x:c r="AZ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c r="V346" s="139" t="n"/>
      <x:c r="W346" s="139" t="n"/>
      <x:c r="X346" s="139" t="n"/>
      <x:c r="Y346" s="139" t="n"/>
      <x:c r="Z346" s="139" t="n"/>
      <x:c r="AA346" s="139" t="n"/>
      <x:c r="AB346" s="139" t="n"/>
      <x:c r="AC346" s="139" t="n"/>
      <x:c r="AD346" s="139" t="n"/>
      <x:c r="AE346" s="139" t="n"/>
      <x:c r="AF346" s="139" t="n"/>
      <x:c r="AG346" s="139" t="n"/>
      <x:c r="AH346" s="139" t="n"/>
      <x:c r="AI346" s="139" t="n"/>
      <x:c r="AJ346" s="139" t="n"/>
      <x:c r="AK346" s="139" t="n"/>
      <x:c r="AL346" s="139" t="n"/>
      <x:c r="AM346" s="139" t="n"/>
      <x:c r="AN346" s="139" t="n"/>
      <x:c r="AO346" s="139" t="n"/>
      <x:c r="AP346" s="139" t="n"/>
      <x:c r="AQ346" s="139" t="n"/>
      <x:c r="AR346" s="139" t="n"/>
      <x:c r="AS346" s="139" t="n"/>
      <x:c r="AT346" s="139" t="n"/>
      <x:c r="AU346" s="139" t="n"/>
      <x:c r="AV346" s="139" t="n"/>
      <x:c r="AW346" s="139" t="n"/>
      <x:c r="AX346" s="139" t="n"/>
      <x:c r="AY346" s="139" t="n"/>
      <x:c r="AZ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c r="V347" s="139" t="n"/>
      <x:c r="W347" s="139" t="n"/>
      <x:c r="X347" s="139" t="n"/>
      <x:c r="Y347" s="139" t="n"/>
      <x:c r="Z347" s="139" t="n"/>
      <x:c r="AA347" s="139" t="n"/>
      <x:c r="AB347" s="139" t="n"/>
      <x:c r="AC347" s="139" t="n"/>
      <x:c r="AD347" s="139" t="n"/>
      <x:c r="AE347" s="139" t="n"/>
      <x:c r="AF347" s="139" t="n"/>
      <x:c r="AG347" s="139" t="n"/>
      <x:c r="AH347" s="139" t="n"/>
      <x:c r="AI347" s="139" t="n"/>
      <x:c r="AJ347" s="139" t="n"/>
      <x:c r="AK347" s="139" t="n"/>
      <x:c r="AL347" s="139" t="n"/>
      <x:c r="AM347" s="139" t="n"/>
      <x:c r="AN347" s="139" t="n"/>
      <x:c r="AO347" s="139" t="n"/>
      <x:c r="AP347" s="139" t="n"/>
      <x:c r="AQ347" s="139" t="n"/>
      <x:c r="AR347" s="139" t="n"/>
      <x:c r="AS347" s="139" t="n"/>
      <x:c r="AT347" s="139" t="n"/>
      <x:c r="AU347" s="139" t="n"/>
      <x:c r="AV347" s="139" t="n"/>
      <x:c r="AW347" s="139" t="n"/>
      <x:c r="AX347" s="139" t="n"/>
      <x:c r="AY347" s="139" t="n"/>
      <x:c r="AZ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c r="V348" s="139" t="n"/>
      <x:c r="W348" s="139" t="n"/>
      <x:c r="X348" s="139" t="n"/>
      <x:c r="Y348" s="139" t="n"/>
      <x:c r="Z348" s="139" t="n"/>
      <x:c r="AA348" s="139" t="n"/>
      <x:c r="AB348" s="139" t="n"/>
      <x:c r="AC348" s="139" t="n"/>
      <x:c r="AD348" s="139" t="n"/>
      <x:c r="AE348" s="139" t="n"/>
      <x:c r="AF348" s="139" t="n"/>
      <x:c r="AG348" s="139" t="n"/>
      <x:c r="AH348" s="139" t="n"/>
      <x:c r="AI348" s="139" t="n"/>
      <x:c r="AJ348" s="139" t="n"/>
      <x:c r="AK348" s="139" t="n"/>
      <x:c r="AL348" s="139" t="n"/>
      <x:c r="AM348" s="139" t="n"/>
      <x:c r="AN348" s="139" t="n"/>
      <x:c r="AO348" s="139" t="n"/>
      <x:c r="AP348" s="139" t="n"/>
      <x:c r="AQ348" s="139" t="n"/>
      <x:c r="AR348" s="139" t="n"/>
      <x:c r="AS348" s="139" t="n"/>
      <x:c r="AT348" s="139" t="n"/>
      <x:c r="AU348" s="139" t="n"/>
      <x:c r="AV348" s="139" t="n"/>
      <x:c r="AW348" s="139" t="n"/>
      <x:c r="AX348" s="139" t="n"/>
      <x:c r="AY348" s="139" t="n"/>
      <x:c r="AZ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c r="V349" s="139" t="n"/>
      <x:c r="W349" s="139" t="n"/>
      <x:c r="X349" s="139" t="n"/>
      <x:c r="Y349" s="139" t="n"/>
      <x:c r="Z349" s="139" t="n"/>
      <x:c r="AA349" s="139" t="n"/>
      <x:c r="AB349" s="139" t="n"/>
      <x:c r="AC349" s="139" t="n"/>
      <x:c r="AD349" s="139" t="n"/>
      <x:c r="AE349" s="139" t="n"/>
      <x:c r="AF349" s="139" t="n"/>
      <x:c r="AG349" s="139" t="n"/>
      <x:c r="AH349" s="139" t="n"/>
      <x:c r="AI349" s="139" t="n"/>
      <x:c r="AJ349" s="139" t="n"/>
      <x:c r="AK349" s="139" t="n"/>
      <x:c r="AL349" s="139" t="n"/>
      <x:c r="AM349" s="139" t="n"/>
      <x:c r="AN349" s="139" t="n"/>
      <x:c r="AO349" s="139" t="n"/>
      <x:c r="AP349" s="139" t="n"/>
      <x:c r="AQ349" s="139" t="n"/>
      <x:c r="AR349" s="139" t="n"/>
      <x:c r="AS349" s="139" t="n"/>
      <x:c r="AT349" s="139" t="n"/>
      <x:c r="AU349" s="139" t="n"/>
      <x:c r="AV349" s="139" t="n"/>
      <x:c r="AW349" s="139" t="n"/>
      <x:c r="AX349" s="139" t="n"/>
      <x:c r="AY349" s="139" t="n"/>
      <x:c r="AZ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c r="V350" s="139" t="n"/>
      <x:c r="W350" s="139" t="n"/>
      <x:c r="X350" s="139" t="n"/>
      <x:c r="Y350" s="139" t="n"/>
      <x:c r="Z350" s="139" t="n"/>
      <x:c r="AA350" s="139" t="n"/>
      <x:c r="AB350" s="139" t="n"/>
      <x:c r="AC350" s="139" t="n"/>
      <x:c r="AD350" s="139" t="n"/>
      <x:c r="AE350" s="139" t="n"/>
      <x:c r="AF350" s="139" t="n"/>
      <x:c r="AG350" s="139" t="n"/>
      <x:c r="AH350" s="139" t="n"/>
      <x:c r="AI350" s="139" t="n"/>
      <x:c r="AJ350" s="139" t="n"/>
      <x:c r="AK350" s="139" t="n"/>
      <x:c r="AL350" s="139" t="n"/>
      <x:c r="AM350" s="139" t="n"/>
      <x:c r="AN350" s="139" t="n"/>
      <x:c r="AO350" s="139" t="n"/>
      <x:c r="AP350" s="139" t="n"/>
      <x:c r="AQ350" s="139" t="n"/>
      <x:c r="AR350" s="139" t="n"/>
      <x:c r="AS350" s="139" t="n"/>
      <x:c r="AT350" s="139" t="n"/>
      <x:c r="AU350" s="139" t="n"/>
      <x:c r="AV350" s="139" t="n"/>
      <x:c r="AW350" s="139" t="n"/>
      <x:c r="AX350" s="139" t="n"/>
      <x:c r="AY350" s="139" t="n"/>
      <x:c r="AZ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c r="V351" s="139" t="n"/>
      <x:c r="W351" s="139" t="n"/>
      <x:c r="X351" s="139" t="n"/>
      <x:c r="Y351" s="139" t="n"/>
      <x:c r="Z351" s="139" t="n"/>
      <x:c r="AA351" s="139" t="n"/>
      <x:c r="AB351" s="139" t="n"/>
      <x:c r="AC351" s="139" t="n"/>
      <x:c r="AD351" s="139" t="n"/>
      <x:c r="AE351" s="139" t="n"/>
      <x:c r="AF351" s="139" t="n"/>
      <x:c r="AG351" s="139" t="n"/>
      <x:c r="AH351" s="139" t="n"/>
      <x:c r="AI351" s="139" t="n"/>
      <x:c r="AJ351" s="139" t="n"/>
      <x:c r="AK351" s="139" t="n"/>
      <x:c r="AL351" s="139" t="n"/>
      <x:c r="AM351" s="139" t="n"/>
      <x:c r="AN351" s="139" t="n"/>
      <x:c r="AO351" s="139" t="n"/>
      <x:c r="AP351" s="139" t="n"/>
      <x:c r="AQ351" s="139" t="n"/>
      <x:c r="AR351" s="139" t="n"/>
      <x:c r="AS351" s="139" t="n"/>
      <x:c r="AT351" s="139" t="n"/>
      <x:c r="AU351" s="139" t="n"/>
      <x:c r="AV351" s="139" t="n"/>
      <x:c r="AW351" s="139" t="n"/>
      <x:c r="AX351" s="139" t="n"/>
      <x:c r="AY351" s="139" t="n"/>
      <x:c r="AZ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c r="V352" s="139" t="n"/>
      <x:c r="W352" s="139" t="n"/>
      <x:c r="X352" s="139" t="n"/>
      <x:c r="Y352" s="139" t="n"/>
      <x:c r="Z352" s="139" t="n"/>
      <x:c r="AA352" s="139" t="n"/>
      <x:c r="AB352" s="139" t="n"/>
      <x:c r="AC352" s="139" t="n"/>
      <x:c r="AD352" s="139" t="n"/>
      <x:c r="AE352" s="139" t="n"/>
      <x:c r="AF352" s="139" t="n"/>
      <x:c r="AG352" s="139" t="n"/>
      <x:c r="AH352" s="139" t="n"/>
      <x:c r="AI352" s="139" t="n"/>
      <x:c r="AJ352" s="139" t="n"/>
      <x:c r="AK352" s="139" t="n"/>
      <x:c r="AL352" s="139" t="n"/>
      <x:c r="AM352" s="139" t="n"/>
      <x:c r="AN352" s="139" t="n"/>
      <x:c r="AO352" s="139" t="n"/>
      <x:c r="AP352" s="139" t="n"/>
      <x:c r="AQ352" s="139" t="n"/>
      <x:c r="AR352" s="139" t="n"/>
      <x:c r="AS352" s="139" t="n"/>
      <x:c r="AT352" s="139" t="n"/>
      <x:c r="AU352" s="139" t="n"/>
      <x:c r="AV352" s="139" t="n"/>
      <x:c r="AW352" s="139" t="n"/>
      <x:c r="AX352" s="139" t="n"/>
      <x:c r="AY352" s="139" t="n"/>
      <x:c r="AZ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c r="V353" s="139" t="n"/>
      <x:c r="W353" s="139" t="n"/>
      <x:c r="X353" s="139" t="n"/>
      <x:c r="Y353" s="139" t="n"/>
      <x:c r="Z353" s="139" t="n"/>
      <x:c r="AA353" s="139" t="n"/>
      <x:c r="AB353" s="139" t="n"/>
      <x:c r="AC353" s="139" t="n"/>
      <x:c r="AD353" s="139" t="n"/>
      <x:c r="AE353" s="139" t="n"/>
      <x:c r="AF353" s="139" t="n"/>
      <x:c r="AG353" s="139" t="n"/>
      <x:c r="AH353" s="139" t="n"/>
      <x:c r="AI353" s="139" t="n"/>
      <x:c r="AJ353" s="139" t="n"/>
      <x:c r="AK353" s="139" t="n"/>
      <x:c r="AL353" s="139" t="n"/>
      <x:c r="AM353" s="139" t="n"/>
      <x:c r="AN353" s="139" t="n"/>
      <x:c r="AO353" s="139" t="n"/>
      <x:c r="AP353" s="139" t="n"/>
      <x:c r="AQ353" s="139" t="n"/>
      <x:c r="AR353" s="139" t="n"/>
      <x:c r="AS353" s="139" t="n"/>
      <x:c r="AT353" s="139" t="n"/>
      <x:c r="AU353" s="139" t="n"/>
      <x:c r="AV353" s="139" t="n"/>
      <x:c r="AW353" s="139" t="n"/>
      <x:c r="AX353" s="139" t="n"/>
      <x:c r="AY353" s="139" t="n"/>
      <x:c r="AZ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c r="V354" s="139" t="n"/>
      <x:c r="W354" s="139" t="n"/>
      <x:c r="X354" s="139" t="n"/>
      <x:c r="Y354" s="139" t="n"/>
      <x:c r="Z354" s="139" t="n"/>
      <x:c r="AA354" s="139" t="n"/>
      <x:c r="AB354" s="139" t="n"/>
      <x:c r="AC354" s="139" t="n"/>
      <x:c r="AD354" s="139" t="n"/>
      <x:c r="AE354" s="139" t="n"/>
      <x:c r="AF354" s="139" t="n"/>
      <x:c r="AG354" s="139" t="n"/>
      <x:c r="AH354" s="139" t="n"/>
      <x:c r="AI354" s="139" t="n"/>
      <x:c r="AJ354" s="139" t="n"/>
      <x:c r="AK354" s="139" t="n"/>
      <x:c r="AL354" s="139" t="n"/>
      <x:c r="AM354" s="139" t="n"/>
      <x:c r="AN354" s="139" t="n"/>
      <x:c r="AO354" s="139" t="n"/>
      <x:c r="AP354" s="139" t="n"/>
      <x:c r="AQ354" s="139" t="n"/>
      <x:c r="AR354" s="139" t="n"/>
      <x:c r="AS354" s="139" t="n"/>
      <x:c r="AT354" s="139" t="n"/>
      <x:c r="AU354" s="139" t="n"/>
      <x:c r="AV354" s="139" t="n"/>
      <x:c r="AW354" s="139" t="n"/>
      <x:c r="AX354" s="139" t="n"/>
      <x:c r="AY354" s="139" t="n"/>
      <x:c r="AZ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c r="V355" s="139" t="n"/>
      <x:c r="W355" s="139" t="n"/>
      <x:c r="X355" s="139" t="n"/>
      <x:c r="Y355" s="139" t="n"/>
      <x:c r="Z355" s="139" t="n"/>
      <x:c r="AA355" s="139" t="n"/>
      <x:c r="AB355" s="139" t="n"/>
      <x:c r="AC355" s="139" t="n"/>
      <x:c r="AD355" s="139" t="n"/>
      <x:c r="AE355" s="139" t="n"/>
      <x:c r="AF355" s="139" t="n"/>
      <x:c r="AG355" s="139" t="n"/>
      <x:c r="AH355" s="139" t="n"/>
      <x:c r="AI355" s="139" t="n"/>
      <x:c r="AJ355" s="139" t="n"/>
      <x:c r="AK355" s="139" t="n"/>
      <x:c r="AL355" s="139" t="n"/>
      <x:c r="AM355" s="139" t="n"/>
      <x:c r="AN355" s="139" t="n"/>
      <x:c r="AO355" s="139" t="n"/>
      <x:c r="AP355" s="139" t="n"/>
      <x:c r="AQ355" s="139" t="n"/>
      <x:c r="AR355" s="139" t="n"/>
      <x:c r="AS355" s="139" t="n"/>
      <x:c r="AT355" s="139" t="n"/>
      <x:c r="AU355" s="139" t="n"/>
      <x:c r="AV355" s="139" t="n"/>
      <x:c r="AW355" s="139" t="n"/>
      <x:c r="AX355" s="139" t="n"/>
      <x:c r="AY355" s="139" t="n"/>
      <x:c r="AZ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c r="V356" s="139" t="n"/>
      <x:c r="W356" s="139" t="n"/>
      <x:c r="X356" s="139" t="n"/>
      <x:c r="Y356" s="139" t="n"/>
      <x:c r="Z356" s="139" t="n"/>
      <x:c r="AA356" s="139" t="n"/>
      <x:c r="AB356" s="139" t="n"/>
      <x:c r="AC356" s="139" t="n"/>
      <x:c r="AD356" s="139" t="n"/>
      <x:c r="AE356" s="139" t="n"/>
      <x:c r="AF356" s="139" t="n"/>
      <x:c r="AG356" s="139" t="n"/>
      <x:c r="AH356" s="139" t="n"/>
      <x:c r="AI356" s="139" t="n"/>
      <x:c r="AJ356" s="139" t="n"/>
      <x:c r="AK356" s="139" t="n"/>
      <x:c r="AL356" s="139" t="n"/>
      <x:c r="AM356" s="139" t="n"/>
      <x:c r="AN356" s="139" t="n"/>
      <x:c r="AO356" s="139" t="n"/>
      <x:c r="AP356" s="139" t="n"/>
      <x:c r="AQ356" s="139" t="n"/>
      <x:c r="AR356" s="139" t="n"/>
      <x:c r="AS356" s="139" t="n"/>
      <x:c r="AT356" s="139" t="n"/>
      <x:c r="AU356" s="139" t="n"/>
      <x:c r="AV356" s="139" t="n"/>
      <x:c r="AW356" s="139" t="n"/>
      <x:c r="AX356" s="139" t="n"/>
      <x:c r="AY356" s="139" t="n"/>
      <x:c r="AZ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c r="V357" s="139" t="n"/>
      <x:c r="W357" s="139" t="n"/>
      <x:c r="X357" s="139" t="n"/>
      <x:c r="Y357" s="139" t="n"/>
      <x:c r="Z357" s="139" t="n"/>
      <x:c r="AA357" s="139" t="n"/>
      <x:c r="AB357" s="139" t="n"/>
      <x:c r="AC357" s="139" t="n"/>
      <x:c r="AD357" s="139" t="n"/>
      <x:c r="AE357" s="139" t="n"/>
      <x:c r="AF357" s="139" t="n"/>
      <x:c r="AG357" s="139" t="n"/>
      <x:c r="AH357" s="139" t="n"/>
      <x:c r="AI357" s="139" t="n"/>
      <x:c r="AJ357" s="139" t="n"/>
      <x:c r="AK357" s="139" t="n"/>
      <x:c r="AL357" s="139" t="n"/>
      <x:c r="AM357" s="139" t="n"/>
      <x:c r="AN357" s="139" t="n"/>
      <x:c r="AO357" s="139" t="n"/>
      <x:c r="AP357" s="139" t="n"/>
      <x:c r="AQ357" s="139" t="n"/>
      <x:c r="AR357" s="139" t="n"/>
      <x:c r="AS357" s="139" t="n"/>
      <x:c r="AT357" s="139" t="n"/>
      <x:c r="AU357" s="139" t="n"/>
      <x:c r="AV357" s="139" t="n"/>
      <x:c r="AW357" s="139" t="n"/>
      <x:c r="AX357" s="139" t="n"/>
      <x:c r="AY357" s="139" t="n"/>
      <x:c r="AZ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c r="V358" s="139" t="n"/>
      <x:c r="W358" s="139" t="n"/>
      <x:c r="X358" s="139" t="n"/>
      <x:c r="Y358" s="139" t="n"/>
      <x:c r="Z358" s="139" t="n"/>
      <x:c r="AA358" s="139" t="n"/>
      <x:c r="AB358" s="139" t="n"/>
      <x:c r="AC358" s="139" t="n"/>
      <x:c r="AD358" s="139" t="n"/>
      <x:c r="AE358" s="139" t="n"/>
      <x:c r="AF358" s="139" t="n"/>
      <x:c r="AG358" s="139" t="n"/>
      <x:c r="AH358" s="139" t="n"/>
      <x:c r="AI358" s="139" t="n"/>
      <x:c r="AJ358" s="139" t="n"/>
      <x:c r="AK358" s="139" t="n"/>
      <x:c r="AL358" s="139" t="n"/>
      <x:c r="AM358" s="139" t="n"/>
      <x:c r="AN358" s="139" t="n"/>
      <x:c r="AO358" s="139" t="n"/>
      <x:c r="AP358" s="139" t="n"/>
      <x:c r="AQ358" s="139" t="n"/>
      <x:c r="AR358" s="139" t="n"/>
      <x:c r="AS358" s="139" t="n"/>
      <x:c r="AT358" s="139" t="n"/>
      <x:c r="AU358" s="139" t="n"/>
      <x:c r="AV358" s="139" t="n"/>
      <x:c r="AW358" s="139" t="n"/>
      <x:c r="AX358" s="139" t="n"/>
      <x:c r="AY358" s="139" t="n"/>
      <x:c r="AZ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c r="V359" s="139" t="n"/>
      <x:c r="W359" s="139" t="n"/>
      <x:c r="X359" s="139" t="n"/>
      <x:c r="Y359" s="139" t="n"/>
      <x:c r="Z359" s="139" t="n"/>
      <x:c r="AA359" s="139" t="n"/>
      <x:c r="AB359" s="139" t="n"/>
      <x:c r="AC359" s="139" t="n"/>
      <x:c r="AD359" s="139" t="n"/>
      <x:c r="AE359" s="139" t="n"/>
      <x:c r="AF359" s="139" t="n"/>
      <x:c r="AG359" s="139" t="n"/>
      <x:c r="AH359" s="139" t="n"/>
      <x:c r="AI359" s="139" t="n"/>
      <x:c r="AJ359" s="139" t="n"/>
      <x:c r="AK359" s="139" t="n"/>
      <x:c r="AL359" s="139" t="n"/>
      <x:c r="AM359" s="139" t="n"/>
      <x:c r="AN359" s="139" t="n"/>
      <x:c r="AO359" s="139" t="n"/>
      <x:c r="AP359" s="139" t="n"/>
      <x:c r="AQ359" s="139" t="n"/>
      <x:c r="AR359" s="139" t="n"/>
      <x:c r="AS359" s="139" t="n"/>
      <x:c r="AT359" s="139" t="n"/>
      <x:c r="AU359" s="139" t="n"/>
      <x:c r="AV359" s="139" t="n"/>
      <x:c r="AW359" s="139" t="n"/>
      <x:c r="AX359" s="139" t="n"/>
      <x:c r="AY359" s="139" t="n"/>
      <x:c r="AZ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c r="V360" s="139" t="n"/>
      <x:c r="W360" s="139" t="n"/>
      <x:c r="X360" s="139" t="n"/>
      <x:c r="Y360" s="139" t="n"/>
      <x:c r="Z360" s="139" t="n"/>
      <x:c r="AA360" s="139" t="n"/>
      <x:c r="AB360" s="139" t="n"/>
      <x:c r="AC360" s="139" t="n"/>
      <x:c r="AD360" s="139" t="n"/>
      <x:c r="AE360" s="139" t="n"/>
      <x:c r="AF360" s="139" t="n"/>
      <x:c r="AG360" s="139" t="n"/>
      <x:c r="AH360" s="139" t="n"/>
      <x:c r="AI360" s="139" t="n"/>
      <x:c r="AJ360" s="139" t="n"/>
      <x:c r="AK360" s="139" t="n"/>
      <x:c r="AL360" s="139" t="n"/>
      <x:c r="AM360" s="139" t="n"/>
      <x:c r="AN360" s="139" t="n"/>
      <x:c r="AO360" s="139" t="n"/>
      <x:c r="AP360" s="139" t="n"/>
      <x:c r="AQ360" s="139" t="n"/>
      <x:c r="AR360" s="139" t="n"/>
      <x:c r="AS360" s="139" t="n"/>
      <x:c r="AT360" s="139" t="n"/>
      <x:c r="AU360" s="139" t="n"/>
      <x:c r="AV360" s="139" t="n"/>
      <x:c r="AW360" s="139" t="n"/>
      <x:c r="AX360" s="139" t="n"/>
      <x:c r="AY360" s="139" t="n"/>
      <x:c r="AZ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c r="V361" s="139" t="n"/>
      <x:c r="W361" s="139" t="n"/>
      <x:c r="X361" s="139" t="n"/>
      <x:c r="Y361" s="139" t="n"/>
      <x:c r="Z361" s="139" t="n"/>
      <x:c r="AA361" s="139" t="n"/>
      <x:c r="AB361" s="139" t="n"/>
      <x:c r="AC361" s="139" t="n"/>
      <x:c r="AD361" s="139" t="n"/>
      <x:c r="AE361" s="139" t="n"/>
      <x:c r="AF361" s="139" t="n"/>
      <x:c r="AG361" s="139" t="n"/>
      <x:c r="AH361" s="139" t="n"/>
      <x:c r="AI361" s="139" t="n"/>
      <x:c r="AJ361" s="139" t="n"/>
      <x:c r="AK361" s="139" t="n"/>
      <x:c r="AL361" s="139" t="n"/>
      <x:c r="AM361" s="139" t="n"/>
      <x:c r="AN361" s="139" t="n"/>
      <x:c r="AO361" s="139" t="n"/>
      <x:c r="AP361" s="139" t="n"/>
      <x:c r="AQ361" s="139" t="n"/>
      <x:c r="AR361" s="139" t="n"/>
      <x:c r="AS361" s="139" t="n"/>
      <x:c r="AT361" s="139" t="n"/>
      <x:c r="AU361" s="139" t="n"/>
      <x:c r="AV361" s="139" t="n"/>
      <x:c r="AW361" s="139" t="n"/>
      <x:c r="AX361" s="139" t="n"/>
      <x:c r="AY361" s="139" t="n"/>
      <x:c r="AZ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c r="V362" s="139" t="n"/>
      <x:c r="W362" s="139" t="n"/>
      <x:c r="X362" s="139" t="n"/>
      <x:c r="Y362" s="139" t="n"/>
      <x:c r="Z362" s="139" t="n"/>
      <x:c r="AA362" s="139" t="n"/>
      <x:c r="AB362" s="139" t="n"/>
      <x:c r="AC362" s="139" t="n"/>
      <x:c r="AD362" s="139" t="n"/>
      <x:c r="AE362" s="139" t="n"/>
      <x:c r="AF362" s="139" t="n"/>
      <x:c r="AG362" s="139" t="n"/>
      <x:c r="AH362" s="139" t="n"/>
      <x:c r="AI362" s="139" t="n"/>
      <x:c r="AJ362" s="139" t="n"/>
      <x:c r="AK362" s="139" t="n"/>
      <x:c r="AL362" s="139" t="n"/>
      <x:c r="AM362" s="139" t="n"/>
      <x:c r="AN362" s="139" t="n"/>
      <x:c r="AO362" s="139" t="n"/>
      <x:c r="AP362" s="139" t="n"/>
      <x:c r="AQ362" s="139" t="n"/>
      <x:c r="AR362" s="139" t="n"/>
      <x:c r="AS362" s="139" t="n"/>
      <x:c r="AT362" s="139" t="n"/>
      <x:c r="AU362" s="139" t="n"/>
      <x:c r="AV362" s="139" t="n"/>
      <x:c r="AW362" s="139" t="n"/>
      <x:c r="AX362" s="139" t="n"/>
      <x:c r="AY362" s="139" t="n"/>
      <x:c r="AZ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c r="V363" s="139" t="n"/>
      <x:c r="W363" s="139" t="n"/>
      <x:c r="X363" s="139" t="n"/>
      <x:c r="Y363" s="139" t="n"/>
      <x:c r="Z363" s="139" t="n"/>
      <x:c r="AA363" s="139" t="n"/>
      <x:c r="AB363" s="139" t="n"/>
      <x:c r="AC363" s="139" t="n"/>
      <x:c r="AD363" s="139" t="n"/>
      <x:c r="AE363" s="139" t="n"/>
      <x:c r="AF363" s="139" t="n"/>
      <x:c r="AG363" s="139" t="n"/>
      <x:c r="AH363" s="139" t="n"/>
      <x:c r="AI363" s="139" t="n"/>
      <x:c r="AJ363" s="139" t="n"/>
      <x:c r="AK363" s="139" t="n"/>
      <x:c r="AL363" s="139" t="n"/>
      <x:c r="AM363" s="139" t="n"/>
      <x:c r="AN363" s="139" t="n"/>
      <x:c r="AO363" s="139" t="n"/>
      <x:c r="AP363" s="139" t="n"/>
      <x:c r="AQ363" s="139" t="n"/>
      <x:c r="AR363" s="139" t="n"/>
      <x:c r="AS363" s="139" t="n"/>
      <x:c r="AT363" s="139" t="n"/>
      <x:c r="AU363" s="139" t="n"/>
      <x:c r="AV363" s="139" t="n"/>
      <x:c r="AW363" s="139" t="n"/>
      <x:c r="AX363" s="139" t="n"/>
      <x:c r="AY363" s="139" t="n"/>
      <x:c r="AZ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c r="V364" s="139" t="n"/>
      <x:c r="W364" s="139" t="n"/>
      <x:c r="X364" s="139" t="n"/>
      <x:c r="Y364" s="139" t="n"/>
      <x:c r="Z364" s="139" t="n"/>
      <x:c r="AA364" s="139" t="n"/>
      <x:c r="AB364" s="139" t="n"/>
      <x:c r="AC364" s="139" t="n"/>
      <x:c r="AD364" s="139" t="n"/>
      <x:c r="AE364" s="139" t="n"/>
      <x:c r="AF364" s="139" t="n"/>
      <x:c r="AG364" s="139" t="n"/>
      <x:c r="AH364" s="139" t="n"/>
      <x:c r="AI364" s="139" t="n"/>
      <x:c r="AJ364" s="139" t="n"/>
      <x:c r="AK364" s="139" t="n"/>
      <x:c r="AL364" s="139" t="n"/>
      <x:c r="AM364" s="139" t="n"/>
      <x:c r="AN364" s="139" t="n"/>
      <x:c r="AO364" s="139" t="n"/>
      <x:c r="AP364" s="139" t="n"/>
      <x:c r="AQ364" s="139" t="n"/>
      <x:c r="AR364" s="139" t="n"/>
      <x:c r="AS364" s="139" t="n"/>
      <x:c r="AT364" s="139" t="n"/>
      <x:c r="AU364" s="139" t="n"/>
      <x:c r="AV364" s="139" t="n"/>
      <x:c r="AW364" s="139" t="n"/>
      <x:c r="AX364" s="139" t="n"/>
      <x:c r="AY364" s="139" t="n"/>
      <x:c r="AZ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c r="V365" s="139" t="n"/>
      <x:c r="W365" s="139" t="n"/>
      <x:c r="X365" s="139" t="n"/>
      <x:c r="Y365" s="139" t="n"/>
      <x:c r="Z365" s="139" t="n"/>
      <x:c r="AA365" s="139" t="n"/>
      <x:c r="AB365" s="139" t="n"/>
      <x:c r="AC365" s="139" t="n"/>
      <x:c r="AD365" s="139" t="n"/>
      <x:c r="AE365" s="139" t="n"/>
      <x:c r="AF365" s="139" t="n"/>
      <x:c r="AG365" s="139" t="n"/>
      <x:c r="AH365" s="139" t="n"/>
      <x:c r="AI365" s="139" t="n"/>
      <x:c r="AJ365" s="139" t="n"/>
      <x:c r="AK365" s="139" t="n"/>
      <x:c r="AL365" s="139" t="n"/>
      <x:c r="AM365" s="139" t="n"/>
      <x:c r="AN365" s="139" t="n"/>
      <x:c r="AO365" s="139" t="n"/>
      <x:c r="AP365" s="139" t="n"/>
      <x:c r="AQ365" s="139" t="n"/>
      <x:c r="AR365" s="139" t="n"/>
      <x:c r="AS365" s="139" t="n"/>
      <x:c r="AT365" s="139" t="n"/>
      <x:c r="AU365" s="139" t="n"/>
      <x:c r="AV365" s="139" t="n"/>
      <x:c r="AW365" s="139" t="n"/>
      <x:c r="AX365" s="139" t="n"/>
      <x:c r="AY365" s="139" t="n"/>
      <x:c r="AZ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c r="V366" s="139" t="n"/>
      <x:c r="W366" s="139" t="n"/>
      <x:c r="X366" s="139" t="n"/>
      <x:c r="Y366" s="139" t="n"/>
      <x:c r="Z366" s="139" t="n"/>
      <x:c r="AA366" s="139" t="n"/>
      <x:c r="AB366" s="139" t="n"/>
      <x:c r="AC366" s="139" t="n"/>
      <x:c r="AD366" s="139" t="n"/>
      <x:c r="AE366" s="139" t="n"/>
      <x:c r="AF366" s="139" t="n"/>
      <x:c r="AG366" s="139" t="n"/>
      <x:c r="AH366" s="139" t="n"/>
      <x:c r="AI366" s="139" t="n"/>
      <x:c r="AJ366" s="139" t="n"/>
      <x:c r="AK366" s="139" t="n"/>
      <x:c r="AL366" s="139" t="n"/>
      <x:c r="AM366" s="139" t="n"/>
      <x:c r="AN366" s="139" t="n"/>
      <x:c r="AO366" s="139" t="n"/>
      <x:c r="AP366" s="139" t="n"/>
      <x:c r="AQ366" s="139" t="n"/>
      <x:c r="AR366" s="139" t="n"/>
      <x:c r="AS366" s="139" t="n"/>
      <x:c r="AT366" s="139" t="n"/>
      <x:c r="AU366" s="139" t="n"/>
      <x:c r="AV366" s="139" t="n"/>
      <x:c r="AW366" s="139" t="n"/>
      <x:c r="AX366" s="139" t="n"/>
      <x:c r="AY366" s="139" t="n"/>
      <x:c r="AZ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c r="V367" s="139" t="n"/>
      <x:c r="W367" s="139" t="n"/>
      <x:c r="X367" s="139" t="n"/>
      <x:c r="Y367" s="139" t="n"/>
      <x:c r="Z367" s="139" t="n"/>
      <x:c r="AA367" s="139" t="n"/>
      <x:c r="AB367" s="139" t="n"/>
      <x:c r="AC367" s="139" t="n"/>
      <x:c r="AD367" s="139" t="n"/>
      <x:c r="AE367" s="139" t="n"/>
      <x:c r="AF367" s="139" t="n"/>
      <x:c r="AG367" s="139" t="n"/>
      <x:c r="AH367" s="139" t="n"/>
      <x:c r="AI367" s="139" t="n"/>
      <x:c r="AJ367" s="139" t="n"/>
      <x:c r="AK367" s="139" t="n"/>
      <x:c r="AL367" s="139" t="n"/>
      <x:c r="AM367" s="139" t="n"/>
      <x:c r="AN367" s="139" t="n"/>
      <x:c r="AO367" s="139" t="n"/>
      <x:c r="AP367" s="139" t="n"/>
      <x:c r="AQ367" s="139" t="n"/>
      <x:c r="AR367" s="139" t="n"/>
      <x:c r="AS367" s="139" t="n"/>
      <x:c r="AT367" s="139" t="n"/>
      <x:c r="AU367" s="139" t="n"/>
      <x:c r="AV367" s="139" t="n"/>
      <x:c r="AW367" s="139" t="n"/>
      <x:c r="AX367" s="139" t="n"/>
      <x:c r="AY367" s="139" t="n"/>
      <x:c r="AZ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c r="V368" s="139" t="n"/>
      <x:c r="W368" s="139" t="n"/>
      <x:c r="X368" s="139" t="n"/>
      <x:c r="Y368" s="139" t="n"/>
      <x:c r="Z368" s="139" t="n"/>
      <x:c r="AA368" s="139" t="n"/>
      <x:c r="AB368" s="139" t="n"/>
      <x:c r="AC368" s="139" t="n"/>
      <x:c r="AD368" s="139" t="n"/>
      <x:c r="AE368" s="139" t="n"/>
      <x:c r="AF368" s="139" t="n"/>
      <x:c r="AG368" s="139" t="n"/>
      <x:c r="AH368" s="139" t="n"/>
      <x:c r="AI368" s="139" t="n"/>
      <x:c r="AJ368" s="139" t="n"/>
      <x:c r="AK368" s="139" t="n"/>
      <x:c r="AL368" s="139" t="n"/>
      <x:c r="AM368" s="139" t="n"/>
      <x:c r="AN368" s="139" t="n"/>
      <x:c r="AO368" s="139" t="n"/>
      <x:c r="AP368" s="139" t="n"/>
      <x:c r="AQ368" s="139" t="n"/>
      <x:c r="AR368" s="139" t="n"/>
      <x:c r="AS368" s="139" t="n"/>
      <x:c r="AT368" s="139" t="n"/>
      <x:c r="AU368" s="139" t="n"/>
      <x:c r="AV368" s="139" t="n"/>
      <x:c r="AW368" s="139" t="n"/>
      <x:c r="AX368" s="139" t="n"/>
      <x:c r="AY368" s="139" t="n"/>
      <x:c r="AZ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c r="V369" s="139" t="n"/>
      <x:c r="W369" s="139" t="n"/>
      <x:c r="X369" s="139" t="n"/>
      <x:c r="Y369" s="139" t="n"/>
      <x:c r="Z369" s="139" t="n"/>
      <x:c r="AA369" s="139" t="n"/>
      <x:c r="AB369" s="139" t="n"/>
      <x:c r="AC369" s="139" t="n"/>
      <x:c r="AD369" s="139" t="n"/>
      <x:c r="AE369" s="139" t="n"/>
      <x:c r="AF369" s="139" t="n"/>
      <x:c r="AG369" s="139" t="n"/>
      <x:c r="AH369" s="139" t="n"/>
      <x:c r="AI369" s="139" t="n"/>
      <x:c r="AJ369" s="139" t="n"/>
      <x:c r="AK369" s="139" t="n"/>
      <x:c r="AL369" s="139" t="n"/>
      <x:c r="AM369" s="139" t="n"/>
      <x:c r="AN369" s="139" t="n"/>
      <x:c r="AO369" s="139" t="n"/>
      <x:c r="AP369" s="139" t="n"/>
      <x:c r="AQ369" s="139" t="n"/>
      <x:c r="AR369" s="139" t="n"/>
      <x:c r="AS369" s="139" t="n"/>
      <x:c r="AT369" s="139" t="n"/>
      <x:c r="AU369" s="139" t="n"/>
      <x:c r="AV369" s="139" t="n"/>
      <x:c r="AW369" s="139" t="n"/>
      <x:c r="AX369" s="139" t="n"/>
      <x:c r="AY369" s="139" t="n"/>
      <x:c r="AZ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c r="V370" s="139" t="n"/>
      <x:c r="W370" s="139" t="n"/>
      <x:c r="X370" s="139" t="n"/>
      <x:c r="Y370" s="139" t="n"/>
      <x:c r="Z370" s="139" t="n"/>
      <x:c r="AA370" s="139" t="n"/>
      <x:c r="AB370" s="139" t="n"/>
      <x:c r="AC370" s="139" t="n"/>
      <x:c r="AD370" s="139" t="n"/>
      <x:c r="AE370" s="139" t="n"/>
      <x:c r="AF370" s="139" t="n"/>
      <x:c r="AG370" s="139" t="n"/>
      <x:c r="AH370" s="139" t="n"/>
      <x:c r="AI370" s="139" t="n"/>
      <x:c r="AJ370" s="139" t="n"/>
      <x:c r="AK370" s="139" t="n"/>
      <x:c r="AL370" s="139" t="n"/>
      <x:c r="AM370" s="139" t="n"/>
      <x:c r="AN370" s="139" t="n"/>
      <x:c r="AO370" s="139" t="n"/>
      <x:c r="AP370" s="139" t="n"/>
      <x:c r="AQ370" s="139" t="n"/>
      <x:c r="AR370" s="139" t="n"/>
      <x:c r="AS370" s="139" t="n"/>
      <x:c r="AT370" s="139" t="n"/>
      <x:c r="AU370" s="139" t="n"/>
      <x:c r="AV370" s="139" t="n"/>
      <x:c r="AW370" s="139" t="n"/>
      <x:c r="AX370" s="139" t="n"/>
      <x:c r="AY370" s="139" t="n"/>
      <x:c r="AZ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c r="V371" s="139" t="n"/>
      <x:c r="W371" s="139" t="n"/>
      <x:c r="X371" s="139" t="n"/>
      <x:c r="Y371" s="139" t="n"/>
      <x:c r="Z371" s="139" t="n"/>
      <x:c r="AA371" s="139" t="n"/>
      <x:c r="AB371" s="139" t="n"/>
      <x:c r="AC371" s="139" t="n"/>
      <x:c r="AD371" s="139" t="n"/>
      <x:c r="AE371" s="139" t="n"/>
      <x:c r="AF371" s="139" t="n"/>
      <x:c r="AG371" s="139" t="n"/>
      <x:c r="AH371" s="139" t="n"/>
      <x:c r="AI371" s="139" t="n"/>
      <x:c r="AJ371" s="139" t="n"/>
      <x:c r="AK371" s="139" t="n"/>
      <x:c r="AL371" s="139" t="n"/>
      <x:c r="AM371" s="139" t="n"/>
      <x:c r="AN371" s="139" t="n"/>
      <x:c r="AO371" s="139" t="n"/>
      <x:c r="AP371" s="139" t="n"/>
      <x:c r="AQ371" s="139" t="n"/>
      <x:c r="AR371" s="139" t="n"/>
      <x:c r="AS371" s="139" t="n"/>
      <x:c r="AT371" s="139" t="n"/>
      <x:c r="AU371" s="139" t="n"/>
      <x:c r="AV371" s="139" t="n"/>
      <x:c r="AW371" s="139" t="n"/>
      <x:c r="AX371" s="139" t="n"/>
      <x:c r="AY371" s="139" t="n"/>
      <x:c r="AZ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c r="V372" s="139" t="n"/>
      <x:c r="W372" s="139" t="n"/>
      <x:c r="X372" s="139" t="n"/>
      <x:c r="Y372" s="139" t="n"/>
      <x:c r="Z372" s="139" t="n"/>
      <x:c r="AA372" s="139" t="n"/>
      <x:c r="AB372" s="139" t="n"/>
      <x:c r="AC372" s="139" t="n"/>
      <x:c r="AD372" s="139" t="n"/>
      <x:c r="AE372" s="139" t="n"/>
      <x:c r="AF372" s="139" t="n"/>
      <x:c r="AG372" s="139" t="n"/>
      <x:c r="AH372" s="139" t="n"/>
      <x:c r="AI372" s="139" t="n"/>
      <x:c r="AJ372" s="139" t="n"/>
      <x:c r="AK372" s="139" t="n"/>
      <x:c r="AL372" s="139" t="n"/>
      <x:c r="AM372" s="139" t="n"/>
      <x:c r="AN372" s="139" t="n"/>
      <x:c r="AO372" s="139" t="n"/>
      <x:c r="AP372" s="139" t="n"/>
      <x:c r="AQ372" s="139" t="n"/>
      <x:c r="AR372" s="139" t="n"/>
      <x:c r="AS372" s="139" t="n"/>
      <x:c r="AT372" s="139" t="n"/>
      <x:c r="AU372" s="139" t="n"/>
      <x:c r="AV372" s="139" t="n"/>
      <x:c r="AW372" s="139" t="n"/>
      <x:c r="AX372" s="139" t="n"/>
      <x:c r="AY372" s="139" t="n"/>
      <x:c r="AZ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c r="V373" s="139" t="n"/>
      <x:c r="W373" s="139" t="n"/>
      <x:c r="X373" s="139" t="n"/>
      <x:c r="Y373" s="139" t="n"/>
      <x:c r="Z373" s="139" t="n"/>
      <x:c r="AA373" s="139" t="n"/>
      <x:c r="AB373" s="139" t="n"/>
      <x:c r="AC373" s="139" t="n"/>
      <x:c r="AD373" s="139" t="n"/>
      <x:c r="AE373" s="139" t="n"/>
      <x:c r="AF373" s="139" t="n"/>
      <x:c r="AG373" s="139" t="n"/>
      <x:c r="AH373" s="139" t="n"/>
      <x:c r="AI373" s="139" t="n"/>
      <x:c r="AJ373" s="139" t="n"/>
      <x:c r="AK373" s="139" t="n"/>
      <x:c r="AL373" s="139" t="n"/>
      <x:c r="AM373" s="139" t="n"/>
      <x:c r="AN373" s="139" t="n"/>
      <x:c r="AO373" s="139" t="n"/>
      <x:c r="AP373" s="139" t="n"/>
      <x:c r="AQ373" s="139" t="n"/>
      <x:c r="AR373" s="139" t="n"/>
      <x:c r="AS373" s="139" t="n"/>
      <x:c r="AT373" s="139" t="n"/>
      <x:c r="AU373" s="139" t="n"/>
      <x:c r="AV373" s="139" t="n"/>
      <x:c r="AW373" s="139" t="n"/>
      <x:c r="AX373" s="139" t="n"/>
      <x:c r="AY373" s="139" t="n"/>
      <x:c r="AZ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c r="V374" s="139" t="n"/>
      <x:c r="W374" s="139" t="n"/>
      <x:c r="X374" s="139" t="n"/>
      <x:c r="Y374" s="139" t="n"/>
      <x:c r="Z374" s="139" t="n"/>
      <x:c r="AA374" s="139" t="n"/>
      <x:c r="AB374" s="139" t="n"/>
      <x:c r="AC374" s="139" t="n"/>
      <x:c r="AD374" s="139" t="n"/>
      <x:c r="AE374" s="139" t="n"/>
      <x:c r="AF374" s="139" t="n"/>
      <x:c r="AG374" s="139" t="n"/>
      <x:c r="AH374" s="139" t="n"/>
      <x:c r="AI374" s="139" t="n"/>
      <x:c r="AJ374" s="139" t="n"/>
      <x:c r="AK374" s="139" t="n"/>
      <x:c r="AL374" s="139" t="n"/>
      <x:c r="AM374" s="139" t="n"/>
      <x:c r="AN374" s="139" t="n"/>
      <x:c r="AO374" s="139" t="n"/>
      <x:c r="AP374" s="139" t="n"/>
      <x:c r="AQ374" s="139" t="n"/>
      <x:c r="AR374" s="139" t="n"/>
      <x:c r="AS374" s="139" t="n"/>
      <x:c r="AT374" s="139" t="n"/>
      <x:c r="AU374" s="139" t="n"/>
      <x:c r="AV374" s="139" t="n"/>
      <x:c r="AW374" s="139" t="n"/>
      <x:c r="AX374" s="139" t="n"/>
      <x:c r="AY374" s="139" t="n"/>
      <x:c r="AZ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c r="V375" s="139" t="n"/>
      <x:c r="W375" s="139" t="n"/>
      <x:c r="X375" s="139" t="n"/>
      <x:c r="Y375" s="139" t="n"/>
      <x:c r="Z375" s="139" t="n"/>
      <x:c r="AA375" s="139" t="n"/>
      <x:c r="AB375" s="139" t="n"/>
      <x:c r="AC375" s="139" t="n"/>
      <x:c r="AD375" s="139" t="n"/>
      <x:c r="AE375" s="139" t="n"/>
      <x:c r="AF375" s="139" t="n"/>
      <x:c r="AG375" s="139" t="n"/>
      <x:c r="AH375" s="139" t="n"/>
      <x:c r="AI375" s="139" t="n"/>
      <x:c r="AJ375" s="139" t="n"/>
      <x:c r="AK375" s="139" t="n"/>
      <x:c r="AL375" s="139" t="n"/>
      <x:c r="AM375" s="139" t="n"/>
      <x:c r="AN375" s="139" t="n"/>
      <x:c r="AO375" s="139" t="n"/>
      <x:c r="AP375" s="139" t="n"/>
      <x:c r="AQ375" s="139" t="n"/>
      <x:c r="AR375" s="139" t="n"/>
      <x:c r="AS375" s="139" t="n"/>
      <x:c r="AT375" s="139" t="n"/>
      <x:c r="AU375" s="139" t="n"/>
      <x:c r="AV375" s="139" t="n"/>
      <x:c r="AW375" s="139" t="n"/>
      <x:c r="AX375" s="139" t="n"/>
      <x:c r="AY375" s="139" t="n"/>
      <x:c r="AZ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c r="V376" s="139" t="n"/>
      <x:c r="W376" s="139" t="n"/>
      <x:c r="X376" s="139" t="n"/>
      <x:c r="Y376" s="139" t="n"/>
      <x:c r="Z376" s="139" t="n"/>
      <x:c r="AA376" s="139" t="n"/>
      <x:c r="AB376" s="139" t="n"/>
      <x:c r="AC376" s="139" t="n"/>
      <x:c r="AD376" s="139" t="n"/>
      <x:c r="AE376" s="139" t="n"/>
      <x:c r="AF376" s="139" t="n"/>
      <x:c r="AG376" s="139" t="n"/>
      <x:c r="AH376" s="139" t="n"/>
      <x:c r="AI376" s="139" t="n"/>
      <x:c r="AJ376" s="139" t="n"/>
      <x:c r="AK376" s="139" t="n"/>
      <x:c r="AL376" s="139" t="n"/>
      <x:c r="AM376" s="139" t="n"/>
      <x:c r="AN376" s="139" t="n"/>
      <x:c r="AO376" s="139" t="n"/>
      <x:c r="AP376" s="139" t="n"/>
      <x:c r="AQ376" s="139" t="n"/>
      <x:c r="AR376" s="139" t="n"/>
      <x:c r="AS376" s="139" t="n"/>
      <x:c r="AT376" s="139" t="n"/>
      <x:c r="AU376" s="139" t="n"/>
      <x:c r="AV376" s="139" t="n"/>
      <x:c r="AW376" s="139" t="n"/>
      <x:c r="AX376" s="139" t="n"/>
      <x:c r="AY376" s="139" t="n"/>
      <x:c r="AZ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c r="V377" s="139" t="n"/>
      <x:c r="W377" s="139" t="n"/>
      <x:c r="X377" s="139" t="n"/>
      <x:c r="Y377" s="139" t="n"/>
      <x:c r="Z377" s="139" t="n"/>
      <x:c r="AA377" s="139" t="n"/>
      <x:c r="AB377" s="139" t="n"/>
      <x:c r="AC377" s="139" t="n"/>
      <x:c r="AD377" s="139" t="n"/>
      <x:c r="AE377" s="139" t="n"/>
      <x:c r="AF377" s="139" t="n"/>
      <x:c r="AG377" s="139" t="n"/>
      <x:c r="AH377" s="139" t="n"/>
      <x:c r="AI377" s="139" t="n"/>
      <x:c r="AJ377" s="139" t="n"/>
      <x:c r="AK377" s="139" t="n"/>
      <x:c r="AL377" s="139" t="n"/>
      <x:c r="AM377" s="139" t="n"/>
      <x:c r="AN377" s="139" t="n"/>
      <x:c r="AO377" s="139" t="n"/>
      <x:c r="AP377" s="139" t="n"/>
      <x:c r="AQ377" s="139" t="n"/>
      <x:c r="AR377" s="139" t="n"/>
      <x:c r="AS377" s="139" t="n"/>
      <x:c r="AT377" s="139" t="n"/>
      <x:c r="AU377" s="139" t="n"/>
      <x:c r="AV377" s="139" t="n"/>
      <x:c r="AW377" s="139" t="n"/>
      <x:c r="AX377" s="139" t="n"/>
      <x:c r="AY377" s="139" t="n"/>
      <x:c r="AZ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c r="V378" s="139" t="n"/>
      <x:c r="W378" s="139" t="n"/>
      <x:c r="X378" s="139" t="n"/>
      <x:c r="Y378" s="139" t="n"/>
      <x:c r="Z378" s="139" t="n"/>
      <x:c r="AA378" s="139" t="n"/>
      <x:c r="AB378" s="139" t="n"/>
      <x:c r="AC378" s="139" t="n"/>
      <x:c r="AD378" s="139" t="n"/>
      <x:c r="AE378" s="139" t="n"/>
      <x:c r="AF378" s="139" t="n"/>
      <x:c r="AG378" s="139" t="n"/>
      <x:c r="AH378" s="139" t="n"/>
      <x:c r="AI378" s="139" t="n"/>
      <x:c r="AJ378" s="139" t="n"/>
      <x:c r="AK378" s="139" t="n"/>
      <x:c r="AL378" s="139" t="n"/>
      <x:c r="AM378" s="139" t="n"/>
      <x:c r="AN378" s="139" t="n"/>
      <x:c r="AO378" s="139" t="n"/>
      <x:c r="AP378" s="139" t="n"/>
      <x:c r="AQ378" s="139" t="n"/>
      <x:c r="AR378" s="139" t="n"/>
      <x:c r="AS378" s="139" t="n"/>
      <x:c r="AT378" s="139" t="n"/>
      <x:c r="AU378" s="139" t="n"/>
      <x:c r="AV378" s="139" t="n"/>
      <x:c r="AW378" s="139" t="n"/>
      <x:c r="AX378" s="139" t="n"/>
      <x:c r="AY378" s="139" t="n"/>
      <x:c r="AZ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c r="V379" s="139" t="n"/>
      <x:c r="W379" s="139" t="n"/>
      <x:c r="X379" s="139" t="n"/>
      <x:c r="Y379" s="139" t="n"/>
      <x:c r="Z379" s="139" t="n"/>
      <x:c r="AA379" s="139" t="n"/>
      <x:c r="AB379" s="139" t="n"/>
      <x:c r="AC379" s="139" t="n"/>
      <x:c r="AD379" s="139" t="n"/>
      <x:c r="AE379" s="139" t="n"/>
      <x:c r="AF379" s="139" t="n"/>
      <x:c r="AG379" s="139" t="n"/>
      <x:c r="AH379" s="139" t="n"/>
      <x:c r="AI379" s="139" t="n"/>
      <x:c r="AJ379" s="139" t="n"/>
      <x:c r="AK379" s="139" t="n"/>
      <x:c r="AL379" s="139" t="n"/>
      <x:c r="AM379" s="139" t="n"/>
      <x:c r="AN379" s="139" t="n"/>
      <x:c r="AO379" s="139" t="n"/>
      <x:c r="AP379" s="139" t="n"/>
      <x:c r="AQ379" s="139" t="n"/>
      <x:c r="AR379" s="139" t="n"/>
      <x:c r="AS379" s="139" t="n"/>
      <x:c r="AT379" s="139" t="n"/>
      <x:c r="AU379" s="139" t="n"/>
      <x:c r="AV379" s="139" t="n"/>
      <x:c r="AW379" s="139" t="n"/>
      <x:c r="AX379" s="139" t="n"/>
      <x:c r="AY379" s="139" t="n"/>
      <x:c r="AZ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c r="V380" s="139" t="n"/>
      <x:c r="W380" s="139" t="n"/>
      <x:c r="X380" s="139" t="n"/>
      <x:c r="Y380" s="139" t="n"/>
      <x:c r="Z380" s="139" t="n"/>
      <x:c r="AA380" s="139" t="n"/>
      <x:c r="AB380" s="139" t="n"/>
      <x:c r="AC380" s="139" t="n"/>
      <x:c r="AD380" s="139" t="n"/>
      <x:c r="AE380" s="139" t="n"/>
      <x:c r="AF380" s="139" t="n"/>
      <x:c r="AG380" s="139" t="n"/>
      <x:c r="AH380" s="139" t="n"/>
      <x:c r="AI380" s="139" t="n"/>
      <x:c r="AJ380" s="139" t="n"/>
      <x:c r="AK380" s="139" t="n"/>
      <x:c r="AL380" s="139" t="n"/>
      <x:c r="AM380" s="139" t="n"/>
      <x:c r="AN380" s="139" t="n"/>
      <x:c r="AO380" s="139" t="n"/>
      <x:c r="AP380" s="139" t="n"/>
      <x:c r="AQ380" s="139" t="n"/>
      <x:c r="AR380" s="139" t="n"/>
      <x:c r="AS380" s="139" t="n"/>
      <x:c r="AT380" s="139" t="n"/>
      <x:c r="AU380" s="139" t="n"/>
      <x:c r="AV380" s="139" t="n"/>
      <x:c r="AW380" s="139" t="n"/>
      <x:c r="AX380" s="139" t="n"/>
      <x:c r="AY380" s="139" t="n"/>
      <x:c r="AZ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c r="V381" s="139" t="n"/>
      <x:c r="W381" s="139" t="n"/>
      <x:c r="X381" s="139" t="n"/>
      <x:c r="Y381" s="139" t="n"/>
      <x:c r="Z381" s="139" t="n"/>
      <x:c r="AA381" s="139" t="n"/>
      <x:c r="AB381" s="139" t="n"/>
      <x:c r="AC381" s="139" t="n"/>
      <x:c r="AD381" s="139" t="n"/>
      <x:c r="AE381" s="139" t="n"/>
      <x:c r="AF381" s="139" t="n"/>
      <x:c r="AG381" s="139" t="n"/>
      <x:c r="AH381" s="139" t="n"/>
      <x:c r="AI381" s="139" t="n"/>
      <x:c r="AJ381" s="139" t="n"/>
      <x:c r="AK381" s="139" t="n"/>
      <x:c r="AL381" s="139" t="n"/>
      <x:c r="AM381" s="139" t="n"/>
      <x:c r="AN381" s="139" t="n"/>
      <x:c r="AO381" s="139" t="n"/>
      <x:c r="AP381" s="139" t="n"/>
      <x:c r="AQ381" s="139" t="n"/>
      <x:c r="AR381" s="139" t="n"/>
      <x:c r="AS381" s="139" t="n"/>
      <x:c r="AT381" s="139" t="n"/>
      <x:c r="AU381" s="139" t="n"/>
      <x:c r="AV381" s="139" t="n"/>
      <x:c r="AW381" s="139" t="n"/>
      <x:c r="AX381" s="139" t="n"/>
      <x:c r="AY381" s="139" t="n"/>
      <x:c r="AZ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c r="V382" s="139" t="n"/>
      <x:c r="W382" s="139" t="n"/>
      <x:c r="X382" s="139" t="n"/>
      <x:c r="Y382" s="139" t="n"/>
      <x:c r="Z382" s="139" t="n"/>
      <x:c r="AA382" s="139" t="n"/>
      <x:c r="AB382" s="139" t="n"/>
      <x:c r="AC382" s="139" t="n"/>
      <x:c r="AD382" s="139" t="n"/>
      <x:c r="AE382" s="139" t="n"/>
      <x:c r="AF382" s="139" t="n"/>
      <x:c r="AG382" s="139" t="n"/>
      <x:c r="AH382" s="139" t="n"/>
      <x:c r="AI382" s="139" t="n"/>
      <x:c r="AJ382" s="139" t="n"/>
      <x:c r="AK382" s="139" t="n"/>
      <x:c r="AL382" s="139" t="n"/>
      <x:c r="AM382" s="139" t="n"/>
      <x:c r="AN382" s="139" t="n"/>
      <x:c r="AO382" s="139" t="n"/>
      <x:c r="AP382" s="139" t="n"/>
      <x:c r="AQ382" s="139" t="n"/>
      <x:c r="AR382" s="139" t="n"/>
      <x:c r="AS382" s="139" t="n"/>
      <x:c r="AT382" s="139" t="n"/>
      <x:c r="AU382" s="139" t="n"/>
      <x:c r="AV382" s="139" t="n"/>
      <x:c r="AW382" s="139" t="n"/>
      <x:c r="AX382" s="139" t="n"/>
      <x:c r="AY382" s="139" t="n"/>
      <x:c r="AZ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c r="V383" s="139" t="n"/>
      <x:c r="W383" s="139" t="n"/>
      <x:c r="X383" s="139" t="n"/>
      <x:c r="Y383" s="139" t="n"/>
      <x:c r="Z383" s="139" t="n"/>
      <x:c r="AA383" s="139" t="n"/>
      <x:c r="AB383" s="139" t="n"/>
      <x:c r="AC383" s="139" t="n"/>
      <x:c r="AD383" s="139" t="n"/>
      <x:c r="AE383" s="139" t="n"/>
      <x:c r="AF383" s="139" t="n"/>
      <x:c r="AG383" s="139" t="n"/>
      <x:c r="AH383" s="139" t="n"/>
      <x:c r="AI383" s="139" t="n"/>
      <x:c r="AJ383" s="139" t="n"/>
      <x:c r="AK383" s="139" t="n"/>
      <x:c r="AL383" s="139" t="n"/>
      <x:c r="AM383" s="139" t="n"/>
      <x:c r="AN383" s="139" t="n"/>
      <x:c r="AO383" s="139" t="n"/>
      <x:c r="AP383" s="139" t="n"/>
      <x:c r="AQ383" s="139" t="n"/>
      <x:c r="AR383" s="139" t="n"/>
      <x:c r="AS383" s="139" t="n"/>
      <x:c r="AT383" s="139" t="n"/>
      <x:c r="AU383" s="139" t="n"/>
      <x:c r="AV383" s="139" t="n"/>
      <x:c r="AW383" s="139" t="n"/>
      <x:c r="AX383" s="139" t="n"/>
      <x:c r="AY383" s="139" t="n"/>
      <x:c r="AZ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c r="V384" s="139" t="n"/>
      <x:c r="W384" s="139" t="n"/>
      <x:c r="X384" s="139" t="n"/>
      <x:c r="Y384" s="139" t="n"/>
      <x:c r="Z384" s="139" t="n"/>
      <x:c r="AA384" s="139" t="n"/>
      <x:c r="AB384" s="139" t="n"/>
      <x:c r="AC384" s="139" t="n"/>
      <x:c r="AD384" s="139" t="n"/>
      <x:c r="AE384" s="139" t="n"/>
      <x:c r="AF384" s="139" t="n"/>
      <x:c r="AG384" s="139" t="n"/>
      <x:c r="AH384" s="139" t="n"/>
      <x:c r="AI384" s="139" t="n"/>
      <x:c r="AJ384" s="139" t="n"/>
      <x:c r="AK384" s="139" t="n"/>
      <x:c r="AL384" s="139" t="n"/>
      <x:c r="AM384" s="139" t="n"/>
      <x:c r="AN384" s="139" t="n"/>
      <x:c r="AO384" s="139" t="n"/>
      <x:c r="AP384" s="139" t="n"/>
      <x:c r="AQ384" s="139" t="n"/>
      <x:c r="AR384" s="139" t="n"/>
      <x:c r="AS384" s="139" t="n"/>
      <x:c r="AT384" s="139" t="n"/>
      <x:c r="AU384" s="139" t="n"/>
      <x:c r="AV384" s="139" t="n"/>
      <x:c r="AW384" s="139" t="n"/>
      <x:c r="AX384" s="139" t="n"/>
      <x:c r="AY384" s="139" t="n"/>
      <x:c r="AZ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c r="V385" s="139" t="n"/>
      <x:c r="W385" s="139" t="n"/>
      <x:c r="X385" s="139" t="n"/>
      <x:c r="Y385" s="139" t="n"/>
      <x:c r="Z385" s="139" t="n"/>
      <x:c r="AA385" s="139" t="n"/>
      <x:c r="AB385" s="139" t="n"/>
      <x:c r="AC385" s="139" t="n"/>
      <x:c r="AD385" s="139" t="n"/>
      <x:c r="AE385" s="139" t="n"/>
      <x:c r="AF385" s="139" t="n"/>
      <x:c r="AG385" s="139" t="n"/>
      <x:c r="AH385" s="139" t="n"/>
      <x:c r="AI385" s="139" t="n"/>
      <x:c r="AJ385" s="139" t="n"/>
      <x:c r="AK385" s="139" t="n"/>
      <x:c r="AL385" s="139" t="n"/>
      <x:c r="AM385" s="139" t="n"/>
      <x:c r="AN385" s="139" t="n"/>
      <x:c r="AO385" s="139" t="n"/>
      <x:c r="AP385" s="139" t="n"/>
      <x:c r="AQ385" s="139" t="n"/>
      <x:c r="AR385" s="139" t="n"/>
      <x:c r="AS385" s="139" t="n"/>
      <x:c r="AT385" s="139" t="n"/>
      <x:c r="AU385" s="139" t="n"/>
      <x:c r="AV385" s="139" t="n"/>
      <x:c r="AW385" s="139" t="n"/>
      <x:c r="AX385" s="139" t="n"/>
      <x:c r="AY385" s="139" t="n"/>
      <x:c r="AZ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c r="V386" s="139" t="n"/>
      <x:c r="W386" s="139" t="n"/>
      <x:c r="X386" s="139" t="n"/>
      <x:c r="Y386" s="139" t="n"/>
      <x:c r="Z386" s="139" t="n"/>
      <x:c r="AA386" s="139" t="n"/>
      <x:c r="AB386" s="139" t="n"/>
      <x:c r="AC386" s="139" t="n"/>
      <x:c r="AD386" s="139" t="n"/>
      <x:c r="AE386" s="139" t="n"/>
      <x:c r="AF386" s="139" t="n"/>
      <x:c r="AG386" s="139" t="n"/>
      <x:c r="AH386" s="139" t="n"/>
      <x:c r="AI386" s="139" t="n"/>
      <x:c r="AJ386" s="139" t="n"/>
      <x:c r="AK386" s="139" t="n"/>
      <x:c r="AL386" s="139" t="n"/>
      <x:c r="AM386" s="139" t="n"/>
      <x:c r="AN386" s="139" t="n"/>
      <x:c r="AO386" s="139" t="n"/>
      <x:c r="AP386" s="139" t="n"/>
      <x:c r="AQ386" s="139" t="n"/>
      <x:c r="AR386" s="139" t="n"/>
      <x:c r="AS386" s="139" t="n"/>
      <x:c r="AT386" s="139" t="n"/>
      <x:c r="AU386" s="139" t="n"/>
      <x:c r="AV386" s="139" t="n"/>
      <x:c r="AW386" s="139" t="n"/>
      <x:c r="AX386" s="139" t="n"/>
      <x:c r="AY386" s="139" t="n"/>
      <x:c r="AZ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c r="V387" s="139" t="n"/>
      <x:c r="W387" s="139" t="n"/>
      <x:c r="X387" s="139" t="n"/>
      <x:c r="Y387" s="139" t="n"/>
      <x:c r="Z387" s="139" t="n"/>
      <x:c r="AA387" s="139" t="n"/>
      <x:c r="AB387" s="139" t="n"/>
      <x:c r="AC387" s="139" t="n"/>
      <x:c r="AD387" s="139" t="n"/>
      <x:c r="AE387" s="139" t="n"/>
      <x:c r="AF387" s="139" t="n"/>
      <x:c r="AG387" s="139" t="n"/>
      <x:c r="AH387" s="139" t="n"/>
      <x:c r="AI387" s="139" t="n"/>
      <x:c r="AJ387" s="139" t="n"/>
      <x:c r="AK387" s="139" t="n"/>
      <x:c r="AL387" s="139" t="n"/>
      <x:c r="AM387" s="139" t="n"/>
      <x:c r="AN387" s="139" t="n"/>
      <x:c r="AO387" s="139" t="n"/>
      <x:c r="AP387" s="139" t="n"/>
      <x:c r="AQ387" s="139" t="n"/>
      <x:c r="AR387" s="139" t="n"/>
      <x:c r="AS387" s="139" t="n"/>
      <x:c r="AT387" s="139" t="n"/>
      <x:c r="AU387" s="139" t="n"/>
      <x:c r="AV387" s="139" t="n"/>
      <x:c r="AW387" s="139" t="n"/>
      <x:c r="AX387" s="139" t="n"/>
      <x:c r="AY387" s="139" t="n"/>
      <x:c r="AZ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c r="V388" s="139" t="n"/>
      <x:c r="W388" s="139" t="n"/>
      <x:c r="X388" s="139" t="n"/>
      <x:c r="Y388" s="139" t="n"/>
      <x:c r="Z388" s="139" t="n"/>
      <x:c r="AA388" s="139" t="n"/>
      <x:c r="AB388" s="139" t="n"/>
      <x:c r="AC388" s="139" t="n"/>
      <x:c r="AD388" s="139" t="n"/>
      <x:c r="AE388" s="139" t="n"/>
      <x:c r="AF388" s="139" t="n"/>
      <x:c r="AG388" s="139" t="n"/>
      <x:c r="AH388" s="139" t="n"/>
      <x:c r="AI388" s="139" t="n"/>
      <x:c r="AJ388" s="139" t="n"/>
      <x:c r="AK388" s="139" t="n"/>
      <x:c r="AL388" s="139" t="n"/>
      <x:c r="AM388" s="139" t="n"/>
      <x:c r="AN388" s="139" t="n"/>
      <x:c r="AO388" s="139" t="n"/>
      <x:c r="AP388" s="139" t="n"/>
      <x:c r="AQ388" s="139" t="n"/>
      <x:c r="AR388" s="139" t="n"/>
      <x:c r="AS388" s="139" t="n"/>
      <x:c r="AT388" s="139" t="n"/>
      <x:c r="AU388" s="139" t="n"/>
      <x:c r="AV388" s="139" t="n"/>
      <x:c r="AW388" s="139" t="n"/>
      <x:c r="AX388" s="139" t="n"/>
      <x:c r="AY388" s="139" t="n"/>
      <x:c r="AZ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c r="V389" s="139" t="n"/>
      <x:c r="W389" s="139" t="n"/>
      <x:c r="X389" s="139" t="n"/>
      <x:c r="Y389" s="139" t="n"/>
      <x:c r="Z389" s="139" t="n"/>
      <x:c r="AA389" s="139" t="n"/>
      <x:c r="AB389" s="139" t="n"/>
      <x:c r="AC389" s="139" t="n"/>
      <x:c r="AD389" s="139" t="n"/>
      <x:c r="AE389" s="139" t="n"/>
      <x:c r="AF389" s="139" t="n"/>
      <x:c r="AG389" s="139" t="n"/>
      <x:c r="AH389" s="139" t="n"/>
      <x:c r="AI389" s="139" t="n"/>
      <x:c r="AJ389" s="139" t="n"/>
      <x:c r="AK389" s="139" t="n"/>
      <x:c r="AL389" s="139" t="n"/>
      <x:c r="AM389" s="139" t="n"/>
      <x:c r="AN389" s="139" t="n"/>
      <x:c r="AO389" s="139" t="n"/>
      <x:c r="AP389" s="139" t="n"/>
      <x:c r="AQ389" s="139" t="n"/>
      <x:c r="AR389" s="139" t="n"/>
      <x:c r="AS389" s="139" t="n"/>
      <x:c r="AT389" s="139" t="n"/>
      <x:c r="AU389" s="139" t="n"/>
      <x:c r="AV389" s="139" t="n"/>
      <x:c r="AW389" s="139" t="n"/>
      <x:c r="AX389" s="139" t="n"/>
      <x:c r="AY389" s="139" t="n"/>
      <x:c r="AZ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c r="V390" s="139" t="n"/>
      <x:c r="W390" s="139" t="n"/>
      <x:c r="X390" s="139" t="n"/>
      <x:c r="Y390" s="139" t="n"/>
      <x:c r="Z390" s="139" t="n"/>
      <x:c r="AA390" s="139" t="n"/>
      <x:c r="AB390" s="139" t="n"/>
      <x:c r="AC390" s="139" t="n"/>
      <x:c r="AD390" s="139" t="n"/>
      <x:c r="AE390" s="139" t="n"/>
      <x:c r="AF390" s="139" t="n"/>
      <x:c r="AG390" s="139" t="n"/>
      <x:c r="AH390" s="139" t="n"/>
      <x:c r="AI390" s="139" t="n"/>
      <x:c r="AJ390" s="139" t="n"/>
      <x:c r="AK390" s="139" t="n"/>
      <x:c r="AL390" s="139" t="n"/>
      <x:c r="AM390" s="139" t="n"/>
      <x:c r="AN390" s="139" t="n"/>
      <x:c r="AO390" s="139" t="n"/>
      <x:c r="AP390" s="139" t="n"/>
      <x:c r="AQ390" s="139" t="n"/>
      <x:c r="AR390" s="139" t="n"/>
      <x:c r="AS390" s="139" t="n"/>
      <x:c r="AT390" s="139" t="n"/>
      <x:c r="AU390" s="139" t="n"/>
      <x:c r="AV390" s="139" t="n"/>
      <x:c r="AW390" s="139" t="n"/>
      <x:c r="AX390" s="139" t="n"/>
      <x:c r="AY390" s="139" t="n"/>
      <x:c r="AZ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c r="V391" s="139" t="n"/>
      <x:c r="W391" s="139" t="n"/>
      <x:c r="X391" s="139" t="n"/>
      <x:c r="Y391" s="139" t="n"/>
      <x:c r="Z391" s="139" t="n"/>
      <x:c r="AA391" s="139" t="n"/>
      <x:c r="AB391" s="139" t="n"/>
      <x:c r="AC391" s="139" t="n"/>
      <x:c r="AD391" s="139" t="n"/>
      <x:c r="AE391" s="139" t="n"/>
      <x:c r="AF391" s="139" t="n"/>
      <x:c r="AG391" s="139" t="n"/>
      <x:c r="AH391" s="139" t="n"/>
      <x:c r="AI391" s="139" t="n"/>
      <x:c r="AJ391" s="139" t="n"/>
      <x:c r="AK391" s="139" t="n"/>
      <x:c r="AL391" s="139" t="n"/>
      <x:c r="AM391" s="139" t="n"/>
      <x:c r="AN391" s="139" t="n"/>
      <x:c r="AO391" s="139" t="n"/>
      <x:c r="AP391" s="139" t="n"/>
      <x:c r="AQ391" s="139" t="n"/>
      <x:c r="AR391" s="139" t="n"/>
      <x:c r="AS391" s="139" t="n"/>
      <x:c r="AT391" s="139" t="n"/>
      <x:c r="AU391" s="139" t="n"/>
      <x:c r="AV391" s="139" t="n"/>
      <x:c r="AW391" s="139" t="n"/>
      <x:c r="AX391" s="139" t="n"/>
      <x:c r="AY391" s="139" t="n"/>
      <x:c r="AZ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c r="V392" s="139" t="n"/>
      <x:c r="W392" s="139" t="n"/>
      <x:c r="X392" s="139" t="n"/>
      <x:c r="Y392" s="139" t="n"/>
      <x:c r="Z392" s="139" t="n"/>
      <x:c r="AA392" s="139" t="n"/>
      <x:c r="AB392" s="139" t="n"/>
      <x:c r="AC392" s="139" t="n"/>
      <x:c r="AD392" s="139" t="n"/>
      <x:c r="AE392" s="139" t="n"/>
      <x:c r="AF392" s="139" t="n"/>
      <x:c r="AG392" s="139" t="n"/>
      <x:c r="AH392" s="139" t="n"/>
      <x:c r="AI392" s="139" t="n"/>
      <x:c r="AJ392" s="139" t="n"/>
      <x:c r="AK392" s="139" t="n"/>
      <x:c r="AL392" s="139" t="n"/>
      <x:c r="AM392" s="139" t="n"/>
      <x:c r="AN392" s="139" t="n"/>
      <x:c r="AO392" s="139" t="n"/>
      <x:c r="AP392" s="139" t="n"/>
      <x:c r="AQ392" s="139" t="n"/>
      <x:c r="AR392" s="139" t="n"/>
      <x:c r="AS392" s="139" t="n"/>
      <x:c r="AT392" s="139" t="n"/>
      <x:c r="AU392" s="139" t="n"/>
      <x:c r="AV392" s="139" t="n"/>
      <x:c r="AW392" s="139" t="n"/>
      <x:c r="AX392" s="139" t="n"/>
      <x:c r="AY392" s="139" t="n"/>
      <x:c r="AZ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c r="V393" s="139" t="n"/>
      <x:c r="W393" s="139" t="n"/>
      <x:c r="X393" s="139" t="n"/>
      <x:c r="Y393" s="139" t="n"/>
      <x:c r="Z393" s="139" t="n"/>
      <x:c r="AA393" s="139" t="n"/>
      <x:c r="AB393" s="139" t="n"/>
      <x:c r="AC393" s="139" t="n"/>
      <x:c r="AD393" s="139" t="n"/>
      <x:c r="AE393" s="139" t="n"/>
      <x:c r="AF393" s="139" t="n"/>
      <x:c r="AG393" s="139" t="n"/>
      <x:c r="AH393" s="139" t="n"/>
      <x:c r="AI393" s="139" t="n"/>
      <x:c r="AJ393" s="139" t="n"/>
      <x:c r="AK393" s="139" t="n"/>
      <x:c r="AL393" s="139" t="n"/>
      <x:c r="AM393" s="139" t="n"/>
      <x:c r="AN393" s="139" t="n"/>
      <x:c r="AO393" s="139" t="n"/>
      <x:c r="AP393" s="139" t="n"/>
      <x:c r="AQ393" s="139" t="n"/>
      <x:c r="AR393" s="139" t="n"/>
      <x:c r="AS393" s="139" t="n"/>
      <x:c r="AT393" s="139" t="n"/>
      <x:c r="AU393" s="139" t="n"/>
      <x:c r="AV393" s="139" t="n"/>
      <x:c r="AW393" s="139" t="n"/>
      <x:c r="AX393" s="139" t="n"/>
      <x:c r="AY393" s="139" t="n"/>
      <x:c r="AZ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c r="V394" s="139" t="n"/>
      <x:c r="W394" s="139" t="n"/>
      <x:c r="X394" s="139" t="n"/>
      <x:c r="Y394" s="139" t="n"/>
      <x:c r="Z394" s="139" t="n"/>
      <x:c r="AA394" s="139" t="n"/>
      <x:c r="AB394" s="139" t="n"/>
      <x:c r="AC394" s="139" t="n"/>
      <x:c r="AD394" s="139" t="n"/>
      <x:c r="AE394" s="139" t="n"/>
      <x:c r="AF394" s="139" t="n"/>
      <x:c r="AG394" s="139" t="n"/>
      <x:c r="AH394" s="139" t="n"/>
      <x:c r="AI394" s="139" t="n"/>
      <x:c r="AJ394" s="139" t="n"/>
      <x:c r="AK394" s="139" t="n"/>
      <x:c r="AL394" s="139" t="n"/>
      <x:c r="AM394" s="139" t="n"/>
      <x:c r="AN394" s="139" t="n"/>
      <x:c r="AO394" s="139" t="n"/>
      <x:c r="AP394" s="139" t="n"/>
      <x:c r="AQ394" s="139" t="n"/>
      <x:c r="AR394" s="139" t="n"/>
      <x:c r="AS394" s="139" t="n"/>
      <x:c r="AT394" s="139" t="n"/>
      <x:c r="AU394" s="139" t="n"/>
      <x:c r="AV394" s="139" t="n"/>
      <x:c r="AW394" s="139" t="n"/>
      <x:c r="AX394" s="139" t="n"/>
      <x:c r="AY394" s="139" t="n"/>
      <x:c r="AZ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c r="V395" s="139" t="n"/>
      <x:c r="W395" s="139" t="n"/>
      <x:c r="X395" s="139" t="n"/>
      <x:c r="Y395" s="139" t="n"/>
      <x:c r="Z395" s="139" t="n"/>
      <x:c r="AA395" s="139" t="n"/>
      <x:c r="AB395" s="139" t="n"/>
      <x:c r="AC395" s="139" t="n"/>
      <x:c r="AD395" s="139" t="n"/>
      <x:c r="AE395" s="139" t="n"/>
      <x:c r="AF395" s="139" t="n"/>
      <x:c r="AG395" s="139" t="n"/>
      <x:c r="AH395" s="139" t="n"/>
      <x:c r="AI395" s="139" t="n"/>
      <x:c r="AJ395" s="139" t="n"/>
      <x:c r="AK395" s="139" t="n"/>
      <x:c r="AL395" s="139" t="n"/>
      <x:c r="AM395" s="139" t="n"/>
      <x:c r="AN395" s="139" t="n"/>
      <x:c r="AO395" s="139" t="n"/>
      <x:c r="AP395" s="139" t="n"/>
      <x:c r="AQ395" s="139" t="n"/>
      <x:c r="AR395" s="139" t="n"/>
      <x:c r="AS395" s="139" t="n"/>
      <x:c r="AT395" s="139" t="n"/>
      <x:c r="AU395" s="139" t="n"/>
      <x:c r="AV395" s="139" t="n"/>
      <x:c r="AW395" s="139" t="n"/>
      <x:c r="AX395" s="139" t="n"/>
      <x:c r="AY395" s="139" t="n"/>
      <x:c r="AZ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c r="V396" s="139" t="n"/>
      <x:c r="W396" s="139" t="n"/>
      <x:c r="X396" s="139" t="n"/>
      <x:c r="Y396" s="139" t="n"/>
      <x:c r="Z396" s="139" t="n"/>
      <x:c r="AA396" s="139" t="n"/>
      <x:c r="AB396" s="139" t="n"/>
      <x:c r="AC396" s="139" t="n"/>
      <x:c r="AD396" s="139" t="n"/>
      <x:c r="AE396" s="139" t="n"/>
      <x:c r="AF396" s="139" t="n"/>
      <x:c r="AG396" s="139" t="n"/>
      <x:c r="AH396" s="139" t="n"/>
      <x:c r="AI396" s="139" t="n"/>
      <x:c r="AJ396" s="139" t="n"/>
      <x:c r="AK396" s="139" t="n"/>
      <x:c r="AL396" s="139" t="n"/>
      <x:c r="AM396" s="139" t="n"/>
      <x:c r="AN396" s="139" t="n"/>
      <x:c r="AO396" s="139" t="n"/>
      <x:c r="AP396" s="139" t="n"/>
      <x:c r="AQ396" s="139" t="n"/>
      <x:c r="AR396" s="139" t="n"/>
      <x:c r="AS396" s="139" t="n"/>
      <x:c r="AT396" s="139" t="n"/>
      <x:c r="AU396" s="139" t="n"/>
      <x:c r="AV396" s="139" t="n"/>
      <x:c r="AW396" s="139" t="n"/>
      <x:c r="AX396" s="139" t="n"/>
      <x:c r="AY396" s="139" t="n"/>
      <x:c r="AZ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c r="V397" s="139" t="n"/>
      <x:c r="W397" s="139" t="n"/>
      <x:c r="X397" s="139" t="n"/>
      <x:c r="Y397" s="139" t="n"/>
      <x:c r="Z397" s="139" t="n"/>
      <x:c r="AA397" s="139" t="n"/>
      <x:c r="AB397" s="139" t="n"/>
      <x:c r="AC397" s="139" t="n"/>
      <x:c r="AD397" s="139" t="n"/>
      <x:c r="AE397" s="139" t="n"/>
      <x:c r="AF397" s="139" t="n"/>
      <x:c r="AG397" s="139" t="n"/>
      <x:c r="AH397" s="139" t="n"/>
      <x:c r="AI397" s="139" t="n"/>
      <x:c r="AJ397" s="139" t="n"/>
      <x:c r="AK397" s="139" t="n"/>
      <x:c r="AL397" s="139" t="n"/>
      <x:c r="AM397" s="139" t="n"/>
      <x:c r="AN397" s="139" t="n"/>
      <x:c r="AO397" s="139" t="n"/>
      <x:c r="AP397" s="139" t="n"/>
      <x:c r="AQ397" s="139" t="n"/>
      <x:c r="AR397" s="139" t="n"/>
      <x:c r="AS397" s="139" t="n"/>
      <x:c r="AT397" s="139" t="n"/>
      <x:c r="AU397" s="139" t="n"/>
      <x:c r="AV397" s="139" t="n"/>
      <x:c r="AW397" s="139" t="n"/>
      <x:c r="AX397" s="139" t="n"/>
      <x:c r="AY397" s="139" t="n"/>
      <x:c r="AZ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c r="V398" s="139" t="n"/>
      <x:c r="W398" s="139" t="n"/>
      <x:c r="X398" s="139" t="n"/>
      <x:c r="Y398" s="139" t="n"/>
      <x:c r="Z398" s="139" t="n"/>
      <x:c r="AA398" s="139" t="n"/>
      <x:c r="AB398" s="139" t="n"/>
      <x:c r="AC398" s="139" t="n"/>
      <x:c r="AD398" s="139" t="n"/>
      <x:c r="AE398" s="139" t="n"/>
      <x:c r="AF398" s="139" t="n"/>
      <x:c r="AG398" s="139" t="n"/>
      <x:c r="AH398" s="139" t="n"/>
      <x:c r="AI398" s="139" t="n"/>
      <x:c r="AJ398" s="139" t="n"/>
      <x:c r="AK398" s="139" t="n"/>
      <x:c r="AL398" s="139" t="n"/>
      <x:c r="AM398" s="139" t="n"/>
      <x:c r="AN398" s="139" t="n"/>
      <x:c r="AO398" s="139" t="n"/>
      <x:c r="AP398" s="139" t="n"/>
      <x:c r="AQ398" s="139" t="n"/>
      <x:c r="AR398" s="139" t="n"/>
      <x:c r="AS398" s="139" t="n"/>
      <x:c r="AT398" s="139" t="n"/>
      <x:c r="AU398" s="139" t="n"/>
      <x:c r="AV398" s="139" t="n"/>
      <x:c r="AW398" s="139" t="n"/>
      <x:c r="AX398" s="139" t="n"/>
      <x:c r="AY398" s="139" t="n"/>
      <x:c r="AZ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c r="V399" s="139" t="n"/>
      <x:c r="W399" s="139" t="n"/>
      <x:c r="X399" s="139" t="n"/>
      <x:c r="Y399" s="139" t="n"/>
      <x:c r="Z399" s="139" t="n"/>
      <x:c r="AA399" s="139" t="n"/>
      <x:c r="AB399" s="139" t="n"/>
      <x:c r="AC399" s="139" t="n"/>
      <x:c r="AD399" s="139" t="n"/>
      <x:c r="AE399" s="139" t="n"/>
      <x:c r="AF399" s="139" t="n"/>
      <x:c r="AG399" s="139" t="n"/>
      <x:c r="AH399" s="139" t="n"/>
      <x:c r="AI399" s="139" t="n"/>
      <x:c r="AJ399" s="139" t="n"/>
      <x:c r="AK399" s="139" t="n"/>
      <x:c r="AL399" s="139" t="n"/>
      <x:c r="AM399" s="139" t="n"/>
      <x:c r="AN399" s="139" t="n"/>
      <x:c r="AO399" s="139" t="n"/>
      <x:c r="AP399" s="139" t="n"/>
      <x:c r="AQ399" s="139" t="n"/>
      <x:c r="AR399" s="139" t="n"/>
      <x:c r="AS399" s="139" t="n"/>
      <x:c r="AT399" s="139" t="n"/>
      <x:c r="AU399" s="139" t="n"/>
      <x:c r="AV399" s="139" t="n"/>
      <x:c r="AW399" s="139" t="n"/>
      <x:c r="AX399" s="139" t="n"/>
      <x:c r="AY399" s="139" t="n"/>
      <x:c r="AZ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c r="V400" s="139" t="n"/>
      <x:c r="W400" s="139" t="n"/>
      <x:c r="X400" s="139" t="n"/>
      <x:c r="Y400" s="139" t="n"/>
      <x:c r="Z400" s="139" t="n"/>
      <x:c r="AA400" s="139" t="n"/>
      <x:c r="AB400" s="139" t="n"/>
      <x:c r="AC400" s="139" t="n"/>
      <x:c r="AD400" s="139" t="n"/>
      <x:c r="AE400" s="139" t="n"/>
      <x:c r="AF400" s="139" t="n"/>
      <x:c r="AG400" s="139" t="n"/>
      <x:c r="AH400" s="139" t="n"/>
      <x:c r="AI400" s="139" t="n"/>
      <x:c r="AJ400" s="139" t="n"/>
      <x:c r="AK400" s="139" t="n"/>
      <x:c r="AL400" s="139" t="n"/>
      <x:c r="AM400" s="139" t="n"/>
      <x:c r="AN400" s="139" t="n"/>
      <x:c r="AO400" s="139" t="n"/>
      <x:c r="AP400" s="139" t="n"/>
      <x:c r="AQ400" s="139" t="n"/>
      <x:c r="AR400" s="139" t="n"/>
      <x:c r="AS400" s="139" t="n"/>
      <x:c r="AT400" s="139" t="n"/>
      <x:c r="AU400" s="139" t="n"/>
      <x:c r="AV400" s="139" t="n"/>
      <x:c r="AW400" s="139" t="n"/>
      <x:c r="AX400" s="139" t="n"/>
      <x:c r="AY400" s="139" t="n"/>
      <x:c r="AZ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c r="V401" s="139" t="n"/>
      <x:c r="W401" s="139" t="n"/>
      <x:c r="X401" s="139" t="n"/>
      <x:c r="Y401" s="139" t="n"/>
      <x:c r="Z401" s="139" t="n"/>
      <x:c r="AA401" s="139" t="n"/>
      <x:c r="AB401" s="139" t="n"/>
      <x:c r="AC401" s="139" t="n"/>
      <x:c r="AD401" s="139" t="n"/>
      <x:c r="AE401" s="139" t="n"/>
      <x:c r="AF401" s="139" t="n"/>
      <x:c r="AG401" s="139" t="n"/>
      <x:c r="AH401" s="139" t="n"/>
      <x:c r="AI401" s="139" t="n"/>
      <x:c r="AJ401" s="139" t="n"/>
      <x:c r="AK401" s="139" t="n"/>
      <x:c r="AL401" s="139" t="n"/>
      <x:c r="AM401" s="139" t="n"/>
      <x:c r="AN401" s="139" t="n"/>
      <x:c r="AO401" s="139" t="n"/>
      <x:c r="AP401" s="139" t="n"/>
      <x:c r="AQ401" s="139" t="n"/>
      <x:c r="AR401" s="139" t="n"/>
      <x:c r="AS401" s="139" t="n"/>
      <x:c r="AT401" s="139" t="n"/>
      <x:c r="AU401" s="139" t="n"/>
      <x:c r="AV401" s="139" t="n"/>
      <x:c r="AW401" s="139" t="n"/>
      <x:c r="AX401" s="139" t="n"/>
      <x:c r="AY401" s="139" t="n"/>
      <x:c r="AZ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c r="V402" s="139" t="n"/>
      <x:c r="W402" s="139" t="n"/>
      <x:c r="X402" s="139" t="n"/>
      <x:c r="Y402" s="139" t="n"/>
      <x:c r="Z402" s="139" t="n"/>
      <x:c r="AA402" s="139" t="n"/>
      <x:c r="AB402" s="139" t="n"/>
      <x:c r="AC402" s="139" t="n"/>
      <x:c r="AD402" s="139" t="n"/>
      <x:c r="AE402" s="139" t="n"/>
      <x:c r="AF402" s="139" t="n"/>
      <x:c r="AG402" s="139" t="n"/>
      <x:c r="AH402" s="139" t="n"/>
      <x:c r="AI402" s="139" t="n"/>
      <x:c r="AJ402" s="139" t="n"/>
      <x:c r="AK402" s="139" t="n"/>
      <x:c r="AL402" s="139" t="n"/>
      <x:c r="AM402" s="139" t="n"/>
      <x:c r="AN402" s="139" t="n"/>
      <x:c r="AO402" s="139" t="n"/>
      <x:c r="AP402" s="139" t="n"/>
      <x:c r="AQ402" s="139" t="n"/>
      <x:c r="AR402" s="139" t="n"/>
      <x:c r="AS402" s="139" t="n"/>
      <x:c r="AT402" s="139" t="n"/>
      <x:c r="AU402" s="139" t="n"/>
      <x:c r="AV402" s="139" t="n"/>
      <x:c r="AW402" s="139" t="n"/>
      <x:c r="AX402" s="139" t="n"/>
      <x:c r="AY402" s="139" t="n"/>
      <x:c r="AZ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c r="V403" s="139" t="n"/>
      <x:c r="W403" s="139" t="n"/>
      <x:c r="X403" s="139" t="n"/>
      <x:c r="Y403" s="139" t="n"/>
      <x:c r="Z403" s="139" t="n"/>
      <x:c r="AA403" s="139" t="n"/>
      <x:c r="AB403" s="139" t="n"/>
      <x:c r="AC403" s="139" t="n"/>
      <x:c r="AD403" s="139" t="n"/>
      <x:c r="AE403" s="139" t="n"/>
      <x:c r="AF403" s="139" t="n"/>
      <x:c r="AG403" s="139" t="n"/>
      <x:c r="AH403" s="139" t="n"/>
      <x:c r="AI403" s="139" t="n"/>
      <x:c r="AJ403" s="139" t="n"/>
      <x:c r="AK403" s="139" t="n"/>
      <x:c r="AL403" s="139" t="n"/>
      <x:c r="AM403" s="139" t="n"/>
      <x:c r="AN403" s="139" t="n"/>
      <x:c r="AO403" s="139" t="n"/>
      <x:c r="AP403" s="139" t="n"/>
      <x:c r="AQ403" s="139" t="n"/>
      <x:c r="AR403" s="139" t="n"/>
      <x:c r="AS403" s="139" t="n"/>
      <x:c r="AT403" s="139" t="n"/>
      <x:c r="AU403" s="139" t="n"/>
      <x:c r="AV403" s="139" t="n"/>
      <x:c r="AW403" s="139" t="n"/>
      <x:c r="AX403" s="139" t="n"/>
      <x:c r="AY403" s="139" t="n"/>
      <x:c r="AZ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c r="V404" s="139" t="n"/>
      <x:c r="W404" s="139" t="n"/>
      <x:c r="X404" s="139" t="n"/>
      <x:c r="Y404" s="139" t="n"/>
      <x:c r="Z404" s="139" t="n"/>
      <x:c r="AA404" s="139" t="n"/>
      <x:c r="AB404" s="139" t="n"/>
      <x:c r="AC404" s="139" t="n"/>
      <x:c r="AD404" s="139" t="n"/>
      <x:c r="AE404" s="139" t="n"/>
      <x:c r="AF404" s="139" t="n"/>
      <x:c r="AG404" s="139" t="n"/>
      <x:c r="AH404" s="139" t="n"/>
      <x:c r="AI404" s="139" t="n"/>
      <x:c r="AJ404" s="139" t="n"/>
      <x:c r="AK404" s="139" t="n"/>
      <x:c r="AL404" s="139" t="n"/>
      <x:c r="AM404" s="139" t="n"/>
      <x:c r="AN404" s="139" t="n"/>
      <x:c r="AO404" s="139" t="n"/>
      <x:c r="AP404" s="139" t="n"/>
      <x:c r="AQ404" s="139" t="n"/>
      <x:c r="AR404" s="139" t="n"/>
      <x:c r="AS404" s="139" t="n"/>
      <x:c r="AT404" s="139" t="n"/>
      <x:c r="AU404" s="139" t="n"/>
      <x:c r="AV404" s="139" t="n"/>
      <x:c r="AW404" s="139" t="n"/>
      <x:c r="AX404" s="139" t="n"/>
      <x:c r="AY404" s="139" t="n"/>
      <x:c r="AZ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c r="V405" s="139" t="n"/>
      <x:c r="W405" s="139" t="n"/>
      <x:c r="X405" s="139" t="n"/>
      <x:c r="Y405" s="139" t="n"/>
      <x:c r="Z405" s="139" t="n"/>
      <x:c r="AA405" s="139" t="n"/>
      <x:c r="AB405" s="139" t="n"/>
      <x:c r="AC405" s="139" t="n"/>
      <x:c r="AD405" s="139" t="n"/>
      <x:c r="AE405" s="139" t="n"/>
      <x:c r="AF405" s="139" t="n"/>
      <x:c r="AG405" s="139" t="n"/>
      <x:c r="AH405" s="139" t="n"/>
      <x:c r="AI405" s="139" t="n"/>
      <x:c r="AJ405" s="139" t="n"/>
      <x:c r="AK405" s="139" t="n"/>
      <x:c r="AL405" s="139" t="n"/>
      <x:c r="AM405" s="139" t="n"/>
      <x:c r="AN405" s="139" t="n"/>
      <x:c r="AO405" s="139" t="n"/>
      <x:c r="AP405" s="139" t="n"/>
      <x:c r="AQ405" s="139" t="n"/>
      <x:c r="AR405" s="139" t="n"/>
      <x:c r="AS405" s="139" t="n"/>
      <x:c r="AT405" s="139" t="n"/>
      <x:c r="AU405" s="139" t="n"/>
      <x:c r="AV405" s="139" t="n"/>
      <x:c r="AW405" s="139" t="n"/>
      <x:c r="AX405" s="139" t="n"/>
      <x:c r="AY405" s="139" t="n"/>
      <x:c r="AZ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c r="V406" s="139" t="n"/>
      <x:c r="W406" s="139" t="n"/>
      <x:c r="X406" s="139" t="n"/>
      <x:c r="Y406" s="139" t="n"/>
      <x:c r="Z406" s="139" t="n"/>
      <x:c r="AA406" s="139" t="n"/>
      <x:c r="AB406" s="139" t="n"/>
      <x:c r="AC406" s="139" t="n"/>
      <x:c r="AD406" s="139" t="n"/>
      <x:c r="AE406" s="139" t="n"/>
      <x:c r="AF406" s="139" t="n"/>
      <x:c r="AG406" s="139" t="n"/>
      <x:c r="AH406" s="139" t="n"/>
      <x:c r="AI406" s="139" t="n"/>
      <x:c r="AJ406" s="139" t="n"/>
      <x:c r="AK406" s="139" t="n"/>
      <x:c r="AL406" s="139" t="n"/>
      <x:c r="AM406" s="139" t="n"/>
      <x:c r="AN406" s="139" t="n"/>
      <x:c r="AO406" s="139" t="n"/>
      <x:c r="AP406" s="139" t="n"/>
      <x:c r="AQ406" s="139" t="n"/>
      <x:c r="AR406" s="139" t="n"/>
      <x:c r="AS406" s="139" t="n"/>
      <x:c r="AT406" s="139" t="n"/>
      <x:c r="AU406" s="139" t="n"/>
      <x:c r="AV406" s="139" t="n"/>
      <x:c r="AW406" s="139" t="n"/>
      <x:c r="AX406" s="139" t="n"/>
      <x:c r="AY406" s="139" t="n"/>
      <x:c r="AZ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c r="V407" s="139" t="n"/>
      <x:c r="W407" s="139" t="n"/>
      <x:c r="X407" s="139" t="n"/>
      <x:c r="Y407" s="139" t="n"/>
      <x:c r="Z407" s="139" t="n"/>
      <x:c r="AA407" s="139" t="n"/>
      <x:c r="AB407" s="139" t="n"/>
      <x:c r="AC407" s="139" t="n"/>
      <x:c r="AD407" s="139" t="n"/>
      <x:c r="AE407" s="139" t="n"/>
      <x:c r="AF407" s="139" t="n"/>
      <x:c r="AG407" s="139" t="n"/>
      <x:c r="AH407" s="139" t="n"/>
      <x:c r="AI407" s="139" t="n"/>
      <x:c r="AJ407" s="139" t="n"/>
      <x:c r="AK407" s="139" t="n"/>
      <x:c r="AL407" s="139" t="n"/>
      <x:c r="AM407" s="139" t="n"/>
      <x:c r="AN407" s="139" t="n"/>
      <x:c r="AO407" s="139" t="n"/>
      <x:c r="AP407" s="139" t="n"/>
      <x:c r="AQ407" s="139" t="n"/>
      <x:c r="AR407" s="139" t="n"/>
      <x:c r="AS407" s="139" t="n"/>
      <x:c r="AT407" s="139" t="n"/>
      <x:c r="AU407" s="139" t="n"/>
      <x:c r="AV407" s="139" t="n"/>
      <x:c r="AW407" s="139" t="n"/>
      <x:c r="AX407" s="139" t="n"/>
      <x:c r="AY407" s="139" t="n"/>
      <x:c r="AZ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c r="V408" s="139" t="n"/>
      <x:c r="W408" s="139" t="n"/>
      <x:c r="X408" s="139" t="n"/>
      <x:c r="Y408" s="139" t="n"/>
      <x:c r="Z408" s="139" t="n"/>
      <x:c r="AA408" s="139" t="n"/>
      <x:c r="AB408" s="139" t="n"/>
      <x:c r="AC408" s="139" t="n"/>
      <x:c r="AD408" s="139" t="n"/>
      <x:c r="AE408" s="139" t="n"/>
      <x:c r="AF408" s="139" t="n"/>
      <x:c r="AG408" s="139" t="n"/>
      <x:c r="AH408" s="139" t="n"/>
      <x:c r="AI408" s="139" t="n"/>
      <x:c r="AJ408" s="139" t="n"/>
      <x:c r="AK408" s="139" t="n"/>
      <x:c r="AL408" s="139" t="n"/>
      <x:c r="AM408" s="139" t="n"/>
      <x:c r="AN408" s="139" t="n"/>
      <x:c r="AO408" s="139" t="n"/>
      <x:c r="AP408" s="139" t="n"/>
      <x:c r="AQ408" s="139" t="n"/>
      <x:c r="AR408" s="139" t="n"/>
      <x:c r="AS408" s="139" t="n"/>
      <x:c r="AT408" s="139" t="n"/>
      <x:c r="AU408" s="139" t="n"/>
      <x:c r="AV408" s="139" t="n"/>
      <x:c r="AW408" s="139" t="n"/>
      <x:c r="AX408" s="139" t="n"/>
      <x:c r="AY408" s="139" t="n"/>
      <x:c r="AZ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c r="V409" s="139" t="n"/>
      <x:c r="W409" s="139" t="n"/>
      <x:c r="X409" s="139" t="n"/>
      <x:c r="Y409" s="139" t="n"/>
      <x:c r="Z409" s="139" t="n"/>
      <x:c r="AA409" s="139" t="n"/>
      <x:c r="AB409" s="139" t="n"/>
      <x:c r="AC409" s="139" t="n"/>
      <x:c r="AD409" s="139" t="n"/>
      <x:c r="AE409" s="139" t="n"/>
      <x:c r="AF409" s="139" t="n"/>
      <x:c r="AG409" s="139" t="n"/>
      <x:c r="AH409" s="139" t="n"/>
      <x:c r="AI409" s="139" t="n"/>
      <x:c r="AJ409" s="139" t="n"/>
      <x:c r="AK409" s="139" t="n"/>
      <x:c r="AL409" s="139" t="n"/>
      <x:c r="AM409" s="139" t="n"/>
      <x:c r="AN409" s="139" t="n"/>
      <x:c r="AO409" s="139" t="n"/>
      <x:c r="AP409" s="139" t="n"/>
      <x:c r="AQ409" s="139" t="n"/>
      <x:c r="AR409" s="139" t="n"/>
      <x:c r="AS409" s="139" t="n"/>
      <x:c r="AT409" s="139" t="n"/>
      <x:c r="AU409" s="139" t="n"/>
      <x:c r="AV409" s="139" t="n"/>
      <x:c r="AW409" s="139" t="n"/>
      <x:c r="AX409" s="139" t="n"/>
      <x:c r="AY409" s="139" t="n"/>
      <x:c r="AZ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c r="V410" s="139" t="n"/>
      <x:c r="W410" s="139" t="n"/>
      <x:c r="X410" s="139" t="n"/>
      <x:c r="Y410" s="139" t="n"/>
      <x:c r="Z410" s="139" t="n"/>
      <x:c r="AA410" s="139" t="n"/>
      <x:c r="AB410" s="139" t="n"/>
      <x:c r="AC410" s="139" t="n"/>
      <x:c r="AD410" s="139" t="n"/>
      <x:c r="AE410" s="139" t="n"/>
      <x:c r="AF410" s="139" t="n"/>
      <x:c r="AG410" s="139" t="n"/>
      <x:c r="AH410" s="139" t="n"/>
      <x:c r="AI410" s="139" t="n"/>
      <x:c r="AJ410" s="139" t="n"/>
      <x:c r="AK410" s="139" t="n"/>
      <x:c r="AL410" s="139" t="n"/>
      <x:c r="AM410" s="139" t="n"/>
      <x:c r="AN410" s="139" t="n"/>
      <x:c r="AO410" s="139" t="n"/>
      <x:c r="AP410" s="139" t="n"/>
      <x:c r="AQ410" s="139" t="n"/>
      <x:c r="AR410" s="139" t="n"/>
      <x:c r="AS410" s="139" t="n"/>
      <x:c r="AT410" s="139" t="n"/>
      <x:c r="AU410" s="139" t="n"/>
      <x:c r="AV410" s="139" t="n"/>
      <x:c r="AW410" s="139" t="n"/>
      <x:c r="AX410" s="139" t="n"/>
      <x:c r="AY410" s="139" t="n"/>
      <x:c r="AZ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c r="V411" s="139" t="n"/>
      <x:c r="W411" s="139" t="n"/>
      <x:c r="X411" s="139" t="n"/>
      <x:c r="Y411" s="139" t="n"/>
      <x:c r="Z411" s="139" t="n"/>
      <x:c r="AA411" s="139" t="n"/>
      <x:c r="AB411" s="139" t="n"/>
      <x:c r="AC411" s="139" t="n"/>
      <x:c r="AD411" s="139" t="n"/>
      <x:c r="AE411" s="139" t="n"/>
      <x:c r="AF411" s="139" t="n"/>
      <x:c r="AG411" s="139" t="n"/>
      <x:c r="AH411" s="139" t="n"/>
      <x:c r="AI411" s="139" t="n"/>
      <x:c r="AJ411" s="139" t="n"/>
      <x:c r="AK411" s="139" t="n"/>
      <x:c r="AL411" s="139" t="n"/>
      <x:c r="AM411" s="139" t="n"/>
      <x:c r="AN411" s="139" t="n"/>
      <x:c r="AO411" s="139" t="n"/>
      <x:c r="AP411" s="139" t="n"/>
      <x:c r="AQ411" s="139" t="n"/>
      <x:c r="AR411" s="139" t="n"/>
      <x:c r="AS411" s="139" t="n"/>
      <x:c r="AT411" s="139" t="n"/>
      <x:c r="AU411" s="139" t="n"/>
      <x:c r="AV411" s="139" t="n"/>
      <x:c r="AW411" s="139" t="n"/>
      <x:c r="AX411" s="139" t="n"/>
      <x:c r="AY411" s="139" t="n"/>
      <x:c r="AZ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c r="V412" s="139" t="n"/>
      <x:c r="W412" s="139" t="n"/>
      <x:c r="X412" s="139" t="n"/>
      <x:c r="Y412" s="139" t="n"/>
      <x:c r="Z412" s="139" t="n"/>
      <x:c r="AA412" s="139" t="n"/>
      <x:c r="AB412" s="139" t="n"/>
      <x:c r="AC412" s="139" t="n"/>
      <x:c r="AD412" s="139" t="n"/>
      <x:c r="AE412" s="139" t="n"/>
      <x:c r="AF412" s="139" t="n"/>
      <x:c r="AG412" s="139" t="n"/>
      <x:c r="AH412" s="139" t="n"/>
      <x:c r="AI412" s="139" t="n"/>
      <x:c r="AJ412" s="139" t="n"/>
      <x:c r="AK412" s="139" t="n"/>
      <x:c r="AL412" s="139" t="n"/>
      <x:c r="AM412" s="139" t="n"/>
      <x:c r="AN412" s="139" t="n"/>
      <x:c r="AO412" s="139" t="n"/>
      <x:c r="AP412" s="139" t="n"/>
      <x:c r="AQ412" s="139" t="n"/>
      <x:c r="AR412" s="139" t="n"/>
      <x:c r="AS412" s="139" t="n"/>
      <x:c r="AT412" s="139" t="n"/>
      <x:c r="AU412" s="139" t="n"/>
      <x:c r="AV412" s="139" t="n"/>
      <x:c r="AW412" s="139" t="n"/>
      <x:c r="AX412" s="139" t="n"/>
      <x:c r="AY412" s="139" t="n"/>
      <x:c r="AZ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c r="V413" s="139" t="n"/>
      <x:c r="W413" s="139" t="n"/>
      <x:c r="X413" s="139" t="n"/>
      <x:c r="Y413" s="139" t="n"/>
      <x:c r="Z413" s="139" t="n"/>
      <x:c r="AA413" s="139" t="n"/>
      <x:c r="AB413" s="139" t="n"/>
      <x:c r="AC413" s="139" t="n"/>
      <x:c r="AD413" s="139" t="n"/>
      <x:c r="AE413" s="139" t="n"/>
      <x:c r="AF413" s="139" t="n"/>
      <x:c r="AG413" s="139" t="n"/>
      <x:c r="AH413" s="139" t="n"/>
      <x:c r="AI413" s="139" t="n"/>
      <x:c r="AJ413" s="139" t="n"/>
      <x:c r="AK413" s="139" t="n"/>
      <x:c r="AL413" s="139" t="n"/>
      <x:c r="AM413" s="139" t="n"/>
      <x:c r="AN413" s="139" t="n"/>
      <x:c r="AO413" s="139" t="n"/>
      <x:c r="AP413" s="139" t="n"/>
      <x:c r="AQ413" s="139" t="n"/>
      <x:c r="AR413" s="139" t="n"/>
      <x:c r="AS413" s="139" t="n"/>
      <x:c r="AT413" s="139" t="n"/>
      <x:c r="AU413" s="139" t="n"/>
      <x:c r="AV413" s="139" t="n"/>
      <x:c r="AW413" s="139" t="n"/>
      <x:c r="AX413" s="139" t="n"/>
      <x:c r="AY413" s="139" t="n"/>
      <x:c r="AZ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c r="V414" s="139" t="n"/>
      <x:c r="W414" s="139" t="n"/>
      <x:c r="X414" s="139" t="n"/>
      <x:c r="Y414" s="139" t="n"/>
      <x:c r="Z414" s="139" t="n"/>
      <x:c r="AA414" s="139" t="n"/>
      <x:c r="AB414" s="139" t="n"/>
      <x:c r="AC414" s="139" t="n"/>
      <x:c r="AD414" s="139" t="n"/>
      <x:c r="AE414" s="139" t="n"/>
      <x:c r="AF414" s="139" t="n"/>
      <x:c r="AG414" s="139" t="n"/>
      <x:c r="AH414" s="139" t="n"/>
      <x:c r="AI414" s="139" t="n"/>
      <x:c r="AJ414" s="139" t="n"/>
      <x:c r="AK414" s="139" t="n"/>
      <x:c r="AL414" s="139" t="n"/>
      <x:c r="AM414" s="139" t="n"/>
      <x:c r="AN414" s="139" t="n"/>
      <x:c r="AO414" s="139" t="n"/>
      <x:c r="AP414" s="139" t="n"/>
      <x:c r="AQ414" s="139" t="n"/>
      <x:c r="AR414" s="139" t="n"/>
      <x:c r="AS414" s="139" t="n"/>
      <x:c r="AT414" s="139" t="n"/>
      <x:c r="AU414" s="139" t="n"/>
      <x:c r="AV414" s="139" t="n"/>
      <x:c r="AW414" s="139" t="n"/>
      <x:c r="AX414" s="139" t="n"/>
      <x:c r="AY414" s="139" t="n"/>
      <x:c r="AZ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c r="V415" s="139" t="n"/>
      <x:c r="W415" s="139" t="n"/>
      <x:c r="X415" s="139" t="n"/>
      <x:c r="Y415" s="139" t="n"/>
      <x:c r="Z415" s="139" t="n"/>
      <x:c r="AA415" s="139" t="n"/>
      <x:c r="AB415" s="139" t="n"/>
      <x:c r="AC415" s="139" t="n"/>
      <x:c r="AD415" s="139" t="n"/>
      <x:c r="AE415" s="139" t="n"/>
      <x:c r="AF415" s="139" t="n"/>
      <x:c r="AG415" s="139" t="n"/>
      <x:c r="AH415" s="139" t="n"/>
      <x:c r="AI415" s="139" t="n"/>
      <x:c r="AJ415" s="139" t="n"/>
      <x:c r="AK415" s="139" t="n"/>
      <x:c r="AL415" s="139" t="n"/>
      <x:c r="AM415" s="139" t="n"/>
      <x:c r="AN415" s="139" t="n"/>
      <x:c r="AO415" s="139" t="n"/>
      <x:c r="AP415" s="139" t="n"/>
      <x:c r="AQ415" s="139" t="n"/>
      <x:c r="AR415" s="139" t="n"/>
      <x:c r="AS415" s="139" t="n"/>
      <x:c r="AT415" s="139" t="n"/>
      <x:c r="AU415" s="139" t="n"/>
      <x:c r="AV415" s="139" t="n"/>
      <x:c r="AW415" s="139" t="n"/>
      <x:c r="AX415" s="139" t="n"/>
      <x:c r="AY415" s="139" t="n"/>
      <x:c r="AZ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c r="V416" s="139" t="n"/>
      <x:c r="W416" s="139" t="n"/>
      <x:c r="X416" s="139" t="n"/>
      <x:c r="Y416" s="139" t="n"/>
      <x:c r="Z416" s="139" t="n"/>
      <x:c r="AA416" s="139" t="n"/>
      <x:c r="AB416" s="139" t="n"/>
      <x:c r="AC416" s="139" t="n"/>
      <x:c r="AD416" s="139" t="n"/>
      <x:c r="AE416" s="139" t="n"/>
      <x:c r="AF416" s="139" t="n"/>
      <x:c r="AG416" s="139" t="n"/>
      <x:c r="AH416" s="139" t="n"/>
      <x:c r="AI416" s="139" t="n"/>
      <x:c r="AJ416" s="139" t="n"/>
      <x:c r="AK416" s="139" t="n"/>
      <x:c r="AL416" s="139" t="n"/>
      <x:c r="AM416" s="139" t="n"/>
      <x:c r="AN416" s="139" t="n"/>
      <x:c r="AO416" s="139" t="n"/>
      <x:c r="AP416" s="139" t="n"/>
      <x:c r="AQ416" s="139" t="n"/>
      <x:c r="AR416" s="139" t="n"/>
      <x:c r="AS416" s="139" t="n"/>
      <x:c r="AT416" s="139" t="n"/>
      <x:c r="AU416" s="139" t="n"/>
      <x:c r="AV416" s="139" t="n"/>
      <x:c r="AW416" s="139" t="n"/>
      <x:c r="AX416" s="139" t="n"/>
      <x:c r="AY416" s="139" t="n"/>
      <x:c r="AZ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c r="V417" s="139" t="n"/>
      <x:c r="W417" s="139" t="n"/>
      <x:c r="X417" s="139" t="n"/>
      <x:c r="Y417" s="139" t="n"/>
      <x:c r="Z417" s="139" t="n"/>
      <x:c r="AA417" s="139" t="n"/>
      <x:c r="AB417" s="139" t="n"/>
      <x:c r="AC417" s="139" t="n"/>
      <x:c r="AD417" s="139" t="n"/>
      <x:c r="AE417" s="139" t="n"/>
      <x:c r="AF417" s="139" t="n"/>
      <x:c r="AG417" s="139" t="n"/>
      <x:c r="AH417" s="139" t="n"/>
      <x:c r="AI417" s="139" t="n"/>
      <x:c r="AJ417" s="139" t="n"/>
      <x:c r="AK417" s="139" t="n"/>
      <x:c r="AL417" s="139" t="n"/>
      <x:c r="AM417" s="139" t="n"/>
      <x:c r="AN417" s="139" t="n"/>
      <x:c r="AO417" s="139" t="n"/>
      <x:c r="AP417" s="139" t="n"/>
      <x:c r="AQ417" s="139" t="n"/>
      <x:c r="AR417" s="139" t="n"/>
      <x:c r="AS417" s="139" t="n"/>
      <x:c r="AT417" s="139" t="n"/>
      <x:c r="AU417" s="139" t="n"/>
      <x:c r="AV417" s="139" t="n"/>
      <x:c r="AW417" s="139" t="n"/>
      <x:c r="AX417" s="139" t="n"/>
      <x:c r="AY417" s="139" t="n"/>
      <x:c r="AZ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c r="V418" s="139" t="n"/>
      <x:c r="W418" s="139" t="n"/>
      <x:c r="X418" s="139" t="n"/>
      <x:c r="Y418" s="139" t="n"/>
      <x:c r="Z418" s="139" t="n"/>
      <x:c r="AA418" s="139" t="n"/>
      <x:c r="AB418" s="139" t="n"/>
      <x:c r="AC418" s="139" t="n"/>
      <x:c r="AD418" s="139" t="n"/>
      <x:c r="AE418" s="139" t="n"/>
      <x:c r="AF418" s="139" t="n"/>
      <x:c r="AG418" s="139" t="n"/>
      <x:c r="AH418" s="139" t="n"/>
      <x:c r="AI418" s="139" t="n"/>
      <x:c r="AJ418" s="139" t="n"/>
      <x:c r="AK418" s="139" t="n"/>
      <x:c r="AL418" s="139" t="n"/>
      <x:c r="AM418" s="139" t="n"/>
      <x:c r="AN418" s="139" t="n"/>
      <x:c r="AO418" s="139" t="n"/>
      <x:c r="AP418" s="139" t="n"/>
      <x:c r="AQ418" s="139" t="n"/>
      <x:c r="AR418" s="139" t="n"/>
      <x:c r="AS418" s="139" t="n"/>
      <x:c r="AT418" s="139" t="n"/>
      <x:c r="AU418" s="139" t="n"/>
      <x:c r="AV418" s="139" t="n"/>
      <x:c r="AW418" s="139" t="n"/>
      <x:c r="AX418" s="139" t="n"/>
      <x:c r="AY418" s="139" t="n"/>
      <x:c r="AZ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c r="V419" s="139" t="n"/>
      <x:c r="W419" s="139" t="n"/>
      <x:c r="X419" s="139" t="n"/>
      <x:c r="Y419" s="139" t="n"/>
      <x:c r="Z419" s="139" t="n"/>
      <x:c r="AA419" s="139" t="n"/>
      <x:c r="AB419" s="139" t="n"/>
      <x:c r="AC419" s="139" t="n"/>
      <x:c r="AD419" s="139" t="n"/>
      <x:c r="AE419" s="139" t="n"/>
      <x:c r="AF419" s="139" t="n"/>
      <x:c r="AG419" s="139" t="n"/>
      <x:c r="AH419" s="139" t="n"/>
      <x:c r="AI419" s="139" t="n"/>
      <x:c r="AJ419" s="139" t="n"/>
      <x:c r="AK419" s="139" t="n"/>
      <x:c r="AL419" s="139" t="n"/>
      <x:c r="AM419" s="139" t="n"/>
      <x:c r="AN419" s="139" t="n"/>
      <x:c r="AO419" s="139" t="n"/>
      <x:c r="AP419" s="139" t="n"/>
      <x:c r="AQ419" s="139" t="n"/>
      <x:c r="AR419" s="139" t="n"/>
      <x:c r="AS419" s="139" t="n"/>
      <x:c r="AT419" s="139" t="n"/>
      <x:c r="AU419" s="139" t="n"/>
      <x:c r="AV419" s="139" t="n"/>
      <x:c r="AW419" s="139" t="n"/>
      <x:c r="AX419" s="139" t="n"/>
      <x:c r="AY419" s="139" t="n"/>
      <x:c r="AZ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c r="V420" s="139" t="n"/>
      <x:c r="W420" s="139" t="n"/>
      <x:c r="X420" s="139" t="n"/>
      <x:c r="Y420" s="139" t="n"/>
      <x:c r="Z420" s="139" t="n"/>
      <x:c r="AA420" s="139" t="n"/>
      <x:c r="AB420" s="139" t="n"/>
      <x:c r="AC420" s="139" t="n"/>
      <x:c r="AD420" s="139" t="n"/>
      <x:c r="AE420" s="139" t="n"/>
      <x:c r="AF420" s="139" t="n"/>
      <x:c r="AG420" s="139" t="n"/>
      <x:c r="AH420" s="139" t="n"/>
      <x:c r="AI420" s="139" t="n"/>
      <x:c r="AJ420" s="139" t="n"/>
      <x:c r="AK420" s="139" t="n"/>
      <x:c r="AL420" s="139" t="n"/>
      <x:c r="AM420" s="139" t="n"/>
      <x:c r="AN420" s="139" t="n"/>
      <x:c r="AO420" s="139" t="n"/>
      <x:c r="AP420" s="139" t="n"/>
      <x:c r="AQ420" s="139" t="n"/>
      <x:c r="AR420" s="139" t="n"/>
      <x:c r="AS420" s="139" t="n"/>
      <x:c r="AT420" s="139" t="n"/>
      <x:c r="AU420" s="139" t="n"/>
      <x:c r="AV420" s="139" t="n"/>
      <x:c r="AW420" s="139" t="n"/>
      <x:c r="AX420" s="139" t="n"/>
      <x:c r="AY420" s="139" t="n"/>
      <x:c r="AZ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c r="V421" s="139" t="n"/>
      <x:c r="W421" s="139" t="n"/>
      <x:c r="X421" s="139" t="n"/>
      <x:c r="Y421" s="139" t="n"/>
      <x:c r="Z421" s="139" t="n"/>
      <x:c r="AA421" s="139" t="n"/>
      <x:c r="AB421" s="139" t="n"/>
      <x:c r="AC421" s="139" t="n"/>
      <x:c r="AD421" s="139" t="n"/>
      <x:c r="AE421" s="139" t="n"/>
      <x:c r="AF421" s="139" t="n"/>
      <x:c r="AG421" s="139" t="n"/>
      <x:c r="AH421" s="139" t="n"/>
      <x:c r="AI421" s="139" t="n"/>
      <x:c r="AJ421" s="139" t="n"/>
      <x:c r="AK421" s="139" t="n"/>
      <x:c r="AL421" s="139" t="n"/>
      <x:c r="AM421" s="139" t="n"/>
      <x:c r="AN421" s="139" t="n"/>
      <x:c r="AO421" s="139" t="n"/>
      <x:c r="AP421" s="139" t="n"/>
      <x:c r="AQ421" s="139" t="n"/>
      <x:c r="AR421" s="139" t="n"/>
      <x:c r="AS421" s="139" t="n"/>
      <x:c r="AT421" s="139" t="n"/>
      <x:c r="AU421" s="139" t="n"/>
      <x:c r="AV421" s="139" t="n"/>
      <x:c r="AW421" s="139" t="n"/>
      <x:c r="AX421" s="139" t="n"/>
      <x:c r="AY421" s="139" t="n"/>
      <x:c r="AZ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c r="V422" s="139" t="n"/>
      <x:c r="W422" s="139" t="n"/>
      <x:c r="X422" s="139" t="n"/>
      <x:c r="Y422" s="139" t="n"/>
      <x:c r="Z422" s="139" t="n"/>
      <x:c r="AA422" s="139" t="n"/>
      <x:c r="AB422" s="139" t="n"/>
      <x:c r="AC422" s="139" t="n"/>
      <x:c r="AD422" s="139" t="n"/>
      <x:c r="AE422" s="139" t="n"/>
      <x:c r="AF422" s="139" t="n"/>
      <x:c r="AG422" s="139" t="n"/>
      <x:c r="AH422" s="139" t="n"/>
      <x:c r="AI422" s="139" t="n"/>
      <x:c r="AJ422" s="139" t="n"/>
      <x:c r="AK422" s="139" t="n"/>
      <x:c r="AL422" s="139" t="n"/>
      <x:c r="AM422" s="139" t="n"/>
      <x:c r="AN422" s="139" t="n"/>
      <x:c r="AO422" s="139" t="n"/>
      <x:c r="AP422" s="139" t="n"/>
      <x:c r="AQ422" s="139" t="n"/>
      <x:c r="AR422" s="139" t="n"/>
      <x:c r="AS422" s="139" t="n"/>
      <x:c r="AT422" s="139" t="n"/>
      <x:c r="AU422" s="139" t="n"/>
      <x:c r="AV422" s="139" t="n"/>
      <x:c r="AW422" s="139" t="n"/>
      <x:c r="AX422" s="139" t="n"/>
      <x:c r="AY422" s="139" t="n"/>
      <x:c r="AZ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c r="V423" s="139" t="n"/>
      <x:c r="W423" s="139" t="n"/>
      <x:c r="X423" s="139" t="n"/>
      <x:c r="Y423" s="139" t="n"/>
      <x:c r="Z423" s="139" t="n"/>
      <x:c r="AA423" s="139" t="n"/>
      <x:c r="AB423" s="139" t="n"/>
      <x:c r="AC423" s="139" t="n"/>
      <x:c r="AD423" s="139" t="n"/>
      <x:c r="AE423" s="139" t="n"/>
      <x:c r="AF423" s="139" t="n"/>
      <x:c r="AG423" s="139" t="n"/>
      <x:c r="AH423" s="139" t="n"/>
      <x:c r="AI423" s="139" t="n"/>
      <x:c r="AJ423" s="139" t="n"/>
      <x:c r="AK423" s="139" t="n"/>
      <x:c r="AL423" s="139" t="n"/>
      <x:c r="AM423" s="139" t="n"/>
      <x:c r="AN423" s="139" t="n"/>
      <x:c r="AO423" s="139" t="n"/>
      <x:c r="AP423" s="139" t="n"/>
      <x:c r="AQ423" s="139" t="n"/>
      <x:c r="AR423" s="139" t="n"/>
      <x:c r="AS423" s="139" t="n"/>
      <x:c r="AT423" s="139" t="n"/>
      <x:c r="AU423" s="139" t="n"/>
      <x:c r="AV423" s="139" t="n"/>
      <x:c r="AW423" s="139" t="n"/>
      <x:c r="AX423" s="139" t="n"/>
      <x:c r="AY423" s="139" t="n"/>
      <x:c r="AZ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c r="V424" s="139" t="n"/>
      <x:c r="W424" s="139" t="n"/>
      <x:c r="X424" s="139" t="n"/>
      <x:c r="Y424" s="139" t="n"/>
      <x:c r="Z424" s="139" t="n"/>
      <x:c r="AA424" s="139" t="n"/>
      <x:c r="AB424" s="139" t="n"/>
      <x:c r="AC424" s="139" t="n"/>
      <x:c r="AD424" s="139" t="n"/>
      <x:c r="AE424" s="139" t="n"/>
      <x:c r="AF424" s="139" t="n"/>
      <x:c r="AG424" s="139" t="n"/>
      <x:c r="AH424" s="139" t="n"/>
      <x:c r="AI424" s="139" t="n"/>
      <x:c r="AJ424" s="139" t="n"/>
      <x:c r="AK424" s="139" t="n"/>
      <x:c r="AL424" s="139" t="n"/>
      <x:c r="AM424" s="139" t="n"/>
      <x:c r="AN424" s="139" t="n"/>
      <x:c r="AO424" s="139" t="n"/>
      <x:c r="AP424" s="139" t="n"/>
      <x:c r="AQ424" s="139" t="n"/>
      <x:c r="AR424" s="139" t="n"/>
      <x:c r="AS424" s="139" t="n"/>
      <x:c r="AT424" s="139" t="n"/>
      <x:c r="AU424" s="139" t="n"/>
      <x:c r="AV424" s="139" t="n"/>
      <x:c r="AW424" s="139" t="n"/>
      <x:c r="AX424" s="139" t="n"/>
      <x:c r="AY424" s="139" t="n"/>
      <x:c r="AZ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c r="V425" s="139" t="n"/>
      <x:c r="W425" s="139" t="n"/>
      <x:c r="X425" s="139" t="n"/>
      <x:c r="Y425" s="139" t="n"/>
      <x:c r="Z425" s="139" t="n"/>
      <x:c r="AA425" s="139" t="n"/>
      <x:c r="AB425" s="139" t="n"/>
      <x:c r="AC425" s="139" t="n"/>
      <x:c r="AD425" s="139" t="n"/>
      <x:c r="AE425" s="139" t="n"/>
      <x:c r="AF425" s="139" t="n"/>
      <x:c r="AG425" s="139" t="n"/>
      <x:c r="AH425" s="139" t="n"/>
      <x:c r="AI425" s="139" t="n"/>
      <x:c r="AJ425" s="139" t="n"/>
      <x:c r="AK425" s="139" t="n"/>
      <x:c r="AL425" s="139" t="n"/>
      <x:c r="AM425" s="139" t="n"/>
      <x:c r="AN425" s="139" t="n"/>
      <x:c r="AO425" s="139" t="n"/>
      <x:c r="AP425" s="139" t="n"/>
      <x:c r="AQ425" s="139" t="n"/>
      <x:c r="AR425" s="139" t="n"/>
      <x:c r="AS425" s="139" t="n"/>
      <x:c r="AT425" s="139" t="n"/>
      <x:c r="AU425" s="139" t="n"/>
      <x:c r="AV425" s="139" t="n"/>
      <x:c r="AW425" s="139" t="n"/>
      <x:c r="AX425" s="139" t="n"/>
      <x:c r="AY425" s="139" t="n"/>
      <x:c r="AZ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c r="V426" s="139" t="n"/>
      <x:c r="W426" s="139" t="n"/>
      <x:c r="X426" s="139" t="n"/>
      <x:c r="Y426" s="139" t="n"/>
      <x:c r="Z426" s="139" t="n"/>
      <x:c r="AA426" s="139" t="n"/>
      <x:c r="AB426" s="139" t="n"/>
      <x:c r="AC426" s="139" t="n"/>
      <x:c r="AD426" s="139" t="n"/>
      <x:c r="AE426" s="139" t="n"/>
      <x:c r="AF426" s="139" t="n"/>
      <x:c r="AG426" s="139" t="n"/>
      <x:c r="AH426" s="139" t="n"/>
      <x:c r="AI426" s="139" t="n"/>
      <x:c r="AJ426" s="139" t="n"/>
      <x:c r="AK426" s="139" t="n"/>
      <x:c r="AL426" s="139" t="n"/>
      <x:c r="AM426" s="139" t="n"/>
      <x:c r="AN426" s="139" t="n"/>
      <x:c r="AO426" s="139" t="n"/>
      <x:c r="AP426" s="139" t="n"/>
      <x:c r="AQ426" s="139" t="n"/>
      <x:c r="AR426" s="139" t="n"/>
      <x:c r="AS426" s="139" t="n"/>
      <x:c r="AT426" s="139" t="n"/>
      <x:c r="AU426" s="139" t="n"/>
      <x:c r="AV426" s="139" t="n"/>
      <x:c r="AW426" s="139" t="n"/>
      <x:c r="AX426" s="139" t="n"/>
      <x:c r="AY426" s="139" t="n"/>
      <x:c r="AZ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c r="V427" s="139" t="n"/>
      <x:c r="W427" s="139" t="n"/>
      <x:c r="X427" s="139" t="n"/>
      <x:c r="Y427" s="139" t="n"/>
      <x:c r="Z427" s="139" t="n"/>
      <x:c r="AA427" s="139" t="n"/>
      <x:c r="AB427" s="139" t="n"/>
      <x:c r="AC427" s="139" t="n"/>
      <x:c r="AD427" s="139" t="n"/>
      <x:c r="AE427" s="139" t="n"/>
      <x:c r="AF427" s="139" t="n"/>
      <x:c r="AG427" s="139" t="n"/>
      <x:c r="AH427" s="139" t="n"/>
      <x:c r="AI427" s="139" t="n"/>
      <x:c r="AJ427" s="139" t="n"/>
      <x:c r="AK427" s="139" t="n"/>
      <x:c r="AL427" s="139" t="n"/>
      <x:c r="AM427" s="139" t="n"/>
      <x:c r="AN427" s="139" t="n"/>
      <x:c r="AO427" s="139" t="n"/>
      <x:c r="AP427" s="139" t="n"/>
      <x:c r="AQ427" s="139" t="n"/>
      <x:c r="AR427" s="139" t="n"/>
      <x:c r="AS427" s="139" t="n"/>
      <x:c r="AT427" s="139" t="n"/>
      <x:c r="AU427" s="139" t="n"/>
      <x:c r="AV427" s="139" t="n"/>
      <x:c r="AW427" s="139" t="n"/>
      <x:c r="AX427" s="139" t="n"/>
      <x:c r="AY427" s="139" t="n"/>
      <x:c r="AZ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c r="V428" s="139" t="n"/>
      <x:c r="W428" s="139" t="n"/>
      <x:c r="X428" s="139" t="n"/>
      <x:c r="Y428" s="139" t="n"/>
      <x:c r="Z428" s="139" t="n"/>
      <x:c r="AA428" s="139" t="n"/>
      <x:c r="AB428" s="139" t="n"/>
      <x:c r="AC428" s="139" t="n"/>
      <x:c r="AD428" s="139" t="n"/>
      <x:c r="AE428" s="139" t="n"/>
      <x:c r="AF428" s="139" t="n"/>
      <x:c r="AG428" s="139" t="n"/>
      <x:c r="AH428" s="139" t="n"/>
      <x:c r="AI428" s="139" t="n"/>
      <x:c r="AJ428" s="139" t="n"/>
      <x:c r="AK428" s="139" t="n"/>
      <x:c r="AL428" s="139" t="n"/>
      <x:c r="AM428" s="139" t="n"/>
      <x:c r="AN428" s="139" t="n"/>
      <x:c r="AO428" s="139" t="n"/>
      <x:c r="AP428" s="139" t="n"/>
      <x:c r="AQ428" s="139" t="n"/>
      <x:c r="AR428" s="139" t="n"/>
      <x:c r="AS428" s="139" t="n"/>
      <x:c r="AT428" s="139" t="n"/>
      <x:c r="AU428" s="139" t="n"/>
      <x:c r="AV428" s="139" t="n"/>
      <x:c r="AW428" s="139" t="n"/>
      <x:c r="AX428" s="139" t="n"/>
      <x:c r="AY428" s="139" t="n"/>
      <x:c r="AZ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c r="V429" s="139" t="n"/>
      <x:c r="W429" s="139" t="n"/>
      <x:c r="X429" s="139" t="n"/>
      <x:c r="Y429" s="139" t="n"/>
      <x:c r="Z429" s="139" t="n"/>
      <x:c r="AA429" s="139" t="n"/>
      <x:c r="AB429" s="139" t="n"/>
      <x:c r="AC429" s="139" t="n"/>
      <x:c r="AD429" s="139" t="n"/>
      <x:c r="AE429" s="139" t="n"/>
      <x:c r="AF429" s="139" t="n"/>
      <x:c r="AG429" s="139" t="n"/>
      <x:c r="AH429" s="139" t="n"/>
      <x:c r="AI429" s="139" t="n"/>
      <x:c r="AJ429" s="139" t="n"/>
      <x:c r="AK429" s="139" t="n"/>
      <x:c r="AL429" s="139" t="n"/>
      <x:c r="AM429" s="139" t="n"/>
      <x:c r="AN429" s="139" t="n"/>
      <x:c r="AO429" s="139" t="n"/>
      <x:c r="AP429" s="139" t="n"/>
      <x:c r="AQ429" s="139" t="n"/>
      <x:c r="AR429" s="139" t="n"/>
      <x:c r="AS429" s="139" t="n"/>
      <x:c r="AT429" s="139" t="n"/>
      <x:c r="AU429" s="139" t="n"/>
      <x:c r="AV429" s="139" t="n"/>
      <x:c r="AW429" s="139" t="n"/>
      <x:c r="AX429" s="139" t="n"/>
      <x:c r="AY429" s="139" t="n"/>
      <x:c r="AZ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c r="V430" s="139" t="n"/>
      <x:c r="W430" s="139" t="n"/>
      <x:c r="X430" s="139" t="n"/>
      <x:c r="Y430" s="139" t="n"/>
      <x:c r="Z430" s="139" t="n"/>
      <x:c r="AA430" s="139" t="n"/>
      <x:c r="AB430" s="139" t="n"/>
      <x:c r="AC430" s="139" t="n"/>
      <x:c r="AD430" s="139" t="n"/>
      <x:c r="AE430" s="139" t="n"/>
      <x:c r="AF430" s="139" t="n"/>
      <x:c r="AG430" s="139" t="n"/>
      <x:c r="AH430" s="139" t="n"/>
      <x:c r="AI430" s="139" t="n"/>
      <x:c r="AJ430" s="139" t="n"/>
      <x:c r="AK430" s="139" t="n"/>
      <x:c r="AL430" s="139" t="n"/>
      <x:c r="AM430" s="139" t="n"/>
      <x:c r="AN430" s="139" t="n"/>
      <x:c r="AO430" s="139" t="n"/>
      <x:c r="AP430" s="139" t="n"/>
      <x:c r="AQ430" s="139" t="n"/>
      <x:c r="AR430" s="139" t="n"/>
      <x:c r="AS430" s="139" t="n"/>
      <x:c r="AT430" s="139" t="n"/>
      <x:c r="AU430" s="139" t="n"/>
      <x:c r="AV430" s="139" t="n"/>
      <x:c r="AW430" s="139" t="n"/>
      <x:c r="AX430" s="139" t="n"/>
      <x:c r="AY430" s="139" t="n"/>
      <x:c r="AZ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c r="V431" s="139" t="n"/>
      <x:c r="W431" s="139" t="n"/>
      <x:c r="X431" s="139" t="n"/>
      <x:c r="Y431" s="139" t="n"/>
      <x:c r="Z431" s="139" t="n"/>
      <x:c r="AA431" s="139" t="n"/>
      <x:c r="AB431" s="139" t="n"/>
      <x:c r="AC431" s="139" t="n"/>
      <x:c r="AD431" s="139" t="n"/>
      <x:c r="AE431" s="139" t="n"/>
      <x:c r="AF431" s="139" t="n"/>
      <x:c r="AG431" s="139" t="n"/>
      <x:c r="AH431" s="139" t="n"/>
      <x:c r="AI431" s="139" t="n"/>
      <x:c r="AJ431" s="139" t="n"/>
      <x:c r="AK431" s="139" t="n"/>
      <x:c r="AL431" s="139" t="n"/>
      <x:c r="AM431" s="139" t="n"/>
      <x:c r="AN431" s="139" t="n"/>
      <x:c r="AO431" s="139" t="n"/>
      <x:c r="AP431" s="139" t="n"/>
      <x:c r="AQ431" s="139" t="n"/>
      <x:c r="AR431" s="139" t="n"/>
      <x:c r="AS431" s="139" t="n"/>
      <x:c r="AT431" s="139" t="n"/>
      <x:c r="AU431" s="139" t="n"/>
      <x:c r="AV431" s="139" t="n"/>
      <x:c r="AW431" s="139" t="n"/>
      <x:c r="AX431" s="139" t="n"/>
      <x:c r="AY431" s="139" t="n"/>
      <x:c r="AZ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c r="V432" s="139" t="n"/>
      <x:c r="W432" s="139" t="n"/>
      <x:c r="X432" s="139" t="n"/>
      <x:c r="Y432" s="139" t="n"/>
      <x:c r="Z432" s="139" t="n"/>
      <x:c r="AA432" s="139" t="n"/>
      <x:c r="AB432" s="139" t="n"/>
      <x:c r="AC432" s="139" t="n"/>
      <x:c r="AD432" s="139" t="n"/>
      <x:c r="AE432" s="139" t="n"/>
      <x:c r="AF432" s="139" t="n"/>
      <x:c r="AG432" s="139" t="n"/>
      <x:c r="AH432" s="139" t="n"/>
      <x:c r="AI432" s="139" t="n"/>
      <x:c r="AJ432" s="139" t="n"/>
      <x:c r="AK432" s="139" t="n"/>
      <x:c r="AL432" s="139" t="n"/>
      <x:c r="AM432" s="139" t="n"/>
      <x:c r="AN432" s="139" t="n"/>
      <x:c r="AO432" s="139" t="n"/>
      <x:c r="AP432" s="139" t="n"/>
      <x:c r="AQ432" s="139" t="n"/>
      <x:c r="AR432" s="139" t="n"/>
      <x:c r="AS432" s="139" t="n"/>
      <x:c r="AT432" s="139" t="n"/>
      <x:c r="AU432" s="139" t="n"/>
      <x:c r="AV432" s="139" t="n"/>
      <x:c r="AW432" s="139" t="n"/>
      <x:c r="AX432" s="139" t="n"/>
      <x:c r="AY432" s="139" t="n"/>
      <x:c r="AZ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c r="V433" s="139" t="n"/>
      <x:c r="W433" s="139" t="n"/>
      <x:c r="X433" s="139" t="n"/>
      <x:c r="Y433" s="139" t="n"/>
      <x:c r="Z433" s="139" t="n"/>
      <x:c r="AA433" s="139" t="n"/>
      <x:c r="AB433" s="139" t="n"/>
      <x:c r="AC433" s="139" t="n"/>
      <x:c r="AD433" s="139" t="n"/>
      <x:c r="AE433" s="139" t="n"/>
      <x:c r="AF433" s="139" t="n"/>
      <x:c r="AG433" s="139" t="n"/>
      <x:c r="AH433" s="139" t="n"/>
      <x:c r="AI433" s="139" t="n"/>
      <x:c r="AJ433" s="139" t="n"/>
      <x:c r="AK433" s="139" t="n"/>
      <x:c r="AL433" s="139" t="n"/>
      <x:c r="AM433" s="139" t="n"/>
      <x:c r="AN433" s="139" t="n"/>
      <x:c r="AO433" s="139" t="n"/>
      <x:c r="AP433" s="139" t="n"/>
      <x:c r="AQ433" s="139" t="n"/>
      <x:c r="AR433" s="139" t="n"/>
      <x:c r="AS433" s="139" t="n"/>
      <x:c r="AT433" s="139" t="n"/>
      <x:c r="AU433" s="139" t="n"/>
      <x:c r="AV433" s="139" t="n"/>
      <x:c r="AW433" s="139" t="n"/>
      <x:c r="AX433" s="139" t="n"/>
      <x:c r="AY433" s="139" t="n"/>
      <x:c r="AZ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c r="V434" s="139" t="n"/>
      <x:c r="W434" s="139" t="n"/>
      <x:c r="X434" s="139" t="n"/>
      <x:c r="Y434" s="139" t="n"/>
      <x:c r="Z434" s="139" t="n"/>
      <x:c r="AA434" s="139" t="n"/>
      <x:c r="AB434" s="139" t="n"/>
      <x:c r="AC434" s="139" t="n"/>
      <x:c r="AD434" s="139" t="n"/>
      <x:c r="AE434" s="139" t="n"/>
      <x:c r="AF434" s="139" t="n"/>
      <x:c r="AG434" s="139" t="n"/>
      <x:c r="AH434" s="139" t="n"/>
      <x:c r="AI434" s="139" t="n"/>
      <x:c r="AJ434" s="139" t="n"/>
      <x:c r="AK434" s="139" t="n"/>
      <x:c r="AL434" s="139" t="n"/>
      <x:c r="AM434" s="139" t="n"/>
      <x:c r="AN434" s="139" t="n"/>
      <x:c r="AO434" s="139" t="n"/>
      <x:c r="AP434" s="139" t="n"/>
      <x:c r="AQ434" s="139" t="n"/>
      <x:c r="AR434" s="139" t="n"/>
      <x:c r="AS434" s="139" t="n"/>
      <x:c r="AT434" s="139" t="n"/>
      <x:c r="AU434" s="139" t="n"/>
      <x:c r="AV434" s="139" t="n"/>
      <x:c r="AW434" s="139" t="n"/>
      <x:c r="AX434" s="139" t="n"/>
      <x:c r="AY434" s="139" t="n"/>
      <x:c r="AZ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c r="V435" s="139" t="n"/>
      <x:c r="W435" s="139" t="n"/>
      <x:c r="X435" s="139" t="n"/>
      <x:c r="Y435" s="139" t="n"/>
      <x:c r="Z435" s="139" t="n"/>
      <x:c r="AA435" s="139" t="n"/>
      <x:c r="AB435" s="139" t="n"/>
      <x:c r="AC435" s="139" t="n"/>
      <x:c r="AD435" s="139" t="n"/>
      <x:c r="AE435" s="139" t="n"/>
      <x:c r="AF435" s="139" t="n"/>
      <x:c r="AG435" s="139" t="n"/>
      <x:c r="AH435" s="139" t="n"/>
      <x:c r="AI435" s="139" t="n"/>
      <x:c r="AJ435" s="139" t="n"/>
      <x:c r="AK435" s="139" t="n"/>
      <x:c r="AL435" s="139" t="n"/>
      <x:c r="AM435" s="139" t="n"/>
      <x:c r="AN435" s="139" t="n"/>
      <x:c r="AO435" s="139" t="n"/>
      <x:c r="AP435" s="139" t="n"/>
      <x:c r="AQ435" s="139" t="n"/>
      <x:c r="AR435" s="139" t="n"/>
      <x:c r="AS435" s="139" t="n"/>
      <x:c r="AT435" s="139" t="n"/>
      <x:c r="AU435" s="139" t="n"/>
      <x:c r="AV435" s="139" t="n"/>
      <x:c r="AW435" s="139" t="n"/>
      <x:c r="AX435" s="139" t="n"/>
      <x:c r="AY435" s="139" t="n"/>
      <x:c r="AZ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c r="V436" s="139" t="n"/>
      <x:c r="W436" s="139" t="n"/>
      <x:c r="X436" s="139" t="n"/>
      <x:c r="Y436" s="139" t="n"/>
      <x:c r="Z436" s="139" t="n"/>
      <x:c r="AA436" s="139" t="n"/>
      <x:c r="AB436" s="139" t="n"/>
      <x:c r="AC436" s="139" t="n"/>
      <x:c r="AD436" s="139" t="n"/>
      <x:c r="AE436" s="139" t="n"/>
      <x:c r="AF436" s="139" t="n"/>
      <x:c r="AG436" s="139" t="n"/>
      <x:c r="AH436" s="139" t="n"/>
      <x:c r="AI436" s="139" t="n"/>
      <x:c r="AJ436" s="139" t="n"/>
      <x:c r="AK436" s="139" t="n"/>
      <x:c r="AL436" s="139" t="n"/>
      <x:c r="AM436" s="139" t="n"/>
      <x:c r="AN436" s="139" t="n"/>
      <x:c r="AO436" s="139" t="n"/>
      <x:c r="AP436" s="139" t="n"/>
      <x:c r="AQ436" s="139" t="n"/>
      <x:c r="AR436" s="139" t="n"/>
      <x:c r="AS436" s="139" t="n"/>
      <x:c r="AT436" s="139" t="n"/>
      <x:c r="AU436" s="139" t="n"/>
      <x:c r="AV436" s="139" t="n"/>
      <x:c r="AW436" s="139" t="n"/>
      <x:c r="AX436" s="139" t="n"/>
      <x:c r="AY436" s="139" t="n"/>
      <x:c r="AZ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c r="V437" s="139" t="n"/>
      <x:c r="W437" s="139" t="n"/>
      <x:c r="X437" s="139" t="n"/>
      <x:c r="Y437" s="139" t="n"/>
      <x:c r="Z437" s="139" t="n"/>
      <x:c r="AA437" s="139" t="n"/>
      <x:c r="AB437" s="139" t="n"/>
      <x:c r="AC437" s="139" t="n"/>
      <x:c r="AD437" s="139" t="n"/>
      <x:c r="AE437" s="139" t="n"/>
      <x:c r="AF437" s="139" t="n"/>
      <x:c r="AG437" s="139" t="n"/>
      <x:c r="AH437" s="139" t="n"/>
      <x:c r="AI437" s="139" t="n"/>
      <x:c r="AJ437" s="139" t="n"/>
      <x:c r="AK437" s="139" t="n"/>
      <x:c r="AL437" s="139" t="n"/>
      <x:c r="AM437" s="139" t="n"/>
      <x:c r="AN437" s="139" t="n"/>
      <x:c r="AO437" s="139" t="n"/>
      <x:c r="AP437" s="139" t="n"/>
      <x:c r="AQ437" s="139" t="n"/>
      <x:c r="AR437" s="139" t="n"/>
      <x:c r="AS437" s="139" t="n"/>
      <x:c r="AT437" s="139" t="n"/>
      <x:c r="AU437" s="139" t="n"/>
      <x:c r="AV437" s="139" t="n"/>
      <x:c r="AW437" s="139" t="n"/>
      <x:c r="AX437" s="139" t="n"/>
      <x:c r="AY437" s="139" t="n"/>
      <x:c r="AZ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c r="V438" s="139" t="n"/>
      <x:c r="W438" s="139" t="n"/>
      <x:c r="X438" s="139" t="n"/>
      <x:c r="Y438" s="139" t="n"/>
      <x:c r="Z438" s="139" t="n"/>
      <x:c r="AA438" s="139" t="n"/>
      <x:c r="AB438" s="139" t="n"/>
      <x:c r="AC438" s="139" t="n"/>
      <x:c r="AD438" s="139" t="n"/>
      <x:c r="AE438" s="139" t="n"/>
      <x:c r="AF438" s="139" t="n"/>
      <x:c r="AG438" s="139" t="n"/>
      <x:c r="AH438" s="139" t="n"/>
      <x:c r="AI438" s="139" t="n"/>
      <x:c r="AJ438" s="139" t="n"/>
      <x:c r="AK438" s="139" t="n"/>
      <x:c r="AL438" s="139" t="n"/>
      <x:c r="AM438" s="139" t="n"/>
      <x:c r="AN438" s="139" t="n"/>
      <x:c r="AO438" s="139" t="n"/>
      <x:c r="AP438" s="139" t="n"/>
      <x:c r="AQ438" s="139" t="n"/>
      <x:c r="AR438" s="139" t="n"/>
      <x:c r="AS438" s="139" t="n"/>
      <x:c r="AT438" s="139" t="n"/>
      <x:c r="AU438" s="139" t="n"/>
      <x:c r="AV438" s="139" t="n"/>
      <x:c r="AW438" s="139" t="n"/>
      <x:c r="AX438" s="139" t="n"/>
      <x:c r="AY438" s="139" t="n"/>
      <x:c r="AZ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c r="V439" s="139" t="n"/>
      <x:c r="W439" s="139" t="n"/>
      <x:c r="X439" s="139" t="n"/>
      <x:c r="Y439" s="139" t="n"/>
      <x:c r="Z439" s="139" t="n"/>
      <x:c r="AA439" s="139" t="n"/>
      <x:c r="AB439" s="139" t="n"/>
      <x:c r="AC439" s="139" t="n"/>
      <x:c r="AD439" s="139" t="n"/>
      <x:c r="AE439" s="139" t="n"/>
      <x:c r="AF439" s="139" t="n"/>
      <x:c r="AG439" s="139" t="n"/>
      <x:c r="AH439" s="139" t="n"/>
      <x:c r="AI439" s="139" t="n"/>
      <x:c r="AJ439" s="139" t="n"/>
      <x:c r="AK439" s="139" t="n"/>
      <x:c r="AL439" s="139" t="n"/>
      <x:c r="AM439" s="139" t="n"/>
      <x:c r="AN439" s="139" t="n"/>
      <x:c r="AO439" s="139" t="n"/>
      <x:c r="AP439" s="139" t="n"/>
      <x:c r="AQ439" s="139" t="n"/>
      <x:c r="AR439" s="139" t="n"/>
      <x:c r="AS439" s="139" t="n"/>
      <x:c r="AT439" s="139" t="n"/>
      <x:c r="AU439" s="139" t="n"/>
      <x:c r="AV439" s="139" t="n"/>
      <x:c r="AW439" s="139" t="n"/>
      <x:c r="AX439" s="139" t="n"/>
      <x:c r="AY439" s="139" t="n"/>
      <x:c r="AZ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c r="V440" s="139" t="n"/>
      <x:c r="W440" s="139" t="n"/>
      <x:c r="X440" s="139" t="n"/>
      <x:c r="Y440" s="139" t="n"/>
      <x:c r="Z440" s="139" t="n"/>
      <x:c r="AA440" s="139" t="n"/>
      <x:c r="AB440" s="139" t="n"/>
      <x:c r="AC440" s="139" t="n"/>
      <x:c r="AD440" s="139" t="n"/>
      <x:c r="AE440" s="139" t="n"/>
      <x:c r="AF440" s="139" t="n"/>
      <x:c r="AG440" s="139" t="n"/>
      <x:c r="AH440" s="139" t="n"/>
      <x:c r="AI440" s="139" t="n"/>
      <x:c r="AJ440" s="139" t="n"/>
      <x:c r="AK440" s="139" t="n"/>
      <x:c r="AL440" s="139" t="n"/>
      <x:c r="AM440" s="139" t="n"/>
      <x:c r="AN440" s="139" t="n"/>
      <x:c r="AO440" s="139" t="n"/>
      <x:c r="AP440" s="139" t="n"/>
      <x:c r="AQ440" s="139" t="n"/>
      <x:c r="AR440" s="139" t="n"/>
      <x:c r="AS440" s="139" t="n"/>
      <x:c r="AT440" s="139" t="n"/>
      <x:c r="AU440" s="139" t="n"/>
      <x:c r="AV440" s="139" t="n"/>
      <x:c r="AW440" s="139" t="n"/>
      <x:c r="AX440" s="139" t="n"/>
      <x:c r="AY440" s="139" t="n"/>
      <x:c r="AZ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c r="V441" s="139" t="n"/>
      <x:c r="W441" s="139" t="n"/>
      <x:c r="X441" s="139" t="n"/>
      <x:c r="Y441" s="139" t="n"/>
      <x:c r="Z441" s="139" t="n"/>
      <x:c r="AA441" s="139" t="n"/>
      <x:c r="AB441" s="139" t="n"/>
      <x:c r="AC441" s="139" t="n"/>
      <x:c r="AD441" s="139" t="n"/>
      <x:c r="AE441" s="139" t="n"/>
      <x:c r="AF441" s="139" t="n"/>
      <x:c r="AG441" s="139" t="n"/>
      <x:c r="AH441" s="139" t="n"/>
      <x:c r="AI441" s="139" t="n"/>
      <x:c r="AJ441" s="139" t="n"/>
      <x:c r="AK441" s="139" t="n"/>
      <x:c r="AL441" s="139" t="n"/>
      <x:c r="AM441" s="139" t="n"/>
      <x:c r="AN441" s="139" t="n"/>
      <x:c r="AO441" s="139" t="n"/>
      <x:c r="AP441" s="139" t="n"/>
      <x:c r="AQ441" s="139" t="n"/>
      <x:c r="AR441" s="139" t="n"/>
      <x:c r="AS441" s="139" t="n"/>
      <x:c r="AT441" s="139" t="n"/>
      <x:c r="AU441" s="139" t="n"/>
      <x:c r="AV441" s="139" t="n"/>
      <x:c r="AW441" s="139" t="n"/>
      <x:c r="AX441" s="139" t="n"/>
      <x:c r="AY441" s="139" t="n"/>
      <x:c r="AZ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c r="V442" s="139" t="n"/>
      <x:c r="W442" s="139" t="n"/>
      <x:c r="X442" s="139" t="n"/>
      <x:c r="Y442" s="139" t="n"/>
      <x:c r="Z442" s="139" t="n"/>
      <x:c r="AA442" s="139" t="n"/>
      <x:c r="AB442" s="139" t="n"/>
      <x:c r="AC442" s="139" t="n"/>
      <x:c r="AD442" s="139" t="n"/>
      <x:c r="AE442" s="139" t="n"/>
      <x:c r="AF442" s="139" t="n"/>
      <x:c r="AG442" s="139" t="n"/>
      <x:c r="AH442" s="139" t="n"/>
      <x:c r="AI442" s="139" t="n"/>
      <x:c r="AJ442" s="139" t="n"/>
      <x:c r="AK442" s="139" t="n"/>
      <x:c r="AL442" s="139" t="n"/>
      <x:c r="AM442" s="139" t="n"/>
      <x:c r="AN442" s="139" t="n"/>
      <x:c r="AO442" s="139" t="n"/>
      <x:c r="AP442" s="139" t="n"/>
      <x:c r="AQ442" s="139" t="n"/>
      <x:c r="AR442" s="139" t="n"/>
      <x:c r="AS442" s="139" t="n"/>
      <x:c r="AT442" s="139" t="n"/>
      <x:c r="AU442" s="139" t="n"/>
      <x:c r="AV442" s="139" t="n"/>
      <x:c r="AW442" s="139" t="n"/>
      <x:c r="AX442" s="139" t="n"/>
      <x:c r="AY442" s="139" t="n"/>
      <x:c r="AZ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c r="V443" s="139" t="n"/>
      <x:c r="W443" s="139" t="n"/>
      <x:c r="X443" s="139" t="n"/>
      <x:c r="Y443" s="139" t="n"/>
      <x:c r="Z443" s="139" t="n"/>
      <x:c r="AA443" s="139" t="n"/>
      <x:c r="AB443" s="139" t="n"/>
      <x:c r="AC443" s="139" t="n"/>
      <x:c r="AD443" s="139" t="n"/>
      <x:c r="AE443" s="139" t="n"/>
      <x:c r="AF443" s="139" t="n"/>
      <x:c r="AG443" s="139" t="n"/>
      <x:c r="AH443" s="139" t="n"/>
      <x:c r="AI443" s="139" t="n"/>
      <x:c r="AJ443" s="139" t="n"/>
      <x:c r="AK443" s="139" t="n"/>
      <x:c r="AL443" s="139" t="n"/>
      <x:c r="AM443" s="139" t="n"/>
      <x:c r="AN443" s="139" t="n"/>
      <x:c r="AO443" s="139" t="n"/>
      <x:c r="AP443" s="139" t="n"/>
      <x:c r="AQ443" s="139" t="n"/>
      <x:c r="AR443" s="139" t="n"/>
      <x:c r="AS443" s="139" t="n"/>
      <x:c r="AT443" s="139" t="n"/>
      <x:c r="AU443" s="139" t="n"/>
      <x:c r="AV443" s="139" t="n"/>
      <x:c r="AW443" s="139" t="n"/>
      <x:c r="AX443" s="139" t="n"/>
      <x:c r="AY443" s="139" t="n"/>
      <x:c r="AZ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c r="V444" s="139" t="n"/>
      <x:c r="W444" s="139" t="n"/>
      <x:c r="X444" s="139" t="n"/>
      <x:c r="Y444" s="139" t="n"/>
      <x:c r="Z444" s="139" t="n"/>
      <x:c r="AA444" s="139" t="n"/>
      <x:c r="AB444" s="139" t="n"/>
      <x:c r="AC444" s="139" t="n"/>
      <x:c r="AD444" s="139" t="n"/>
      <x:c r="AE444" s="139" t="n"/>
      <x:c r="AF444" s="139" t="n"/>
      <x:c r="AG444" s="139" t="n"/>
      <x:c r="AH444" s="139" t="n"/>
      <x:c r="AI444" s="139" t="n"/>
      <x:c r="AJ444" s="139" t="n"/>
      <x:c r="AK444" s="139" t="n"/>
      <x:c r="AL444" s="139" t="n"/>
      <x:c r="AM444" s="139" t="n"/>
      <x:c r="AN444" s="139" t="n"/>
      <x:c r="AO444" s="139" t="n"/>
      <x:c r="AP444" s="139" t="n"/>
      <x:c r="AQ444" s="139" t="n"/>
      <x:c r="AR444" s="139" t="n"/>
      <x:c r="AS444" s="139" t="n"/>
      <x:c r="AT444" s="139" t="n"/>
      <x:c r="AU444" s="139" t="n"/>
      <x:c r="AV444" s="139" t="n"/>
      <x:c r="AW444" s="139" t="n"/>
      <x:c r="AX444" s="139" t="n"/>
      <x:c r="AY444" s="139" t="n"/>
      <x:c r="AZ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c r="V445" s="139" t="n"/>
      <x:c r="W445" s="139" t="n"/>
      <x:c r="X445" s="139" t="n"/>
      <x:c r="Y445" s="139" t="n"/>
      <x:c r="Z445" s="139" t="n"/>
      <x:c r="AA445" s="139" t="n"/>
      <x:c r="AB445" s="139" t="n"/>
      <x:c r="AC445" s="139" t="n"/>
      <x:c r="AD445" s="139" t="n"/>
      <x:c r="AE445" s="139" t="n"/>
      <x:c r="AF445" s="139" t="n"/>
      <x:c r="AG445" s="139" t="n"/>
      <x:c r="AH445" s="139" t="n"/>
      <x:c r="AI445" s="139" t="n"/>
      <x:c r="AJ445" s="139" t="n"/>
      <x:c r="AK445" s="139" t="n"/>
      <x:c r="AL445" s="139" t="n"/>
      <x:c r="AM445" s="139" t="n"/>
      <x:c r="AN445" s="139" t="n"/>
      <x:c r="AO445" s="139" t="n"/>
      <x:c r="AP445" s="139" t="n"/>
      <x:c r="AQ445" s="139" t="n"/>
      <x:c r="AR445" s="139" t="n"/>
      <x:c r="AS445" s="139" t="n"/>
      <x:c r="AT445" s="139" t="n"/>
      <x:c r="AU445" s="139" t="n"/>
      <x:c r="AV445" s="139" t="n"/>
      <x:c r="AW445" s="139" t="n"/>
      <x:c r="AX445" s="139" t="n"/>
      <x:c r="AY445" s="139" t="n"/>
      <x:c r="AZ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c r="V446" s="139" t="n"/>
      <x:c r="W446" s="139" t="n"/>
      <x:c r="X446" s="139" t="n"/>
      <x:c r="Y446" s="139" t="n"/>
      <x:c r="Z446" s="139" t="n"/>
      <x:c r="AA446" s="139" t="n"/>
      <x:c r="AB446" s="139" t="n"/>
      <x:c r="AC446" s="139" t="n"/>
      <x:c r="AD446" s="139" t="n"/>
      <x:c r="AE446" s="139" t="n"/>
      <x:c r="AF446" s="139" t="n"/>
      <x:c r="AG446" s="139" t="n"/>
      <x:c r="AH446" s="139" t="n"/>
      <x:c r="AI446" s="139" t="n"/>
      <x:c r="AJ446" s="139" t="n"/>
      <x:c r="AK446" s="139" t="n"/>
      <x:c r="AL446" s="139" t="n"/>
      <x:c r="AM446" s="139" t="n"/>
      <x:c r="AN446" s="139" t="n"/>
      <x:c r="AO446" s="139" t="n"/>
      <x:c r="AP446" s="139" t="n"/>
      <x:c r="AQ446" s="139" t="n"/>
      <x:c r="AR446" s="139" t="n"/>
      <x:c r="AS446" s="139" t="n"/>
      <x:c r="AT446" s="139" t="n"/>
      <x:c r="AU446" s="139" t="n"/>
      <x:c r="AV446" s="139" t="n"/>
      <x:c r="AW446" s="139" t="n"/>
      <x:c r="AX446" s="139" t="n"/>
      <x:c r="AY446" s="139" t="n"/>
      <x:c r="AZ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c r="V447" s="139" t="n"/>
      <x:c r="W447" s="139" t="n"/>
      <x:c r="X447" s="139" t="n"/>
      <x:c r="Y447" s="139" t="n"/>
      <x:c r="Z447" s="139" t="n"/>
      <x:c r="AA447" s="139" t="n"/>
      <x:c r="AB447" s="139" t="n"/>
      <x:c r="AC447" s="139" t="n"/>
      <x:c r="AD447" s="139" t="n"/>
      <x:c r="AE447" s="139" t="n"/>
      <x:c r="AF447" s="139" t="n"/>
      <x:c r="AG447" s="139" t="n"/>
      <x:c r="AH447" s="139" t="n"/>
      <x:c r="AI447" s="139" t="n"/>
      <x:c r="AJ447" s="139" t="n"/>
      <x:c r="AK447" s="139" t="n"/>
      <x:c r="AL447" s="139" t="n"/>
      <x:c r="AM447" s="139" t="n"/>
      <x:c r="AN447" s="139" t="n"/>
      <x:c r="AO447" s="139" t="n"/>
      <x:c r="AP447" s="139" t="n"/>
      <x:c r="AQ447" s="139" t="n"/>
      <x:c r="AR447" s="139" t="n"/>
      <x:c r="AS447" s="139" t="n"/>
      <x:c r="AT447" s="139" t="n"/>
      <x:c r="AU447" s="139" t="n"/>
      <x:c r="AV447" s="139" t="n"/>
      <x:c r="AW447" s="139" t="n"/>
      <x:c r="AX447" s="139" t="n"/>
      <x:c r="AY447" s="139" t="n"/>
      <x:c r="AZ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c r="V448" s="139" t="n"/>
      <x:c r="W448" s="139" t="n"/>
      <x:c r="X448" s="139" t="n"/>
      <x:c r="Y448" s="139" t="n"/>
      <x:c r="Z448" s="139" t="n"/>
      <x:c r="AA448" s="139" t="n"/>
      <x:c r="AB448" s="139" t="n"/>
      <x:c r="AC448" s="139" t="n"/>
      <x:c r="AD448" s="139" t="n"/>
      <x:c r="AE448" s="139" t="n"/>
      <x:c r="AF448" s="139" t="n"/>
      <x:c r="AG448" s="139" t="n"/>
      <x:c r="AH448" s="139" t="n"/>
      <x:c r="AI448" s="139" t="n"/>
      <x:c r="AJ448" s="139" t="n"/>
      <x:c r="AK448" s="139" t="n"/>
      <x:c r="AL448" s="139" t="n"/>
      <x:c r="AM448" s="139" t="n"/>
      <x:c r="AN448" s="139" t="n"/>
      <x:c r="AO448" s="139" t="n"/>
      <x:c r="AP448" s="139" t="n"/>
      <x:c r="AQ448" s="139" t="n"/>
      <x:c r="AR448" s="139" t="n"/>
      <x:c r="AS448" s="139" t="n"/>
      <x:c r="AT448" s="139" t="n"/>
      <x:c r="AU448" s="139" t="n"/>
      <x:c r="AV448" s="139" t="n"/>
      <x:c r="AW448" s="139" t="n"/>
      <x:c r="AX448" s="139" t="n"/>
      <x:c r="AY448" s="139" t="n"/>
      <x:c r="AZ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c r="V449" s="139" t="n"/>
      <x:c r="W449" s="139" t="n"/>
      <x:c r="X449" s="139" t="n"/>
      <x:c r="Y449" s="139" t="n"/>
      <x:c r="Z449" s="139" t="n"/>
      <x:c r="AA449" s="139" t="n"/>
      <x:c r="AB449" s="139" t="n"/>
      <x:c r="AC449" s="139" t="n"/>
      <x:c r="AD449" s="139" t="n"/>
      <x:c r="AE449" s="139" t="n"/>
      <x:c r="AF449" s="139" t="n"/>
      <x:c r="AG449" s="139" t="n"/>
      <x:c r="AH449" s="139" t="n"/>
      <x:c r="AI449" s="139" t="n"/>
      <x:c r="AJ449" s="139" t="n"/>
      <x:c r="AK449" s="139" t="n"/>
      <x:c r="AL449" s="139" t="n"/>
      <x:c r="AM449" s="139" t="n"/>
      <x:c r="AN449" s="139" t="n"/>
      <x:c r="AO449" s="139" t="n"/>
      <x:c r="AP449" s="139" t="n"/>
      <x:c r="AQ449" s="139" t="n"/>
      <x:c r="AR449" s="139" t="n"/>
      <x:c r="AS449" s="139" t="n"/>
      <x:c r="AT449" s="139" t="n"/>
      <x:c r="AU449" s="139" t="n"/>
      <x:c r="AV449" s="139" t="n"/>
      <x:c r="AW449" s="139" t="n"/>
      <x:c r="AX449" s="139" t="n"/>
      <x:c r="AY449" s="139" t="n"/>
      <x:c r="AZ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c r="V450" s="139" t="n"/>
      <x:c r="W450" s="139" t="n"/>
      <x:c r="X450" s="139" t="n"/>
      <x:c r="Y450" s="139" t="n"/>
      <x:c r="Z450" s="139" t="n"/>
      <x:c r="AA450" s="139" t="n"/>
      <x:c r="AB450" s="139" t="n"/>
      <x:c r="AC450" s="139" t="n"/>
      <x:c r="AD450" s="139" t="n"/>
      <x:c r="AE450" s="139" t="n"/>
      <x:c r="AF450" s="139" t="n"/>
      <x:c r="AG450" s="139" t="n"/>
      <x:c r="AH450" s="139" t="n"/>
      <x:c r="AI450" s="139" t="n"/>
      <x:c r="AJ450" s="139" t="n"/>
      <x:c r="AK450" s="139" t="n"/>
      <x:c r="AL450" s="139" t="n"/>
      <x:c r="AM450" s="139" t="n"/>
      <x:c r="AN450" s="139" t="n"/>
      <x:c r="AO450" s="139" t="n"/>
      <x:c r="AP450" s="139" t="n"/>
      <x:c r="AQ450" s="139" t="n"/>
      <x:c r="AR450" s="139" t="n"/>
      <x:c r="AS450" s="139" t="n"/>
      <x:c r="AT450" s="139" t="n"/>
      <x:c r="AU450" s="139" t="n"/>
      <x:c r="AV450" s="139" t="n"/>
      <x:c r="AW450" s="139" t="n"/>
      <x:c r="AX450" s="139" t="n"/>
      <x:c r="AY450" s="139" t="n"/>
      <x:c r="AZ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c r="V451" s="139" t="n"/>
      <x:c r="W451" s="139" t="n"/>
      <x:c r="X451" s="139" t="n"/>
      <x:c r="Y451" s="139" t="n"/>
      <x:c r="Z451" s="139" t="n"/>
      <x:c r="AA451" s="139" t="n"/>
      <x:c r="AB451" s="139" t="n"/>
      <x:c r="AC451" s="139" t="n"/>
      <x:c r="AD451" s="139" t="n"/>
      <x:c r="AE451" s="139" t="n"/>
      <x:c r="AF451" s="139" t="n"/>
      <x:c r="AG451" s="139" t="n"/>
      <x:c r="AH451" s="139" t="n"/>
      <x:c r="AI451" s="139" t="n"/>
      <x:c r="AJ451" s="139" t="n"/>
      <x:c r="AK451" s="139" t="n"/>
      <x:c r="AL451" s="139" t="n"/>
      <x:c r="AM451" s="139" t="n"/>
      <x:c r="AN451" s="139" t="n"/>
      <x:c r="AO451" s="139" t="n"/>
      <x:c r="AP451" s="139" t="n"/>
      <x:c r="AQ451" s="139" t="n"/>
      <x:c r="AR451" s="139" t="n"/>
      <x:c r="AS451" s="139" t="n"/>
      <x:c r="AT451" s="139" t="n"/>
      <x:c r="AU451" s="139" t="n"/>
      <x:c r="AV451" s="139" t="n"/>
      <x:c r="AW451" s="139" t="n"/>
      <x:c r="AX451" s="139" t="n"/>
      <x:c r="AY451" s="139" t="n"/>
      <x:c r="AZ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c r="V452" s="139" t="n"/>
      <x:c r="W452" s="139" t="n"/>
      <x:c r="X452" s="139" t="n"/>
      <x:c r="Y452" s="139" t="n"/>
      <x:c r="Z452" s="139" t="n"/>
      <x:c r="AA452" s="139" t="n"/>
      <x:c r="AB452" s="139" t="n"/>
      <x:c r="AC452" s="139" t="n"/>
      <x:c r="AD452" s="139" t="n"/>
      <x:c r="AE452" s="139" t="n"/>
      <x:c r="AF452" s="139" t="n"/>
      <x:c r="AG452" s="139" t="n"/>
      <x:c r="AH452" s="139" t="n"/>
      <x:c r="AI452" s="139" t="n"/>
      <x:c r="AJ452" s="139" t="n"/>
      <x:c r="AK452" s="139" t="n"/>
      <x:c r="AL452" s="139" t="n"/>
      <x:c r="AM452" s="139" t="n"/>
      <x:c r="AN452" s="139" t="n"/>
      <x:c r="AO452" s="139" t="n"/>
      <x:c r="AP452" s="139" t="n"/>
      <x:c r="AQ452" s="139" t="n"/>
      <x:c r="AR452" s="139" t="n"/>
      <x:c r="AS452" s="139" t="n"/>
      <x:c r="AT452" s="139" t="n"/>
      <x:c r="AU452" s="139" t="n"/>
      <x:c r="AV452" s="139" t="n"/>
      <x:c r="AW452" s="139" t="n"/>
      <x:c r="AX452" s="139" t="n"/>
      <x:c r="AY452" s="139" t="n"/>
      <x:c r="AZ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c r="V453" s="139" t="n"/>
      <x:c r="W453" s="139" t="n"/>
      <x:c r="X453" s="139" t="n"/>
      <x:c r="Y453" s="139" t="n"/>
      <x:c r="Z453" s="139" t="n"/>
      <x:c r="AA453" s="139" t="n"/>
      <x:c r="AB453" s="139" t="n"/>
      <x:c r="AC453" s="139" t="n"/>
      <x:c r="AD453" s="139" t="n"/>
      <x:c r="AE453" s="139" t="n"/>
      <x:c r="AF453" s="139" t="n"/>
      <x:c r="AG453" s="139" t="n"/>
      <x:c r="AH453" s="139" t="n"/>
      <x:c r="AI453" s="139" t="n"/>
      <x:c r="AJ453" s="139" t="n"/>
      <x:c r="AK453" s="139" t="n"/>
      <x:c r="AL453" s="139" t="n"/>
      <x:c r="AM453" s="139" t="n"/>
      <x:c r="AN453" s="139" t="n"/>
      <x:c r="AO453" s="139" t="n"/>
      <x:c r="AP453" s="139" t="n"/>
      <x:c r="AQ453" s="139" t="n"/>
      <x:c r="AR453" s="139" t="n"/>
      <x:c r="AS453" s="139" t="n"/>
      <x:c r="AT453" s="139" t="n"/>
      <x:c r="AU453" s="139" t="n"/>
      <x:c r="AV453" s="139" t="n"/>
      <x:c r="AW453" s="139" t="n"/>
      <x:c r="AX453" s="139" t="n"/>
      <x:c r="AY453" s="139" t="n"/>
      <x:c r="AZ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c r="V454" s="139" t="n"/>
      <x:c r="W454" s="139" t="n"/>
      <x:c r="X454" s="139" t="n"/>
      <x:c r="Y454" s="139" t="n"/>
      <x:c r="Z454" s="139" t="n"/>
      <x:c r="AA454" s="139" t="n"/>
      <x:c r="AB454" s="139" t="n"/>
      <x:c r="AC454" s="139" t="n"/>
      <x:c r="AD454" s="139" t="n"/>
      <x:c r="AE454" s="139" t="n"/>
      <x:c r="AF454" s="139" t="n"/>
      <x:c r="AG454" s="139" t="n"/>
      <x:c r="AH454" s="139" t="n"/>
      <x:c r="AI454" s="139" t="n"/>
      <x:c r="AJ454" s="139" t="n"/>
      <x:c r="AK454" s="139" t="n"/>
      <x:c r="AL454" s="139" t="n"/>
      <x:c r="AM454" s="139" t="n"/>
      <x:c r="AN454" s="139" t="n"/>
      <x:c r="AO454" s="139" t="n"/>
      <x:c r="AP454" s="139" t="n"/>
      <x:c r="AQ454" s="139" t="n"/>
      <x:c r="AR454" s="139" t="n"/>
      <x:c r="AS454" s="139" t="n"/>
      <x:c r="AT454" s="139" t="n"/>
      <x:c r="AU454" s="139" t="n"/>
      <x:c r="AV454" s="139" t="n"/>
      <x:c r="AW454" s="139" t="n"/>
      <x:c r="AX454" s="139" t="n"/>
      <x:c r="AY454" s="139" t="n"/>
      <x:c r="AZ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c r="V455" s="139" t="n"/>
      <x:c r="W455" s="139" t="n"/>
      <x:c r="X455" s="139" t="n"/>
      <x:c r="Y455" s="139" t="n"/>
      <x:c r="Z455" s="139" t="n"/>
      <x:c r="AA455" s="139" t="n"/>
      <x:c r="AB455" s="139" t="n"/>
      <x:c r="AC455" s="139" t="n"/>
      <x:c r="AD455" s="139" t="n"/>
      <x:c r="AE455" s="139" t="n"/>
      <x:c r="AF455" s="139" t="n"/>
      <x:c r="AG455" s="139" t="n"/>
      <x:c r="AH455" s="139" t="n"/>
      <x:c r="AI455" s="139" t="n"/>
      <x:c r="AJ455" s="139" t="n"/>
      <x:c r="AK455" s="139" t="n"/>
      <x:c r="AL455" s="139" t="n"/>
      <x:c r="AM455" s="139" t="n"/>
      <x:c r="AN455" s="139" t="n"/>
      <x:c r="AO455" s="139" t="n"/>
      <x:c r="AP455" s="139" t="n"/>
      <x:c r="AQ455" s="139" t="n"/>
      <x:c r="AR455" s="139" t="n"/>
      <x:c r="AS455" s="139" t="n"/>
      <x:c r="AT455" s="139" t="n"/>
      <x:c r="AU455" s="139" t="n"/>
      <x:c r="AV455" s="139" t="n"/>
      <x:c r="AW455" s="139" t="n"/>
      <x:c r="AX455" s="139" t="n"/>
      <x:c r="AY455" s="139" t="n"/>
      <x:c r="AZ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c r="V456" s="139" t="n"/>
      <x:c r="W456" s="139" t="n"/>
      <x:c r="X456" s="139" t="n"/>
      <x:c r="Y456" s="139" t="n"/>
      <x:c r="Z456" s="139" t="n"/>
      <x:c r="AA456" s="139" t="n"/>
      <x:c r="AB456" s="139" t="n"/>
      <x:c r="AC456" s="139" t="n"/>
      <x:c r="AD456" s="139" t="n"/>
      <x:c r="AE456" s="139" t="n"/>
      <x:c r="AF456" s="139" t="n"/>
      <x:c r="AG456" s="139" t="n"/>
      <x:c r="AH456" s="139" t="n"/>
      <x:c r="AI456" s="139" t="n"/>
      <x:c r="AJ456" s="139" t="n"/>
      <x:c r="AK456" s="139" t="n"/>
      <x:c r="AL456" s="139" t="n"/>
      <x:c r="AM456" s="139" t="n"/>
      <x:c r="AN456" s="139" t="n"/>
      <x:c r="AO456" s="139" t="n"/>
      <x:c r="AP456" s="139" t="n"/>
      <x:c r="AQ456" s="139" t="n"/>
      <x:c r="AR456" s="139" t="n"/>
      <x:c r="AS456" s="139" t="n"/>
      <x:c r="AT456" s="139" t="n"/>
      <x:c r="AU456" s="139" t="n"/>
      <x:c r="AV456" s="139" t="n"/>
      <x:c r="AW456" s="139" t="n"/>
      <x:c r="AX456" s="139" t="n"/>
      <x:c r="AY456" s="139" t="n"/>
      <x:c r="AZ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c r="V457" s="139" t="n"/>
      <x:c r="W457" s="139" t="n"/>
      <x:c r="X457" s="139" t="n"/>
      <x:c r="Y457" s="139" t="n"/>
      <x:c r="Z457" s="139" t="n"/>
      <x:c r="AA457" s="139" t="n"/>
      <x:c r="AB457" s="139" t="n"/>
      <x:c r="AC457" s="139" t="n"/>
      <x:c r="AD457" s="139" t="n"/>
      <x:c r="AE457" s="139" t="n"/>
      <x:c r="AF457" s="139" t="n"/>
      <x:c r="AG457" s="139" t="n"/>
      <x:c r="AH457" s="139" t="n"/>
      <x:c r="AI457" s="139" t="n"/>
      <x:c r="AJ457" s="139" t="n"/>
      <x:c r="AK457" s="139" t="n"/>
      <x:c r="AL457" s="139" t="n"/>
      <x:c r="AM457" s="139" t="n"/>
      <x:c r="AN457" s="139" t="n"/>
      <x:c r="AO457" s="139" t="n"/>
      <x:c r="AP457" s="139" t="n"/>
      <x:c r="AQ457" s="139" t="n"/>
      <x:c r="AR457" s="139" t="n"/>
      <x:c r="AS457" s="139" t="n"/>
      <x:c r="AT457" s="139" t="n"/>
      <x:c r="AU457" s="139" t="n"/>
      <x:c r="AV457" s="139" t="n"/>
      <x:c r="AW457" s="139" t="n"/>
      <x:c r="AX457" s="139" t="n"/>
      <x:c r="AY457" s="139" t="n"/>
      <x:c r="AZ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c r="V458" s="139" t="n"/>
      <x:c r="W458" s="139" t="n"/>
      <x:c r="X458" s="139" t="n"/>
      <x:c r="Y458" s="139" t="n"/>
      <x:c r="Z458" s="139" t="n"/>
      <x:c r="AA458" s="139" t="n"/>
      <x:c r="AB458" s="139" t="n"/>
      <x:c r="AC458" s="139" t="n"/>
      <x:c r="AD458" s="139" t="n"/>
      <x:c r="AE458" s="139" t="n"/>
      <x:c r="AF458" s="139" t="n"/>
      <x:c r="AG458" s="139" t="n"/>
      <x:c r="AH458" s="139" t="n"/>
      <x:c r="AI458" s="139" t="n"/>
      <x:c r="AJ458" s="139" t="n"/>
      <x:c r="AK458" s="139" t="n"/>
      <x:c r="AL458" s="139" t="n"/>
      <x:c r="AM458" s="139" t="n"/>
      <x:c r="AN458" s="139" t="n"/>
      <x:c r="AO458" s="139" t="n"/>
      <x:c r="AP458" s="139" t="n"/>
      <x:c r="AQ458" s="139" t="n"/>
      <x:c r="AR458" s="139" t="n"/>
      <x:c r="AS458" s="139" t="n"/>
      <x:c r="AT458" s="139" t="n"/>
      <x:c r="AU458" s="139" t="n"/>
      <x:c r="AV458" s="139" t="n"/>
      <x:c r="AW458" s="139" t="n"/>
      <x:c r="AX458" s="139" t="n"/>
      <x:c r="AY458" s="139" t="n"/>
      <x:c r="AZ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c r="V459" s="139" t="n"/>
      <x:c r="W459" s="139" t="n"/>
      <x:c r="X459" s="139" t="n"/>
      <x:c r="Y459" s="139" t="n"/>
      <x:c r="Z459" s="139" t="n"/>
      <x:c r="AA459" s="139" t="n"/>
      <x:c r="AB459" s="139" t="n"/>
      <x:c r="AC459" s="139" t="n"/>
      <x:c r="AD459" s="139" t="n"/>
      <x:c r="AE459" s="139" t="n"/>
      <x:c r="AF459" s="139" t="n"/>
      <x:c r="AG459" s="139" t="n"/>
      <x:c r="AH459" s="139" t="n"/>
      <x:c r="AI459" s="139" t="n"/>
      <x:c r="AJ459" s="139" t="n"/>
      <x:c r="AK459" s="139" t="n"/>
      <x:c r="AL459" s="139" t="n"/>
      <x:c r="AM459" s="139" t="n"/>
      <x:c r="AN459" s="139" t="n"/>
      <x:c r="AO459" s="139" t="n"/>
      <x:c r="AP459" s="139" t="n"/>
      <x:c r="AQ459" s="139" t="n"/>
      <x:c r="AR459" s="139" t="n"/>
      <x:c r="AS459" s="139" t="n"/>
      <x:c r="AT459" s="139" t="n"/>
      <x:c r="AU459" s="139" t="n"/>
      <x:c r="AV459" s="139" t="n"/>
      <x:c r="AW459" s="139" t="n"/>
      <x:c r="AX459" s="139" t="n"/>
      <x:c r="AY459" s="139" t="n"/>
      <x:c r="AZ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c r="V460" s="139" t="n"/>
      <x:c r="W460" s="139" t="n"/>
      <x:c r="X460" s="139" t="n"/>
      <x:c r="Y460" s="139" t="n"/>
      <x:c r="Z460" s="139" t="n"/>
      <x:c r="AA460" s="139" t="n"/>
      <x:c r="AB460" s="139" t="n"/>
      <x:c r="AC460" s="139" t="n"/>
      <x:c r="AD460" s="139" t="n"/>
      <x:c r="AE460" s="139" t="n"/>
      <x:c r="AF460" s="139" t="n"/>
      <x:c r="AG460" s="139" t="n"/>
      <x:c r="AH460" s="139" t="n"/>
      <x:c r="AI460" s="139" t="n"/>
      <x:c r="AJ460" s="139" t="n"/>
      <x:c r="AK460" s="139" t="n"/>
      <x:c r="AL460" s="139" t="n"/>
      <x:c r="AM460" s="139" t="n"/>
      <x:c r="AN460" s="139" t="n"/>
      <x:c r="AO460" s="139" t="n"/>
      <x:c r="AP460" s="139" t="n"/>
      <x:c r="AQ460" s="139" t="n"/>
      <x:c r="AR460" s="139" t="n"/>
      <x:c r="AS460" s="139" t="n"/>
      <x:c r="AT460" s="139" t="n"/>
      <x:c r="AU460" s="139" t="n"/>
      <x:c r="AV460" s="139" t="n"/>
      <x:c r="AW460" s="139" t="n"/>
      <x:c r="AX460" s="139" t="n"/>
      <x:c r="AY460" s="139" t="n"/>
      <x:c r="AZ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c r="V461" s="139" t="n"/>
      <x:c r="W461" s="139" t="n"/>
      <x:c r="X461" s="139" t="n"/>
      <x:c r="Y461" s="139" t="n"/>
      <x:c r="Z461" s="139" t="n"/>
      <x:c r="AA461" s="139" t="n"/>
      <x:c r="AB461" s="139" t="n"/>
      <x:c r="AC461" s="139" t="n"/>
      <x:c r="AD461" s="139" t="n"/>
      <x:c r="AE461" s="139" t="n"/>
      <x:c r="AF461" s="139" t="n"/>
      <x:c r="AG461" s="139" t="n"/>
      <x:c r="AH461" s="139" t="n"/>
      <x:c r="AI461" s="139" t="n"/>
      <x:c r="AJ461" s="139" t="n"/>
      <x:c r="AK461" s="139" t="n"/>
      <x:c r="AL461" s="139" t="n"/>
      <x:c r="AM461" s="139" t="n"/>
      <x:c r="AN461" s="139" t="n"/>
      <x:c r="AO461" s="139" t="n"/>
      <x:c r="AP461" s="139" t="n"/>
      <x:c r="AQ461" s="139" t="n"/>
      <x:c r="AR461" s="139" t="n"/>
      <x:c r="AS461" s="139" t="n"/>
      <x:c r="AT461" s="139" t="n"/>
      <x:c r="AU461" s="139" t="n"/>
      <x:c r="AV461" s="139" t="n"/>
      <x:c r="AW461" s="139" t="n"/>
      <x:c r="AX461" s="139" t="n"/>
      <x:c r="AY461" s="139" t="n"/>
      <x:c r="AZ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c r="V462" s="139" t="n"/>
      <x:c r="W462" s="139" t="n"/>
      <x:c r="X462" s="139" t="n"/>
      <x:c r="Y462" s="139" t="n"/>
      <x:c r="Z462" s="139" t="n"/>
      <x:c r="AA462" s="139" t="n"/>
      <x:c r="AB462" s="139" t="n"/>
      <x:c r="AC462" s="139" t="n"/>
      <x:c r="AD462" s="139" t="n"/>
      <x:c r="AE462" s="139" t="n"/>
      <x:c r="AF462" s="139" t="n"/>
      <x:c r="AG462" s="139" t="n"/>
      <x:c r="AH462" s="139" t="n"/>
      <x:c r="AI462" s="139" t="n"/>
      <x:c r="AJ462" s="139" t="n"/>
      <x:c r="AK462" s="139" t="n"/>
      <x:c r="AL462" s="139" t="n"/>
      <x:c r="AM462" s="139" t="n"/>
      <x:c r="AN462" s="139" t="n"/>
      <x:c r="AO462" s="139" t="n"/>
      <x:c r="AP462" s="139" t="n"/>
      <x:c r="AQ462" s="139" t="n"/>
      <x:c r="AR462" s="139" t="n"/>
      <x:c r="AS462" s="139" t="n"/>
      <x:c r="AT462" s="139" t="n"/>
      <x:c r="AU462" s="139" t="n"/>
      <x:c r="AV462" s="139" t="n"/>
      <x:c r="AW462" s="139" t="n"/>
      <x:c r="AX462" s="139" t="n"/>
      <x:c r="AY462" s="139" t="n"/>
      <x:c r="AZ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c r="V463" s="139" t="n"/>
      <x:c r="W463" s="139" t="n"/>
      <x:c r="X463" s="139" t="n"/>
      <x:c r="Y463" s="139" t="n"/>
      <x:c r="Z463" s="139" t="n"/>
      <x:c r="AA463" s="139" t="n"/>
      <x:c r="AB463" s="139" t="n"/>
      <x:c r="AC463" s="139" t="n"/>
      <x:c r="AD463" s="139" t="n"/>
      <x:c r="AE463" s="139" t="n"/>
      <x:c r="AF463" s="139" t="n"/>
      <x:c r="AG463" s="139" t="n"/>
      <x:c r="AH463" s="139" t="n"/>
      <x:c r="AI463" s="139" t="n"/>
      <x:c r="AJ463" s="139" t="n"/>
      <x:c r="AK463" s="139" t="n"/>
      <x:c r="AL463" s="139" t="n"/>
      <x:c r="AM463" s="139" t="n"/>
      <x:c r="AN463" s="139" t="n"/>
      <x:c r="AO463" s="139" t="n"/>
      <x:c r="AP463" s="139" t="n"/>
      <x:c r="AQ463" s="139" t="n"/>
      <x:c r="AR463" s="139" t="n"/>
      <x:c r="AS463" s="139" t="n"/>
      <x:c r="AT463" s="139" t="n"/>
      <x:c r="AU463" s="139" t="n"/>
      <x:c r="AV463" s="139" t="n"/>
      <x:c r="AW463" s="139" t="n"/>
      <x:c r="AX463" s="139" t="n"/>
      <x:c r="AY463" s="139" t="n"/>
      <x:c r="AZ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c r="V464" s="139" t="n"/>
      <x:c r="W464" s="139" t="n"/>
      <x:c r="X464" s="139" t="n"/>
      <x:c r="Y464" s="139" t="n"/>
      <x:c r="Z464" s="139" t="n"/>
      <x:c r="AA464" s="139" t="n"/>
      <x:c r="AB464" s="139" t="n"/>
      <x:c r="AC464" s="139" t="n"/>
      <x:c r="AD464" s="139" t="n"/>
      <x:c r="AE464" s="139" t="n"/>
      <x:c r="AF464" s="139" t="n"/>
      <x:c r="AG464" s="139" t="n"/>
      <x:c r="AH464" s="139" t="n"/>
      <x:c r="AI464" s="139" t="n"/>
      <x:c r="AJ464" s="139" t="n"/>
      <x:c r="AK464" s="139" t="n"/>
      <x:c r="AL464" s="139" t="n"/>
      <x:c r="AM464" s="139" t="n"/>
      <x:c r="AN464" s="139" t="n"/>
      <x:c r="AO464" s="139" t="n"/>
      <x:c r="AP464" s="139" t="n"/>
      <x:c r="AQ464" s="139" t="n"/>
      <x:c r="AR464" s="139" t="n"/>
      <x:c r="AS464" s="139" t="n"/>
      <x:c r="AT464" s="139" t="n"/>
      <x:c r="AU464" s="139" t="n"/>
      <x:c r="AV464" s="139" t="n"/>
      <x:c r="AW464" s="139" t="n"/>
      <x:c r="AX464" s="139" t="n"/>
      <x:c r="AY464" s="139" t="n"/>
      <x:c r="AZ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c r="V465" s="139" t="n"/>
      <x:c r="W465" s="139" t="n"/>
      <x:c r="X465" s="139" t="n"/>
      <x:c r="Y465" s="139" t="n"/>
      <x:c r="Z465" s="139" t="n"/>
      <x:c r="AA465" s="139" t="n"/>
      <x:c r="AB465" s="139" t="n"/>
      <x:c r="AC465" s="139" t="n"/>
      <x:c r="AD465" s="139" t="n"/>
      <x:c r="AE465" s="139" t="n"/>
      <x:c r="AF465" s="139" t="n"/>
      <x:c r="AG465" s="139" t="n"/>
      <x:c r="AH465" s="139" t="n"/>
      <x:c r="AI465" s="139" t="n"/>
      <x:c r="AJ465" s="139" t="n"/>
      <x:c r="AK465" s="139" t="n"/>
      <x:c r="AL465" s="139" t="n"/>
      <x:c r="AM465" s="139" t="n"/>
      <x:c r="AN465" s="139" t="n"/>
      <x:c r="AO465" s="139" t="n"/>
      <x:c r="AP465" s="139" t="n"/>
      <x:c r="AQ465" s="139" t="n"/>
      <x:c r="AR465" s="139" t="n"/>
      <x:c r="AS465" s="139" t="n"/>
      <x:c r="AT465" s="139" t="n"/>
      <x:c r="AU465" s="139" t="n"/>
      <x:c r="AV465" s="139" t="n"/>
      <x:c r="AW465" s="139" t="n"/>
      <x:c r="AX465" s="139" t="n"/>
      <x:c r="AY465" s="139" t="n"/>
      <x:c r="AZ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c r="V466" s="139" t="n"/>
      <x:c r="W466" s="139" t="n"/>
      <x:c r="X466" s="139" t="n"/>
      <x:c r="Y466" s="139" t="n"/>
      <x:c r="Z466" s="139" t="n"/>
      <x:c r="AA466" s="139" t="n"/>
      <x:c r="AB466" s="139" t="n"/>
      <x:c r="AC466" s="139" t="n"/>
      <x:c r="AD466" s="139" t="n"/>
      <x:c r="AE466" s="139" t="n"/>
      <x:c r="AF466" s="139" t="n"/>
      <x:c r="AG466" s="139" t="n"/>
      <x:c r="AH466" s="139" t="n"/>
      <x:c r="AI466" s="139" t="n"/>
      <x:c r="AJ466" s="139" t="n"/>
      <x:c r="AK466" s="139" t="n"/>
      <x:c r="AL466" s="139" t="n"/>
      <x:c r="AM466" s="139" t="n"/>
      <x:c r="AN466" s="139" t="n"/>
      <x:c r="AO466" s="139" t="n"/>
      <x:c r="AP466" s="139" t="n"/>
      <x:c r="AQ466" s="139" t="n"/>
      <x:c r="AR466" s="139" t="n"/>
      <x:c r="AS466" s="139" t="n"/>
      <x:c r="AT466" s="139" t="n"/>
      <x:c r="AU466" s="139" t="n"/>
      <x:c r="AV466" s="139" t="n"/>
      <x:c r="AW466" s="139" t="n"/>
      <x:c r="AX466" s="139" t="n"/>
      <x:c r="AY466" s="139" t="n"/>
      <x:c r="AZ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c r="V467" s="139" t="n"/>
      <x:c r="W467" s="139" t="n"/>
      <x:c r="X467" s="139" t="n"/>
      <x:c r="Y467" s="139" t="n"/>
      <x:c r="Z467" s="139" t="n"/>
      <x:c r="AA467" s="139" t="n"/>
      <x:c r="AB467" s="139" t="n"/>
      <x:c r="AC467" s="139" t="n"/>
      <x:c r="AD467" s="139" t="n"/>
      <x:c r="AE467" s="139" t="n"/>
      <x:c r="AF467" s="139" t="n"/>
      <x:c r="AG467" s="139" t="n"/>
      <x:c r="AH467" s="139" t="n"/>
      <x:c r="AI467" s="139" t="n"/>
      <x:c r="AJ467" s="139" t="n"/>
      <x:c r="AK467" s="139" t="n"/>
      <x:c r="AL467" s="139" t="n"/>
      <x:c r="AM467" s="139" t="n"/>
      <x:c r="AN467" s="139" t="n"/>
      <x:c r="AO467" s="139" t="n"/>
      <x:c r="AP467" s="139" t="n"/>
      <x:c r="AQ467" s="139" t="n"/>
      <x:c r="AR467" s="139" t="n"/>
      <x:c r="AS467" s="139" t="n"/>
      <x:c r="AT467" s="139" t="n"/>
      <x:c r="AU467" s="139" t="n"/>
      <x:c r="AV467" s="139" t="n"/>
      <x:c r="AW467" s="139" t="n"/>
      <x:c r="AX467" s="139" t="n"/>
      <x:c r="AY467" s="139" t="n"/>
      <x:c r="AZ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c r="V468" s="139" t="n"/>
      <x:c r="W468" s="139" t="n"/>
      <x:c r="X468" s="139" t="n"/>
      <x:c r="Y468" s="139" t="n"/>
      <x:c r="Z468" s="139" t="n"/>
      <x:c r="AA468" s="139" t="n"/>
      <x:c r="AB468" s="139" t="n"/>
      <x:c r="AC468" s="139" t="n"/>
      <x:c r="AD468" s="139" t="n"/>
      <x:c r="AE468" s="139" t="n"/>
      <x:c r="AF468" s="139" t="n"/>
      <x:c r="AG468" s="139" t="n"/>
      <x:c r="AH468" s="139" t="n"/>
      <x:c r="AI468" s="139" t="n"/>
      <x:c r="AJ468" s="139" t="n"/>
      <x:c r="AK468" s="139" t="n"/>
      <x:c r="AL468" s="139" t="n"/>
      <x:c r="AM468" s="139" t="n"/>
      <x:c r="AN468" s="139" t="n"/>
      <x:c r="AO468" s="139" t="n"/>
      <x:c r="AP468" s="139" t="n"/>
      <x:c r="AQ468" s="139" t="n"/>
      <x:c r="AR468" s="139" t="n"/>
      <x:c r="AS468" s="139" t="n"/>
      <x:c r="AT468" s="139" t="n"/>
      <x:c r="AU468" s="139" t="n"/>
      <x:c r="AV468" s="139" t="n"/>
      <x:c r="AW468" s="139" t="n"/>
      <x:c r="AX468" s="139" t="n"/>
      <x:c r="AY468" s="139" t="n"/>
      <x:c r="AZ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c r="V469" s="139" t="n"/>
      <x:c r="W469" s="139" t="n"/>
      <x:c r="X469" s="139" t="n"/>
      <x:c r="Y469" s="139" t="n"/>
      <x:c r="Z469" s="139" t="n"/>
      <x:c r="AA469" s="139" t="n"/>
      <x:c r="AB469" s="139" t="n"/>
      <x:c r="AC469" s="139" t="n"/>
      <x:c r="AD469" s="139" t="n"/>
      <x:c r="AE469" s="139" t="n"/>
      <x:c r="AF469" s="139" t="n"/>
      <x:c r="AG469" s="139" t="n"/>
      <x:c r="AH469" s="139" t="n"/>
      <x:c r="AI469" s="139" t="n"/>
      <x:c r="AJ469" s="139" t="n"/>
      <x:c r="AK469" s="139" t="n"/>
      <x:c r="AL469" s="139" t="n"/>
      <x:c r="AM469" s="139" t="n"/>
      <x:c r="AN469" s="139" t="n"/>
      <x:c r="AO469" s="139" t="n"/>
      <x:c r="AP469" s="139" t="n"/>
      <x:c r="AQ469" s="139" t="n"/>
      <x:c r="AR469" s="139" t="n"/>
      <x:c r="AS469" s="139" t="n"/>
      <x:c r="AT469" s="139" t="n"/>
      <x:c r="AU469" s="139" t="n"/>
      <x:c r="AV469" s="139" t="n"/>
      <x:c r="AW469" s="139" t="n"/>
      <x:c r="AX469" s="139" t="n"/>
      <x:c r="AY469" s="139" t="n"/>
      <x:c r="AZ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c r="V470" s="139" t="n"/>
      <x:c r="W470" s="139" t="n"/>
      <x:c r="X470" s="139" t="n"/>
      <x:c r="Y470" s="139" t="n"/>
      <x:c r="Z470" s="139" t="n"/>
      <x:c r="AA470" s="139" t="n"/>
      <x:c r="AB470" s="139" t="n"/>
      <x:c r="AC470" s="139" t="n"/>
      <x:c r="AD470" s="139" t="n"/>
      <x:c r="AE470" s="139" t="n"/>
      <x:c r="AF470" s="139" t="n"/>
      <x:c r="AG470" s="139" t="n"/>
      <x:c r="AH470" s="139" t="n"/>
      <x:c r="AI470" s="139" t="n"/>
      <x:c r="AJ470" s="139" t="n"/>
      <x:c r="AK470" s="139" t="n"/>
      <x:c r="AL470" s="139" t="n"/>
      <x:c r="AM470" s="139" t="n"/>
      <x:c r="AN470" s="139" t="n"/>
      <x:c r="AO470" s="139" t="n"/>
      <x:c r="AP470" s="139" t="n"/>
      <x:c r="AQ470" s="139" t="n"/>
      <x:c r="AR470" s="139" t="n"/>
      <x:c r="AS470" s="139" t="n"/>
      <x:c r="AT470" s="139" t="n"/>
      <x:c r="AU470" s="139" t="n"/>
      <x:c r="AV470" s="139" t="n"/>
      <x:c r="AW470" s="139" t="n"/>
      <x:c r="AX470" s="139" t="n"/>
      <x:c r="AY470" s="139" t="n"/>
      <x:c r="AZ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c r="V471" s="139" t="n"/>
      <x:c r="W471" s="139" t="n"/>
      <x:c r="X471" s="139" t="n"/>
      <x:c r="Y471" s="139" t="n"/>
      <x:c r="Z471" s="139" t="n"/>
      <x:c r="AA471" s="139" t="n"/>
      <x:c r="AB471" s="139" t="n"/>
      <x:c r="AC471" s="139" t="n"/>
      <x:c r="AD471" s="139" t="n"/>
      <x:c r="AE471" s="139" t="n"/>
      <x:c r="AF471" s="139" t="n"/>
      <x:c r="AG471" s="139" t="n"/>
      <x:c r="AH471" s="139" t="n"/>
      <x:c r="AI471" s="139" t="n"/>
      <x:c r="AJ471" s="139" t="n"/>
      <x:c r="AK471" s="139" t="n"/>
      <x:c r="AL471" s="139" t="n"/>
      <x:c r="AM471" s="139" t="n"/>
      <x:c r="AN471" s="139" t="n"/>
      <x:c r="AO471" s="139" t="n"/>
      <x:c r="AP471" s="139" t="n"/>
      <x:c r="AQ471" s="139" t="n"/>
      <x:c r="AR471" s="139" t="n"/>
      <x:c r="AS471" s="139" t="n"/>
      <x:c r="AT471" s="139" t="n"/>
      <x:c r="AU471" s="139" t="n"/>
      <x:c r="AV471" s="139" t="n"/>
      <x:c r="AW471" s="139" t="n"/>
      <x:c r="AX471" s="139" t="n"/>
      <x:c r="AY471" s="139" t="n"/>
      <x:c r="AZ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c r="V472" s="139" t="n"/>
      <x:c r="W472" s="139" t="n"/>
      <x:c r="X472" s="139" t="n"/>
      <x:c r="Y472" s="139" t="n"/>
      <x:c r="Z472" s="139" t="n"/>
      <x:c r="AA472" s="139" t="n"/>
      <x:c r="AB472" s="139" t="n"/>
      <x:c r="AC472" s="139" t="n"/>
      <x:c r="AD472" s="139" t="n"/>
      <x:c r="AE472" s="139" t="n"/>
      <x:c r="AF472" s="139" t="n"/>
      <x:c r="AG472" s="139" t="n"/>
      <x:c r="AH472" s="139" t="n"/>
      <x:c r="AI472" s="139" t="n"/>
      <x:c r="AJ472" s="139" t="n"/>
      <x:c r="AK472" s="139" t="n"/>
      <x:c r="AL472" s="139" t="n"/>
      <x:c r="AM472" s="139" t="n"/>
      <x:c r="AN472" s="139" t="n"/>
      <x:c r="AO472" s="139" t="n"/>
      <x:c r="AP472" s="139" t="n"/>
      <x:c r="AQ472" s="139" t="n"/>
      <x:c r="AR472" s="139" t="n"/>
      <x:c r="AS472" s="139" t="n"/>
      <x:c r="AT472" s="139" t="n"/>
      <x:c r="AU472" s="139" t="n"/>
      <x:c r="AV472" s="139" t="n"/>
      <x:c r="AW472" s="139" t="n"/>
      <x:c r="AX472" s="139" t="n"/>
      <x:c r="AY472" s="139" t="n"/>
      <x:c r="AZ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c r="V473" s="139" t="n"/>
      <x:c r="W473" s="139" t="n"/>
      <x:c r="X473" s="139" t="n"/>
      <x:c r="Y473" s="139" t="n"/>
      <x:c r="Z473" s="139" t="n"/>
      <x:c r="AA473" s="139" t="n"/>
      <x:c r="AB473" s="139" t="n"/>
      <x:c r="AC473" s="139" t="n"/>
      <x:c r="AD473" s="139" t="n"/>
      <x:c r="AE473" s="139" t="n"/>
      <x:c r="AF473" s="139" t="n"/>
      <x:c r="AG473" s="139" t="n"/>
      <x:c r="AH473" s="139" t="n"/>
      <x:c r="AI473" s="139" t="n"/>
      <x:c r="AJ473" s="139" t="n"/>
      <x:c r="AK473" s="139" t="n"/>
      <x:c r="AL473" s="139" t="n"/>
      <x:c r="AM473" s="139" t="n"/>
      <x:c r="AN473" s="139" t="n"/>
      <x:c r="AO473" s="139" t="n"/>
      <x:c r="AP473" s="139" t="n"/>
      <x:c r="AQ473" s="139" t="n"/>
      <x:c r="AR473" s="139" t="n"/>
      <x:c r="AS473" s="139" t="n"/>
      <x:c r="AT473" s="139" t="n"/>
      <x:c r="AU473" s="139" t="n"/>
      <x:c r="AV473" s="139" t="n"/>
      <x:c r="AW473" s="139" t="n"/>
      <x:c r="AX473" s="139" t="n"/>
      <x:c r="AY473" s="139" t="n"/>
      <x:c r="AZ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c r="V474" s="139" t="n"/>
      <x:c r="W474" s="139" t="n"/>
      <x:c r="X474" s="139" t="n"/>
      <x:c r="Y474" s="139" t="n"/>
      <x:c r="Z474" s="139" t="n"/>
      <x:c r="AA474" s="139" t="n"/>
      <x:c r="AB474" s="139" t="n"/>
      <x:c r="AC474" s="139" t="n"/>
      <x:c r="AD474" s="139" t="n"/>
      <x:c r="AE474" s="139" t="n"/>
      <x:c r="AF474" s="139" t="n"/>
      <x:c r="AG474" s="139" t="n"/>
      <x:c r="AH474" s="139" t="n"/>
      <x:c r="AI474" s="139" t="n"/>
      <x:c r="AJ474" s="139" t="n"/>
      <x:c r="AK474" s="139" t="n"/>
      <x:c r="AL474" s="139" t="n"/>
      <x:c r="AM474" s="139" t="n"/>
      <x:c r="AN474" s="139" t="n"/>
      <x:c r="AO474" s="139" t="n"/>
      <x:c r="AP474" s="139" t="n"/>
      <x:c r="AQ474" s="139" t="n"/>
      <x:c r="AR474" s="139" t="n"/>
      <x:c r="AS474" s="139" t="n"/>
      <x:c r="AT474" s="139" t="n"/>
      <x:c r="AU474" s="139" t="n"/>
      <x:c r="AV474" s="139" t="n"/>
      <x:c r="AW474" s="139" t="n"/>
      <x:c r="AX474" s="139" t="n"/>
      <x:c r="AY474" s="139" t="n"/>
      <x:c r="AZ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c r="V475" s="139" t="n"/>
      <x:c r="W475" s="139" t="n"/>
      <x:c r="X475" s="139" t="n"/>
      <x:c r="Y475" s="139" t="n"/>
      <x:c r="Z475" s="139" t="n"/>
      <x:c r="AA475" s="139" t="n"/>
      <x:c r="AB475" s="139" t="n"/>
      <x:c r="AC475" s="139" t="n"/>
      <x:c r="AD475" s="139" t="n"/>
      <x:c r="AE475" s="139" t="n"/>
      <x:c r="AF475" s="139" t="n"/>
      <x:c r="AG475" s="139" t="n"/>
      <x:c r="AH475" s="139" t="n"/>
      <x:c r="AI475" s="139" t="n"/>
      <x:c r="AJ475" s="139" t="n"/>
      <x:c r="AK475" s="139" t="n"/>
      <x:c r="AL475" s="139" t="n"/>
      <x:c r="AM475" s="139" t="n"/>
      <x:c r="AN475" s="139" t="n"/>
      <x:c r="AO475" s="139" t="n"/>
      <x:c r="AP475" s="139" t="n"/>
      <x:c r="AQ475" s="139" t="n"/>
      <x:c r="AR475" s="139" t="n"/>
      <x:c r="AS475" s="139" t="n"/>
      <x:c r="AT475" s="139" t="n"/>
      <x:c r="AU475" s="139" t="n"/>
      <x:c r="AV475" s="139" t="n"/>
      <x:c r="AW475" s="139" t="n"/>
      <x:c r="AX475" s="139" t="n"/>
      <x:c r="AY475" s="139" t="n"/>
      <x:c r="AZ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c r="V476" s="139" t="n"/>
      <x:c r="W476" s="139" t="n"/>
      <x:c r="X476" s="139" t="n"/>
      <x:c r="Y476" s="139" t="n"/>
      <x:c r="Z476" s="139" t="n"/>
      <x:c r="AA476" s="139" t="n"/>
      <x:c r="AB476" s="139" t="n"/>
      <x:c r="AC476" s="139" t="n"/>
      <x:c r="AD476" s="139" t="n"/>
      <x:c r="AE476" s="139" t="n"/>
      <x:c r="AF476" s="139" t="n"/>
      <x:c r="AG476" s="139" t="n"/>
      <x:c r="AH476" s="139" t="n"/>
      <x:c r="AI476" s="139" t="n"/>
      <x:c r="AJ476" s="139" t="n"/>
      <x:c r="AK476" s="139" t="n"/>
      <x:c r="AL476" s="139" t="n"/>
      <x:c r="AM476" s="139" t="n"/>
      <x:c r="AN476" s="139" t="n"/>
      <x:c r="AO476" s="139" t="n"/>
      <x:c r="AP476" s="139" t="n"/>
      <x:c r="AQ476" s="139" t="n"/>
      <x:c r="AR476" s="139" t="n"/>
      <x:c r="AS476" s="139" t="n"/>
      <x:c r="AT476" s="139" t="n"/>
      <x:c r="AU476" s="139" t="n"/>
      <x:c r="AV476" s="139" t="n"/>
      <x:c r="AW476" s="139" t="n"/>
      <x:c r="AX476" s="139" t="n"/>
      <x:c r="AY476" s="139" t="n"/>
      <x:c r="AZ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c r="V477" s="139" t="n"/>
      <x:c r="W477" s="139" t="n"/>
      <x:c r="X477" s="139" t="n"/>
      <x:c r="Y477" s="139" t="n"/>
      <x:c r="Z477" s="139" t="n"/>
      <x:c r="AA477" s="139" t="n"/>
      <x:c r="AB477" s="139" t="n"/>
      <x:c r="AC477" s="139" t="n"/>
      <x:c r="AD477" s="139" t="n"/>
      <x:c r="AE477" s="139" t="n"/>
      <x:c r="AF477" s="139" t="n"/>
      <x:c r="AG477" s="139" t="n"/>
      <x:c r="AH477" s="139" t="n"/>
      <x:c r="AI477" s="139" t="n"/>
      <x:c r="AJ477" s="139" t="n"/>
      <x:c r="AK477" s="139" t="n"/>
      <x:c r="AL477" s="139" t="n"/>
      <x:c r="AM477" s="139" t="n"/>
      <x:c r="AN477" s="139" t="n"/>
      <x:c r="AO477" s="139" t="n"/>
      <x:c r="AP477" s="139" t="n"/>
      <x:c r="AQ477" s="139" t="n"/>
      <x:c r="AR477" s="139" t="n"/>
      <x:c r="AS477" s="139" t="n"/>
      <x:c r="AT477" s="139" t="n"/>
      <x:c r="AU477" s="139" t="n"/>
      <x:c r="AV477" s="139" t="n"/>
      <x:c r="AW477" s="139" t="n"/>
      <x:c r="AX477" s="139" t="n"/>
      <x:c r="AY477" s="139" t="n"/>
      <x:c r="AZ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c r="V478" s="139" t="n"/>
      <x:c r="W478" s="139" t="n"/>
      <x:c r="X478" s="139" t="n"/>
      <x:c r="Y478" s="139" t="n"/>
      <x:c r="Z478" s="139" t="n"/>
      <x:c r="AA478" s="139" t="n"/>
      <x:c r="AB478" s="139" t="n"/>
      <x:c r="AC478" s="139" t="n"/>
      <x:c r="AD478" s="139" t="n"/>
      <x:c r="AE478" s="139" t="n"/>
      <x:c r="AF478" s="139" t="n"/>
      <x:c r="AG478" s="139" t="n"/>
      <x:c r="AH478" s="139" t="n"/>
      <x:c r="AI478" s="139" t="n"/>
      <x:c r="AJ478" s="139" t="n"/>
      <x:c r="AK478" s="139" t="n"/>
      <x:c r="AL478" s="139" t="n"/>
      <x:c r="AM478" s="139" t="n"/>
      <x:c r="AN478" s="139" t="n"/>
      <x:c r="AO478" s="139" t="n"/>
      <x:c r="AP478" s="139" t="n"/>
      <x:c r="AQ478" s="139" t="n"/>
      <x:c r="AR478" s="139" t="n"/>
      <x:c r="AS478" s="139" t="n"/>
      <x:c r="AT478" s="139" t="n"/>
      <x:c r="AU478" s="139" t="n"/>
      <x:c r="AV478" s="139" t="n"/>
      <x:c r="AW478" s="139" t="n"/>
      <x:c r="AX478" s="139" t="n"/>
      <x:c r="AY478" s="139" t="n"/>
      <x:c r="AZ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c r="V479" s="139" t="n"/>
      <x:c r="W479" s="139" t="n"/>
      <x:c r="X479" s="139" t="n"/>
      <x:c r="Y479" s="139" t="n"/>
      <x:c r="Z479" s="139" t="n"/>
      <x:c r="AA479" s="139" t="n"/>
      <x:c r="AB479" s="139" t="n"/>
      <x:c r="AC479" s="139" t="n"/>
      <x:c r="AD479" s="139" t="n"/>
      <x:c r="AE479" s="139" t="n"/>
      <x:c r="AF479" s="139" t="n"/>
      <x:c r="AG479" s="139" t="n"/>
      <x:c r="AH479" s="139" t="n"/>
      <x:c r="AI479" s="139" t="n"/>
      <x:c r="AJ479" s="139" t="n"/>
      <x:c r="AK479" s="139" t="n"/>
      <x:c r="AL479" s="139" t="n"/>
      <x:c r="AM479" s="139" t="n"/>
      <x:c r="AN479" s="139" t="n"/>
      <x:c r="AO479" s="139" t="n"/>
      <x:c r="AP479" s="139" t="n"/>
      <x:c r="AQ479" s="139" t="n"/>
      <x:c r="AR479" s="139" t="n"/>
      <x:c r="AS479" s="139" t="n"/>
      <x:c r="AT479" s="139" t="n"/>
      <x:c r="AU479" s="139" t="n"/>
      <x:c r="AV479" s="139" t="n"/>
      <x:c r="AW479" s="139" t="n"/>
      <x:c r="AX479" s="139" t="n"/>
      <x:c r="AY479" s="139" t="n"/>
      <x:c r="AZ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c r="V480" s="139" t="n"/>
      <x:c r="W480" s="139" t="n"/>
      <x:c r="X480" s="139" t="n"/>
      <x:c r="Y480" s="139" t="n"/>
      <x:c r="Z480" s="139" t="n"/>
      <x:c r="AA480" s="139" t="n"/>
      <x:c r="AB480" s="139" t="n"/>
      <x:c r="AC480" s="139" t="n"/>
      <x:c r="AD480" s="139" t="n"/>
      <x:c r="AE480" s="139" t="n"/>
      <x:c r="AF480" s="139" t="n"/>
      <x:c r="AG480" s="139" t="n"/>
      <x:c r="AH480" s="139" t="n"/>
      <x:c r="AI480" s="139" t="n"/>
      <x:c r="AJ480" s="139" t="n"/>
      <x:c r="AK480" s="139" t="n"/>
      <x:c r="AL480" s="139" t="n"/>
      <x:c r="AM480" s="139" t="n"/>
      <x:c r="AN480" s="139" t="n"/>
      <x:c r="AO480" s="139" t="n"/>
      <x:c r="AP480" s="139" t="n"/>
      <x:c r="AQ480" s="139" t="n"/>
      <x:c r="AR480" s="139" t="n"/>
      <x:c r="AS480" s="139" t="n"/>
      <x:c r="AT480" s="139" t="n"/>
      <x:c r="AU480" s="139" t="n"/>
      <x:c r="AV480" s="139" t="n"/>
      <x:c r="AW480" s="139" t="n"/>
      <x:c r="AX480" s="139" t="n"/>
      <x:c r="AY480" s="139" t="n"/>
      <x:c r="AZ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c r="V481" s="139" t="n"/>
      <x:c r="W481" s="139" t="n"/>
      <x:c r="X481" s="139" t="n"/>
      <x:c r="Y481" s="139" t="n"/>
      <x:c r="Z481" s="139" t="n"/>
      <x:c r="AA481" s="139" t="n"/>
      <x:c r="AB481" s="139" t="n"/>
      <x:c r="AC481" s="139" t="n"/>
      <x:c r="AD481" s="139" t="n"/>
      <x:c r="AE481" s="139" t="n"/>
      <x:c r="AF481" s="139" t="n"/>
      <x:c r="AG481" s="139" t="n"/>
      <x:c r="AH481" s="139" t="n"/>
      <x:c r="AI481" s="139" t="n"/>
      <x:c r="AJ481" s="139" t="n"/>
      <x:c r="AK481" s="139" t="n"/>
      <x:c r="AL481" s="139" t="n"/>
      <x:c r="AM481" s="139" t="n"/>
      <x:c r="AN481" s="139" t="n"/>
      <x:c r="AO481" s="139" t="n"/>
      <x:c r="AP481" s="139" t="n"/>
      <x:c r="AQ481" s="139" t="n"/>
      <x:c r="AR481" s="139" t="n"/>
      <x:c r="AS481" s="139" t="n"/>
      <x:c r="AT481" s="139" t="n"/>
      <x:c r="AU481" s="139" t="n"/>
      <x:c r="AV481" s="139" t="n"/>
      <x:c r="AW481" s="139" t="n"/>
      <x:c r="AX481" s="139" t="n"/>
      <x:c r="AY481" s="139" t="n"/>
      <x:c r="AZ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c r="V482" s="139" t="n"/>
      <x:c r="W482" s="139" t="n"/>
      <x:c r="X482" s="139" t="n"/>
      <x:c r="Y482" s="139" t="n"/>
      <x:c r="Z482" s="139" t="n"/>
      <x:c r="AA482" s="139" t="n"/>
      <x:c r="AB482" s="139" t="n"/>
      <x:c r="AC482" s="139" t="n"/>
      <x:c r="AD482" s="139" t="n"/>
      <x:c r="AE482" s="139" t="n"/>
      <x:c r="AF482" s="139" t="n"/>
      <x:c r="AG482" s="139" t="n"/>
      <x:c r="AH482" s="139" t="n"/>
      <x:c r="AI482" s="139" t="n"/>
      <x:c r="AJ482" s="139" t="n"/>
      <x:c r="AK482" s="139" t="n"/>
      <x:c r="AL482" s="139" t="n"/>
      <x:c r="AM482" s="139" t="n"/>
      <x:c r="AN482" s="139" t="n"/>
      <x:c r="AO482" s="139" t="n"/>
      <x:c r="AP482" s="139" t="n"/>
      <x:c r="AQ482" s="139" t="n"/>
      <x:c r="AR482" s="139" t="n"/>
      <x:c r="AS482" s="139" t="n"/>
      <x:c r="AT482" s="139" t="n"/>
      <x:c r="AU482" s="139" t="n"/>
      <x:c r="AV482" s="139" t="n"/>
      <x:c r="AW482" s="139" t="n"/>
      <x:c r="AX482" s="139" t="n"/>
      <x:c r="AY482" s="139" t="n"/>
      <x:c r="AZ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c r="V483" s="139" t="n"/>
      <x:c r="W483" s="139" t="n"/>
      <x:c r="X483" s="139" t="n"/>
      <x:c r="Y483" s="139" t="n"/>
      <x:c r="Z483" s="139" t="n"/>
      <x:c r="AA483" s="139" t="n"/>
      <x:c r="AB483" s="139" t="n"/>
      <x:c r="AC483" s="139" t="n"/>
      <x:c r="AD483" s="139" t="n"/>
      <x:c r="AE483" s="139" t="n"/>
      <x:c r="AF483" s="139" t="n"/>
      <x:c r="AG483" s="139" t="n"/>
      <x:c r="AH483" s="139" t="n"/>
      <x:c r="AI483" s="139" t="n"/>
      <x:c r="AJ483" s="139" t="n"/>
      <x:c r="AK483" s="139" t="n"/>
      <x:c r="AL483" s="139" t="n"/>
      <x:c r="AM483" s="139" t="n"/>
      <x:c r="AN483" s="139" t="n"/>
      <x:c r="AO483" s="139" t="n"/>
      <x:c r="AP483" s="139" t="n"/>
      <x:c r="AQ483" s="139" t="n"/>
      <x:c r="AR483" s="139" t="n"/>
      <x:c r="AS483" s="139" t="n"/>
      <x:c r="AT483" s="139" t="n"/>
      <x:c r="AU483" s="139" t="n"/>
      <x:c r="AV483" s="139" t="n"/>
      <x:c r="AW483" s="139" t="n"/>
      <x:c r="AX483" s="139" t="n"/>
      <x:c r="AY483" s="139" t="n"/>
      <x:c r="AZ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c r="V484" s="139" t="n"/>
      <x:c r="W484" s="139" t="n"/>
      <x:c r="X484" s="139" t="n"/>
      <x:c r="Y484" s="139" t="n"/>
      <x:c r="Z484" s="139" t="n"/>
      <x:c r="AA484" s="139" t="n"/>
      <x:c r="AB484" s="139" t="n"/>
      <x:c r="AC484" s="139" t="n"/>
      <x:c r="AD484" s="139" t="n"/>
      <x:c r="AE484" s="139" t="n"/>
      <x:c r="AF484" s="139" t="n"/>
      <x:c r="AG484" s="139" t="n"/>
      <x:c r="AH484" s="139" t="n"/>
      <x:c r="AI484" s="139" t="n"/>
      <x:c r="AJ484" s="139" t="n"/>
      <x:c r="AK484" s="139" t="n"/>
      <x:c r="AL484" s="139" t="n"/>
      <x:c r="AM484" s="139" t="n"/>
      <x:c r="AN484" s="139" t="n"/>
      <x:c r="AO484" s="139" t="n"/>
      <x:c r="AP484" s="139" t="n"/>
      <x:c r="AQ484" s="139" t="n"/>
      <x:c r="AR484" s="139" t="n"/>
      <x:c r="AS484" s="139" t="n"/>
      <x:c r="AT484" s="139" t="n"/>
      <x:c r="AU484" s="139" t="n"/>
      <x:c r="AV484" s="139" t="n"/>
      <x:c r="AW484" s="139" t="n"/>
      <x:c r="AX484" s="139" t="n"/>
      <x:c r="AY484" s="139" t="n"/>
      <x:c r="AZ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c r="V485" s="139" t="n"/>
      <x:c r="W485" s="139" t="n"/>
      <x:c r="X485" s="139" t="n"/>
      <x:c r="Y485" s="139" t="n"/>
      <x:c r="Z485" s="139" t="n"/>
      <x:c r="AA485" s="139" t="n"/>
      <x:c r="AB485" s="139" t="n"/>
      <x:c r="AC485" s="139" t="n"/>
      <x:c r="AD485" s="139" t="n"/>
      <x:c r="AE485" s="139" t="n"/>
      <x:c r="AF485" s="139" t="n"/>
      <x:c r="AG485" s="139" t="n"/>
      <x:c r="AH485" s="139" t="n"/>
      <x:c r="AI485" s="139" t="n"/>
      <x:c r="AJ485" s="139" t="n"/>
      <x:c r="AK485" s="139" t="n"/>
      <x:c r="AL485" s="139" t="n"/>
      <x:c r="AM485" s="139" t="n"/>
      <x:c r="AN485" s="139" t="n"/>
      <x:c r="AO485" s="139" t="n"/>
      <x:c r="AP485" s="139" t="n"/>
      <x:c r="AQ485" s="139" t="n"/>
      <x:c r="AR485" s="139" t="n"/>
      <x:c r="AS485" s="139" t="n"/>
      <x:c r="AT485" s="139" t="n"/>
      <x:c r="AU485" s="139" t="n"/>
      <x:c r="AV485" s="139" t="n"/>
      <x:c r="AW485" s="139" t="n"/>
      <x:c r="AX485" s="139" t="n"/>
      <x:c r="AY485" s="139" t="n"/>
      <x:c r="AZ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c r="V486" s="139" t="n"/>
      <x:c r="W486" s="139" t="n"/>
      <x:c r="X486" s="139" t="n"/>
      <x:c r="Y486" s="139" t="n"/>
      <x:c r="Z486" s="139" t="n"/>
      <x:c r="AA486" s="139" t="n"/>
      <x:c r="AB486" s="139" t="n"/>
      <x:c r="AC486" s="139" t="n"/>
      <x:c r="AD486" s="139" t="n"/>
      <x:c r="AE486" s="139" t="n"/>
      <x:c r="AF486" s="139" t="n"/>
      <x:c r="AG486" s="139" t="n"/>
      <x:c r="AH486" s="139" t="n"/>
      <x:c r="AI486" s="139" t="n"/>
      <x:c r="AJ486" s="139" t="n"/>
      <x:c r="AK486" s="139" t="n"/>
      <x:c r="AL486" s="139" t="n"/>
      <x:c r="AM486" s="139" t="n"/>
      <x:c r="AN486" s="139" t="n"/>
      <x:c r="AO486" s="139" t="n"/>
      <x:c r="AP486" s="139" t="n"/>
      <x:c r="AQ486" s="139" t="n"/>
      <x:c r="AR486" s="139" t="n"/>
      <x:c r="AS486" s="139" t="n"/>
      <x:c r="AT486" s="139" t="n"/>
      <x:c r="AU486" s="139" t="n"/>
      <x:c r="AV486" s="139" t="n"/>
      <x:c r="AW486" s="139" t="n"/>
      <x:c r="AX486" s="139" t="n"/>
      <x:c r="AY486" s="139" t="n"/>
      <x:c r="AZ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c r="V487" s="139" t="n"/>
      <x:c r="W487" s="139" t="n"/>
      <x:c r="X487" s="139" t="n"/>
      <x:c r="Y487" s="139" t="n"/>
      <x:c r="Z487" s="139" t="n"/>
      <x:c r="AA487" s="139" t="n"/>
      <x:c r="AB487" s="139" t="n"/>
      <x:c r="AC487" s="139" t="n"/>
      <x:c r="AD487" s="139" t="n"/>
      <x:c r="AE487" s="139" t="n"/>
      <x:c r="AF487" s="139" t="n"/>
      <x:c r="AG487" s="139" t="n"/>
      <x:c r="AH487" s="139" t="n"/>
      <x:c r="AI487" s="139" t="n"/>
      <x:c r="AJ487" s="139" t="n"/>
      <x:c r="AK487" s="139" t="n"/>
      <x:c r="AL487" s="139" t="n"/>
      <x:c r="AM487" s="139" t="n"/>
      <x:c r="AN487" s="139" t="n"/>
      <x:c r="AO487" s="139" t="n"/>
      <x:c r="AP487" s="139" t="n"/>
      <x:c r="AQ487" s="139" t="n"/>
      <x:c r="AR487" s="139" t="n"/>
      <x:c r="AS487" s="139" t="n"/>
      <x:c r="AT487" s="139" t="n"/>
      <x:c r="AU487" s="139" t="n"/>
      <x:c r="AV487" s="139" t="n"/>
      <x:c r="AW487" s="139" t="n"/>
      <x:c r="AX487" s="139" t="n"/>
      <x:c r="AY487" s="139" t="n"/>
      <x:c r="AZ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c r="V488" s="139" t="n"/>
      <x:c r="W488" s="139" t="n"/>
      <x:c r="X488" s="139" t="n"/>
      <x:c r="Y488" s="139" t="n"/>
      <x:c r="Z488" s="139" t="n"/>
      <x:c r="AA488" s="139" t="n"/>
      <x:c r="AB488" s="139" t="n"/>
      <x:c r="AC488" s="139" t="n"/>
      <x:c r="AD488" s="139" t="n"/>
      <x:c r="AE488" s="139" t="n"/>
      <x:c r="AF488" s="139" t="n"/>
      <x:c r="AG488" s="139" t="n"/>
      <x:c r="AH488" s="139" t="n"/>
      <x:c r="AI488" s="139" t="n"/>
      <x:c r="AJ488" s="139" t="n"/>
      <x:c r="AK488" s="139" t="n"/>
      <x:c r="AL488" s="139" t="n"/>
      <x:c r="AM488" s="139" t="n"/>
      <x:c r="AN488" s="139" t="n"/>
      <x:c r="AO488" s="139" t="n"/>
      <x:c r="AP488" s="139" t="n"/>
      <x:c r="AQ488" s="139" t="n"/>
      <x:c r="AR488" s="139" t="n"/>
      <x:c r="AS488" s="139" t="n"/>
      <x:c r="AT488" s="139" t="n"/>
      <x:c r="AU488" s="139" t="n"/>
      <x:c r="AV488" s="139" t="n"/>
      <x:c r="AW488" s="139" t="n"/>
      <x:c r="AX488" s="139" t="n"/>
      <x:c r="AY488" s="139" t="n"/>
      <x:c r="AZ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c r="V489" s="139" t="n"/>
      <x:c r="W489" s="139" t="n"/>
      <x:c r="X489" s="139" t="n"/>
      <x:c r="Y489" s="139" t="n"/>
      <x:c r="Z489" s="139" t="n"/>
      <x:c r="AA489" s="139" t="n"/>
      <x:c r="AB489" s="139" t="n"/>
      <x:c r="AC489" s="139" t="n"/>
      <x:c r="AD489" s="139" t="n"/>
      <x:c r="AE489" s="139" t="n"/>
      <x:c r="AF489" s="139" t="n"/>
      <x:c r="AG489" s="139" t="n"/>
      <x:c r="AH489" s="139" t="n"/>
      <x:c r="AI489" s="139" t="n"/>
      <x:c r="AJ489" s="139" t="n"/>
      <x:c r="AK489" s="139" t="n"/>
      <x:c r="AL489" s="139" t="n"/>
      <x:c r="AM489" s="139" t="n"/>
      <x:c r="AN489" s="139" t="n"/>
      <x:c r="AO489" s="139" t="n"/>
      <x:c r="AP489" s="139" t="n"/>
      <x:c r="AQ489" s="139" t="n"/>
      <x:c r="AR489" s="139" t="n"/>
      <x:c r="AS489" s="139" t="n"/>
      <x:c r="AT489" s="139" t="n"/>
      <x:c r="AU489" s="139" t="n"/>
      <x:c r="AV489" s="139" t="n"/>
      <x:c r="AW489" s="139" t="n"/>
      <x:c r="AX489" s="139" t="n"/>
      <x:c r="AY489" s="139" t="n"/>
      <x:c r="AZ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c r="V490" s="139" t="n"/>
      <x:c r="W490" s="139" t="n"/>
      <x:c r="X490" s="139" t="n"/>
      <x:c r="Y490" s="139" t="n"/>
      <x:c r="Z490" s="139" t="n"/>
      <x:c r="AA490" s="139" t="n"/>
      <x:c r="AB490" s="139" t="n"/>
      <x:c r="AC490" s="139" t="n"/>
      <x:c r="AD490" s="139" t="n"/>
      <x:c r="AE490" s="139" t="n"/>
      <x:c r="AF490" s="139" t="n"/>
      <x:c r="AG490" s="139" t="n"/>
      <x:c r="AH490" s="139" t="n"/>
      <x:c r="AI490" s="139" t="n"/>
      <x:c r="AJ490" s="139" t="n"/>
      <x:c r="AK490" s="139" t="n"/>
      <x:c r="AL490" s="139" t="n"/>
      <x:c r="AM490" s="139" t="n"/>
      <x:c r="AN490" s="139" t="n"/>
      <x:c r="AO490" s="139" t="n"/>
      <x:c r="AP490" s="139" t="n"/>
      <x:c r="AQ490" s="139" t="n"/>
      <x:c r="AR490" s="139" t="n"/>
      <x:c r="AS490" s="139" t="n"/>
      <x:c r="AT490" s="139" t="n"/>
      <x:c r="AU490" s="139" t="n"/>
      <x:c r="AV490" s="139" t="n"/>
      <x:c r="AW490" s="139" t="n"/>
      <x:c r="AX490" s="139" t="n"/>
      <x:c r="AY490" s="139" t="n"/>
      <x:c r="AZ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c r="V491" s="139" t="n"/>
      <x:c r="W491" s="139" t="n"/>
      <x:c r="X491" s="139" t="n"/>
      <x:c r="Y491" s="139" t="n"/>
      <x:c r="Z491" s="139" t="n"/>
      <x:c r="AA491" s="139" t="n"/>
      <x:c r="AB491" s="139" t="n"/>
      <x:c r="AC491" s="139" t="n"/>
      <x:c r="AD491" s="139" t="n"/>
      <x:c r="AE491" s="139" t="n"/>
      <x:c r="AF491" s="139" t="n"/>
      <x:c r="AG491" s="139" t="n"/>
      <x:c r="AH491" s="139" t="n"/>
      <x:c r="AI491" s="139" t="n"/>
      <x:c r="AJ491" s="139" t="n"/>
      <x:c r="AK491" s="139" t="n"/>
      <x:c r="AL491" s="139" t="n"/>
      <x:c r="AM491" s="139" t="n"/>
      <x:c r="AN491" s="139" t="n"/>
      <x:c r="AO491" s="139" t="n"/>
      <x:c r="AP491" s="139" t="n"/>
      <x:c r="AQ491" s="139" t="n"/>
      <x:c r="AR491" s="139" t="n"/>
      <x:c r="AS491" s="139" t="n"/>
      <x:c r="AT491" s="139" t="n"/>
      <x:c r="AU491" s="139" t="n"/>
      <x:c r="AV491" s="139" t="n"/>
      <x:c r="AW491" s="139" t="n"/>
      <x:c r="AX491" s="139" t="n"/>
      <x:c r="AY491" s="139" t="n"/>
      <x:c r="AZ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c r="V492" s="139" t="n"/>
      <x:c r="W492" s="139" t="n"/>
      <x:c r="X492" s="139" t="n"/>
      <x:c r="Y492" s="139" t="n"/>
      <x:c r="Z492" s="139" t="n"/>
      <x:c r="AA492" s="139" t="n"/>
      <x:c r="AB492" s="139" t="n"/>
      <x:c r="AC492" s="139" t="n"/>
      <x:c r="AD492" s="139" t="n"/>
      <x:c r="AE492" s="139" t="n"/>
      <x:c r="AF492" s="139" t="n"/>
      <x:c r="AG492" s="139" t="n"/>
      <x:c r="AH492" s="139" t="n"/>
      <x:c r="AI492" s="139" t="n"/>
      <x:c r="AJ492" s="139" t="n"/>
      <x:c r="AK492" s="139" t="n"/>
      <x:c r="AL492" s="139" t="n"/>
      <x:c r="AM492" s="139" t="n"/>
      <x:c r="AN492" s="139" t="n"/>
      <x:c r="AO492" s="139" t="n"/>
      <x:c r="AP492" s="139" t="n"/>
      <x:c r="AQ492" s="139" t="n"/>
      <x:c r="AR492" s="139" t="n"/>
      <x:c r="AS492" s="139" t="n"/>
      <x:c r="AT492" s="139" t="n"/>
      <x:c r="AU492" s="139" t="n"/>
      <x:c r="AV492" s="139" t="n"/>
      <x:c r="AW492" s="139" t="n"/>
      <x:c r="AX492" s="139" t="n"/>
      <x:c r="AY492" s="139" t="n"/>
      <x:c r="AZ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c r="V493" s="139" t="n"/>
      <x:c r="W493" s="139" t="n"/>
      <x:c r="X493" s="139" t="n"/>
      <x:c r="Y493" s="139" t="n"/>
      <x:c r="Z493" s="139" t="n"/>
      <x:c r="AA493" s="139" t="n"/>
      <x:c r="AB493" s="139" t="n"/>
      <x:c r="AC493" s="139" t="n"/>
      <x:c r="AD493" s="139" t="n"/>
      <x:c r="AE493" s="139" t="n"/>
      <x:c r="AF493" s="139" t="n"/>
      <x:c r="AG493" s="139" t="n"/>
      <x:c r="AH493" s="139" t="n"/>
      <x:c r="AI493" s="139" t="n"/>
      <x:c r="AJ493" s="139" t="n"/>
      <x:c r="AK493" s="139" t="n"/>
      <x:c r="AL493" s="139" t="n"/>
      <x:c r="AM493" s="139" t="n"/>
      <x:c r="AN493" s="139" t="n"/>
      <x:c r="AO493" s="139" t="n"/>
      <x:c r="AP493" s="139" t="n"/>
      <x:c r="AQ493" s="139" t="n"/>
      <x:c r="AR493" s="139" t="n"/>
      <x:c r="AS493" s="139" t="n"/>
      <x:c r="AT493" s="139" t="n"/>
      <x:c r="AU493" s="139" t="n"/>
      <x:c r="AV493" s="139" t="n"/>
      <x:c r="AW493" s="139" t="n"/>
      <x:c r="AX493" s="139" t="n"/>
      <x:c r="AY493" s="139" t="n"/>
      <x:c r="AZ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c r="V494" s="139" t="n"/>
      <x:c r="W494" s="139" t="n"/>
      <x:c r="X494" s="139" t="n"/>
      <x:c r="Y494" s="139" t="n"/>
      <x:c r="Z494" s="139" t="n"/>
      <x:c r="AA494" s="139" t="n"/>
      <x:c r="AB494" s="139" t="n"/>
      <x:c r="AC494" s="139" t="n"/>
      <x:c r="AD494" s="139" t="n"/>
      <x:c r="AE494" s="139" t="n"/>
      <x:c r="AF494" s="139" t="n"/>
      <x:c r="AG494" s="139" t="n"/>
      <x:c r="AH494" s="139" t="n"/>
      <x:c r="AI494" s="139" t="n"/>
      <x:c r="AJ494" s="139" t="n"/>
      <x:c r="AK494" s="139" t="n"/>
      <x:c r="AL494" s="139" t="n"/>
      <x:c r="AM494" s="139" t="n"/>
      <x:c r="AN494" s="139" t="n"/>
      <x:c r="AO494" s="139" t="n"/>
      <x:c r="AP494" s="139" t="n"/>
      <x:c r="AQ494" s="139" t="n"/>
      <x:c r="AR494" s="139" t="n"/>
      <x:c r="AS494" s="139" t="n"/>
      <x:c r="AT494" s="139" t="n"/>
      <x:c r="AU494" s="139" t="n"/>
      <x:c r="AV494" s="139" t="n"/>
      <x:c r="AW494" s="139" t="n"/>
      <x:c r="AX494" s="139" t="n"/>
      <x:c r="AY494" s="139" t="n"/>
      <x:c r="AZ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c r="V495" s="139" t="n"/>
      <x:c r="W495" s="139" t="n"/>
      <x:c r="X495" s="139" t="n"/>
      <x:c r="Y495" s="139" t="n"/>
      <x:c r="Z495" s="139" t="n"/>
      <x:c r="AA495" s="139" t="n"/>
      <x:c r="AB495" s="139" t="n"/>
      <x:c r="AC495" s="139" t="n"/>
      <x:c r="AD495" s="139" t="n"/>
      <x:c r="AE495" s="139" t="n"/>
      <x:c r="AF495" s="139" t="n"/>
      <x:c r="AG495" s="139" t="n"/>
      <x:c r="AH495" s="139" t="n"/>
      <x:c r="AI495" s="139" t="n"/>
      <x:c r="AJ495" s="139" t="n"/>
      <x:c r="AK495" s="139" t="n"/>
      <x:c r="AL495" s="139" t="n"/>
      <x:c r="AM495" s="139" t="n"/>
      <x:c r="AN495" s="139" t="n"/>
      <x:c r="AO495" s="139" t="n"/>
      <x:c r="AP495" s="139" t="n"/>
      <x:c r="AQ495" s="139" t="n"/>
      <x:c r="AR495" s="139" t="n"/>
      <x:c r="AS495" s="139" t="n"/>
      <x:c r="AT495" s="139" t="n"/>
      <x:c r="AU495" s="139" t="n"/>
      <x:c r="AV495" s="139" t="n"/>
      <x:c r="AW495" s="139" t="n"/>
      <x:c r="AX495" s="139" t="n"/>
      <x:c r="AY495" s="139" t="n"/>
      <x:c r="AZ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c r="V496" s="139" t="n"/>
      <x:c r="W496" s="139" t="n"/>
      <x:c r="X496" s="139" t="n"/>
      <x:c r="Y496" s="139" t="n"/>
      <x:c r="Z496" s="139" t="n"/>
      <x:c r="AA496" s="139" t="n"/>
      <x:c r="AB496" s="139" t="n"/>
      <x:c r="AC496" s="139" t="n"/>
      <x:c r="AD496" s="139" t="n"/>
      <x:c r="AE496" s="139" t="n"/>
      <x:c r="AF496" s="139" t="n"/>
      <x:c r="AG496" s="139" t="n"/>
      <x:c r="AH496" s="139" t="n"/>
      <x:c r="AI496" s="139" t="n"/>
      <x:c r="AJ496" s="139" t="n"/>
      <x:c r="AK496" s="139" t="n"/>
      <x:c r="AL496" s="139" t="n"/>
      <x:c r="AM496" s="139" t="n"/>
      <x:c r="AN496" s="139" t="n"/>
      <x:c r="AO496" s="139" t="n"/>
      <x:c r="AP496" s="139" t="n"/>
      <x:c r="AQ496" s="139" t="n"/>
      <x:c r="AR496" s="139" t="n"/>
      <x:c r="AS496" s="139" t="n"/>
      <x:c r="AT496" s="139" t="n"/>
      <x:c r="AU496" s="139" t="n"/>
      <x:c r="AV496" s="139" t="n"/>
      <x:c r="AW496" s="139" t="n"/>
      <x:c r="AX496" s="139" t="n"/>
      <x:c r="AY496" s="139" t="n"/>
      <x:c r="AZ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c r="V497" s="139" t="n"/>
      <x:c r="W497" s="139" t="n"/>
      <x:c r="X497" s="139" t="n"/>
      <x:c r="Y497" s="139" t="n"/>
      <x:c r="Z497" s="139" t="n"/>
      <x:c r="AA497" s="139" t="n"/>
      <x:c r="AB497" s="139" t="n"/>
      <x:c r="AC497" s="139" t="n"/>
      <x:c r="AD497" s="139" t="n"/>
      <x:c r="AE497" s="139" t="n"/>
      <x:c r="AF497" s="139" t="n"/>
      <x:c r="AG497" s="139" t="n"/>
      <x:c r="AH497" s="139" t="n"/>
      <x:c r="AI497" s="139" t="n"/>
      <x:c r="AJ497" s="139" t="n"/>
      <x:c r="AK497" s="139" t="n"/>
      <x:c r="AL497" s="139" t="n"/>
      <x:c r="AM497" s="139" t="n"/>
      <x:c r="AN497" s="139" t="n"/>
      <x:c r="AO497" s="139" t="n"/>
      <x:c r="AP497" s="139" t="n"/>
      <x:c r="AQ497" s="139" t="n"/>
      <x:c r="AR497" s="139" t="n"/>
      <x:c r="AS497" s="139" t="n"/>
      <x:c r="AT497" s="139" t="n"/>
      <x:c r="AU497" s="139" t="n"/>
      <x:c r="AV497" s="139" t="n"/>
      <x:c r="AW497" s="139" t="n"/>
      <x:c r="AX497" s="139" t="n"/>
      <x:c r="AY497" s="139" t="n"/>
      <x:c r="AZ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c r="V498" s="139" t="n"/>
      <x:c r="W498" s="139" t="n"/>
      <x:c r="X498" s="139" t="n"/>
      <x:c r="Y498" s="139" t="n"/>
      <x:c r="Z498" s="139" t="n"/>
      <x:c r="AA498" s="139" t="n"/>
      <x:c r="AB498" s="139" t="n"/>
      <x:c r="AC498" s="139" t="n"/>
      <x:c r="AD498" s="139" t="n"/>
      <x:c r="AE498" s="139" t="n"/>
      <x:c r="AF498" s="139" t="n"/>
      <x:c r="AG498" s="139" t="n"/>
      <x:c r="AH498" s="139" t="n"/>
      <x:c r="AI498" s="139" t="n"/>
      <x:c r="AJ498" s="139" t="n"/>
      <x:c r="AK498" s="139" t="n"/>
      <x:c r="AL498" s="139" t="n"/>
      <x:c r="AM498" s="139" t="n"/>
      <x:c r="AN498" s="139" t="n"/>
      <x:c r="AO498" s="139" t="n"/>
      <x:c r="AP498" s="139" t="n"/>
      <x:c r="AQ498" s="139" t="n"/>
      <x:c r="AR498" s="139" t="n"/>
      <x:c r="AS498" s="139" t="n"/>
      <x:c r="AT498" s="139" t="n"/>
      <x:c r="AU498" s="139" t="n"/>
      <x:c r="AV498" s="139" t="n"/>
      <x:c r="AW498" s="139" t="n"/>
      <x:c r="AX498" s="139" t="n"/>
      <x:c r="AY498" s="139" t="n"/>
      <x:c r="AZ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c r="V499" s="139" t="n"/>
      <x:c r="W499" s="139" t="n"/>
      <x:c r="X499" s="139" t="n"/>
      <x:c r="Y499" s="139" t="n"/>
      <x:c r="Z499" s="139" t="n"/>
      <x:c r="AA499" s="139" t="n"/>
      <x:c r="AB499" s="139" t="n"/>
      <x:c r="AC499" s="139" t="n"/>
      <x:c r="AD499" s="139" t="n"/>
      <x:c r="AE499" s="139" t="n"/>
      <x:c r="AF499" s="139" t="n"/>
      <x:c r="AG499" s="139" t="n"/>
      <x:c r="AH499" s="139" t="n"/>
      <x:c r="AI499" s="139" t="n"/>
      <x:c r="AJ499" s="139" t="n"/>
      <x:c r="AK499" s="139" t="n"/>
      <x:c r="AL499" s="139" t="n"/>
      <x:c r="AM499" s="139" t="n"/>
      <x:c r="AN499" s="139" t="n"/>
      <x:c r="AO499" s="139" t="n"/>
      <x:c r="AP499" s="139" t="n"/>
      <x:c r="AQ499" s="139" t="n"/>
      <x:c r="AR499" s="139" t="n"/>
      <x:c r="AS499" s="139" t="n"/>
      <x:c r="AT499" s="139" t="n"/>
      <x:c r="AU499" s="139" t="n"/>
      <x:c r="AV499" s="139" t="n"/>
      <x:c r="AW499" s="139" t="n"/>
      <x:c r="AX499" s="139" t="n"/>
      <x:c r="AY499" s="139" t="n"/>
      <x:c r="AZ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c r="V500" s="139" t="n"/>
      <x:c r="W500" s="139" t="n"/>
      <x:c r="X500" s="139" t="n"/>
      <x:c r="Y500" s="139" t="n"/>
      <x:c r="Z500" s="139" t="n"/>
      <x:c r="AA500" s="139" t="n"/>
      <x:c r="AB500" s="139" t="n"/>
      <x:c r="AC500" s="139" t="n"/>
      <x:c r="AD500" s="139" t="n"/>
      <x:c r="AE500" s="139" t="n"/>
      <x:c r="AF500" s="139" t="n"/>
      <x:c r="AG500" s="139" t="n"/>
      <x:c r="AH500" s="139" t="n"/>
      <x:c r="AI500" s="139" t="n"/>
      <x:c r="AJ500" s="139" t="n"/>
      <x:c r="AK500" s="139" t="n"/>
      <x:c r="AL500" s="139" t="n"/>
      <x:c r="AM500" s="139" t="n"/>
      <x:c r="AN500" s="139" t="n"/>
      <x:c r="AO500" s="139" t="n"/>
      <x:c r="AP500" s="139" t="n"/>
      <x:c r="AQ500" s="139" t="n"/>
      <x:c r="AR500" s="139" t="n"/>
      <x:c r="AS500" s="139" t="n"/>
      <x:c r="AT500" s="139" t="n"/>
      <x:c r="AU500" s="139" t="n"/>
      <x:c r="AV500" s="139" t="n"/>
      <x:c r="AW500" s="139" t="n"/>
      <x:c r="AX500" s="139" t="n"/>
      <x:c r="AY500" s="139" t="n"/>
      <x:c r="AZ500" s="139" t="n"/>
    </x:row>
  </x:sheetData>
  <x:conditionalFormatting sqref="E2:E2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25c80a6db8bb44f8"/>
  </x:tableParts>
</x:worksheet>
</file>

<file path=xl/worksheets/sheet3.xml><?xml version="1.0" encoding="utf-8"?>
<x:worksheet xmlns:x="http://schemas.openxmlformats.org/spreadsheetml/2006/main">
  <x:sheetFormatPr baseColWidth="8" defaultRowHeight="15"/>
  <x:cols>
    <x:col min="1" max="1" width="17" style="125" customWidth="1"/>
    <x:col min="2" max="2" width="10" style="125" customWidth="1"/>
    <x:col min="3" max="3" width="9" style="125" customWidth="1"/>
    <x:col min="4" max="4" width="9" style="125" customWidth="1"/>
    <x:col min="5" max="5" width="12" style="125" customWidth="1"/>
    <x:col min="6" max="6" width="14" style="125" customWidth="1"/>
    <x:col min="7" max="7" width="14" style="125" customWidth="1"/>
    <x:col min="8" max="8" width="12" style="125" customWidth="1"/>
    <x:col min="9" max="9" width="13" style="125" customWidth="1"/>
    <x:col min="10" max="10" width="13" style="125" customWidth="1"/>
  </x:cols>
  <x:sheetData>
    <x:row r="1">
      <x:c r="A1" s="92" t="inlineStr">
        <x:is>
          <x:t xml:space="preserve">Player</x:t>
        </x:is>
      </x:c>
      <x:c r="B1" s="92" t="inlineStr">
        <x:is>
          <x:t xml:space="preserve">Close MP</x:t>
        </x:is>
      </x:c>
      <x:c r="C1" s="92" t="inlineStr">
        <x:is>
          <x:t xml:space="preserve">Close W</x:t>
        </x:is>
      </x:c>
      <x:c r="D1" s="92" t="inlineStr">
        <x:is>
          <x:t xml:space="preserve">Close L</x:t>
        </x:is>
      </x:c>
      <x:c r="E1" s="92" t="inlineStr">
        <x:is>
          <x:t xml:space="preserve">Clutch Win %</x:t>
        </x:is>
      </x:c>
      <x:c r="F1" s="92" t="inlineStr">
        <x:is>
          <x:t xml:space="preserve">Avg Win Margin</x:t>
        </x:is>
      </x:c>
      <x:c r="G1" s="92" t="inlineStr">
        <x:is>
          <x:t xml:space="preserve">Avg Loss Margin</x:t>
        </x:is>
      </x:c>
      <x:c r="H1" s="92" t="inlineStr">
        <x:is>
          <x:t xml:space="preserve">Blowout Wins</x:t>
        </x:is>
      </x:c>
      <x:c r="I1" s="92" t="inlineStr">
        <x:is>
          <x:t xml:space="preserve">Dominance Raw</x:t>
        </x:is>
      </x:c>
      <x:c r="J1" s="92" t="inlineStr">
        <x:is>
          <x:t xml:space="preserve">Match Diff SD</x:t>
        </x:is>
      </x:c>
      <x:c r="K1" s="139" t="n"/>
      <x:c r="L1" s="139" t="n"/>
      <x:c r="M1" s="139" t="n"/>
      <x:c r="N1" s="139" t="n"/>
      <x:c r="O1" s="139" t="n"/>
      <x:c r="P1" s="139" t="n"/>
      <x:c r="Q1" s="139" t="n"/>
      <x:c r="R1" s="139" t="n"/>
      <x:c r="S1" s="139" t="n"/>
      <x:c r="T1" s="139" t="n"/>
      <x:c r="U1" s="139" t="n"/>
      <x:c r="V1" s="139" t="n"/>
      <x:c r="W1" s="139" t="n"/>
      <x:c r="X1" s="139" t="n"/>
      <x:c r="Y1" s="139" t="n"/>
      <x:c r="Z1" s="139" t="n"/>
      <x:c r="AA1" s="139" t="n"/>
      <x:c r="AB1" s="139" t="n"/>
      <x:c r="AC1" s="139" t="n"/>
      <x:c r="AD1" s="139" t="n"/>
      <x:c r="AE1" s="139" t="n"/>
      <x:c r="AF1" s="139" t="n"/>
      <x:c r="AG1" s="139" t="n"/>
      <x:c r="AH1" s="139" t="n"/>
      <x:c r="AI1" s="139" t="n"/>
      <x:c r="AJ1" s="139" t="n"/>
      <x:c r="AK1" s="139" t="n"/>
      <x:c r="AL1" s="139" t="n"/>
      <x:c r="AM1" s="139" t="n"/>
      <x:c r="AN1" s="139" t="n"/>
      <x:c r="AO1" s="139" t="n"/>
      <x:c r="AP1" s="139" t="n"/>
      <x:c r="AQ1" s="139" t="n"/>
      <x:c r="AR1" s="139" t="n"/>
      <x:c r="AS1" s="139" t="n"/>
      <x:c r="AT1" s="139" t="n"/>
      <x:c r="AU1" s="139" t="n"/>
      <x:c r="AV1" s="139" t="n"/>
      <x:c r="AW1" s="139" t="n"/>
      <x:c r="AX1" s="139" t="n"/>
      <x:c r="AY1" s="139" t="n"/>
      <x:c r="AZ1" s="139" t="n"/>
    </x:row>
    <x:row r="2">
      <x:c r="A2" s="139" t="inlineStr">
        <x:is>
          <x:t xml:space="preserve">Jonathan</x:t>
        </x:is>
      </x:c>
      <x:c r="B2" s="139" t="n">
        <x:v>3</x:v>
      </x:c>
      <x:c r="C2" s="139" t="n">
        <x:v>3</x:v>
      </x:c>
      <x:c r="D2" s="139" t="n">
        <x:v>0</x:v>
      </x:c>
      <x:c r="E2" s="93" t="n">
        <x:v>1</x:v>
      </x:c>
      <x:c r="F2" s="96" t="n">
        <x:v>2</x:v>
      </x:c>
      <x:c r="G2" s="96" t="n">
        <x:v>4</x:v>
      </x:c>
      <x:c r="H2" s="96" t="n">
        <x:v>1</x:v>
      </x:c>
      <x:c r="I2" s="96" t="n">
        <x:v>2.666666666666667</x:v>
      </x:c>
      <x:c r="J2" s="96" t="n">
        <x:v>3.214550253664318</x:v>
      </x:c>
      <x:c r="K2" s="139" t="n"/>
      <x:c r="L2" s="139" t="n"/>
      <x:c r="M2" s="139" t="n"/>
      <x:c r="N2" s="139" t="n"/>
      <x:c r="O2" s="139" t="n"/>
      <x:c r="P2" s="139" t="n"/>
      <x:c r="Q2" s="139" t="n"/>
      <x:c r="R2" s="139" t="n"/>
      <x:c r="S2" s="139" t="n"/>
      <x:c r="T2" s="139" t="n"/>
      <x:c r="U2" s="139" t="n"/>
      <x:c r="V2" s="139" t="n"/>
      <x:c r="W2" s="139" t="n"/>
      <x:c r="X2" s="139" t="n"/>
      <x:c r="Y2" s="139" t="n"/>
      <x:c r="Z2" s="139" t="n"/>
      <x:c r="AA2" s="139" t="n"/>
      <x:c r="AB2" s="139" t="n"/>
      <x:c r="AC2" s="139" t="n"/>
      <x:c r="AD2" s="139" t="n"/>
      <x:c r="AE2" s="139" t="n"/>
      <x:c r="AF2" s="139" t="n"/>
      <x:c r="AG2" s="139" t="n"/>
      <x:c r="AH2" s="139" t="n"/>
      <x:c r="AI2" s="139" t="n"/>
      <x:c r="AJ2" s="139" t="n"/>
      <x:c r="AK2" s="139" t="n"/>
      <x:c r="AL2" s="139" t="n"/>
      <x:c r="AM2" s="139" t="n"/>
      <x:c r="AN2" s="139" t="n"/>
      <x:c r="AO2" s="139" t="n"/>
      <x:c r="AP2" s="139" t="n"/>
      <x:c r="AQ2" s="139" t="n"/>
      <x:c r="AR2" s="139" t="n"/>
      <x:c r="AS2" s="139" t="n"/>
      <x:c r="AT2" s="139" t="n"/>
      <x:c r="AU2" s="139" t="n"/>
      <x:c r="AV2" s="139" t="n"/>
      <x:c r="AW2" s="139" t="n"/>
      <x:c r="AX2" s="139" t="n"/>
      <x:c r="AY2" s="139" t="n"/>
      <x:c r="AZ2" s="139" t="n"/>
    </x:row>
    <x:row r="3">
      <x:c r="A3" s="139" t="inlineStr">
        <x:is>
          <x:t xml:space="preserve">Kennard</x:t>
        </x:is>
      </x:c>
      <x:c r="B3" s="139" t="n">
        <x:v>2</x:v>
      </x:c>
      <x:c r="C3" s="139" t="n">
        <x:v>2</x:v>
      </x:c>
      <x:c r="D3" s="139" t="n">
        <x:v>0</x:v>
      </x:c>
      <x:c r="E3" s="93" t="n">
        <x:v>1</x:v>
      </x:c>
      <x:c r="F3" s="96" t="n">
        <x:v>2.333333333333333</x:v>
      </x:c>
      <x:c r="G3" s="96" t="n">
        <x:v>4</x:v>
      </x:c>
      <x:c r="H3" s="96" t="n">
        <x:v>0</x:v>
      </x:c>
      <x:c r="I3" s="96" t="n">
        <x:v>2.333333333333333</x:v>
      </x:c>
      <x:c r="J3" s="96" t="n">
        <x:v>3.051820680750365</x:v>
      </x:c>
      <x:c r="K3" s="139" t="n"/>
      <x:c r="L3" s="139" t="n"/>
      <x:c r="M3" s="139" t="n"/>
      <x:c r="N3" s="139" t="n"/>
      <x:c r="O3" s="139" t="n"/>
      <x:c r="P3" s="139" t="n"/>
      <x:c r="Q3" s="139" t="n"/>
      <x:c r="R3" s="139" t="n"/>
      <x:c r="S3" s="139" t="n"/>
      <x:c r="T3" s="139" t="n"/>
      <x:c r="U3" s="139" t="n"/>
      <x:c r="V3" s="139" t="n"/>
      <x:c r="W3" s="139" t="n"/>
      <x:c r="X3" s="139" t="n"/>
      <x:c r="Y3" s="139" t="n"/>
      <x:c r="Z3" s="139" t="n"/>
      <x:c r="AA3" s="139" t="n"/>
      <x:c r="AB3" s="139" t="n"/>
      <x:c r="AC3" s="139" t="n"/>
      <x:c r="AD3" s="139" t="n"/>
      <x:c r="AE3" s="139" t="n"/>
      <x:c r="AF3" s="139" t="n"/>
      <x:c r="AG3" s="139" t="n"/>
      <x:c r="AH3" s="139" t="n"/>
      <x:c r="AI3" s="139" t="n"/>
      <x:c r="AJ3" s="139" t="n"/>
      <x:c r="AK3" s="139" t="n"/>
      <x:c r="AL3" s="139" t="n"/>
      <x:c r="AM3" s="139" t="n"/>
      <x:c r="AN3" s="139" t="n"/>
      <x:c r="AO3" s="139" t="n"/>
      <x:c r="AP3" s="139" t="n"/>
      <x:c r="AQ3" s="139" t="n"/>
      <x:c r="AR3" s="139" t="n"/>
      <x:c r="AS3" s="139" t="n"/>
      <x:c r="AT3" s="139" t="n"/>
      <x:c r="AU3" s="139" t="n"/>
      <x:c r="AV3" s="139" t="n"/>
      <x:c r="AW3" s="139" t="n"/>
      <x:c r="AX3" s="139" t="n"/>
      <x:c r="AY3" s="139" t="n"/>
      <x:c r="AZ3" s="139" t="n"/>
    </x:row>
    <x:row r="4">
      <x:c r="A4" s="139" t="inlineStr">
        <x:is>
          <x:t xml:space="preserve">Reza</x:t>
        </x:is>
      </x:c>
      <x:c r="B4" s="139" t="n">
        <x:v>2</x:v>
      </x:c>
      <x:c r="C4" s="139" t="n">
        <x:v>2</x:v>
      </x:c>
      <x:c r="D4" s="139" t="n">
        <x:v>0</x:v>
      </x:c>
      <x:c r="E4" s="93" t="n">
        <x:v>1</x:v>
      </x:c>
      <x:c r="F4" s="96" t="n">
        <x:v>1</x:v>
      </x:c>
      <x:c r="G4" s="96" t="n">
        <x:v>4</x:v>
      </x:c>
      <x:c r="H4" s="96" t="n">
        <x:v>0</x:v>
      </x:c>
      <x:c r="I4" s="96" t="n">
        <x:v>1</x:v>
      </x:c>
      <x:c r="J4" s="96" t="n">
        <x:v>2.494438257849294</x:v>
      </x:c>
      <x:c r="K4" s="139" t="n"/>
      <x:c r="L4" s="139" t="n"/>
      <x:c r="M4" s="139" t="n"/>
      <x:c r="N4" s="139" t="n"/>
      <x:c r="O4" s="139" t="n"/>
      <x:c r="P4" s="139" t="n"/>
      <x:c r="Q4" s="139" t="n"/>
      <x:c r="R4" s="139" t="n"/>
      <x:c r="S4" s="139" t="n"/>
      <x:c r="T4" s="139" t="n"/>
      <x:c r="U4" s="139" t="n"/>
      <x:c r="V4" s="139" t="n"/>
      <x:c r="W4" s="139" t="n"/>
      <x:c r="X4" s="139" t="n"/>
      <x:c r="Y4" s="139" t="n"/>
      <x:c r="Z4" s="139" t="n"/>
      <x:c r="AA4" s="139" t="n"/>
      <x:c r="AB4" s="139" t="n"/>
      <x:c r="AC4" s="139" t="n"/>
      <x:c r="AD4" s="139" t="n"/>
      <x:c r="AE4" s="139" t="n"/>
      <x:c r="AF4" s="139" t="n"/>
      <x:c r="AG4" s="139" t="n"/>
      <x:c r="AH4" s="139" t="n"/>
      <x:c r="AI4" s="139" t="n"/>
      <x:c r="AJ4" s="139" t="n"/>
      <x:c r="AK4" s="139" t="n"/>
      <x:c r="AL4" s="139" t="n"/>
      <x:c r="AM4" s="139" t="n"/>
      <x:c r="AN4" s="139" t="n"/>
      <x:c r="AO4" s="139" t="n"/>
      <x:c r="AP4" s="139" t="n"/>
      <x:c r="AQ4" s="139" t="n"/>
      <x:c r="AR4" s="139" t="n"/>
      <x:c r="AS4" s="139" t="n"/>
      <x:c r="AT4" s="139" t="n"/>
      <x:c r="AU4" s="139" t="n"/>
      <x:c r="AV4" s="139" t="n"/>
      <x:c r="AW4" s="139" t="n"/>
      <x:c r="AX4" s="139" t="n"/>
      <x:c r="AY4" s="139" t="n"/>
      <x:c r="AZ4" s="139" t="n"/>
    </x:row>
    <x:row r="5">
      <x:c r="A5" s="139" t="inlineStr">
        <x:is>
          <x:t xml:space="preserve">Thohir</x:t>
        </x:is>
      </x:c>
      <x:c r="B5" s="139" t="n">
        <x:v>1</x:v>
      </x:c>
      <x:c r="C5" s="139" t="n">
        <x:v>1</x:v>
      </x:c>
      <x:c r="D5" s="139" t="n">
        <x:v>0</x:v>
      </x:c>
      <x:c r="E5" s="93" t="n">
        <x:v>1</x:v>
      </x:c>
      <x:c r="F5" s="96" t="n">
        <x:v>2.25</x:v>
      </x:c>
      <x:c r="G5" s="96" t="n">
        <x:v>0</x:v>
      </x:c>
      <x:c r="H5" s="96" t="n">
        <x:v>0</x:v>
      </x:c>
      <x:c r="I5" s="96" t="n">
        <x:v>2.25</x:v>
      </x:c>
      <x:c r="J5" s="96" t="n">
        <x:v>0.82915619758885</x:v>
      </x:c>
      <x:c r="K5" s="139" t="n"/>
      <x:c r="L5" s="139" t="n"/>
      <x:c r="M5" s="139" t="n"/>
      <x:c r="N5" s="139" t="n"/>
      <x:c r="O5" s="139" t="n"/>
      <x:c r="P5" s="139" t="n"/>
      <x:c r="Q5" s="139" t="n"/>
      <x:c r="R5" s="139" t="n"/>
      <x:c r="S5" s="139" t="n"/>
      <x:c r="T5" s="139" t="n"/>
      <x:c r="U5" s="139" t="n"/>
      <x:c r="V5" s="139" t="n"/>
      <x:c r="W5" s="139" t="n"/>
      <x:c r="X5" s="139" t="n"/>
      <x:c r="Y5" s="139" t="n"/>
      <x:c r="Z5" s="139" t="n"/>
      <x:c r="AA5" s="139" t="n"/>
      <x:c r="AB5" s="139" t="n"/>
      <x:c r="AC5" s="139" t="n"/>
      <x:c r="AD5" s="139" t="n"/>
      <x:c r="AE5" s="139" t="n"/>
      <x:c r="AF5" s="139" t="n"/>
      <x:c r="AG5" s="139" t="n"/>
      <x:c r="AH5" s="139" t="n"/>
      <x:c r="AI5" s="139" t="n"/>
      <x:c r="AJ5" s="139" t="n"/>
      <x:c r="AK5" s="139" t="n"/>
      <x:c r="AL5" s="139" t="n"/>
      <x:c r="AM5" s="139" t="n"/>
      <x:c r="AN5" s="139" t="n"/>
      <x:c r="AO5" s="139" t="n"/>
      <x:c r="AP5" s="139" t="n"/>
      <x:c r="AQ5" s="139" t="n"/>
      <x:c r="AR5" s="139" t="n"/>
      <x:c r="AS5" s="139" t="n"/>
      <x:c r="AT5" s="139" t="n"/>
      <x:c r="AU5" s="139" t="n"/>
      <x:c r="AV5" s="139" t="n"/>
      <x:c r="AW5" s="139" t="n"/>
      <x:c r="AX5" s="139" t="n"/>
      <x:c r="AY5" s="139" t="n"/>
      <x:c r="AZ5" s="139" t="n"/>
    </x:row>
    <x:row r="6">
      <x:c r="A6" s="139" t="inlineStr">
        <x:is>
          <x:t xml:space="preserve">David</x:t>
        </x:is>
      </x:c>
      <x:c r="B6" s="139" t="n">
        <x:v>6</x:v>
      </x:c>
      <x:c r="C6" s="139" t="n">
        <x:v>4</x:v>
      </x:c>
      <x:c r="D6" s="139" t="n">
        <x:v>2</x:v>
      </x:c>
      <x:c r="E6" s="93" t="n">
        <x:v>0.6666666666666666</x:v>
      </x:c>
      <x:c r="F6" s="96" t="n">
        <x:v>1.4</x:v>
      </x:c>
      <x:c r="G6" s="96" t="n">
        <x:v>2.571428571428572</x:v>
      </x:c>
      <x:c r="H6" s="96" t="n">
        <x:v>0</x:v>
      </x:c>
      <x:c r="I6" s="96" t="n">
        <x:v>1.4</x:v>
      </x:c>
      <x:c r="J6" s="96" t="n">
        <x:v>2.253084305765963</x:v>
      </x:c>
      <x:c r="K6" s="139" t="n"/>
      <x:c r="L6" s="139" t="n"/>
      <x:c r="M6" s="139" t="n"/>
      <x:c r="N6" s="139" t="n"/>
      <x:c r="O6" s="139" t="n"/>
      <x:c r="P6" s="139" t="n"/>
      <x:c r="Q6" s="139" t="n"/>
      <x:c r="R6" s="139" t="n"/>
      <x:c r="S6" s="139" t="n"/>
      <x:c r="T6" s="139" t="n"/>
      <x:c r="U6" s="139" t="n"/>
      <x:c r="V6" s="139" t="n"/>
      <x:c r="W6" s="139" t="n"/>
      <x:c r="X6" s="139" t="n"/>
      <x:c r="Y6" s="139" t="n"/>
      <x:c r="Z6" s="139" t="n"/>
      <x:c r="AA6" s="139" t="n"/>
      <x:c r="AB6" s="139" t="n"/>
      <x:c r="AC6" s="139" t="n"/>
      <x:c r="AD6" s="139" t="n"/>
      <x:c r="AE6" s="139" t="n"/>
      <x:c r="AF6" s="139" t="n"/>
      <x:c r="AG6" s="139" t="n"/>
      <x:c r="AH6" s="139" t="n"/>
      <x:c r="AI6" s="139" t="n"/>
      <x:c r="AJ6" s="139" t="n"/>
      <x:c r="AK6" s="139" t="n"/>
      <x:c r="AL6" s="139" t="n"/>
      <x:c r="AM6" s="139" t="n"/>
      <x:c r="AN6" s="139" t="n"/>
      <x:c r="AO6" s="139" t="n"/>
      <x:c r="AP6" s="139" t="n"/>
      <x:c r="AQ6" s="139" t="n"/>
      <x:c r="AR6" s="139" t="n"/>
      <x:c r="AS6" s="139" t="n"/>
      <x:c r="AT6" s="139" t="n"/>
      <x:c r="AU6" s="139" t="n"/>
      <x:c r="AV6" s="139" t="n"/>
      <x:c r="AW6" s="139" t="n"/>
      <x:c r="AX6" s="139" t="n"/>
      <x:c r="AY6" s="139" t="n"/>
      <x:c r="AZ6" s="139" t="n"/>
    </x:row>
    <x:row r="7">
      <x:c r="A7" s="139" t="inlineStr">
        <x:is>
          <x:t xml:space="preserve">Ricky</x:t>
        </x:is>
      </x:c>
      <x:c r="B7" s="139" t="n">
        <x:v>6</x:v>
      </x:c>
      <x:c r="C7" s="139" t="n">
        <x:v>4</x:v>
      </x:c>
      <x:c r="D7" s="139" t="n">
        <x:v>2</x:v>
      </x:c>
      <x:c r="E7" s="93" t="n">
        <x:v>0.6666666666666666</x:v>
      </x:c>
      <x:c r="F7" s="96" t="n">
        <x:v>2.75</x:v>
      </x:c>
      <x:c r="G7" s="96" t="n">
        <x:v>2.7</x:v>
      </x:c>
      <x:c r="H7" s="96" t="n">
        <x:v>4</x:v>
      </x:c>
      <x:c r="I7" s="96" t="n">
        <x:v>3.365384615384615</x:v>
      </x:c>
      <x:c r="J7" s="96" t="n">
        <x:v>2.986409056585256</x:v>
      </x:c>
      <x:c r="K7" s="139" t="n"/>
      <x:c r="L7" s="139" t="n"/>
      <x:c r="M7" s="139" t="n"/>
      <x:c r="N7" s="139" t="n"/>
      <x:c r="O7" s="139" t="n"/>
      <x:c r="P7" s="139" t="n"/>
      <x:c r="Q7" s="139" t="n"/>
      <x:c r="R7" s="139" t="n"/>
      <x:c r="S7" s="139" t="n"/>
      <x:c r="T7" s="139" t="n"/>
      <x:c r="U7" s="139" t="n"/>
      <x:c r="V7" s="139" t="n"/>
      <x:c r="W7" s="139" t="n"/>
      <x:c r="X7" s="139" t="n"/>
      <x:c r="Y7" s="139" t="n"/>
      <x:c r="Z7" s="139" t="n"/>
      <x:c r="AA7" s="139" t="n"/>
      <x:c r="AB7" s="139" t="n"/>
      <x:c r="AC7" s="139" t="n"/>
      <x:c r="AD7" s="139" t="n"/>
      <x:c r="AE7" s="139" t="n"/>
      <x:c r="AF7" s="139" t="n"/>
      <x:c r="AG7" s="139" t="n"/>
      <x:c r="AH7" s="139" t="n"/>
      <x:c r="AI7" s="139" t="n"/>
      <x:c r="AJ7" s="139" t="n"/>
      <x:c r="AK7" s="139" t="n"/>
      <x:c r="AL7" s="139" t="n"/>
      <x:c r="AM7" s="139" t="n"/>
      <x:c r="AN7" s="139" t="n"/>
      <x:c r="AO7" s="139" t="n"/>
      <x:c r="AP7" s="139" t="n"/>
      <x:c r="AQ7" s="139" t="n"/>
      <x:c r="AR7" s="139" t="n"/>
      <x:c r="AS7" s="139" t="n"/>
      <x:c r="AT7" s="139" t="n"/>
      <x:c r="AU7" s="139" t="n"/>
      <x:c r="AV7" s="139" t="n"/>
      <x:c r="AW7" s="139" t="n"/>
      <x:c r="AX7" s="139" t="n"/>
      <x:c r="AY7" s="139" t="n"/>
      <x:c r="AZ7" s="139" t="n"/>
    </x:row>
    <x:row r="8">
      <x:c r="A8" s="139" t="inlineStr">
        <x:is>
          <x:t xml:space="preserve">Ronald</x:t>
        </x:is>
      </x:c>
      <x:c r="B8" s="139" t="n">
        <x:v>9</x:v>
      </x:c>
      <x:c r="C8" s="139" t="n">
        <x:v>5</x:v>
      </x:c>
      <x:c r="D8" s="139" t="n">
        <x:v>4</x:v>
      </x:c>
      <x:c r="E8" s="93" t="n">
        <x:v>0.5555555555555556</x:v>
      </x:c>
      <x:c r="F8" s="96" t="n">
        <x:v>2.333333333333333</x:v>
      </x:c>
      <x:c r="G8" s="96" t="n">
        <x:v>1.5</x:v>
      </x:c>
      <x:c r="H8" s="96" t="n">
        <x:v>2</x:v>
      </x:c>
      <x:c r="I8" s="96" t="n">
        <x:v>2.777777777777778</x:v>
      </x:c>
      <x:c r="J8" s="96" t="n">
        <x:v>2.146631009595739</x:v>
      </x:c>
      <x:c r="K8" s="139" t="n"/>
      <x:c r="L8" s="139" t="n"/>
      <x:c r="M8" s="139" t="n"/>
      <x:c r="N8" s="139" t="n"/>
      <x:c r="O8" s="139" t="n"/>
      <x:c r="P8" s="139" t="n"/>
      <x:c r="Q8" s="139" t="n"/>
      <x:c r="R8" s="139" t="n"/>
      <x:c r="S8" s="139" t="n"/>
      <x:c r="T8" s="139" t="n"/>
      <x:c r="U8" s="139" t="n"/>
      <x:c r="V8" s="139" t="n"/>
      <x:c r="W8" s="139" t="n"/>
      <x:c r="X8" s="139" t="n"/>
      <x:c r="Y8" s="139" t="n"/>
      <x:c r="Z8" s="139" t="n"/>
      <x:c r="AA8" s="139" t="n"/>
      <x:c r="AB8" s="139" t="n"/>
      <x:c r="AC8" s="139" t="n"/>
      <x:c r="AD8" s="139" t="n"/>
      <x:c r="AE8" s="139" t="n"/>
      <x:c r="AF8" s="139" t="n"/>
      <x:c r="AG8" s="139" t="n"/>
      <x:c r="AH8" s="139" t="n"/>
      <x:c r="AI8" s="139" t="n"/>
      <x:c r="AJ8" s="139" t="n"/>
      <x:c r="AK8" s="139" t="n"/>
      <x:c r="AL8" s="139" t="n"/>
      <x:c r="AM8" s="139" t="n"/>
      <x:c r="AN8" s="139" t="n"/>
      <x:c r="AO8" s="139" t="n"/>
      <x:c r="AP8" s="139" t="n"/>
      <x:c r="AQ8" s="139" t="n"/>
      <x:c r="AR8" s="139" t="n"/>
      <x:c r="AS8" s="139" t="n"/>
      <x:c r="AT8" s="139" t="n"/>
      <x:c r="AU8" s="139" t="n"/>
      <x:c r="AV8" s="139" t="n"/>
      <x:c r="AW8" s="139" t="n"/>
      <x:c r="AX8" s="139" t="n"/>
      <x:c r="AY8" s="139" t="n"/>
      <x:c r="AZ8" s="139" t="n"/>
    </x:row>
    <x:row r="9">
      <x:c r="A9" s="139" t="inlineStr">
        <x:is>
          <x:t xml:space="preserve">Michael</x:t>
        </x:is>
      </x:c>
      <x:c r="B9" s="139" t="n">
        <x:v>4</x:v>
      </x:c>
      <x:c r="C9" s="139" t="n">
        <x:v>2</x:v>
      </x:c>
      <x:c r="D9" s="139" t="n">
        <x:v>2</x:v>
      </x:c>
      <x:c r="E9" s="93" t="n">
        <x:v>0.5</x:v>
      </x:c>
      <x:c r="F9" s="96" t="n">
        <x:v>2.5</x:v>
      </x:c>
      <x:c r="G9" s="96" t="n">
        <x:v>2.428571428571428</x:v>
      </x:c>
      <x:c r="H9" s="96" t="n">
        <x:v>1</x:v>
      </x:c>
      <x:c r="I9" s="96" t="n">
        <x:v>2.807692307692307</x:v>
      </x:c>
      <x:c r="J9" s="96" t="n">
        <x:v>2.741312258646994</x:v>
      </x:c>
      <x:c r="K9" s="139" t="n"/>
      <x:c r="L9" s="139" t="n"/>
      <x:c r="M9" s="139" t="n"/>
      <x:c r="N9" s="139" t="n"/>
      <x:c r="O9" s="139" t="n"/>
      <x:c r="P9" s="139" t="n"/>
      <x:c r="Q9" s="139" t="n"/>
      <x:c r="R9" s="139" t="n"/>
      <x:c r="S9" s="139" t="n"/>
      <x:c r="T9" s="139" t="n"/>
      <x:c r="U9" s="139" t="n"/>
      <x:c r="V9" s="139" t="n"/>
      <x:c r="W9" s="139" t="n"/>
      <x:c r="X9" s="139" t="n"/>
      <x:c r="Y9" s="139" t="n"/>
      <x:c r="Z9" s="139" t="n"/>
      <x:c r="AA9" s="139" t="n"/>
      <x:c r="AB9" s="139" t="n"/>
      <x:c r="AC9" s="139" t="n"/>
      <x:c r="AD9" s="139" t="n"/>
      <x:c r="AE9" s="139" t="n"/>
      <x:c r="AF9" s="139" t="n"/>
      <x:c r="AG9" s="139" t="n"/>
      <x:c r="AH9" s="139" t="n"/>
      <x:c r="AI9" s="139" t="n"/>
      <x:c r="AJ9" s="139" t="n"/>
      <x:c r="AK9" s="139" t="n"/>
      <x:c r="AL9" s="139" t="n"/>
      <x:c r="AM9" s="139" t="n"/>
      <x:c r="AN9" s="139" t="n"/>
      <x:c r="AO9" s="139" t="n"/>
      <x:c r="AP9" s="139" t="n"/>
      <x:c r="AQ9" s="139" t="n"/>
      <x:c r="AR9" s="139" t="n"/>
      <x:c r="AS9" s="139" t="n"/>
      <x:c r="AT9" s="139" t="n"/>
      <x:c r="AU9" s="139" t="n"/>
      <x:c r="AV9" s="139" t="n"/>
      <x:c r="AW9" s="139" t="n"/>
      <x:c r="AX9" s="139" t="n"/>
      <x:c r="AY9" s="139" t="n"/>
      <x:c r="AZ9" s="139" t="n"/>
    </x:row>
    <x:row r="10">
      <x:c r="A10" s="139" t="inlineStr">
        <x:is>
          <x:t xml:space="preserve">Nicholas</x:t>
        </x:is>
      </x:c>
      <x:c r="B10" s="139" t="n">
        <x:v>4</x:v>
      </x:c>
      <x:c r="C10" s="139" t="n">
        <x:v>2</x:v>
      </x:c>
      <x:c r="D10" s="139" t="n">
        <x:v>2</x:v>
      </x:c>
      <x:c r="E10" s="93" t="n">
        <x:v>0.5</x:v>
      </x:c>
      <x:c r="F10" s="96" t="n">
        <x:v>1.666666666666667</x:v>
      </x:c>
      <x:c r="G10" s="96" t="n">
        <x:v>2</x:v>
      </x:c>
      <x:c r="H10" s="96" t="n">
        <x:v>0</x:v>
      </x:c>
      <x:c r="I10" s="96" t="n">
        <x:v>1.666666666666667</x:v>
      </x:c>
      <x:c r="J10" s="96" t="n">
        <x:v>2.060315014550851</x:v>
      </x:c>
      <x:c r="K10" s="139" t="n"/>
      <x:c r="L10" s="139" t="n"/>
      <x:c r="M10" s="139" t="n"/>
      <x:c r="N10" s="139" t="n"/>
      <x:c r="O10" s="139" t="n"/>
      <x:c r="P10" s="139" t="n"/>
      <x:c r="Q10" s="139" t="n"/>
      <x:c r="R10" s="139" t="n"/>
      <x:c r="S10" s="139" t="n"/>
      <x:c r="T10" s="139" t="n"/>
      <x:c r="U10" s="139" t="n"/>
      <x:c r="V10" s="139" t="n"/>
      <x:c r="W10" s="139" t="n"/>
      <x:c r="X10" s="139" t="n"/>
      <x:c r="Y10" s="139" t="n"/>
      <x:c r="Z10" s="139" t="n"/>
      <x:c r="AA10" s="139" t="n"/>
      <x:c r="AB10" s="139" t="n"/>
      <x:c r="AC10" s="139" t="n"/>
      <x:c r="AD10" s="139" t="n"/>
      <x:c r="AE10" s="139" t="n"/>
      <x:c r="AF10" s="139" t="n"/>
      <x:c r="AG10" s="139" t="n"/>
      <x:c r="AH10" s="139" t="n"/>
      <x:c r="AI10" s="139" t="n"/>
      <x:c r="AJ10" s="139" t="n"/>
      <x:c r="AK10" s="139" t="n"/>
      <x:c r="AL10" s="139" t="n"/>
      <x:c r="AM10" s="139" t="n"/>
      <x:c r="AN10" s="139" t="n"/>
      <x:c r="AO10" s="139" t="n"/>
      <x:c r="AP10" s="139" t="n"/>
      <x:c r="AQ10" s="139" t="n"/>
      <x:c r="AR10" s="139" t="n"/>
      <x:c r="AS10" s="139" t="n"/>
      <x:c r="AT10" s="139" t="n"/>
      <x:c r="AU10" s="139" t="n"/>
      <x:c r="AV10" s="139" t="n"/>
      <x:c r="AW10" s="139" t="n"/>
      <x:c r="AX10" s="139" t="n"/>
      <x:c r="AY10" s="139" t="n"/>
      <x:c r="AZ10" s="139" t="n"/>
    </x:row>
    <x:row r="11">
      <x:c r="A11" s="139" t="inlineStr">
        <x:is>
          <x:t xml:space="preserve">Sandy</x:t>
        </x:is>
      </x:c>
      <x:c r="B11" s="139" t="n">
        <x:v>4</x:v>
      </x:c>
      <x:c r="C11" s="139" t="n">
        <x:v>2</x:v>
      </x:c>
      <x:c r="D11" s="139" t="n">
        <x:v>2</x:v>
      </x:c>
      <x:c r="E11" s="93" t="n">
        <x:v>0.5</x:v>
      </x:c>
      <x:c r="F11" s="96" t="n">
        <x:v>3.181818181818182</x:v>
      </x:c>
      <x:c r="G11" s="96" t="n">
        <x:v>1</x:v>
      </x:c>
      <x:c r="H11" s="96" t="n">
        <x:v>3</x:v>
      </x:c>
      <x:c r="I11" s="96" t="n">
        <x:v>4.104895104895105</x:v>
      </x:c>
      <x:c r="J11" s="96" t="n">
        <x:v>1.94601702164208</x:v>
      </x:c>
      <x:c r="K11" s="139" t="n"/>
      <x:c r="L11" s="139" t="n"/>
      <x:c r="M11" s="139" t="n"/>
      <x:c r="N11" s="139" t="n"/>
      <x:c r="O11" s="139" t="n"/>
      <x:c r="P11" s="139" t="n"/>
      <x:c r="Q11" s="139" t="n"/>
      <x:c r="R11" s="139" t="n"/>
      <x:c r="S11" s="139" t="n"/>
      <x:c r="T11" s="139" t="n"/>
      <x:c r="U11" s="139" t="n"/>
      <x:c r="V11" s="139" t="n"/>
      <x:c r="W11" s="139" t="n"/>
      <x:c r="X11" s="139" t="n"/>
      <x:c r="Y11" s="139" t="n"/>
      <x:c r="Z11" s="139" t="n"/>
      <x:c r="AA11" s="139" t="n"/>
      <x:c r="AB11" s="139" t="n"/>
      <x:c r="AC11" s="139" t="n"/>
      <x:c r="AD11" s="139" t="n"/>
      <x:c r="AE11" s="139" t="n"/>
      <x:c r="AF11" s="139" t="n"/>
      <x:c r="AG11" s="139" t="n"/>
      <x:c r="AH11" s="139" t="n"/>
      <x:c r="AI11" s="139" t="n"/>
      <x:c r="AJ11" s="139" t="n"/>
      <x:c r="AK11" s="139" t="n"/>
      <x:c r="AL11" s="139" t="n"/>
      <x:c r="AM11" s="139" t="n"/>
      <x:c r="AN11" s="139" t="n"/>
      <x:c r="AO11" s="139" t="n"/>
      <x:c r="AP11" s="139" t="n"/>
      <x:c r="AQ11" s="139" t="n"/>
      <x:c r="AR11" s="139" t="n"/>
      <x:c r="AS11" s="139" t="n"/>
      <x:c r="AT11" s="139" t="n"/>
      <x:c r="AU11" s="139" t="n"/>
      <x:c r="AV11" s="139" t="n"/>
      <x:c r="AW11" s="139" t="n"/>
      <x:c r="AX11" s="139" t="n"/>
      <x:c r="AY11" s="139" t="n"/>
      <x:c r="AZ11" s="139" t="n"/>
    </x:row>
    <x:row r="12">
      <x:c r="A12" s="139" t="inlineStr">
        <x:is>
          <x:t xml:space="preserve">Rey</x:t>
        </x:is>
      </x:c>
      <x:c r="B12" s="139" t="n">
        <x:v>2</x:v>
      </x:c>
      <x:c r="C12" s="139" t="n">
        <x:v>1</x:v>
      </x:c>
      <x:c r="D12" s="139" t="n">
        <x:v>1</x:v>
      </x:c>
      <x:c r="E12" s="93" t="n">
        <x:v>0.5</x:v>
      </x:c>
      <x:c r="F12" s="96" t="n">
        <x:v>2.6</x:v>
      </x:c>
      <x:c r="G12" s="96" t="n">
        <x:v>1.5</x:v>
      </x:c>
      <x:c r="H12" s="96" t="n">
        <x:v>1</x:v>
      </x:c>
      <x:c r="I12" s="96" t="n">
        <x:v>3.171428571428572</x:v>
      </x:c>
      <x:c r="J12" s="96" t="n">
        <x:v>2.060315014550851</x:v>
      </x:c>
      <x:c r="K12" s="139" t="n"/>
      <x:c r="L12" s="139" t="n"/>
      <x:c r="M12" s="139" t="n"/>
      <x:c r="N12" s="139" t="n"/>
      <x:c r="O12" s="139" t="n"/>
      <x:c r="P12" s="139" t="n"/>
      <x:c r="Q12" s="139" t="n"/>
      <x:c r="R12" s="139" t="n"/>
      <x:c r="S12" s="139" t="n"/>
      <x:c r="T12" s="139" t="n"/>
      <x:c r="U12" s="139" t="n"/>
      <x:c r="V12" s="139" t="n"/>
      <x:c r="W12" s="139" t="n"/>
      <x:c r="X12" s="139" t="n"/>
      <x:c r="Y12" s="139" t="n"/>
      <x:c r="Z12" s="139" t="n"/>
      <x:c r="AA12" s="139" t="n"/>
      <x:c r="AB12" s="139" t="n"/>
      <x:c r="AC12" s="139" t="n"/>
      <x:c r="AD12" s="139" t="n"/>
      <x:c r="AE12" s="139" t="n"/>
      <x:c r="AF12" s="139" t="n"/>
      <x:c r="AG12" s="139" t="n"/>
      <x:c r="AH12" s="139" t="n"/>
      <x:c r="AI12" s="139" t="n"/>
      <x:c r="AJ12" s="139" t="n"/>
      <x:c r="AK12" s="139" t="n"/>
      <x:c r="AL12" s="139" t="n"/>
      <x:c r="AM12" s="139" t="n"/>
      <x:c r="AN12" s="139" t="n"/>
      <x:c r="AO12" s="139" t="n"/>
      <x:c r="AP12" s="139" t="n"/>
      <x:c r="AQ12" s="139" t="n"/>
      <x:c r="AR12" s="139" t="n"/>
      <x:c r="AS12" s="139" t="n"/>
      <x:c r="AT12" s="139" t="n"/>
      <x:c r="AU12" s="139" t="n"/>
      <x:c r="AV12" s="139" t="n"/>
      <x:c r="AW12" s="139" t="n"/>
      <x:c r="AX12" s="139" t="n"/>
      <x:c r="AY12" s="139" t="n"/>
      <x:c r="AZ12" s="139" t="n"/>
    </x:row>
    <x:row r="13">
      <x:c r="A13" s="139" t="inlineStr">
        <x:is>
          <x:t xml:space="preserve">Alwin</x:t>
        </x:is>
      </x:c>
      <x:c r="B13" s="139" t="n">
        <x:v>0</x:v>
      </x:c>
      <x:c r="C13" s="139" t="n">
        <x:v>0</x:v>
      </x:c>
      <x:c r="D13" s="139" t="n">
        <x:v>0</x:v>
      </x:c>
      <x:c r="E13" s="93" t="n">
        <x:v>0.5</x:v>
      </x:c>
      <x:c r="F13" s="96" t="n">
        <x:v>3</x:v>
      </x:c>
      <x:c r="G13" s="96" t="n">
        <x:v>3</x:v>
      </x:c>
      <x:c r="H13" s="96" t="n">
        <x:v>0</x:v>
      </x:c>
      <x:c r="I13" s="96" t="n">
        <x:v>3</x:v>
      </x:c>
      <x:c r="J13" s="96" t="n">
        <x:v>2.23606797749979</x:v>
      </x:c>
      <x:c r="K13" s="139" t="n"/>
      <x:c r="L13" s="139" t="n"/>
      <x:c r="M13" s="139" t="n"/>
      <x:c r="N13" s="139" t="n"/>
      <x:c r="O13" s="139" t="n"/>
      <x:c r="P13" s="139" t="n"/>
      <x:c r="Q13" s="139" t="n"/>
      <x:c r="R13" s="139" t="n"/>
      <x:c r="S13" s="139" t="n"/>
      <x:c r="T13" s="139" t="n"/>
      <x:c r="U13" s="139" t="n"/>
      <x:c r="V13" s="139" t="n"/>
      <x:c r="W13" s="139" t="n"/>
      <x:c r="X13" s="139" t="n"/>
      <x:c r="Y13" s="139" t="n"/>
      <x:c r="Z13" s="139" t="n"/>
      <x:c r="AA13" s="139" t="n"/>
      <x:c r="AB13" s="139" t="n"/>
      <x:c r="AC13" s="139" t="n"/>
      <x:c r="AD13" s="139" t="n"/>
      <x:c r="AE13" s="139" t="n"/>
      <x:c r="AF13" s="139" t="n"/>
      <x:c r="AG13" s="139" t="n"/>
      <x:c r="AH13" s="139" t="n"/>
      <x:c r="AI13" s="139" t="n"/>
      <x:c r="AJ13" s="139" t="n"/>
      <x:c r="AK13" s="139" t="n"/>
      <x:c r="AL13" s="139" t="n"/>
      <x:c r="AM13" s="139" t="n"/>
      <x:c r="AN13" s="139" t="n"/>
      <x:c r="AO13" s="139" t="n"/>
      <x:c r="AP13" s="139" t="n"/>
      <x:c r="AQ13" s="139" t="n"/>
      <x:c r="AR13" s="139" t="n"/>
      <x:c r="AS13" s="139" t="n"/>
      <x:c r="AT13" s="139" t="n"/>
      <x:c r="AU13" s="139" t="n"/>
      <x:c r="AV13" s="139" t="n"/>
      <x:c r="AW13" s="139" t="n"/>
      <x:c r="AX13" s="139" t="n"/>
      <x:c r="AY13" s="139" t="n"/>
      <x:c r="AZ13" s="139" t="n"/>
    </x:row>
    <x:row r="14">
      <x:c r="A14" s="139" t="inlineStr">
        <x:is>
          <x:t xml:space="preserve">Hansen</x:t>
        </x:is>
      </x:c>
      <x:c r="B14" s="139" t="n">
        <x:v>0</x:v>
      </x:c>
      <x:c r="C14" s="139" t="n">
        <x:v>0</x:v>
      </x:c>
      <x:c r="D14" s="139" t="n">
        <x:v>0</x:v>
      </x:c>
      <x:c r="E14" s="93" t="n">
        <x:v>0.5</x:v>
      </x:c>
      <x:c r="F14" s="96" t="n">
        <x:v>0</x:v>
      </x:c>
      <x:c r="G14" s="96" t="n">
        <x:v>2.5</x:v>
      </x:c>
      <x:c r="H14" s="96" t="n">
        <x:v>0</x:v>
      </x:c>
      <x:c r="I14" s="96" t="n">
        <x:v>0</x:v>
      </x:c>
      <x:c r="J14" s="96" t="n">
        <x:v>0.7637626158259734</x:v>
      </x:c>
      <x:c r="K14" s="139" t="n"/>
      <x:c r="L14" s="139" t="n"/>
      <x:c r="M14" s="139" t="n"/>
      <x:c r="N14" s="139" t="n"/>
      <x:c r="O14" s="139" t="n"/>
      <x:c r="P14" s="139" t="n"/>
      <x:c r="Q14" s="139" t="n"/>
      <x:c r="R14" s="139" t="n"/>
      <x:c r="S14" s="139" t="n"/>
      <x:c r="T14" s="139" t="n"/>
      <x:c r="U14" s="139" t="n"/>
      <x:c r="V14" s="139" t="n"/>
      <x:c r="W14" s="139" t="n"/>
      <x:c r="X14" s="139" t="n"/>
      <x:c r="Y14" s="139" t="n"/>
      <x:c r="Z14" s="139" t="n"/>
      <x:c r="AA14" s="139" t="n"/>
      <x:c r="AB14" s="139" t="n"/>
      <x:c r="AC14" s="139" t="n"/>
      <x:c r="AD14" s="139" t="n"/>
      <x:c r="AE14" s="139" t="n"/>
      <x:c r="AF14" s="139" t="n"/>
      <x:c r="AG14" s="139" t="n"/>
      <x:c r="AH14" s="139" t="n"/>
      <x:c r="AI14" s="139" t="n"/>
      <x:c r="AJ14" s="139" t="n"/>
      <x:c r="AK14" s="139" t="n"/>
      <x:c r="AL14" s="139" t="n"/>
      <x:c r="AM14" s="139" t="n"/>
      <x:c r="AN14" s="139" t="n"/>
      <x:c r="AO14" s="139" t="n"/>
      <x:c r="AP14" s="139" t="n"/>
      <x:c r="AQ14" s="139" t="n"/>
      <x:c r="AR14" s="139" t="n"/>
      <x:c r="AS14" s="139" t="n"/>
      <x:c r="AT14" s="139" t="n"/>
      <x:c r="AU14" s="139" t="n"/>
      <x:c r="AV14" s="139" t="n"/>
      <x:c r="AW14" s="139" t="n"/>
      <x:c r="AX14" s="139" t="n"/>
      <x:c r="AY14" s="139" t="n"/>
      <x:c r="AZ14" s="139" t="n"/>
    </x:row>
    <x:row r="15">
      <x:c r="A15" s="139" t="inlineStr">
        <x:is>
          <x:t xml:space="preserve">Rizky</x:t>
        </x:is>
      </x:c>
      <x:c r="B15" s="139" t="n">
        <x:v>0</x:v>
      </x:c>
      <x:c r="C15" s="139" t="n">
        <x:v>0</x:v>
      </x:c>
      <x:c r="D15" s="139" t="n">
        <x:v>0</x:v>
      </x:c>
      <x:c r="E15" s="93" t="n">
        <x:v>0.5</x:v>
      </x:c>
      <x:c r="F15" s="96" t="n">
        <x:v>2.5</x:v>
      </x:c>
      <x:c r="G15" s="96" t="n">
        <x:v>2.5</x:v>
      </x:c>
      <x:c r="H15" s="96" t="n">
        <x:v>1</x:v>
      </x:c>
      <x:c r="I15" s="96" t="n">
        <x:v>3.166666666666667</x:v>
      </x:c>
      <x:c r="J15" s="96" t="n">
        <x:v>2.477678124553084</x:v>
      </x:c>
      <x:c r="K15" s="139" t="n"/>
      <x:c r="L15" s="139" t="n"/>
      <x:c r="M15" s="139" t="n"/>
      <x:c r="N15" s="139" t="n"/>
      <x:c r="O15" s="139" t="n"/>
      <x:c r="P15" s="139" t="n"/>
      <x:c r="Q15" s="139" t="n"/>
      <x:c r="R15" s="139" t="n"/>
      <x:c r="S15" s="139" t="n"/>
      <x:c r="T15" s="139" t="n"/>
      <x:c r="U15" s="139" t="n"/>
      <x:c r="V15" s="139" t="n"/>
      <x:c r="W15" s="139" t="n"/>
      <x:c r="X15" s="139" t="n"/>
      <x:c r="Y15" s="139" t="n"/>
      <x:c r="Z15" s="139" t="n"/>
      <x:c r="AA15" s="139" t="n"/>
      <x:c r="AB15" s="139" t="n"/>
      <x:c r="AC15" s="139" t="n"/>
      <x:c r="AD15" s="139" t="n"/>
      <x:c r="AE15" s="139" t="n"/>
      <x:c r="AF15" s="139" t="n"/>
      <x:c r="AG15" s="139" t="n"/>
      <x:c r="AH15" s="139" t="n"/>
      <x:c r="AI15" s="139" t="n"/>
      <x:c r="AJ15" s="139" t="n"/>
      <x:c r="AK15" s="139" t="n"/>
      <x:c r="AL15" s="139" t="n"/>
      <x:c r="AM15" s="139" t="n"/>
      <x:c r="AN15" s="139" t="n"/>
      <x:c r="AO15" s="139" t="n"/>
      <x:c r="AP15" s="139" t="n"/>
      <x:c r="AQ15" s="139" t="n"/>
      <x:c r="AR15" s="139" t="n"/>
      <x:c r="AS15" s="139" t="n"/>
      <x:c r="AT15" s="139" t="n"/>
      <x:c r="AU15" s="139" t="n"/>
      <x:c r="AV15" s="139" t="n"/>
      <x:c r="AW15" s="139" t="n"/>
      <x:c r="AX15" s="139" t="n"/>
      <x:c r="AY15" s="139" t="n"/>
      <x:c r="AZ15" s="139" t="n"/>
    </x:row>
    <x:row r="16">
      <x:c r="A16" s="139" t="inlineStr">
        <x:is>
          <x:t xml:space="preserve">Austin</x:t>
        </x:is>
      </x:c>
      <x:c r="B16" s="139" t="n">
        <x:v>5</x:v>
      </x:c>
      <x:c r="C16" s="139" t="n">
        <x:v>2</x:v>
      </x:c>
      <x:c r="D16" s="139" t="n">
        <x:v>3</x:v>
      </x:c>
      <x:c r="E16" s="93" t="n">
        <x:v>0.4</x:v>
      </x:c>
      <x:c r="F16" s="96" t="n">
        <x:v>3.222222222222222</x:v>
      </x:c>
      <x:c r="G16" s="96" t="n">
        <x:v>1.8</x:v>
      </x:c>
      <x:c r="H16" s="96" t="n">
        <x:v>3</x:v>
      </x:c>
      <x:c r="I16" s="96" t="n">
        <x:v>4.079365079365079</x:v>
      </x:c>
      <x:c r="J16" s="96" t="n">
        <x:v>2.744196101756935</x:v>
      </x:c>
      <x:c r="K16" s="139" t="n"/>
      <x:c r="L16" s="139" t="n"/>
      <x:c r="M16" s="139" t="n"/>
      <x:c r="N16" s="139" t="n"/>
      <x:c r="O16" s="139" t="n"/>
      <x:c r="P16" s="139" t="n"/>
      <x:c r="Q16" s="139" t="n"/>
      <x:c r="R16" s="139" t="n"/>
      <x:c r="S16" s="139" t="n"/>
      <x:c r="T16" s="139" t="n"/>
      <x:c r="U16" s="139" t="n"/>
      <x:c r="V16" s="139" t="n"/>
      <x:c r="W16" s="139" t="n"/>
      <x:c r="X16" s="139" t="n"/>
      <x:c r="Y16" s="139" t="n"/>
      <x:c r="Z16" s="139" t="n"/>
      <x:c r="AA16" s="139" t="n"/>
      <x:c r="AB16" s="139" t="n"/>
      <x:c r="AC16" s="139" t="n"/>
      <x:c r="AD16" s="139" t="n"/>
      <x:c r="AE16" s="139" t="n"/>
      <x:c r="AF16" s="139" t="n"/>
      <x:c r="AG16" s="139" t="n"/>
      <x:c r="AH16" s="139" t="n"/>
      <x:c r="AI16" s="139" t="n"/>
      <x:c r="AJ16" s="139" t="n"/>
      <x:c r="AK16" s="139" t="n"/>
      <x:c r="AL16" s="139" t="n"/>
      <x:c r="AM16" s="139" t="n"/>
      <x:c r="AN16" s="139" t="n"/>
      <x:c r="AO16" s="139" t="n"/>
      <x:c r="AP16" s="139" t="n"/>
      <x:c r="AQ16" s="139" t="n"/>
      <x:c r="AR16" s="139" t="n"/>
      <x:c r="AS16" s="139" t="n"/>
      <x:c r="AT16" s="139" t="n"/>
      <x:c r="AU16" s="139" t="n"/>
      <x:c r="AV16" s="139" t="n"/>
      <x:c r="AW16" s="139" t="n"/>
      <x:c r="AX16" s="139" t="n"/>
      <x:c r="AY16" s="139" t="n"/>
      <x:c r="AZ16" s="139" t="n"/>
    </x:row>
    <x:row r="17">
      <x:c r="A17" s="139" t="inlineStr">
        <x:is>
          <x:t xml:space="preserve">Edy SP</x:t>
        </x:is>
      </x:c>
      <x:c r="B17" s="139" t="n">
        <x:v>9</x:v>
      </x:c>
      <x:c r="C17" s="139" t="n">
        <x:v>3</x:v>
      </x:c>
      <x:c r="D17" s="139" t="n">
        <x:v>6</x:v>
      </x:c>
      <x:c r="E17" s="93" t="n">
        <x:v>0.3333333333333333</x:v>
      </x:c>
      <x:c r="F17" s="96" t="n">
        <x:v>2.5</x:v>
      </x:c>
      <x:c r="G17" s="96" t="n">
        <x:v>2.4375</x:v>
      </x:c>
      <x:c r="H17" s="96" t="n">
        <x:v>2</x:v>
      </x:c>
      <x:c r="I17" s="96" t="n">
        <x:v>2.766666666666667</x:v>
      </x:c>
      <x:c r="J17" s="96" t="n">
        <x:v>2.741451359326945</x:v>
      </x:c>
      <x:c r="K17" s="139" t="n"/>
      <x:c r="L17" s="139" t="n"/>
      <x:c r="M17" s="139" t="n"/>
      <x:c r="N17" s="139" t="n"/>
      <x:c r="O17" s="139" t="n"/>
      <x:c r="P17" s="139" t="n"/>
      <x:c r="Q17" s="139" t="n"/>
      <x:c r="R17" s="139" t="n"/>
      <x:c r="S17" s="139" t="n"/>
      <x:c r="T17" s="139" t="n"/>
      <x:c r="U17" s="139" t="n"/>
      <x:c r="V17" s="139" t="n"/>
      <x:c r="W17" s="139" t="n"/>
      <x:c r="X17" s="139" t="n"/>
      <x:c r="Y17" s="139" t="n"/>
      <x:c r="Z17" s="139" t="n"/>
      <x:c r="AA17" s="139" t="n"/>
      <x:c r="AB17" s="139" t="n"/>
      <x:c r="AC17" s="139" t="n"/>
      <x:c r="AD17" s="139" t="n"/>
      <x:c r="AE17" s="139" t="n"/>
      <x:c r="AF17" s="139" t="n"/>
      <x:c r="AG17" s="139" t="n"/>
      <x:c r="AH17" s="139" t="n"/>
      <x:c r="AI17" s="139" t="n"/>
      <x:c r="AJ17" s="139" t="n"/>
      <x:c r="AK17" s="139" t="n"/>
      <x:c r="AL17" s="139" t="n"/>
      <x:c r="AM17" s="139" t="n"/>
      <x:c r="AN17" s="139" t="n"/>
      <x:c r="AO17" s="139" t="n"/>
      <x:c r="AP17" s="139" t="n"/>
      <x:c r="AQ17" s="139" t="n"/>
      <x:c r="AR17" s="139" t="n"/>
      <x:c r="AS17" s="139" t="n"/>
      <x:c r="AT17" s="139" t="n"/>
      <x:c r="AU17" s="139" t="n"/>
      <x:c r="AV17" s="139" t="n"/>
      <x:c r="AW17" s="139" t="n"/>
      <x:c r="AX17" s="139" t="n"/>
      <x:c r="AY17" s="139" t="n"/>
      <x:c r="AZ17" s="139" t="n"/>
    </x:row>
    <x:row r="18">
      <x:c r="A18" s="139" t="inlineStr">
        <x:is>
          <x:t xml:space="preserve">Donny</x:t>
        </x:is>
      </x:c>
      <x:c r="B18" s="139" t="n">
        <x:v>6</x:v>
      </x:c>
      <x:c r="C18" s="139" t="n">
        <x:v>2</x:v>
      </x:c>
      <x:c r="D18" s="139" t="n">
        <x:v>4</x:v>
      </x:c>
      <x:c r="E18" s="93" t="n">
        <x:v>0.3333333333333333</x:v>
      </x:c>
      <x:c r="F18" s="96" t="n">
        <x:v>1.75</x:v>
      </x:c>
      <x:c r="G18" s="96" t="n">
        <x:v>2</x:v>
      </x:c>
      <x:c r="H18" s="96" t="n">
        <x:v>0</x:v>
      </x:c>
      <x:c r="I18" s="96" t="n">
        <x:v>1.75</x:v>
      </x:c>
      <x:c r="J18" s="96" t="n">
        <x:v>2.10076727423479</x:v>
      </x:c>
      <x:c r="K18" s="139" t="n"/>
      <x:c r="L18" s="139" t="n"/>
      <x:c r="M18" s="139" t="n"/>
      <x:c r="N18" s="139" t="n"/>
      <x:c r="O18" s="139" t="n"/>
      <x:c r="P18" s="139" t="n"/>
      <x:c r="Q18" s="139" t="n"/>
      <x:c r="R18" s="139" t="n"/>
      <x:c r="S18" s="139" t="n"/>
      <x:c r="T18" s="139" t="n"/>
      <x:c r="U18" s="139" t="n"/>
      <x:c r="V18" s="139" t="n"/>
      <x:c r="W18" s="139" t="n"/>
      <x:c r="X18" s="139" t="n"/>
      <x:c r="Y18" s="139" t="n"/>
      <x:c r="Z18" s="139" t="n"/>
      <x:c r="AA18" s="139" t="n"/>
      <x:c r="AB18" s="139" t="n"/>
      <x:c r="AC18" s="139" t="n"/>
      <x:c r="AD18" s="139" t="n"/>
      <x:c r="AE18" s="139" t="n"/>
      <x:c r="AF18" s="139" t="n"/>
      <x:c r="AG18" s="139" t="n"/>
      <x:c r="AH18" s="139" t="n"/>
      <x:c r="AI18" s="139" t="n"/>
      <x:c r="AJ18" s="139" t="n"/>
      <x:c r="AK18" s="139" t="n"/>
      <x:c r="AL18" s="139" t="n"/>
      <x:c r="AM18" s="139" t="n"/>
      <x:c r="AN18" s="139" t="n"/>
      <x:c r="AO18" s="139" t="n"/>
      <x:c r="AP18" s="139" t="n"/>
      <x:c r="AQ18" s="139" t="n"/>
      <x:c r="AR18" s="139" t="n"/>
      <x:c r="AS18" s="139" t="n"/>
      <x:c r="AT18" s="139" t="n"/>
      <x:c r="AU18" s="139" t="n"/>
      <x:c r="AV18" s="139" t="n"/>
      <x:c r="AW18" s="139" t="n"/>
      <x:c r="AX18" s="139" t="n"/>
      <x:c r="AY18" s="139" t="n"/>
      <x:c r="AZ18" s="139" t="n"/>
    </x:row>
    <x:row r="19">
      <x:c r="A19" s="139" t="inlineStr">
        <x:is>
          <x:t xml:space="preserve">Alice</x:t>
        </x:is>
      </x:c>
      <x:c r="B19" s="139" t="n">
        <x:v>6</x:v>
      </x:c>
      <x:c r="C19" s="139" t="n">
        <x:v>1</x:v>
      </x:c>
      <x:c r="D19" s="139" t="n">
        <x:v>5</x:v>
      </x:c>
      <x:c r="E19" s="93" t="n">
        <x:v>0.1666666666666667</x:v>
      </x:c>
      <x:c r="F19" s="96" t="n">
        <x:v>1</x:v>
      </x:c>
      <x:c r="G19" s="96" t="n">
        <x:v>2.307692307692307</x:v>
      </x:c>
      <x:c r="H19" s="96" t="n">
        <x:v>0</x:v>
      </x:c>
      <x:c r="I19" s="96" t="n">
        <x:v>1</x:v>
      </x:c>
      <x:c r="J19" s="96" t="n">
        <x:v>1.437472271249865</x:v>
      </x:c>
      <x:c r="K19" s="139" t="n"/>
      <x:c r="L19" s="139" t="n"/>
      <x:c r="M19" s="139" t="n"/>
      <x:c r="N19" s="139" t="n"/>
      <x:c r="O19" s="139" t="n"/>
      <x:c r="P19" s="139" t="n"/>
      <x:c r="Q19" s="139" t="n"/>
      <x:c r="R19" s="139" t="n"/>
      <x:c r="S19" s="139" t="n"/>
      <x:c r="T19" s="139" t="n"/>
      <x:c r="U19" s="139" t="n"/>
      <x:c r="V19" s="139" t="n"/>
      <x:c r="W19" s="139" t="n"/>
      <x:c r="X19" s="139" t="n"/>
      <x:c r="Y19" s="139" t="n"/>
      <x:c r="Z19" s="139" t="n"/>
      <x:c r="AA19" s="139" t="n"/>
      <x:c r="AB19" s="139" t="n"/>
      <x:c r="AC19" s="139" t="n"/>
      <x:c r="AD19" s="139" t="n"/>
      <x:c r="AE19" s="139" t="n"/>
      <x:c r="AF19" s="139" t="n"/>
      <x:c r="AG19" s="139" t="n"/>
      <x:c r="AH19" s="139" t="n"/>
      <x:c r="AI19" s="139" t="n"/>
      <x:c r="AJ19" s="139" t="n"/>
      <x:c r="AK19" s="139" t="n"/>
      <x:c r="AL19" s="139" t="n"/>
      <x:c r="AM19" s="139" t="n"/>
      <x:c r="AN19" s="139" t="n"/>
      <x:c r="AO19" s="139" t="n"/>
      <x:c r="AP19" s="139" t="n"/>
      <x:c r="AQ19" s="139" t="n"/>
      <x:c r="AR19" s="139" t="n"/>
      <x:c r="AS19" s="139" t="n"/>
      <x:c r="AT19" s="139" t="n"/>
      <x:c r="AU19" s="139" t="n"/>
      <x:c r="AV19" s="139" t="n"/>
      <x:c r="AW19" s="139" t="n"/>
      <x:c r="AX19" s="139" t="n"/>
      <x:c r="AY19" s="139" t="n"/>
      <x:c r="AZ19" s="139" t="n"/>
    </x:row>
    <x:row r="20">
      <x:c r="A20" s="139" t="inlineStr">
        <x:is>
          <x:t xml:space="preserve">Welly</x:t>
        </x:is>
      </x:c>
      <x:c r="B20" s="139" t="n">
        <x:v>2</x:v>
      </x:c>
      <x:c r="C20" s="139" t="n">
        <x:v>0</x:v>
      </x:c>
      <x:c r="D20" s="139" t="n">
        <x:v>2</x:v>
      </x:c>
      <x:c r="E20" s="93" t="n">
        <x:v>0</x:v>
      </x:c>
      <x:c r="F20" s="96" t="n">
        <x:v>3</x:v>
      </x:c>
      <x:c r="G20" s="96" t="n">
        <x:v>2.75</x:v>
      </x:c>
      <x:c r="H20" s="96" t="n">
        <x:v>0</x:v>
      </x:c>
      <x:c r="I20" s="96" t="n">
        <x:v>3</x:v>
      </x:c>
      <x:c r="J20" s="96" t="n">
        <x:v>2.576819745345025</x:v>
      </x:c>
      <x:c r="K20" s="139" t="n"/>
      <x:c r="L20" s="139" t="n"/>
      <x:c r="M20" s="139" t="n"/>
      <x:c r="N20" s="139" t="n"/>
      <x:c r="O20" s="139" t="n"/>
      <x:c r="P20" s="139" t="n"/>
      <x:c r="Q20" s="139" t="n"/>
      <x:c r="R20" s="139" t="n"/>
      <x:c r="S20" s="139" t="n"/>
      <x:c r="T20" s="139" t="n"/>
      <x:c r="U20" s="139" t="n"/>
      <x:c r="V20" s="139" t="n"/>
      <x:c r="W20" s="139" t="n"/>
      <x:c r="X20" s="139" t="n"/>
      <x:c r="Y20" s="139" t="n"/>
      <x:c r="Z20" s="139" t="n"/>
      <x:c r="AA20" s="139" t="n"/>
      <x:c r="AB20" s="139" t="n"/>
      <x:c r="AC20" s="139" t="n"/>
      <x:c r="AD20" s="139" t="n"/>
      <x:c r="AE20" s="139" t="n"/>
      <x:c r="AF20" s="139" t="n"/>
      <x:c r="AG20" s="139" t="n"/>
      <x:c r="AH20" s="139" t="n"/>
      <x:c r="AI20" s="139" t="n"/>
      <x:c r="AJ20" s="139" t="n"/>
      <x:c r="AK20" s="139" t="n"/>
      <x:c r="AL20" s="139" t="n"/>
      <x:c r="AM20" s="139" t="n"/>
      <x:c r="AN20" s="139" t="n"/>
      <x:c r="AO20" s="139" t="n"/>
      <x:c r="AP20" s="139" t="n"/>
      <x:c r="AQ20" s="139" t="n"/>
      <x:c r="AR20" s="139" t="n"/>
      <x:c r="AS20" s="139" t="n"/>
      <x:c r="AT20" s="139" t="n"/>
      <x:c r="AU20" s="139" t="n"/>
      <x:c r="AV20" s="139" t="n"/>
      <x:c r="AW20" s="139" t="n"/>
      <x:c r="AX20" s="139" t="n"/>
      <x:c r="AY20" s="139" t="n"/>
      <x:c r="AZ20" s="139" t="n"/>
    </x:row>
    <x:row r="21">
      <x:c r="A21" s="139" t="inlineStr">
        <x:is>
          <x:t xml:space="preserve">Nico</x:t>
        </x:is>
      </x:c>
      <x:c r="B21" s="139" t="n">
        <x:v>1</x:v>
      </x:c>
      <x:c r="C21" s="139" t="n">
        <x:v>0</x:v>
      </x:c>
      <x:c r="D21" s="139" t="n">
        <x:v>1</x:v>
      </x:c>
      <x:c r="E21" s="93" t="n">
        <x:v>0</x:v>
      </x:c>
      <x:c r="F21" s="96" t="n">
        <x:v>3</x:v>
      </x:c>
      <x:c r="G21" s="96" t="n">
        <x:v>2.75</x:v>
      </x:c>
      <x:c r="H21" s="96" t="n">
        <x:v>0</x:v>
      </x:c>
      <x:c r="I21" s="96" t="n">
        <x:v>3</x:v>
      </x:c>
      <x:c r="J21" s="96" t="n">
        <x:v>2.852873794770615</x:v>
      </x:c>
      <x:c r="K21" s="139" t="n"/>
      <x:c r="L21" s="139" t="n"/>
      <x:c r="M21" s="139" t="n"/>
      <x:c r="N21" s="139" t="n"/>
      <x:c r="O21" s="139" t="n"/>
      <x:c r="P21" s="139" t="n"/>
      <x:c r="Q21" s="139" t="n"/>
      <x:c r="R21" s="139" t="n"/>
      <x:c r="S21" s="139" t="n"/>
      <x:c r="T21" s="139" t="n"/>
      <x:c r="U21" s="139" t="n"/>
      <x:c r="V21" s="139" t="n"/>
      <x:c r="W21" s="139" t="n"/>
      <x:c r="X21" s="139" t="n"/>
      <x:c r="Y21" s="139" t="n"/>
      <x:c r="Z21" s="139" t="n"/>
      <x:c r="AA21" s="139" t="n"/>
      <x:c r="AB21" s="139" t="n"/>
      <x:c r="AC21" s="139" t="n"/>
      <x:c r="AD21" s="139" t="n"/>
      <x:c r="AE21" s="139" t="n"/>
      <x:c r="AF21" s="139" t="n"/>
      <x:c r="AG21" s="139" t="n"/>
      <x:c r="AH21" s="139" t="n"/>
      <x:c r="AI21" s="139" t="n"/>
      <x:c r="AJ21" s="139" t="n"/>
      <x:c r="AK21" s="139" t="n"/>
      <x:c r="AL21" s="139" t="n"/>
      <x:c r="AM21" s="139" t="n"/>
      <x:c r="AN21" s="139" t="n"/>
      <x:c r="AO21" s="139" t="n"/>
      <x:c r="AP21" s="139" t="n"/>
      <x:c r="AQ21" s="139" t="n"/>
      <x:c r="AR21" s="139" t="n"/>
      <x:c r="AS21" s="139" t="n"/>
      <x:c r="AT21" s="139" t="n"/>
      <x:c r="AU21" s="139" t="n"/>
      <x:c r="AV21" s="139" t="n"/>
      <x:c r="AW21" s="139" t="n"/>
      <x:c r="AX21" s="139" t="n"/>
      <x:c r="AY21" s="139" t="n"/>
      <x:c r="AZ21" s="139" t="n"/>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c r="V22" s="139" t="n"/>
      <x:c r="W22" s="139" t="n"/>
      <x:c r="X22" s="139" t="n"/>
      <x:c r="Y22" s="139" t="n"/>
      <x:c r="Z22" s="139" t="n"/>
      <x:c r="AA22" s="139" t="n"/>
      <x:c r="AB22" s="139" t="n"/>
      <x:c r="AC22" s="139" t="n"/>
      <x:c r="AD22" s="139" t="n"/>
      <x:c r="AE22" s="139" t="n"/>
      <x:c r="AF22" s="139" t="n"/>
      <x:c r="AG22" s="139" t="n"/>
      <x:c r="AH22" s="139" t="n"/>
      <x:c r="AI22" s="139" t="n"/>
      <x:c r="AJ22" s="139" t="n"/>
      <x:c r="AK22" s="139" t="n"/>
      <x:c r="AL22" s="139" t="n"/>
      <x:c r="AM22" s="139" t="n"/>
      <x:c r="AN22" s="139" t="n"/>
      <x:c r="AO22" s="139" t="n"/>
      <x:c r="AP22" s="139" t="n"/>
      <x:c r="AQ22" s="139" t="n"/>
      <x:c r="AR22" s="139" t="n"/>
      <x:c r="AS22" s="139" t="n"/>
      <x:c r="AT22" s="139" t="n"/>
      <x:c r="AU22" s="139" t="n"/>
      <x:c r="AV22" s="139" t="n"/>
      <x:c r="AW22" s="139" t="n"/>
      <x:c r="AX22" s="139" t="n"/>
      <x:c r="AY22" s="139" t="n"/>
      <x:c r="AZ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c r="V23" s="139" t="n"/>
      <x:c r="W23" s="139" t="n"/>
      <x:c r="X23" s="139" t="n"/>
      <x:c r="Y23" s="139" t="n"/>
      <x:c r="Z23" s="139" t="n"/>
      <x:c r="AA23" s="139" t="n"/>
      <x:c r="AB23" s="139" t="n"/>
      <x:c r="AC23" s="139" t="n"/>
      <x:c r="AD23" s="139" t="n"/>
      <x:c r="AE23" s="139" t="n"/>
      <x:c r="AF23" s="139" t="n"/>
      <x:c r="AG23" s="139" t="n"/>
      <x:c r="AH23" s="139" t="n"/>
      <x:c r="AI23" s="139" t="n"/>
      <x:c r="AJ23" s="139" t="n"/>
      <x:c r="AK23" s="139" t="n"/>
      <x:c r="AL23" s="139" t="n"/>
      <x:c r="AM23" s="139" t="n"/>
      <x:c r="AN23" s="139" t="n"/>
      <x:c r="AO23" s="139" t="n"/>
      <x:c r="AP23" s="139" t="n"/>
      <x:c r="AQ23" s="139" t="n"/>
      <x:c r="AR23" s="139" t="n"/>
      <x:c r="AS23" s="139" t="n"/>
      <x:c r="AT23" s="139" t="n"/>
      <x:c r="AU23" s="139" t="n"/>
      <x:c r="AV23" s="139" t="n"/>
      <x:c r="AW23" s="139" t="n"/>
      <x:c r="AX23" s="139" t="n"/>
      <x:c r="AY23" s="139" t="n"/>
      <x:c r="AZ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c r="V24" s="139" t="n"/>
      <x:c r="W24" s="139" t="n"/>
      <x:c r="X24" s="139" t="n"/>
      <x:c r="Y24" s="139" t="n"/>
      <x:c r="Z24" s="139" t="n"/>
      <x:c r="AA24" s="139" t="n"/>
      <x:c r="AB24" s="139" t="n"/>
      <x:c r="AC24" s="139" t="n"/>
      <x:c r="AD24" s="139" t="n"/>
      <x:c r="AE24" s="139" t="n"/>
      <x:c r="AF24" s="139" t="n"/>
      <x:c r="AG24" s="139" t="n"/>
      <x:c r="AH24" s="139" t="n"/>
      <x:c r="AI24" s="139" t="n"/>
      <x:c r="AJ24" s="139" t="n"/>
      <x:c r="AK24" s="139" t="n"/>
      <x:c r="AL24" s="139" t="n"/>
      <x:c r="AM24" s="139" t="n"/>
      <x:c r="AN24" s="139" t="n"/>
      <x:c r="AO24" s="139" t="n"/>
      <x:c r="AP24" s="139" t="n"/>
      <x:c r="AQ24" s="139" t="n"/>
      <x:c r="AR24" s="139" t="n"/>
      <x:c r="AS24" s="139" t="n"/>
      <x:c r="AT24" s="139" t="n"/>
      <x:c r="AU24" s="139" t="n"/>
      <x:c r="AV24" s="139" t="n"/>
      <x:c r="AW24" s="139" t="n"/>
      <x:c r="AX24" s="139" t="n"/>
      <x:c r="AY24" s="139" t="n"/>
      <x:c r="AZ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c r="V25" s="139" t="n"/>
      <x:c r="W25" s="139" t="n"/>
      <x:c r="X25" s="139" t="n"/>
      <x:c r="Y25" s="139" t="n"/>
      <x:c r="Z25" s="139" t="n"/>
      <x:c r="AA25" s="139" t="n"/>
      <x:c r="AB25" s="139" t="n"/>
      <x:c r="AC25" s="139" t="n"/>
      <x:c r="AD25" s="139" t="n"/>
      <x:c r="AE25" s="139" t="n"/>
      <x:c r="AF25" s="139" t="n"/>
      <x:c r="AG25" s="139" t="n"/>
      <x:c r="AH25" s="139" t="n"/>
      <x:c r="AI25" s="139" t="n"/>
      <x:c r="AJ25" s="139" t="n"/>
      <x:c r="AK25" s="139" t="n"/>
      <x:c r="AL25" s="139" t="n"/>
      <x:c r="AM25" s="139" t="n"/>
      <x:c r="AN25" s="139" t="n"/>
      <x:c r="AO25" s="139" t="n"/>
      <x:c r="AP25" s="139" t="n"/>
      <x:c r="AQ25" s="139" t="n"/>
      <x:c r="AR25" s="139" t="n"/>
      <x:c r="AS25" s="139" t="n"/>
      <x:c r="AT25" s="139" t="n"/>
      <x:c r="AU25" s="139" t="n"/>
      <x:c r="AV25" s="139" t="n"/>
      <x:c r="AW25" s="139" t="n"/>
      <x:c r="AX25" s="139" t="n"/>
      <x:c r="AY25" s="139" t="n"/>
      <x:c r="AZ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c r="V26" s="139" t="n"/>
      <x:c r="W26" s="139" t="n"/>
      <x:c r="X26" s="139" t="n"/>
      <x:c r="Y26" s="139" t="n"/>
      <x:c r="Z26" s="139" t="n"/>
      <x:c r="AA26" s="139" t="n"/>
      <x:c r="AB26" s="139" t="n"/>
      <x:c r="AC26" s="139" t="n"/>
      <x:c r="AD26" s="139" t="n"/>
      <x:c r="AE26" s="139" t="n"/>
      <x:c r="AF26" s="139" t="n"/>
      <x:c r="AG26" s="139" t="n"/>
      <x:c r="AH26" s="139" t="n"/>
      <x:c r="AI26" s="139" t="n"/>
      <x:c r="AJ26" s="139" t="n"/>
      <x:c r="AK26" s="139" t="n"/>
      <x:c r="AL26" s="139" t="n"/>
      <x:c r="AM26" s="139" t="n"/>
      <x:c r="AN26" s="139" t="n"/>
      <x:c r="AO26" s="139" t="n"/>
      <x:c r="AP26" s="139" t="n"/>
      <x:c r="AQ26" s="139" t="n"/>
      <x:c r="AR26" s="139" t="n"/>
      <x:c r="AS26" s="139" t="n"/>
      <x:c r="AT26" s="139" t="n"/>
      <x:c r="AU26" s="139" t="n"/>
      <x:c r="AV26" s="139" t="n"/>
      <x:c r="AW26" s="139" t="n"/>
      <x:c r="AX26" s="139" t="n"/>
      <x:c r="AY26" s="139" t="n"/>
      <x:c r="AZ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c r="V27" s="139" t="n"/>
      <x:c r="W27" s="139" t="n"/>
      <x:c r="X27" s="139" t="n"/>
      <x:c r="Y27" s="139" t="n"/>
      <x:c r="Z27" s="139" t="n"/>
      <x:c r="AA27" s="139" t="n"/>
      <x:c r="AB27" s="139" t="n"/>
      <x:c r="AC27" s="139" t="n"/>
      <x:c r="AD27" s="139" t="n"/>
      <x:c r="AE27" s="139" t="n"/>
      <x:c r="AF27" s="139" t="n"/>
      <x:c r="AG27" s="139" t="n"/>
      <x:c r="AH27" s="139" t="n"/>
      <x:c r="AI27" s="139" t="n"/>
      <x:c r="AJ27" s="139" t="n"/>
      <x:c r="AK27" s="139" t="n"/>
      <x:c r="AL27" s="139" t="n"/>
      <x:c r="AM27" s="139" t="n"/>
      <x:c r="AN27" s="139" t="n"/>
      <x:c r="AO27" s="139" t="n"/>
      <x:c r="AP27" s="139" t="n"/>
      <x:c r="AQ27" s="139" t="n"/>
      <x:c r="AR27" s="139" t="n"/>
      <x:c r="AS27" s="139" t="n"/>
      <x:c r="AT27" s="139" t="n"/>
      <x:c r="AU27" s="139" t="n"/>
      <x:c r="AV27" s="139" t="n"/>
      <x:c r="AW27" s="139" t="n"/>
      <x:c r="AX27" s="139" t="n"/>
      <x:c r="AY27" s="139" t="n"/>
      <x:c r="AZ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c r="V28" s="139" t="n"/>
      <x:c r="W28" s="139" t="n"/>
      <x:c r="X28" s="139" t="n"/>
      <x:c r="Y28" s="139" t="n"/>
      <x:c r="Z28" s="139" t="n"/>
      <x:c r="AA28" s="139" t="n"/>
      <x:c r="AB28" s="139" t="n"/>
      <x:c r="AC28" s="139" t="n"/>
      <x:c r="AD28" s="139" t="n"/>
      <x:c r="AE28" s="139" t="n"/>
      <x:c r="AF28" s="139" t="n"/>
      <x:c r="AG28" s="139" t="n"/>
      <x:c r="AH28" s="139" t="n"/>
      <x:c r="AI28" s="139" t="n"/>
      <x:c r="AJ28" s="139" t="n"/>
      <x:c r="AK28" s="139" t="n"/>
      <x:c r="AL28" s="139" t="n"/>
      <x:c r="AM28" s="139" t="n"/>
      <x:c r="AN28" s="139" t="n"/>
      <x:c r="AO28" s="139" t="n"/>
      <x:c r="AP28" s="139" t="n"/>
      <x:c r="AQ28" s="139" t="n"/>
      <x:c r="AR28" s="139" t="n"/>
      <x:c r="AS28" s="139" t="n"/>
      <x:c r="AT28" s="139" t="n"/>
      <x:c r="AU28" s="139" t="n"/>
      <x:c r="AV28" s="139" t="n"/>
      <x:c r="AW28" s="139" t="n"/>
      <x:c r="AX28" s="139" t="n"/>
      <x:c r="AY28" s="139" t="n"/>
      <x:c r="AZ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c r="V29" s="139" t="n"/>
      <x:c r="W29" s="139" t="n"/>
      <x:c r="X29" s="139" t="n"/>
      <x:c r="Y29" s="139" t="n"/>
      <x:c r="Z29" s="139" t="n"/>
      <x:c r="AA29" s="139" t="n"/>
      <x:c r="AB29" s="139" t="n"/>
      <x:c r="AC29" s="139" t="n"/>
      <x:c r="AD29" s="139" t="n"/>
      <x:c r="AE29" s="139" t="n"/>
      <x:c r="AF29" s="139" t="n"/>
      <x:c r="AG29" s="139" t="n"/>
      <x:c r="AH29" s="139" t="n"/>
      <x:c r="AI29" s="139" t="n"/>
      <x:c r="AJ29" s="139" t="n"/>
      <x:c r="AK29" s="139" t="n"/>
      <x:c r="AL29" s="139" t="n"/>
      <x:c r="AM29" s="139" t="n"/>
      <x:c r="AN29" s="139" t="n"/>
      <x:c r="AO29" s="139" t="n"/>
      <x:c r="AP29" s="139" t="n"/>
      <x:c r="AQ29" s="139" t="n"/>
      <x:c r="AR29" s="139" t="n"/>
      <x:c r="AS29" s="139" t="n"/>
      <x:c r="AT29" s="139" t="n"/>
      <x:c r="AU29" s="139" t="n"/>
      <x:c r="AV29" s="139" t="n"/>
      <x:c r="AW29" s="139" t="n"/>
      <x:c r="AX29" s="139" t="n"/>
      <x:c r="AY29" s="139" t="n"/>
      <x:c r="AZ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c r="V30" s="139" t="n"/>
      <x:c r="W30" s="139" t="n"/>
      <x:c r="X30" s="139" t="n"/>
      <x:c r="Y30" s="139" t="n"/>
      <x:c r="Z30" s="139" t="n"/>
      <x:c r="AA30" s="139" t="n"/>
      <x:c r="AB30" s="139" t="n"/>
      <x:c r="AC30" s="139" t="n"/>
      <x:c r="AD30" s="139" t="n"/>
      <x:c r="AE30" s="139" t="n"/>
      <x:c r="AF30" s="139" t="n"/>
      <x:c r="AG30" s="139" t="n"/>
      <x:c r="AH30" s="139" t="n"/>
      <x:c r="AI30" s="139" t="n"/>
      <x:c r="AJ30" s="139" t="n"/>
      <x:c r="AK30" s="139" t="n"/>
      <x:c r="AL30" s="139" t="n"/>
      <x:c r="AM30" s="139" t="n"/>
      <x:c r="AN30" s="139" t="n"/>
      <x:c r="AO30" s="139" t="n"/>
      <x:c r="AP30" s="139" t="n"/>
      <x:c r="AQ30" s="139" t="n"/>
      <x:c r="AR30" s="139" t="n"/>
      <x:c r="AS30" s="139" t="n"/>
      <x:c r="AT30" s="139" t="n"/>
      <x:c r="AU30" s="139" t="n"/>
      <x:c r="AV30" s="139" t="n"/>
      <x:c r="AW30" s="139" t="n"/>
      <x:c r="AX30" s="139" t="n"/>
      <x:c r="AY30" s="139" t="n"/>
      <x:c r="AZ30" s="139" t="n"/>
    </x:row>
    <x:row r="31">
      <x:c r="A31" s="139" t="n"/>
      <x:c r="B31" s="139" t="n"/>
      <x:c r="C31" s="139" t="n"/>
      <x:c r="D31" s="139" t="n"/>
      <x:c r="E31" s="139" t="n"/>
      <x:c r="F31" s="139" t="n"/>
      <x:c r="G31" s="139" t="n"/>
      <x:c r="H31" s="139" t="n"/>
      <x:c r="I31" s="139" t="n"/>
      <x:c r="J31" s="139" t="n"/>
      <x:c r="K31" s="139" t="n"/>
      <x:c r="L31" s="139" t="n"/>
      <x:c r="M31" s="139" t="n"/>
      <x:c r="N31" s="139" t="n"/>
      <x:c r="O31" s="139" t="n"/>
      <x:c r="P31" s="139" t="n"/>
      <x:c r="Q31" s="139" t="n"/>
      <x:c r="R31" s="139" t="n"/>
      <x:c r="S31" s="139" t="n"/>
      <x:c r="T31" s="139" t="n"/>
      <x:c r="U31" s="139" t="n"/>
      <x:c r="V31" s="139" t="n"/>
      <x:c r="W31" s="139" t="n"/>
      <x:c r="X31" s="139" t="n"/>
      <x:c r="Y31" s="139" t="n"/>
      <x:c r="Z31" s="139" t="n"/>
      <x:c r="AA31" s="139" t="n"/>
      <x:c r="AB31" s="139" t="n"/>
      <x:c r="AC31" s="139" t="n"/>
      <x:c r="AD31" s="139" t="n"/>
      <x:c r="AE31" s="139" t="n"/>
      <x:c r="AF31" s="139" t="n"/>
      <x:c r="AG31" s="139" t="n"/>
      <x:c r="AH31" s="139" t="n"/>
      <x:c r="AI31" s="139" t="n"/>
      <x:c r="AJ31" s="139" t="n"/>
      <x:c r="AK31" s="139" t="n"/>
      <x:c r="AL31" s="139" t="n"/>
      <x:c r="AM31" s="139" t="n"/>
      <x:c r="AN31" s="139" t="n"/>
      <x:c r="AO31" s="139" t="n"/>
      <x:c r="AP31" s="139" t="n"/>
      <x:c r="AQ31" s="139" t="n"/>
      <x:c r="AR31" s="139" t="n"/>
      <x:c r="AS31" s="139" t="n"/>
      <x:c r="AT31" s="139" t="n"/>
      <x:c r="AU31" s="139" t="n"/>
      <x:c r="AV31" s="139" t="n"/>
      <x:c r="AW31" s="139" t="n"/>
      <x:c r="AX31" s="139" t="n"/>
      <x:c r="AY31" s="139" t="n"/>
      <x:c r="AZ31" s="139" t="n"/>
    </x:row>
    <x:row r="32">
      <x:c r="A32" s="139" t="n"/>
      <x:c r="B32" s="139" t="n"/>
      <x:c r="C32" s="139" t="n"/>
      <x:c r="D32" s="139" t="n"/>
      <x:c r="E32" s="139" t="n"/>
      <x:c r="F32" s="139" t="n"/>
      <x:c r="G32" s="139" t="n"/>
      <x:c r="H32" s="139" t="n"/>
      <x:c r="I32" s="139" t="n"/>
      <x:c r="J32" s="139" t="n"/>
      <x:c r="K32" s="139" t="n"/>
      <x:c r="L32" s="139" t="n"/>
      <x:c r="M32" s="139" t="n"/>
      <x:c r="N32" s="139" t="n"/>
      <x:c r="O32" s="139" t="n"/>
      <x:c r="P32" s="139" t="n"/>
      <x:c r="Q32" s="139" t="n"/>
      <x:c r="R32" s="139" t="n"/>
      <x:c r="S32" s="139" t="n"/>
      <x:c r="T32" s="139" t="n"/>
      <x:c r="U32" s="139" t="n"/>
      <x:c r="V32" s="139" t="n"/>
      <x:c r="W32" s="139" t="n"/>
      <x:c r="X32" s="139" t="n"/>
      <x:c r="Y32" s="139" t="n"/>
      <x:c r="Z32" s="139" t="n"/>
      <x:c r="AA32" s="139" t="n"/>
      <x:c r="AB32" s="139" t="n"/>
      <x:c r="AC32" s="139" t="n"/>
      <x:c r="AD32" s="139" t="n"/>
      <x:c r="AE32" s="139" t="n"/>
      <x:c r="AF32" s="139" t="n"/>
      <x:c r="AG32" s="139" t="n"/>
      <x:c r="AH32" s="139" t="n"/>
      <x:c r="AI32" s="139" t="n"/>
      <x:c r="AJ32" s="139" t="n"/>
      <x:c r="AK32" s="139" t="n"/>
      <x:c r="AL32" s="139" t="n"/>
      <x:c r="AM32" s="139" t="n"/>
      <x:c r="AN32" s="139" t="n"/>
      <x:c r="AO32" s="139" t="n"/>
      <x:c r="AP32" s="139" t="n"/>
      <x:c r="AQ32" s="139" t="n"/>
      <x:c r="AR32" s="139" t="n"/>
      <x:c r="AS32" s="139" t="n"/>
      <x:c r="AT32" s="139" t="n"/>
      <x:c r="AU32" s="139" t="n"/>
      <x:c r="AV32" s="139" t="n"/>
      <x:c r="AW32" s="139" t="n"/>
      <x:c r="AX32" s="139" t="n"/>
      <x:c r="AY32" s="139" t="n"/>
      <x:c r="AZ32" s="139" t="n"/>
    </x:row>
    <x:row r="33">
      <x:c r="A33" s="139" t="n"/>
      <x:c r="B33" s="139" t="n"/>
      <x:c r="C33" s="139" t="n"/>
      <x:c r="D33" s="139" t="n"/>
      <x:c r="E33" s="139" t="n"/>
      <x:c r="F33" s="139" t="n"/>
      <x:c r="G33" s="139" t="n"/>
      <x:c r="H33" s="139" t="n"/>
      <x:c r="I33" s="139" t="n"/>
      <x:c r="J33" s="139" t="n"/>
      <x:c r="K33" s="139" t="n"/>
      <x:c r="L33" s="139" t="n"/>
      <x:c r="M33" s="139" t="n"/>
      <x:c r="N33" s="139" t="n"/>
      <x:c r="O33" s="139" t="n"/>
      <x:c r="P33" s="139" t="n"/>
      <x:c r="Q33" s="139" t="n"/>
      <x:c r="R33" s="139" t="n"/>
      <x:c r="S33" s="139" t="n"/>
      <x:c r="T33" s="139" t="n"/>
      <x:c r="U33" s="139" t="n"/>
      <x:c r="V33" s="139" t="n"/>
      <x:c r="W33" s="139" t="n"/>
      <x:c r="X33" s="139" t="n"/>
      <x:c r="Y33" s="139" t="n"/>
      <x:c r="Z33" s="139" t="n"/>
      <x:c r="AA33" s="139" t="n"/>
      <x:c r="AB33" s="139" t="n"/>
      <x:c r="AC33" s="139" t="n"/>
      <x:c r="AD33" s="139" t="n"/>
      <x:c r="AE33" s="139" t="n"/>
      <x:c r="AF33" s="139" t="n"/>
      <x:c r="AG33" s="139" t="n"/>
      <x:c r="AH33" s="139" t="n"/>
      <x:c r="AI33" s="139" t="n"/>
      <x:c r="AJ33" s="139" t="n"/>
      <x:c r="AK33" s="139" t="n"/>
      <x:c r="AL33" s="139" t="n"/>
      <x:c r="AM33" s="139" t="n"/>
      <x:c r="AN33" s="139" t="n"/>
      <x:c r="AO33" s="139" t="n"/>
      <x:c r="AP33" s="139" t="n"/>
      <x:c r="AQ33" s="139" t="n"/>
      <x:c r="AR33" s="139" t="n"/>
      <x:c r="AS33" s="139" t="n"/>
      <x:c r="AT33" s="139" t="n"/>
      <x:c r="AU33" s="139" t="n"/>
      <x:c r="AV33" s="139" t="n"/>
      <x:c r="AW33" s="139" t="n"/>
      <x:c r="AX33" s="139" t="n"/>
      <x:c r="AY33" s="139" t="n"/>
      <x:c r="AZ33" s="139" t="n"/>
    </x:row>
    <x:row r="34">
      <x:c r="A34" s="139" t="n"/>
      <x:c r="B34" s="139" t="n"/>
      <x:c r="C34" s="139" t="n"/>
      <x:c r="D34" s="139" t="n"/>
      <x:c r="E34" s="139" t="n"/>
      <x:c r="F34" s="139" t="n"/>
      <x:c r="G34" s="139" t="n"/>
      <x:c r="H34" s="139" t="n"/>
      <x:c r="I34" s="139" t="n"/>
      <x:c r="J34" s="139" t="n"/>
      <x:c r="K34" s="139" t="n"/>
      <x:c r="L34" s="139" t="n"/>
      <x:c r="M34" s="139" t="n"/>
      <x:c r="N34" s="139" t="n"/>
      <x:c r="O34" s="139" t="n"/>
      <x:c r="P34" s="139" t="n"/>
      <x:c r="Q34" s="139" t="n"/>
      <x:c r="R34" s="139" t="n"/>
      <x:c r="S34" s="139" t="n"/>
      <x:c r="T34" s="139" t="n"/>
      <x:c r="U34" s="139" t="n"/>
      <x:c r="V34" s="139" t="n"/>
      <x:c r="W34" s="139" t="n"/>
      <x:c r="X34" s="139" t="n"/>
      <x:c r="Y34" s="139" t="n"/>
      <x:c r="Z34" s="139" t="n"/>
      <x:c r="AA34" s="139" t="n"/>
      <x:c r="AB34" s="139" t="n"/>
      <x:c r="AC34" s="139" t="n"/>
      <x:c r="AD34" s="139" t="n"/>
      <x:c r="AE34" s="139" t="n"/>
      <x:c r="AF34" s="139" t="n"/>
      <x:c r="AG34" s="139" t="n"/>
      <x:c r="AH34" s="139" t="n"/>
      <x:c r="AI34" s="139" t="n"/>
      <x:c r="AJ34" s="139" t="n"/>
      <x:c r="AK34" s="139" t="n"/>
      <x:c r="AL34" s="139" t="n"/>
      <x:c r="AM34" s="139" t="n"/>
      <x:c r="AN34" s="139" t="n"/>
      <x:c r="AO34" s="139" t="n"/>
      <x:c r="AP34" s="139" t="n"/>
      <x:c r="AQ34" s="139" t="n"/>
      <x:c r="AR34" s="139" t="n"/>
      <x:c r="AS34" s="139" t="n"/>
      <x:c r="AT34" s="139" t="n"/>
      <x:c r="AU34" s="139" t="n"/>
      <x:c r="AV34" s="139" t="n"/>
      <x:c r="AW34" s="139" t="n"/>
      <x:c r="AX34" s="139" t="n"/>
      <x:c r="AY34" s="139" t="n"/>
      <x:c r="AZ34" s="139" t="n"/>
    </x:row>
    <x:row r="35">
      <x:c r="A35" s="139" t="n"/>
      <x:c r="B35" s="139" t="n"/>
      <x:c r="C35" s="139" t="n"/>
      <x:c r="D35" s="139" t="n"/>
      <x:c r="E35" s="139" t="n"/>
      <x:c r="F35" s="139" t="n"/>
      <x:c r="G35" s="139" t="n"/>
      <x:c r="H35" s="139" t="n"/>
      <x:c r="I35" s="139" t="n"/>
      <x:c r="J35" s="139" t="n"/>
      <x:c r="K35" s="139" t="n"/>
      <x:c r="L35" s="139" t="n"/>
      <x:c r="M35" s="139" t="n"/>
      <x:c r="N35" s="139" t="n"/>
      <x:c r="O35" s="139" t="n"/>
      <x:c r="P35" s="139" t="n"/>
      <x:c r="Q35" s="139" t="n"/>
      <x:c r="R35" s="139" t="n"/>
      <x:c r="S35" s="139" t="n"/>
      <x:c r="T35" s="139" t="n"/>
      <x:c r="U35" s="139" t="n"/>
      <x:c r="V35" s="139" t="n"/>
      <x:c r="W35" s="139" t="n"/>
      <x:c r="X35" s="139" t="n"/>
      <x:c r="Y35" s="139" t="n"/>
      <x:c r="Z35" s="139" t="n"/>
      <x:c r="AA35" s="139" t="n"/>
      <x:c r="AB35" s="139" t="n"/>
      <x:c r="AC35" s="139" t="n"/>
      <x:c r="AD35" s="139" t="n"/>
      <x:c r="AE35" s="139" t="n"/>
      <x:c r="AF35" s="139" t="n"/>
      <x:c r="AG35" s="139" t="n"/>
      <x:c r="AH35" s="139" t="n"/>
      <x:c r="AI35" s="139" t="n"/>
      <x:c r="AJ35" s="139" t="n"/>
      <x:c r="AK35" s="139" t="n"/>
      <x:c r="AL35" s="139" t="n"/>
      <x:c r="AM35" s="139" t="n"/>
      <x:c r="AN35" s="139" t="n"/>
      <x:c r="AO35" s="139" t="n"/>
      <x:c r="AP35" s="139" t="n"/>
      <x:c r="AQ35" s="139" t="n"/>
      <x:c r="AR35" s="139" t="n"/>
      <x:c r="AS35" s="139" t="n"/>
      <x:c r="AT35" s="139" t="n"/>
      <x:c r="AU35" s="139" t="n"/>
      <x:c r="AV35" s="139" t="n"/>
      <x:c r="AW35" s="139" t="n"/>
      <x:c r="AX35" s="139" t="n"/>
      <x:c r="AY35" s="139" t="n"/>
      <x:c r="AZ35" s="139" t="n"/>
    </x:row>
    <x:row r="36">
      <x:c r="A36" s="139" t="n"/>
      <x:c r="B36" s="139" t="n"/>
      <x:c r="C36" s="139" t="n"/>
      <x:c r="D36" s="139" t="n"/>
      <x:c r="E36" s="139" t="n"/>
      <x:c r="F36" s="139" t="n"/>
      <x:c r="G36" s="139" t="n"/>
      <x:c r="H36" s="139" t="n"/>
      <x:c r="I36" s="139" t="n"/>
      <x:c r="J36" s="139" t="n"/>
      <x:c r="K36" s="139" t="n"/>
      <x:c r="L36" s="139" t="n"/>
      <x:c r="M36" s="139" t="n"/>
      <x:c r="N36" s="139" t="n"/>
      <x:c r="O36" s="139" t="n"/>
      <x:c r="P36" s="139" t="n"/>
      <x:c r="Q36" s="139" t="n"/>
      <x:c r="R36" s="139" t="n"/>
      <x:c r="S36" s="139" t="n"/>
      <x:c r="T36" s="139" t="n"/>
      <x:c r="U36" s="139" t="n"/>
      <x:c r="V36" s="139" t="n"/>
      <x:c r="W36" s="139" t="n"/>
      <x:c r="X36" s="139" t="n"/>
      <x:c r="Y36" s="139" t="n"/>
      <x:c r="Z36" s="139" t="n"/>
      <x:c r="AA36" s="139" t="n"/>
      <x:c r="AB36" s="139" t="n"/>
      <x:c r="AC36" s="139" t="n"/>
      <x:c r="AD36" s="139" t="n"/>
      <x:c r="AE36" s="139" t="n"/>
      <x:c r="AF36" s="139" t="n"/>
      <x:c r="AG36" s="139" t="n"/>
      <x:c r="AH36" s="139" t="n"/>
      <x:c r="AI36" s="139" t="n"/>
      <x:c r="AJ36" s="139" t="n"/>
      <x:c r="AK36" s="139" t="n"/>
      <x:c r="AL36" s="139" t="n"/>
      <x:c r="AM36" s="139" t="n"/>
      <x:c r="AN36" s="139" t="n"/>
      <x:c r="AO36" s="139" t="n"/>
      <x:c r="AP36" s="139" t="n"/>
      <x:c r="AQ36" s="139" t="n"/>
      <x:c r="AR36" s="139" t="n"/>
      <x:c r="AS36" s="139" t="n"/>
      <x:c r="AT36" s="139" t="n"/>
      <x:c r="AU36" s="139" t="n"/>
      <x:c r="AV36" s="139" t="n"/>
      <x:c r="AW36" s="139" t="n"/>
      <x:c r="AX36" s="139" t="n"/>
      <x:c r="AY36" s="139" t="n"/>
      <x:c r="AZ36" s="139" t="n"/>
    </x:row>
    <x:row r="37">
      <x:c r="A37" s="139" t="n"/>
      <x:c r="B37" s="139" t="n"/>
      <x:c r="C37" s="139" t="n"/>
      <x:c r="D37" s="139" t="n"/>
      <x:c r="E37" s="139" t="n"/>
      <x:c r="F37" s="139" t="n"/>
      <x:c r="G37" s="139" t="n"/>
      <x:c r="H37" s="139" t="n"/>
      <x:c r="I37" s="139" t="n"/>
      <x:c r="J37" s="139" t="n"/>
      <x:c r="K37" s="139" t="n"/>
      <x:c r="L37" s="139" t="n"/>
      <x:c r="M37" s="139" t="n"/>
      <x:c r="N37" s="139" t="n"/>
      <x:c r="O37" s="139" t="n"/>
      <x:c r="P37" s="139" t="n"/>
      <x:c r="Q37" s="139" t="n"/>
      <x:c r="R37" s="139" t="n"/>
      <x:c r="S37" s="139" t="n"/>
      <x:c r="T37" s="139" t="n"/>
      <x:c r="U37" s="139" t="n"/>
      <x:c r="V37" s="139" t="n"/>
      <x:c r="W37" s="139" t="n"/>
      <x:c r="X37" s="139" t="n"/>
      <x:c r="Y37" s="139" t="n"/>
      <x:c r="Z37" s="139" t="n"/>
      <x:c r="AA37" s="139" t="n"/>
      <x:c r="AB37" s="139" t="n"/>
      <x:c r="AC37" s="139" t="n"/>
      <x:c r="AD37" s="139" t="n"/>
      <x:c r="AE37" s="139" t="n"/>
      <x:c r="AF37" s="139" t="n"/>
      <x:c r="AG37" s="139" t="n"/>
      <x:c r="AH37" s="139" t="n"/>
      <x:c r="AI37" s="139" t="n"/>
      <x:c r="AJ37" s="139" t="n"/>
      <x:c r="AK37" s="139" t="n"/>
      <x:c r="AL37" s="139" t="n"/>
      <x:c r="AM37" s="139" t="n"/>
      <x:c r="AN37" s="139" t="n"/>
      <x:c r="AO37" s="139" t="n"/>
      <x:c r="AP37" s="139" t="n"/>
      <x:c r="AQ37" s="139" t="n"/>
      <x:c r="AR37" s="139" t="n"/>
      <x:c r="AS37" s="139" t="n"/>
      <x:c r="AT37" s="139" t="n"/>
      <x:c r="AU37" s="139" t="n"/>
      <x:c r="AV37" s="139" t="n"/>
      <x:c r="AW37" s="139" t="n"/>
      <x:c r="AX37" s="139" t="n"/>
      <x:c r="AY37" s="139" t="n"/>
      <x:c r="AZ37" s="139" t="n"/>
    </x:row>
    <x:row r="38">
      <x:c r="A38" s="139" t="n"/>
      <x:c r="B38" s="139" t="n"/>
      <x:c r="C38" s="139" t="n"/>
      <x:c r="D38" s="139" t="n"/>
      <x:c r="E38" s="139" t="n"/>
      <x:c r="F38" s="139" t="n"/>
      <x:c r="G38" s="139" t="n"/>
      <x:c r="H38" s="139" t="n"/>
      <x:c r="I38" s="139" t="n"/>
      <x:c r="J38" s="139" t="n"/>
      <x:c r="K38" s="139" t="n"/>
      <x:c r="L38" s="139" t="n"/>
      <x:c r="M38" s="139" t="n"/>
      <x:c r="N38" s="139" t="n"/>
      <x:c r="O38" s="139" t="n"/>
      <x:c r="P38" s="139" t="n"/>
      <x:c r="Q38" s="139" t="n"/>
      <x:c r="R38" s="139" t="n"/>
      <x:c r="S38" s="139" t="n"/>
      <x:c r="T38" s="139" t="n"/>
      <x:c r="U38" s="139" t="n"/>
      <x:c r="V38" s="139" t="n"/>
      <x:c r="W38" s="139" t="n"/>
      <x:c r="X38" s="139" t="n"/>
      <x:c r="Y38" s="139" t="n"/>
      <x:c r="Z38" s="139" t="n"/>
      <x:c r="AA38" s="139" t="n"/>
      <x:c r="AB38" s="139" t="n"/>
      <x:c r="AC38" s="139" t="n"/>
      <x:c r="AD38" s="139" t="n"/>
      <x:c r="AE38" s="139" t="n"/>
      <x:c r="AF38" s="139" t="n"/>
      <x:c r="AG38" s="139" t="n"/>
      <x:c r="AH38" s="139" t="n"/>
      <x:c r="AI38" s="139" t="n"/>
      <x:c r="AJ38" s="139" t="n"/>
      <x:c r="AK38" s="139" t="n"/>
      <x:c r="AL38" s="139" t="n"/>
      <x:c r="AM38" s="139" t="n"/>
      <x:c r="AN38" s="139" t="n"/>
      <x:c r="AO38" s="139" t="n"/>
      <x:c r="AP38" s="139" t="n"/>
      <x:c r="AQ38" s="139" t="n"/>
      <x:c r="AR38" s="139" t="n"/>
      <x:c r="AS38" s="139" t="n"/>
      <x:c r="AT38" s="139" t="n"/>
      <x:c r="AU38" s="139" t="n"/>
      <x:c r="AV38" s="139" t="n"/>
      <x:c r="AW38" s="139" t="n"/>
      <x:c r="AX38" s="139" t="n"/>
      <x:c r="AY38" s="139" t="n"/>
      <x:c r="AZ38" s="139" t="n"/>
    </x:row>
    <x:row r="39">
      <x:c r="A39" s="139" t="n"/>
      <x:c r="B39" s="139" t="n"/>
      <x:c r="C39" s="139" t="n"/>
      <x:c r="D39" s="139" t="n"/>
      <x:c r="E39" s="139" t="n"/>
      <x:c r="F39" s="139" t="n"/>
      <x:c r="G39" s="139" t="n"/>
      <x:c r="H39" s="139" t="n"/>
      <x:c r="I39" s="139" t="n"/>
      <x:c r="J39" s="139" t="n"/>
      <x:c r="K39" s="139" t="n"/>
      <x:c r="L39" s="139" t="n"/>
      <x:c r="M39" s="139" t="n"/>
      <x:c r="N39" s="139" t="n"/>
      <x:c r="O39" s="139" t="n"/>
      <x:c r="P39" s="139" t="n"/>
      <x:c r="Q39" s="139" t="n"/>
      <x:c r="R39" s="139" t="n"/>
      <x:c r="S39" s="139" t="n"/>
      <x:c r="T39" s="139" t="n"/>
      <x:c r="U39" s="139" t="n"/>
      <x:c r="V39" s="139" t="n"/>
      <x:c r="W39" s="139" t="n"/>
      <x:c r="X39" s="139" t="n"/>
      <x:c r="Y39" s="139" t="n"/>
      <x:c r="Z39" s="139" t="n"/>
      <x:c r="AA39" s="139" t="n"/>
      <x:c r="AB39" s="139" t="n"/>
      <x:c r="AC39" s="139" t="n"/>
      <x:c r="AD39" s="139" t="n"/>
      <x:c r="AE39" s="139" t="n"/>
      <x:c r="AF39" s="139" t="n"/>
      <x:c r="AG39" s="139" t="n"/>
      <x:c r="AH39" s="139" t="n"/>
      <x:c r="AI39" s="139" t="n"/>
      <x:c r="AJ39" s="139" t="n"/>
      <x:c r="AK39" s="139" t="n"/>
      <x:c r="AL39" s="139" t="n"/>
      <x:c r="AM39" s="139" t="n"/>
      <x:c r="AN39" s="139" t="n"/>
      <x:c r="AO39" s="139" t="n"/>
      <x:c r="AP39" s="139" t="n"/>
      <x:c r="AQ39" s="139" t="n"/>
      <x:c r="AR39" s="139" t="n"/>
      <x:c r="AS39" s="139" t="n"/>
      <x:c r="AT39" s="139" t="n"/>
      <x:c r="AU39" s="139" t="n"/>
      <x:c r="AV39" s="139" t="n"/>
      <x:c r="AW39" s="139" t="n"/>
      <x:c r="AX39" s="139" t="n"/>
      <x:c r="AY39" s="139" t="n"/>
      <x:c r="AZ39" s="139" t="n"/>
    </x:row>
    <x:row r="40">
      <x:c r="A40" s="139" t="n"/>
      <x:c r="B40" s="139" t="n"/>
      <x:c r="C40" s="139" t="n"/>
      <x:c r="D40" s="139" t="n"/>
      <x:c r="E40" s="139" t="n"/>
      <x:c r="F40" s="139" t="n"/>
      <x:c r="G40" s="139" t="n"/>
      <x:c r="H40" s="139" t="n"/>
      <x:c r="I40" s="139" t="n"/>
      <x:c r="J40" s="139" t="n"/>
      <x:c r="K40" s="139" t="n"/>
      <x:c r="L40" s="139" t="n"/>
      <x:c r="M40" s="139" t="n"/>
      <x:c r="N40" s="139" t="n"/>
      <x:c r="O40" s="139" t="n"/>
      <x:c r="P40" s="139" t="n"/>
      <x:c r="Q40" s="139" t="n"/>
      <x:c r="R40" s="139" t="n"/>
      <x:c r="S40" s="139" t="n"/>
      <x:c r="T40" s="139" t="n"/>
      <x:c r="U40" s="139" t="n"/>
      <x:c r="V40" s="139" t="n"/>
      <x:c r="W40" s="139" t="n"/>
      <x:c r="X40" s="139" t="n"/>
      <x:c r="Y40" s="139" t="n"/>
      <x:c r="Z40" s="139" t="n"/>
      <x:c r="AA40" s="139" t="n"/>
      <x:c r="AB40" s="139" t="n"/>
      <x:c r="AC40" s="139" t="n"/>
      <x:c r="AD40" s="139" t="n"/>
      <x:c r="AE40" s="139" t="n"/>
      <x:c r="AF40" s="139" t="n"/>
      <x:c r="AG40" s="139" t="n"/>
      <x:c r="AH40" s="139" t="n"/>
      <x:c r="AI40" s="139" t="n"/>
      <x:c r="AJ40" s="139" t="n"/>
      <x:c r="AK40" s="139" t="n"/>
      <x:c r="AL40" s="139" t="n"/>
      <x:c r="AM40" s="139" t="n"/>
      <x:c r="AN40" s="139" t="n"/>
      <x:c r="AO40" s="139" t="n"/>
      <x:c r="AP40" s="139" t="n"/>
      <x:c r="AQ40" s="139" t="n"/>
      <x:c r="AR40" s="139" t="n"/>
      <x:c r="AS40" s="139" t="n"/>
      <x:c r="AT40" s="139" t="n"/>
      <x:c r="AU40" s="139" t="n"/>
      <x:c r="AV40" s="139" t="n"/>
      <x:c r="AW40" s="139" t="n"/>
      <x:c r="AX40" s="139" t="n"/>
      <x:c r="AY40" s="139" t="n"/>
      <x:c r="AZ40" s="139" t="n"/>
    </x:row>
    <x:row r="41">
      <x:c r="A41" s="139" t="n"/>
      <x:c r="B41" s="139" t="n"/>
      <x:c r="C41" s="139" t="n"/>
      <x:c r="D41" s="139" t="n"/>
      <x:c r="E41" s="139" t="n"/>
      <x:c r="F41" s="139" t="n"/>
      <x:c r="G41" s="139" t="n"/>
      <x:c r="H41" s="139" t="n"/>
      <x:c r="I41" s="139" t="n"/>
      <x:c r="J41" s="139" t="n"/>
      <x:c r="K41" s="139" t="n"/>
      <x:c r="L41" s="139" t="n"/>
      <x:c r="M41" s="139" t="n"/>
      <x:c r="N41" s="139" t="n"/>
      <x:c r="O41" s="139" t="n"/>
      <x:c r="P41" s="139" t="n"/>
      <x:c r="Q41" s="139" t="n"/>
      <x:c r="R41" s="139" t="n"/>
      <x:c r="S41" s="139" t="n"/>
      <x:c r="T41" s="139" t="n"/>
      <x:c r="U41" s="139" t="n"/>
      <x:c r="V41" s="139" t="n"/>
      <x:c r="W41" s="139" t="n"/>
      <x:c r="X41" s="139" t="n"/>
      <x:c r="Y41" s="139" t="n"/>
      <x:c r="Z41" s="139" t="n"/>
      <x:c r="AA41" s="139" t="n"/>
      <x:c r="AB41" s="139" t="n"/>
      <x:c r="AC41" s="139" t="n"/>
      <x:c r="AD41" s="139" t="n"/>
      <x:c r="AE41" s="139" t="n"/>
      <x:c r="AF41" s="139" t="n"/>
      <x:c r="AG41" s="139" t="n"/>
      <x:c r="AH41" s="139" t="n"/>
      <x:c r="AI41" s="139" t="n"/>
      <x:c r="AJ41" s="139" t="n"/>
      <x:c r="AK41" s="139" t="n"/>
      <x:c r="AL41" s="139" t="n"/>
      <x:c r="AM41" s="139" t="n"/>
      <x:c r="AN41" s="139" t="n"/>
      <x:c r="AO41" s="139" t="n"/>
      <x:c r="AP41" s="139" t="n"/>
      <x:c r="AQ41" s="139" t="n"/>
      <x:c r="AR41" s="139" t="n"/>
      <x:c r="AS41" s="139" t="n"/>
      <x:c r="AT41" s="139" t="n"/>
      <x:c r="AU41" s="139" t="n"/>
      <x:c r="AV41" s="139" t="n"/>
      <x:c r="AW41" s="139" t="n"/>
      <x:c r="AX41" s="139" t="n"/>
      <x:c r="AY41" s="139" t="n"/>
      <x:c r="AZ41" s="139" t="n"/>
    </x:row>
    <x:row r="42">
      <x:c r="A42" s="139" t="n"/>
      <x:c r="B42" s="139" t="n"/>
      <x:c r="C42" s="139" t="n"/>
      <x:c r="D42" s="139" t="n"/>
      <x:c r="E42" s="139" t="n"/>
      <x:c r="F42" s="139" t="n"/>
      <x:c r="G42" s="139" t="n"/>
      <x:c r="H42" s="139" t="n"/>
      <x:c r="I42" s="139" t="n"/>
      <x:c r="J42" s="139" t="n"/>
      <x:c r="K42" s="139" t="n"/>
      <x:c r="L42" s="139" t="n"/>
      <x:c r="M42" s="139" t="n"/>
      <x:c r="N42" s="139" t="n"/>
      <x:c r="O42" s="139" t="n"/>
      <x:c r="P42" s="139" t="n"/>
      <x:c r="Q42" s="139" t="n"/>
      <x:c r="R42" s="139" t="n"/>
      <x:c r="S42" s="139" t="n"/>
      <x:c r="T42" s="139" t="n"/>
      <x:c r="U42" s="139" t="n"/>
      <x:c r="V42" s="139" t="n"/>
      <x:c r="W42" s="139" t="n"/>
      <x:c r="X42" s="139" t="n"/>
      <x:c r="Y42" s="139" t="n"/>
      <x:c r="Z42" s="139" t="n"/>
      <x:c r="AA42" s="139" t="n"/>
      <x:c r="AB42" s="139" t="n"/>
      <x:c r="AC42" s="139" t="n"/>
      <x:c r="AD42" s="139" t="n"/>
      <x:c r="AE42" s="139" t="n"/>
      <x:c r="AF42" s="139" t="n"/>
      <x:c r="AG42" s="139" t="n"/>
      <x:c r="AH42" s="139" t="n"/>
      <x:c r="AI42" s="139" t="n"/>
      <x:c r="AJ42" s="139" t="n"/>
      <x:c r="AK42" s="139" t="n"/>
      <x:c r="AL42" s="139" t="n"/>
      <x:c r="AM42" s="139" t="n"/>
      <x:c r="AN42" s="139" t="n"/>
      <x:c r="AO42" s="139" t="n"/>
      <x:c r="AP42" s="139" t="n"/>
      <x:c r="AQ42" s="139" t="n"/>
      <x:c r="AR42" s="139" t="n"/>
      <x:c r="AS42" s="139" t="n"/>
      <x:c r="AT42" s="139" t="n"/>
      <x:c r="AU42" s="139" t="n"/>
      <x:c r="AV42" s="139" t="n"/>
      <x:c r="AW42" s="139" t="n"/>
      <x:c r="AX42" s="139" t="n"/>
      <x:c r="AY42" s="139" t="n"/>
      <x:c r="AZ42" s="139" t="n"/>
    </x:row>
    <x:row r="43">
      <x:c r="A43" s="139" t="n"/>
      <x:c r="B43" s="139" t="n"/>
      <x:c r="C43" s="139" t="n"/>
      <x:c r="D43" s="139" t="n"/>
      <x:c r="E43" s="139" t="n"/>
      <x:c r="F43" s="139" t="n"/>
      <x:c r="G43" s="139" t="n"/>
      <x:c r="H43" s="139" t="n"/>
      <x:c r="I43" s="139" t="n"/>
      <x:c r="J43" s="139" t="n"/>
      <x:c r="K43" s="139" t="n"/>
      <x:c r="L43" s="139" t="n"/>
      <x:c r="M43" s="139" t="n"/>
      <x:c r="N43" s="139" t="n"/>
      <x:c r="O43" s="139" t="n"/>
      <x:c r="P43" s="139" t="n"/>
      <x:c r="Q43" s="139" t="n"/>
      <x:c r="R43" s="139" t="n"/>
      <x:c r="S43" s="139" t="n"/>
      <x:c r="T43" s="139" t="n"/>
      <x:c r="U43" s="139" t="n"/>
      <x:c r="V43" s="139" t="n"/>
      <x:c r="W43" s="139" t="n"/>
      <x:c r="X43" s="139" t="n"/>
      <x:c r="Y43" s="139" t="n"/>
      <x:c r="Z43" s="139" t="n"/>
      <x:c r="AA43" s="139" t="n"/>
      <x:c r="AB43" s="139" t="n"/>
      <x:c r="AC43" s="139" t="n"/>
      <x:c r="AD43" s="139" t="n"/>
      <x:c r="AE43" s="139" t="n"/>
      <x:c r="AF43" s="139" t="n"/>
      <x:c r="AG43" s="139" t="n"/>
      <x:c r="AH43" s="139" t="n"/>
      <x:c r="AI43" s="139" t="n"/>
      <x:c r="AJ43" s="139" t="n"/>
      <x:c r="AK43" s="139" t="n"/>
      <x:c r="AL43" s="139" t="n"/>
      <x:c r="AM43" s="139" t="n"/>
      <x:c r="AN43" s="139" t="n"/>
      <x:c r="AO43" s="139" t="n"/>
      <x:c r="AP43" s="139" t="n"/>
      <x:c r="AQ43" s="139" t="n"/>
      <x:c r="AR43" s="139" t="n"/>
      <x:c r="AS43" s="139" t="n"/>
      <x:c r="AT43" s="139" t="n"/>
      <x:c r="AU43" s="139" t="n"/>
      <x:c r="AV43" s="139" t="n"/>
      <x:c r="AW43" s="139" t="n"/>
      <x:c r="AX43" s="139" t="n"/>
      <x:c r="AY43" s="139" t="n"/>
      <x:c r="AZ43" s="139" t="n"/>
    </x:row>
    <x:row r="44">
      <x:c r="A44" s="139" t="n"/>
      <x:c r="B44" s="139" t="n"/>
      <x:c r="C44" s="139" t="n"/>
      <x:c r="D44" s="139" t="n"/>
      <x:c r="E44" s="139" t="n"/>
      <x:c r="F44" s="139" t="n"/>
      <x:c r="G44" s="139" t="n"/>
      <x:c r="H44" s="139" t="n"/>
      <x:c r="I44" s="139" t="n"/>
      <x:c r="J44" s="139" t="n"/>
      <x:c r="K44" s="139" t="n"/>
      <x:c r="L44" s="139" t="n"/>
      <x:c r="M44" s="139" t="n"/>
      <x:c r="N44" s="139" t="n"/>
      <x:c r="O44" s="139" t="n"/>
      <x:c r="P44" s="139" t="n"/>
      <x:c r="Q44" s="139" t="n"/>
      <x:c r="R44" s="139" t="n"/>
      <x:c r="S44" s="139" t="n"/>
      <x:c r="T44" s="139" t="n"/>
      <x:c r="U44" s="139" t="n"/>
      <x:c r="V44" s="139" t="n"/>
      <x:c r="W44" s="139" t="n"/>
      <x:c r="X44" s="139" t="n"/>
      <x:c r="Y44" s="139" t="n"/>
      <x:c r="Z44" s="139" t="n"/>
      <x:c r="AA44" s="139" t="n"/>
      <x:c r="AB44" s="139" t="n"/>
      <x:c r="AC44" s="139" t="n"/>
      <x:c r="AD44" s="139" t="n"/>
      <x:c r="AE44" s="139" t="n"/>
      <x:c r="AF44" s="139" t="n"/>
      <x:c r="AG44" s="139" t="n"/>
      <x:c r="AH44" s="139" t="n"/>
      <x:c r="AI44" s="139" t="n"/>
      <x:c r="AJ44" s="139" t="n"/>
      <x:c r="AK44" s="139" t="n"/>
      <x:c r="AL44" s="139" t="n"/>
      <x:c r="AM44" s="139" t="n"/>
      <x:c r="AN44" s="139" t="n"/>
      <x:c r="AO44" s="139" t="n"/>
      <x:c r="AP44" s="139" t="n"/>
      <x:c r="AQ44" s="139" t="n"/>
      <x:c r="AR44" s="139" t="n"/>
      <x:c r="AS44" s="139" t="n"/>
      <x:c r="AT44" s="139" t="n"/>
      <x:c r="AU44" s="139" t="n"/>
      <x:c r="AV44" s="139" t="n"/>
      <x:c r="AW44" s="139" t="n"/>
      <x:c r="AX44" s="139" t="n"/>
      <x:c r="AY44" s="139" t="n"/>
      <x:c r="AZ44" s="139" t="n"/>
    </x:row>
    <x:row r="45">
      <x:c r="A45" s="139" t="n"/>
      <x:c r="B45" s="139" t="n"/>
      <x:c r="C45" s="139" t="n"/>
      <x:c r="D45" s="139" t="n"/>
      <x:c r="E45" s="139" t="n"/>
      <x:c r="F45" s="139" t="n"/>
      <x:c r="G45" s="139" t="n"/>
      <x:c r="H45" s="139" t="n"/>
      <x:c r="I45" s="139" t="n"/>
      <x:c r="J45" s="139" t="n"/>
      <x:c r="K45" s="139" t="n"/>
      <x:c r="L45" s="139" t="n"/>
      <x:c r="M45" s="139" t="n"/>
      <x:c r="N45" s="139" t="n"/>
      <x:c r="O45" s="139" t="n"/>
      <x:c r="P45" s="139" t="n"/>
      <x:c r="Q45" s="139" t="n"/>
      <x:c r="R45" s="139" t="n"/>
      <x:c r="S45" s="139" t="n"/>
      <x:c r="T45" s="139" t="n"/>
      <x:c r="U45" s="139" t="n"/>
      <x:c r="V45" s="139" t="n"/>
      <x:c r="W45" s="139" t="n"/>
      <x:c r="X45" s="139" t="n"/>
      <x:c r="Y45" s="139" t="n"/>
      <x:c r="Z45" s="139" t="n"/>
      <x:c r="AA45" s="139" t="n"/>
      <x:c r="AB45" s="139" t="n"/>
      <x:c r="AC45" s="139" t="n"/>
      <x:c r="AD45" s="139" t="n"/>
      <x:c r="AE45" s="139" t="n"/>
      <x:c r="AF45" s="139" t="n"/>
      <x:c r="AG45" s="139" t="n"/>
      <x:c r="AH45" s="139" t="n"/>
      <x:c r="AI45" s="139" t="n"/>
      <x:c r="AJ45" s="139" t="n"/>
      <x:c r="AK45" s="139" t="n"/>
      <x:c r="AL45" s="139" t="n"/>
      <x:c r="AM45" s="139" t="n"/>
      <x:c r="AN45" s="139" t="n"/>
      <x:c r="AO45" s="139" t="n"/>
      <x:c r="AP45" s="139" t="n"/>
      <x:c r="AQ45" s="139" t="n"/>
      <x:c r="AR45" s="139" t="n"/>
      <x:c r="AS45" s="139" t="n"/>
      <x:c r="AT45" s="139" t="n"/>
      <x:c r="AU45" s="139" t="n"/>
      <x:c r="AV45" s="139" t="n"/>
      <x:c r="AW45" s="139" t="n"/>
      <x:c r="AX45" s="139" t="n"/>
      <x:c r="AY45" s="139" t="n"/>
      <x:c r="AZ45" s="139" t="n"/>
    </x:row>
    <x:row r="46">
      <x:c r="A46" s="139" t="n"/>
      <x:c r="B46" s="139" t="n"/>
      <x:c r="C46" s="139" t="n"/>
      <x:c r="D46" s="139" t="n"/>
      <x:c r="E46" s="139" t="n"/>
      <x:c r="F46" s="139" t="n"/>
      <x:c r="G46" s="139" t="n"/>
      <x:c r="H46" s="139" t="n"/>
      <x:c r="I46" s="139" t="n"/>
      <x:c r="J46" s="139" t="n"/>
      <x:c r="K46" s="139" t="n"/>
      <x:c r="L46" s="139" t="n"/>
      <x:c r="M46" s="139" t="n"/>
      <x:c r="N46" s="139" t="n"/>
      <x:c r="O46" s="139" t="n"/>
      <x:c r="P46" s="139" t="n"/>
      <x:c r="Q46" s="139" t="n"/>
      <x:c r="R46" s="139" t="n"/>
      <x:c r="S46" s="139" t="n"/>
      <x:c r="T46" s="139" t="n"/>
      <x:c r="U46" s="139" t="n"/>
      <x:c r="V46" s="139" t="n"/>
      <x:c r="W46" s="139" t="n"/>
      <x:c r="X46" s="139" t="n"/>
      <x:c r="Y46" s="139" t="n"/>
      <x:c r="Z46" s="139" t="n"/>
      <x:c r="AA46" s="139" t="n"/>
      <x:c r="AB46" s="139" t="n"/>
      <x:c r="AC46" s="139" t="n"/>
      <x:c r="AD46" s="139" t="n"/>
      <x:c r="AE46" s="139" t="n"/>
      <x:c r="AF46" s="139" t="n"/>
      <x:c r="AG46" s="139" t="n"/>
      <x:c r="AH46" s="139" t="n"/>
      <x:c r="AI46" s="139" t="n"/>
      <x:c r="AJ46" s="139" t="n"/>
      <x:c r="AK46" s="139" t="n"/>
      <x:c r="AL46" s="139" t="n"/>
      <x:c r="AM46" s="139" t="n"/>
      <x:c r="AN46" s="139" t="n"/>
      <x:c r="AO46" s="139" t="n"/>
      <x:c r="AP46" s="139" t="n"/>
      <x:c r="AQ46" s="139" t="n"/>
      <x:c r="AR46" s="139" t="n"/>
      <x:c r="AS46" s="139" t="n"/>
      <x:c r="AT46" s="139" t="n"/>
      <x:c r="AU46" s="139" t="n"/>
      <x:c r="AV46" s="139" t="n"/>
      <x:c r="AW46" s="139" t="n"/>
      <x:c r="AX46" s="139" t="n"/>
      <x:c r="AY46" s="139" t="n"/>
      <x:c r="AZ46" s="139" t="n"/>
    </x:row>
    <x:row r="47">
      <x:c r="A47" s="139" t="n"/>
      <x:c r="B47" s="139" t="n"/>
      <x:c r="C47" s="139" t="n"/>
      <x:c r="D47" s="139" t="n"/>
      <x:c r="E47" s="139" t="n"/>
      <x:c r="F47" s="139" t="n"/>
      <x:c r="G47" s="139" t="n"/>
      <x:c r="H47" s="139" t="n"/>
      <x:c r="I47" s="139" t="n"/>
      <x:c r="J47" s="139" t="n"/>
      <x:c r="K47" s="139" t="n"/>
      <x:c r="L47" s="139" t="n"/>
      <x:c r="M47" s="139" t="n"/>
      <x:c r="N47" s="139" t="n"/>
      <x:c r="O47" s="139" t="n"/>
      <x:c r="P47" s="139" t="n"/>
      <x:c r="Q47" s="139" t="n"/>
      <x:c r="R47" s="139" t="n"/>
      <x:c r="S47" s="139" t="n"/>
      <x:c r="T47" s="139" t="n"/>
      <x:c r="U47" s="139" t="n"/>
      <x:c r="V47" s="139" t="n"/>
      <x:c r="W47" s="139" t="n"/>
      <x:c r="X47" s="139" t="n"/>
      <x:c r="Y47" s="139" t="n"/>
      <x:c r="Z47" s="139" t="n"/>
      <x:c r="AA47" s="139" t="n"/>
      <x:c r="AB47" s="139" t="n"/>
      <x:c r="AC47" s="139" t="n"/>
      <x:c r="AD47" s="139" t="n"/>
      <x:c r="AE47" s="139" t="n"/>
      <x:c r="AF47" s="139" t="n"/>
      <x:c r="AG47" s="139" t="n"/>
      <x:c r="AH47" s="139" t="n"/>
      <x:c r="AI47" s="139" t="n"/>
      <x:c r="AJ47" s="139" t="n"/>
      <x:c r="AK47" s="139" t="n"/>
      <x:c r="AL47" s="139" t="n"/>
      <x:c r="AM47" s="139" t="n"/>
      <x:c r="AN47" s="139" t="n"/>
      <x:c r="AO47" s="139" t="n"/>
      <x:c r="AP47" s="139" t="n"/>
      <x:c r="AQ47" s="139" t="n"/>
      <x:c r="AR47" s="139" t="n"/>
      <x:c r="AS47" s="139" t="n"/>
      <x:c r="AT47" s="139" t="n"/>
      <x:c r="AU47" s="139" t="n"/>
      <x:c r="AV47" s="139" t="n"/>
      <x:c r="AW47" s="139" t="n"/>
      <x:c r="AX47" s="139" t="n"/>
      <x:c r="AY47" s="139" t="n"/>
      <x:c r="AZ47" s="139" t="n"/>
    </x:row>
    <x:row r="48">
      <x:c r="A48" s="139" t="n"/>
      <x:c r="B48" s="139" t="n"/>
      <x:c r="C48" s="139" t="n"/>
      <x:c r="D48" s="139" t="n"/>
      <x:c r="E48" s="139" t="n"/>
      <x:c r="F48" s="139" t="n"/>
      <x:c r="G48" s="139" t="n"/>
      <x:c r="H48" s="139" t="n"/>
      <x:c r="I48" s="139" t="n"/>
      <x:c r="J48" s="139" t="n"/>
      <x:c r="K48" s="139" t="n"/>
      <x:c r="L48" s="139" t="n"/>
      <x:c r="M48" s="139" t="n"/>
      <x:c r="N48" s="139" t="n"/>
      <x:c r="O48" s="139" t="n"/>
      <x:c r="P48" s="139" t="n"/>
      <x:c r="Q48" s="139" t="n"/>
      <x:c r="R48" s="139" t="n"/>
      <x:c r="S48" s="139" t="n"/>
      <x:c r="T48" s="139" t="n"/>
      <x:c r="U48" s="139" t="n"/>
      <x:c r="V48" s="139" t="n"/>
      <x:c r="W48" s="139" t="n"/>
      <x:c r="X48" s="139" t="n"/>
      <x:c r="Y48" s="139" t="n"/>
      <x:c r="Z48" s="139" t="n"/>
      <x:c r="AA48" s="139" t="n"/>
      <x:c r="AB48" s="139" t="n"/>
      <x:c r="AC48" s="139" t="n"/>
      <x:c r="AD48" s="139" t="n"/>
      <x:c r="AE48" s="139" t="n"/>
      <x:c r="AF48" s="139" t="n"/>
      <x:c r="AG48" s="139" t="n"/>
      <x:c r="AH48" s="139" t="n"/>
      <x:c r="AI48" s="139" t="n"/>
      <x:c r="AJ48" s="139" t="n"/>
      <x:c r="AK48" s="139" t="n"/>
      <x:c r="AL48" s="139" t="n"/>
      <x:c r="AM48" s="139" t="n"/>
      <x:c r="AN48" s="139" t="n"/>
      <x:c r="AO48" s="139" t="n"/>
      <x:c r="AP48" s="139" t="n"/>
      <x:c r="AQ48" s="139" t="n"/>
      <x:c r="AR48" s="139" t="n"/>
      <x:c r="AS48" s="139" t="n"/>
      <x:c r="AT48" s="139" t="n"/>
      <x:c r="AU48" s="139" t="n"/>
      <x:c r="AV48" s="139" t="n"/>
      <x:c r="AW48" s="139" t="n"/>
      <x:c r="AX48" s="139" t="n"/>
      <x:c r="AY48" s="139" t="n"/>
      <x:c r="AZ48" s="139" t="n"/>
    </x:row>
    <x:row r="49">
      <x:c r="A49" s="139" t="n"/>
      <x:c r="B49" s="139" t="n"/>
      <x:c r="C49" s="139" t="n"/>
      <x:c r="D49" s="139" t="n"/>
      <x:c r="E49" s="139" t="n"/>
      <x:c r="F49" s="139" t="n"/>
      <x:c r="G49" s="139" t="n"/>
      <x:c r="H49" s="139" t="n"/>
      <x:c r="I49" s="139" t="n"/>
      <x:c r="J49" s="139" t="n"/>
      <x:c r="K49" s="139" t="n"/>
      <x:c r="L49" s="139" t="n"/>
      <x:c r="M49" s="139" t="n"/>
      <x:c r="N49" s="139" t="n"/>
      <x:c r="O49" s="139" t="n"/>
      <x:c r="P49" s="139" t="n"/>
      <x:c r="Q49" s="139" t="n"/>
      <x:c r="R49" s="139" t="n"/>
      <x:c r="S49" s="139" t="n"/>
      <x:c r="T49" s="139" t="n"/>
      <x:c r="U49" s="139" t="n"/>
      <x:c r="V49" s="139" t="n"/>
      <x:c r="W49" s="139" t="n"/>
      <x:c r="X49" s="139" t="n"/>
      <x:c r="Y49" s="139" t="n"/>
      <x:c r="Z49" s="139" t="n"/>
      <x:c r="AA49" s="139" t="n"/>
      <x:c r="AB49" s="139" t="n"/>
      <x:c r="AC49" s="139" t="n"/>
      <x:c r="AD49" s="139" t="n"/>
      <x:c r="AE49" s="139" t="n"/>
      <x:c r="AF49" s="139" t="n"/>
      <x:c r="AG49" s="139" t="n"/>
      <x:c r="AH49" s="139" t="n"/>
      <x:c r="AI49" s="139" t="n"/>
      <x:c r="AJ49" s="139" t="n"/>
      <x:c r="AK49" s="139" t="n"/>
      <x:c r="AL49" s="139" t="n"/>
      <x:c r="AM49" s="139" t="n"/>
      <x:c r="AN49" s="139" t="n"/>
      <x:c r="AO49" s="139" t="n"/>
      <x:c r="AP49" s="139" t="n"/>
      <x:c r="AQ49" s="139" t="n"/>
      <x:c r="AR49" s="139" t="n"/>
      <x:c r="AS49" s="139" t="n"/>
      <x:c r="AT49" s="139" t="n"/>
      <x:c r="AU49" s="139" t="n"/>
      <x:c r="AV49" s="139" t="n"/>
      <x:c r="AW49" s="139" t="n"/>
      <x:c r="AX49" s="139" t="n"/>
      <x:c r="AY49" s="139" t="n"/>
      <x:c r="AZ49" s="139" t="n"/>
    </x:row>
    <x:row r="50">
      <x:c r="A50" s="139" t="n"/>
      <x:c r="B50" s="139" t="n"/>
      <x:c r="C50" s="139" t="n"/>
      <x:c r="D50" s="139" t="n"/>
      <x:c r="E50" s="139" t="n"/>
      <x:c r="F50" s="139" t="n"/>
      <x:c r="G50" s="139" t="n"/>
      <x:c r="H50" s="139" t="n"/>
      <x:c r="I50" s="139" t="n"/>
      <x:c r="J50" s="139" t="n"/>
      <x:c r="K50" s="139" t="n"/>
      <x:c r="L50" s="139" t="n"/>
      <x:c r="M50" s="139" t="n"/>
      <x:c r="N50" s="139" t="n"/>
      <x:c r="O50" s="139" t="n"/>
      <x:c r="P50" s="139" t="n"/>
      <x:c r="Q50" s="139" t="n"/>
      <x:c r="R50" s="139" t="n"/>
      <x:c r="S50" s="139" t="n"/>
      <x:c r="T50" s="139" t="n"/>
      <x:c r="U50" s="139" t="n"/>
      <x:c r="V50" s="139" t="n"/>
      <x:c r="W50" s="139" t="n"/>
      <x:c r="X50" s="139" t="n"/>
      <x:c r="Y50" s="139" t="n"/>
      <x:c r="Z50" s="139" t="n"/>
      <x:c r="AA50" s="139" t="n"/>
      <x:c r="AB50" s="139" t="n"/>
      <x:c r="AC50" s="139" t="n"/>
      <x:c r="AD50" s="139" t="n"/>
      <x:c r="AE50" s="139" t="n"/>
      <x:c r="AF50" s="139" t="n"/>
      <x:c r="AG50" s="139" t="n"/>
      <x:c r="AH50" s="139" t="n"/>
      <x:c r="AI50" s="139" t="n"/>
      <x:c r="AJ50" s="139" t="n"/>
      <x:c r="AK50" s="139" t="n"/>
      <x:c r="AL50" s="139" t="n"/>
      <x:c r="AM50" s="139" t="n"/>
      <x:c r="AN50" s="139" t="n"/>
      <x:c r="AO50" s="139" t="n"/>
      <x:c r="AP50" s="139" t="n"/>
      <x:c r="AQ50" s="139" t="n"/>
      <x:c r="AR50" s="139" t="n"/>
      <x:c r="AS50" s="139" t="n"/>
      <x:c r="AT50" s="139" t="n"/>
      <x:c r="AU50" s="139" t="n"/>
      <x:c r="AV50" s="139" t="n"/>
      <x:c r="AW50" s="139" t="n"/>
      <x:c r="AX50" s="139" t="n"/>
      <x:c r="AY50" s="139" t="n"/>
      <x:c r="AZ50" s="139" t="n"/>
    </x:row>
    <x:row r="51">
      <x:c r="A51" s="139" t="n"/>
      <x:c r="B51" s="139" t="n"/>
      <x:c r="C51" s="139" t="n"/>
      <x:c r="D51" s="139" t="n"/>
      <x:c r="E51" s="139" t="n"/>
      <x:c r="F51" s="139" t="n"/>
      <x:c r="G51" s="139" t="n"/>
      <x:c r="H51" s="139" t="n"/>
      <x:c r="I51" s="139" t="n"/>
      <x:c r="J51" s="139" t="n"/>
      <x:c r="K51" s="139" t="n"/>
      <x:c r="L51" s="139" t="n"/>
      <x:c r="M51" s="139" t="n"/>
      <x:c r="N51" s="139" t="n"/>
      <x:c r="O51" s="139" t="n"/>
      <x:c r="P51" s="139" t="n"/>
      <x:c r="Q51" s="139" t="n"/>
      <x:c r="R51" s="139" t="n"/>
      <x:c r="S51" s="139" t="n"/>
      <x:c r="T51" s="139" t="n"/>
      <x:c r="U51" s="139" t="n"/>
      <x:c r="V51" s="139" t="n"/>
      <x:c r="W51" s="139" t="n"/>
      <x:c r="X51" s="139" t="n"/>
      <x:c r="Y51" s="139" t="n"/>
      <x:c r="Z51" s="139" t="n"/>
      <x:c r="AA51" s="139" t="n"/>
      <x:c r="AB51" s="139" t="n"/>
      <x:c r="AC51" s="139" t="n"/>
      <x:c r="AD51" s="139" t="n"/>
      <x:c r="AE51" s="139" t="n"/>
      <x:c r="AF51" s="139" t="n"/>
      <x:c r="AG51" s="139" t="n"/>
      <x:c r="AH51" s="139" t="n"/>
      <x:c r="AI51" s="139" t="n"/>
      <x:c r="AJ51" s="139" t="n"/>
      <x:c r="AK51" s="139" t="n"/>
      <x:c r="AL51" s="139" t="n"/>
      <x:c r="AM51" s="139" t="n"/>
      <x:c r="AN51" s="139" t="n"/>
      <x:c r="AO51" s="139" t="n"/>
      <x:c r="AP51" s="139" t="n"/>
      <x:c r="AQ51" s="139" t="n"/>
      <x:c r="AR51" s="139" t="n"/>
      <x:c r="AS51" s="139" t="n"/>
      <x:c r="AT51" s="139" t="n"/>
      <x:c r="AU51" s="139" t="n"/>
      <x:c r="AV51" s="139" t="n"/>
      <x:c r="AW51" s="139" t="n"/>
      <x:c r="AX51" s="139" t="n"/>
      <x:c r="AY51" s="139" t="n"/>
      <x:c r="AZ51" s="139" t="n"/>
    </x:row>
    <x:row r="52">
      <x:c r="A52" s="139" t="n"/>
      <x:c r="B52" s="139" t="n"/>
      <x:c r="C52" s="139" t="n"/>
      <x:c r="D52" s="139" t="n"/>
      <x:c r="E52" s="139" t="n"/>
      <x:c r="F52" s="139" t="n"/>
      <x:c r="G52" s="139" t="n"/>
      <x:c r="H52" s="139" t="n"/>
      <x:c r="I52" s="139" t="n"/>
      <x:c r="J52" s="139" t="n"/>
      <x:c r="K52" s="139" t="n"/>
      <x:c r="L52" s="139" t="n"/>
      <x:c r="M52" s="139" t="n"/>
      <x:c r="N52" s="139" t="n"/>
      <x:c r="O52" s="139" t="n"/>
      <x:c r="P52" s="139" t="n"/>
      <x:c r="Q52" s="139" t="n"/>
      <x:c r="R52" s="139" t="n"/>
      <x:c r="S52" s="139" t="n"/>
      <x:c r="T52" s="139" t="n"/>
      <x:c r="U52" s="139" t="n"/>
      <x:c r="V52" s="139" t="n"/>
      <x:c r="W52" s="139" t="n"/>
      <x:c r="X52" s="139" t="n"/>
      <x:c r="Y52" s="139" t="n"/>
      <x:c r="Z52" s="139" t="n"/>
      <x:c r="AA52" s="139" t="n"/>
      <x:c r="AB52" s="139" t="n"/>
      <x:c r="AC52" s="139" t="n"/>
      <x:c r="AD52" s="139" t="n"/>
      <x:c r="AE52" s="139" t="n"/>
      <x:c r="AF52" s="139" t="n"/>
      <x:c r="AG52" s="139" t="n"/>
      <x:c r="AH52" s="139" t="n"/>
      <x:c r="AI52" s="139" t="n"/>
      <x:c r="AJ52" s="139" t="n"/>
      <x:c r="AK52" s="139" t="n"/>
      <x:c r="AL52" s="139" t="n"/>
      <x:c r="AM52" s="139" t="n"/>
      <x:c r="AN52" s="139" t="n"/>
      <x:c r="AO52" s="139" t="n"/>
      <x:c r="AP52" s="139" t="n"/>
      <x:c r="AQ52" s="139" t="n"/>
      <x:c r="AR52" s="139" t="n"/>
      <x:c r="AS52" s="139" t="n"/>
      <x:c r="AT52" s="139" t="n"/>
      <x:c r="AU52" s="139" t="n"/>
      <x:c r="AV52" s="139" t="n"/>
      <x:c r="AW52" s="139" t="n"/>
      <x:c r="AX52" s="139" t="n"/>
      <x:c r="AY52" s="139" t="n"/>
      <x:c r="AZ52" s="139" t="n"/>
    </x:row>
    <x:row r="53">
      <x:c r="A53" s="139" t="n"/>
      <x:c r="B53" s="139" t="n"/>
      <x:c r="C53" s="139" t="n"/>
      <x:c r="D53" s="139" t="n"/>
      <x:c r="E53" s="139" t="n"/>
      <x:c r="F53" s="139" t="n"/>
      <x:c r="G53" s="139" t="n"/>
      <x:c r="H53" s="139" t="n"/>
      <x:c r="I53" s="139" t="n"/>
      <x:c r="J53" s="139" t="n"/>
      <x:c r="K53" s="139" t="n"/>
      <x:c r="L53" s="139" t="n"/>
      <x:c r="M53" s="139" t="n"/>
      <x:c r="N53" s="139" t="n"/>
      <x:c r="O53" s="139" t="n"/>
      <x:c r="P53" s="139" t="n"/>
      <x:c r="Q53" s="139" t="n"/>
      <x:c r="R53" s="139" t="n"/>
      <x:c r="S53" s="139" t="n"/>
      <x:c r="T53" s="139" t="n"/>
      <x:c r="U53" s="139" t="n"/>
      <x:c r="V53" s="139" t="n"/>
      <x:c r="W53" s="139" t="n"/>
      <x:c r="X53" s="139" t="n"/>
      <x:c r="Y53" s="139" t="n"/>
      <x:c r="Z53" s="139" t="n"/>
      <x:c r="AA53" s="139" t="n"/>
      <x:c r="AB53" s="139" t="n"/>
      <x:c r="AC53" s="139" t="n"/>
      <x:c r="AD53" s="139" t="n"/>
      <x:c r="AE53" s="139" t="n"/>
      <x:c r="AF53" s="139" t="n"/>
      <x:c r="AG53" s="139" t="n"/>
      <x:c r="AH53" s="139" t="n"/>
      <x:c r="AI53" s="139" t="n"/>
      <x:c r="AJ53" s="139" t="n"/>
      <x:c r="AK53" s="139" t="n"/>
      <x:c r="AL53" s="139" t="n"/>
      <x:c r="AM53" s="139" t="n"/>
      <x:c r="AN53" s="139" t="n"/>
      <x:c r="AO53" s="139" t="n"/>
      <x:c r="AP53" s="139" t="n"/>
      <x:c r="AQ53" s="139" t="n"/>
      <x:c r="AR53" s="139" t="n"/>
      <x:c r="AS53" s="139" t="n"/>
      <x:c r="AT53" s="139" t="n"/>
      <x:c r="AU53" s="139" t="n"/>
      <x:c r="AV53" s="139" t="n"/>
      <x:c r="AW53" s="139" t="n"/>
      <x:c r="AX53" s="139" t="n"/>
      <x:c r="AY53" s="139" t="n"/>
      <x:c r="AZ53" s="139" t="n"/>
    </x:row>
    <x:row r="54">
      <x:c r="A54" s="139" t="n"/>
      <x:c r="B54" s="139" t="n"/>
      <x:c r="C54" s="139" t="n"/>
      <x:c r="D54" s="139" t="n"/>
      <x:c r="E54" s="139" t="n"/>
      <x:c r="F54" s="139" t="n"/>
      <x:c r="G54" s="139" t="n"/>
      <x:c r="H54" s="139" t="n"/>
      <x:c r="I54" s="139" t="n"/>
      <x:c r="J54" s="139" t="n"/>
      <x:c r="K54" s="139" t="n"/>
      <x:c r="L54" s="139" t="n"/>
      <x:c r="M54" s="139" t="n"/>
      <x:c r="N54" s="139" t="n"/>
      <x:c r="O54" s="139" t="n"/>
      <x:c r="P54" s="139" t="n"/>
      <x:c r="Q54" s="139" t="n"/>
      <x:c r="R54" s="139" t="n"/>
      <x:c r="S54" s="139" t="n"/>
      <x:c r="T54" s="139" t="n"/>
      <x:c r="U54" s="139" t="n"/>
      <x:c r="V54" s="139" t="n"/>
      <x:c r="W54" s="139" t="n"/>
      <x:c r="X54" s="139" t="n"/>
      <x:c r="Y54" s="139" t="n"/>
      <x:c r="Z54" s="139" t="n"/>
      <x:c r="AA54" s="139" t="n"/>
      <x:c r="AB54" s="139" t="n"/>
      <x:c r="AC54" s="139" t="n"/>
      <x:c r="AD54" s="139" t="n"/>
      <x:c r="AE54" s="139" t="n"/>
      <x:c r="AF54" s="139" t="n"/>
      <x:c r="AG54" s="139" t="n"/>
      <x:c r="AH54" s="139" t="n"/>
      <x:c r="AI54" s="139" t="n"/>
      <x:c r="AJ54" s="139" t="n"/>
      <x:c r="AK54" s="139" t="n"/>
      <x:c r="AL54" s="139" t="n"/>
      <x:c r="AM54" s="139" t="n"/>
      <x:c r="AN54" s="139" t="n"/>
      <x:c r="AO54" s="139" t="n"/>
      <x:c r="AP54" s="139" t="n"/>
      <x:c r="AQ54" s="139" t="n"/>
      <x:c r="AR54" s="139" t="n"/>
      <x:c r="AS54" s="139" t="n"/>
      <x:c r="AT54" s="139" t="n"/>
      <x:c r="AU54" s="139" t="n"/>
      <x:c r="AV54" s="139" t="n"/>
      <x:c r="AW54" s="139" t="n"/>
      <x:c r="AX54" s="139" t="n"/>
      <x:c r="AY54" s="139" t="n"/>
      <x:c r="AZ54" s="139" t="n"/>
    </x:row>
    <x:row r="55">
      <x:c r="A55" s="139" t="n"/>
      <x:c r="B55" s="139" t="n"/>
      <x:c r="C55" s="139" t="n"/>
      <x:c r="D55" s="139" t="n"/>
      <x:c r="E55" s="139" t="n"/>
      <x:c r="F55" s="139" t="n"/>
      <x:c r="G55" s="139" t="n"/>
      <x:c r="H55" s="139" t="n"/>
      <x:c r="I55" s="139" t="n"/>
      <x:c r="J55" s="139" t="n"/>
      <x:c r="K55" s="139" t="n"/>
      <x:c r="L55" s="139" t="n"/>
      <x:c r="M55" s="139" t="n"/>
      <x:c r="N55" s="139" t="n"/>
      <x:c r="O55" s="139" t="n"/>
      <x:c r="P55" s="139" t="n"/>
      <x:c r="Q55" s="139" t="n"/>
      <x:c r="R55" s="139" t="n"/>
      <x:c r="S55" s="139" t="n"/>
      <x:c r="T55" s="139" t="n"/>
      <x:c r="U55" s="139" t="n"/>
      <x:c r="V55" s="139" t="n"/>
      <x:c r="W55" s="139" t="n"/>
      <x:c r="X55" s="139" t="n"/>
      <x:c r="Y55" s="139" t="n"/>
      <x:c r="Z55" s="139" t="n"/>
      <x:c r="AA55" s="139" t="n"/>
      <x:c r="AB55" s="139" t="n"/>
      <x:c r="AC55" s="139" t="n"/>
      <x:c r="AD55" s="139" t="n"/>
      <x:c r="AE55" s="139" t="n"/>
      <x:c r="AF55" s="139" t="n"/>
      <x:c r="AG55" s="139" t="n"/>
      <x:c r="AH55" s="139" t="n"/>
      <x:c r="AI55" s="139" t="n"/>
      <x:c r="AJ55" s="139" t="n"/>
      <x:c r="AK55" s="139" t="n"/>
      <x:c r="AL55" s="139" t="n"/>
      <x:c r="AM55" s="139" t="n"/>
      <x:c r="AN55" s="139" t="n"/>
      <x:c r="AO55" s="139" t="n"/>
      <x:c r="AP55" s="139" t="n"/>
      <x:c r="AQ55" s="139" t="n"/>
      <x:c r="AR55" s="139" t="n"/>
      <x:c r="AS55" s="139" t="n"/>
      <x:c r="AT55" s="139" t="n"/>
      <x:c r="AU55" s="139" t="n"/>
      <x:c r="AV55" s="139" t="n"/>
      <x:c r="AW55" s="139" t="n"/>
      <x:c r="AX55" s="139" t="n"/>
      <x:c r="AY55" s="139" t="n"/>
      <x:c r="AZ55" s="139" t="n"/>
    </x:row>
    <x:row r="56">
      <x:c r="A56" s="139" t="n"/>
      <x:c r="B56" s="139" t="n"/>
      <x:c r="C56" s="139" t="n"/>
      <x:c r="D56" s="139" t="n"/>
      <x:c r="E56" s="139" t="n"/>
      <x:c r="F56" s="139" t="n"/>
      <x:c r="G56" s="139" t="n"/>
      <x:c r="H56" s="139" t="n"/>
      <x:c r="I56" s="139" t="n"/>
      <x:c r="J56" s="139" t="n"/>
      <x:c r="K56" s="139" t="n"/>
      <x:c r="L56" s="139" t="n"/>
      <x:c r="M56" s="139" t="n"/>
      <x:c r="N56" s="139" t="n"/>
      <x:c r="O56" s="139" t="n"/>
      <x:c r="P56" s="139" t="n"/>
      <x:c r="Q56" s="139" t="n"/>
      <x:c r="R56" s="139" t="n"/>
      <x:c r="S56" s="139" t="n"/>
      <x:c r="T56" s="139" t="n"/>
      <x:c r="U56" s="139" t="n"/>
      <x:c r="V56" s="139" t="n"/>
      <x:c r="W56" s="139" t="n"/>
      <x:c r="X56" s="139" t="n"/>
      <x:c r="Y56" s="139" t="n"/>
      <x:c r="Z56" s="139" t="n"/>
      <x:c r="AA56" s="139" t="n"/>
      <x:c r="AB56" s="139" t="n"/>
      <x:c r="AC56" s="139" t="n"/>
      <x:c r="AD56" s="139" t="n"/>
      <x:c r="AE56" s="139" t="n"/>
      <x:c r="AF56" s="139" t="n"/>
      <x:c r="AG56" s="139" t="n"/>
      <x:c r="AH56" s="139" t="n"/>
      <x:c r="AI56" s="139" t="n"/>
      <x:c r="AJ56" s="139" t="n"/>
      <x:c r="AK56" s="139" t="n"/>
      <x:c r="AL56" s="139" t="n"/>
      <x:c r="AM56" s="139" t="n"/>
      <x:c r="AN56" s="139" t="n"/>
      <x:c r="AO56" s="139" t="n"/>
      <x:c r="AP56" s="139" t="n"/>
      <x:c r="AQ56" s="139" t="n"/>
      <x:c r="AR56" s="139" t="n"/>
      <x:c r="AS56" s="139" t="n"/>
      <x:c r="AT56" s="139" t="n"/>
      <x:c r="AU56" s="139" t="n"/>
      <x:c r="AV56" s="139" t="n"/>
      <x:c r="AW56" s="139" t="n"/>
      <x:c r="AX56" s="139" t="n"/>
      <x:c r="AY56" s="139" t="n"/>
      <x:c r="AZ56" s="139" t="n"/>
    </x:row>
    <x:row r="57">
      <x:c r="A57" s="139" t="n"/>
      <x:c r="B57" s="139" t="n"/>
      <x:c r="C57" s="139" t="n"/>
      <x:c r="D57" s="139" t="n"/>
      <x:c r="E57" s="139" t="n"/>
      <x:c r="F57" s="139" t="n"/>
      <x:c r="G57" s="139" t="n"/>
      <x:c r="H57" s="139" t="n"/>
      <x:c r="I57" s="139" t="n"/>
      <x:c r="J57" s="139" t="n"/>
      <x:c r="K57" s="139" t="n"/>
      <x:c r="L57" s="139" t="n"/>
      <x:c r="M57" s="139" t="n"/>
      <x:c r="N57" s="139" t="n"/>
      <x:c r="O57" s="139" t="n"/>
      <x:c r="P57" s="139" t="n"/>
      <x:c r="Q57" s="139" t="n"/>
      <x:c r="R57" s="139" t="n"/>
      <x:c r="S57" s="139" t="n"/>
      <x:c r="T57" s="139" t="n"/>
      <x:c r="U57" s="139" t="n"/>
      <x:c r="V57" s="139" t="n"/>
      <x:c r="W57" s="139" t="n"/>
      <x:c r="X57" s="139" t="n"/>
      <x:c r="Y57" s="139" t="n"/>
      <x:c r="Z57" s="139" t="n"/>
      <x:c r="AA57" s="139" t="n"/>
      <x:c r="AB57" s="139" t="n"/>
      <x:c r="AC57" s="139" t="n"/>
      <x:c r="AD57" s="139" t="n"/>
      <x:c r="AE57" s="139" t="n"/>
      <x:c r="AF57" s="139" t="n"/>
      <x:c r="AG57" s="139" t="n"/>
      <x:c r="AH57" s="139" t="n"/>
      <x:c r="AI57" s="139" t="n"/>
      <x:c r="AJ57" s="139" t="n"/>
      <x:c r="AK57" s="139" t="n"/>
      <x:c r="AL57" s="139" t="n"/>
      <x:c r="AM57" s="139" t="n"/>
      <x:c r="AN57" s="139" t="n"/>
      <x:c r="AO57" s="139" t="n"/>
      <x:c r="AP57" s="139" t="n"/>
      <x:c r="AQ57" s="139" t="n"/>
      <x:c r="AR57" s="139" t="n"/>
      <x:c r="AS57" s="139" t="n"/>
      <x:c r="AT57" s="139" t="n"/>
      <x:c r="AU57" s="139" t="n"/>
      <x:c r="AV57" s="139" t="n"/>
      <x:c r="AW57" s="139" t="n"/>
      <x:c r="AX57" s="139" t="n"/>
      <x:c r="AY57" s="139" t="n"/>
      <x:c r="AZ57" s="139" t="n"/>
    </x:row>
    <x:row r="58">
      <x:c r="A58" s="139" t="n"/>
      <x:c r="B58" s="139" t="n"/>
      <x:c r="C58" s="139" t="n"/>
      <x:c r="D58" s="139" t="n"/>
      <x:c r="E58" s="139" t="n"/>
      <x:c r="F58" s="139" t="n"/>
      <x:c r="G58" s="139" t="n"/>
      <x:c r="H58" s="139" t="n"/>
      <x:c r="I58" s="139" t="n"/>
      <x:c r="J58" s="139" t="n"/>
      <x:c r="K58" s="139" t="n"/>
      <x:c r="L58" s="139" t="n"/>
      <x:c r="M58" s="139" t="n"/>
      <x:c r="N58" s="139" t="n"/>
      <x:c r="O58" s="139" t="n"/>
      <x:c r="P58" s="139" t="n"/>
      <x:c r="Q58" s="139" t="n"/>
      <x:c r="R58" s="139" t="n"/>
      <x:c r="S58" s="139" t="n"/>
      <x:c r="T58" s="139" t="n"/>
      <x:c r="U58" s="139" t="n"/>
      <x:c r="V58" s="139" t="n"/>
      <x:c r="W58" s="139" t="n"/>
      <x:c r="X58" s="139" t="n"/>
      <x:c r="Y58" s="139" t="n"/>
      <x:c r="Z58" s="139" t="n"/>
      <x:c r="AA58" s="139" t="n"/>
      <x:c r="AB58" s="139" t="n"/>
      <x:c r="AC58" s="139" t="n"/>
      <x:c r="AD58" s="139" t="n"/>
      <x:c r="AE58" s="139" t="n"/>
      <x:c r="AF58" s="139" t="n"/>
      <x:c r="AG58" s="139" t="n"/>
      <x:c r="AH58" s="139" t="n"/>
      <x:c r="AI58" s="139" t="n"/>
      <x:c r="AJ58" s="139" t="n"/>
      <x:c r="AK58" s="139" t="n"/>
      <x:c r="AL58" s="139" t="n"/>
      <x:c r="AM58" s="139" t="n"/>
      <x:c r="AN58" s="139" t="n"/>
      <x:c r="AO58" s="139" t="n"/>
      <x:c r="AP58" s="139" t="n"/>
      <x:c r="AQ58" s="139" t="n"/>
      <x:c r="AR58" s="139" t="n"/>
      <x:c r="AS58" s="139" t="n"/>
      <x:c r="AT58" s="139" t="n"/>
      <x:c r="AU58" s="139" t="n"/>
      <x:c r="AV58" s="139" t="n"/>
      <x:c r="AW58" s="139" t="n"/>
      <x:c r="AX58" s="139" t="n"/>
      <x:c r="AY58" s="139" t="n"/>
      <x:c r="AZ58" s="139" t="n"/>
    </x:row>
    <x:row r="59">
      <x:c r="A59" s="139" t="n"/>
      <x:c r="B59" s="139" t="n"/>
      <x:c r="C59" s="139" t="n"/>
      <x:c r="D59" s="139" t="n"/>
      <x:c r="E59" s="139" t="n"/>
      <x:c r="F59" s="139" t="n"/>
      <x:c r="G59" s="139" t="n"/>
      <x:c r="H59" s="139" t="n"/>
      <x:c r="I59" s="139" t="n"/>
      <x:c r="J59" s="139" t="n"/>
      <x:c r="K59" s="139" t="n"/>
      <x:c r="L59" s="139" t="n"/>
      <x:c r="M59" s="139" t="n"/>
      <x:c r="N59" s="139" t="n"/>
      <x:c r="O59" s="139" t="n"/>
      <x:c r="P59" s="139" t="n"/>
      <x:c r="Q59" s="139" t="n"/>
      <x:c r="R59" s="139" t="n"/>
      <x:c r="S59" s="139" t="n"/>
      <x:c r="T59" s="139" t="n"/>
      <x:c r="U59" s="139" t="n"/>
      <x:c r="V59" s="139" t="n"/>
      <x:c r="W59" s="139" t="n"/>
      <x:c r="X59" s="139" t="n"/>
      <x:c r="Y59" s="139" t="n"/>
      <x:c r="Z59" s="139" t="n"/>
      <x:c r="AA59" s="139" t="n"/>
      <x:c r="AB59" s="139" t="n"/>
      <x:c r="AC59" s="139" t="n"/>
      <x:c r="AD59" s="139" t="n"/>
      <x:c r="AE59" s="139" t="n"/>
      <x:c r="AF59" s="139" t="n"/>
      <x:c r="AG59" s="139" t="n"/>
      <x:c r="AH59" s="139" t="n"/>
      <x:c r="AI59" s="139" t="n"/>
      <x:c r="AJ59" s="139" t="n"/>
      <x:c r="AK59" s="139" t="n"/>
      <x:c r="AL59" s="139" t="n"/>
      <x:c r="AM59" s="139" t="n"/>
      <x:c r="AN59" s="139" t="n"/>
      <x:c r="AO59" s="139" t="n"/>
      <x:c r="AP59" s="139" t="n"/>
      <x:c r="AQ59" s="139" t="n"/>
      <x:c r="AR59" s="139" t="n"/>
      <x:c r="AS59" s="139" t="n"/>
      <x:c r="AT59" s="139" t="n"/>
      <x:c r="AU59" s="139" t="n"/>
      <x:c r="AV59" s="139" t="n"/>
      <x:c r="AW59" s="139" t="n"/>
      <x:c r="AX59" s="139" t="n"/>
      <x:c r="AY59" s="139" t="n"/>
      <x:c r="AZ59" s="139" t="n"/>
    </x:row>
    <x:row r="60">
      <x:c r="A60" s="139" t="n"/>
      <x:c r="B60" s="139" t="n"/>
      <x:c r="C60" s="139" t="n"/>
      <x:c r="D60" s="139" t="n"/>
      <x:c r="E60" s="139" t="n"/>
      <x:c r="F60" s="139" t="n"/>
      <x:c r="G60" s="139" t="n"/>
      <x:c r="H60" s="139" t="n"/>
      <x:c r="I60" s="139" t="n"/>
      <x:c r="J60" s="139" t="n"/>
      <x:c r="K60" s="139" t="n"/>
      <x:c r="L60" s="139" t="n"/>
      <x:c r="M60" s="139" t="n"/>
      <x:c r="N60" s="139" t="n"/>
      <x:c r="O60" s="139" t="n"/>
      <x:c r="P60" s="139" t="n"/>
      <x:c r="Q60" s="139" t="n"/>
      <x:c r="R60" s="139" t="n"/>
      <x:c r="S60" s="139" t="n"/>
      <x:c r="T60" s="139" t="n"/>
      <x:c r="U60" s="139" t="n"/>
      <x:c r="V60" s="139" t="n"/>
      <x:c r="W60" s="139" t="n"/>
      <x:c r="X60" s="139" t="n"/>
      <x:c r="Y60" s="139" t="n"/>
      <x:c r="Z60" s="139" t="n"/>
      <x:c r="AA60" s="139" t="n"/>
      <x:c r="AB60" s="139" t="n"/>
      <x:c r="AC60" s="139" t="n"/>
      <x:c r="AD60" s="139" t="n"/>
      <x:c r="AE60" s="139" t="n"/>
      <x:c r="AF60" s="139" t="n"/>
      <x:c r="AG60" s="139" t="n"/>
      <x:c r="AH60" s="139" t="n"/>
      <x:c r="AI60" s="139" t="n"/>
      <x:c r="AJ60" s="139" t="n"/>
      <x:c r="AK60" s="139" t="n"/>
      <x:c r="AL60" s="139" t="n"/>
      <x:c r="AM60" s="139" t="n"/>
      <x:c r="AN60" s="139" t="n"/>
      <x:c r="AO60" s="139" t="n"/>
      <x:c r="AP60" s="139" t="n"/>
      <x:c r="AQ60" s="139" t="n"/>
      <x:c r="AR60" s="139" t="n"/>
      <x:c r="AS60" s="139" t="n"/>
      <x:c r="AT60" s="139" t="n"/>
      <x:c r="AU60" s="139" t="n"/>
      <x:c r="AV60" s="139" t="n"/>
      <x:c r="AW60" s="139" t="n"/>
      <x:c r="AX60" s="139" t="n"/>
      <x:c r="AY60" s="139" t="n"/>
      <x:c r="AZ60" s="139" t="n"/>
    </x:row>
    <x:row r="61">
      <x:c r="A61" s="139" t="n"/>
      <x:c r="B61" s="139" t="n"/>
      <x:c r="C61" s="139" t="n"/>
      <x:c r="D61" s="139" t="n"/>
      <x:c r="E61" s="139" t="n"/>
      <x:c r="F61" s="139" t="n"/>
      <x:c r="G61" s="139" t="n"/>
      <x:c r="H61" s="139" t="n"/>
      <x:c r="I61" s="139" t="n"/>
      <x:c r="J61" s="139" t="n"/>
      <x:c r="K61" s="139" t="n"/>
      <x:c r="L61" s="139" t="n"/>
      <x:c r="M61" s="139" t="n"/>
      <x:c r="N61" s="139" t="n"/>
      <x:c r="O61" s="139" t="n"/>
      <x:c r="P61" s="139" t="n"/>
      <x:c r="Q61" s="139" t="n"/>
      <x:c r="R61" s="139" t="n"/>
      <x:c r="S61" s="139" t="n"/>
      <x:c r="T61" s="139" t="n"/>
      <x:c r="U61" s="139" t="n"/>
      <x:c r="V61" s="139" t="n"/>
      <x:c r="W61" s="139" t="n"/>
      <x:c r="X61" s="139" t="n"/>
      <x:c r="Y61" s="139" t="n"/>
      <x:c r="Z61" s="139" t="n"/>
      <x:c r="AA61" s="139" t="n"/>
      <x:c r="AB61" s="139" t="n"/>
      <x:c r="AC61" s="139" t="n"/>
      <x:c r="AD61" s="139" t="n"/>
      <x:c r="AE61" s="139" t="n"/>
      <x:c r="AF61" s="139" t="n"/>
      <x:c r="AG61" s="139" t="n"/>
      <x:c r="AH61" s="139" t="n"/>
      <x:c r="AI61" s="139" t="n"/>
      <x:c r="AJ61" s="139" t="n"/>
      <x:c r="AK61" s="139" t="n"/>
      <x:c r="AL61" s="139" t="n"/>
      <x:c r="AM61" s="139" t="n"/>
      <x:c r="AN61" s="139" t="n"/>
      <x:c r="AO61" s="139" t="n"/>
      <x:c r="AP61" s="139" t="n"/>
      <x:c r="AQ61" s="139" t="n"/>
      <x:c r="AR61" s="139" t="n"/>
      <x:c r="AS61" s="139" t="n"/>
      <x:c r="AT61" s="139" t="n"/>
      <x:c r="AU61" s="139" t="n"/>
      <x:c r="AV61" s="139" t="n"/>
      <x:c r="AW61" s="139" t="n"/>
      <x:c r="AX61" s="139" t="n"/>
      <x:c r="AY61" s="139" t="n"/>
      <x:c r="AZ61" s="139" t="n"/>
    </x:row>
    <x:row r="62">
      <x:c r="A62" s="139" t="n"/>
      <x:c r="B62" s="139" t="n"/>
      <x:c r="C62" s="139" t="n"/>
      <x:c r="D62" s="139" t="n"/>
      <x:c r="E62" s="139" t="n"/>
      <x:c r="F62" s="139" t="n"/>
      <x:c r="G62" s="139" t="n"/>
      <x:c r="H62" s="139" t="n"/>
      <x:c r="I62" s="139" t="n"/>
      <x:c r="J62" s="139" t="n"/>
      <x:c r="K62" s="139" t="n"/>
      <x:c r="L62" s="139" t="n"/>
      <x:c r="M62" s="139" t="n"/>
      <x:c r="N62" s="139" t="n"/>
      <x:c r="O62" s="139" t="n"/>
      <x:c r="P62" s="139" t="n"/>
      <x:c r="Q62" s="139" t="n"/>
      <x:c r="R62" s="139" t="n"/>
      <x:c r="S62" s="139" t="n"/>
      <x:c r="T62" s="139" t="n"/>
      <x:c r="U62" s="139" t="n"/>
      <x:c r="V62" s="139" t="n"/>
      <x:c r="W62" s="139" t="n"/>
      <x:c r="X62" s="139" t="n"/>
      <x:c r="Y62" s="139" t="n"/>
      <x:c r="Z62" s="139" t="n"/>
      <x:c r="AA62" s="139" t="n"/>
      <x:c r="AB62" s="139" t="n"/>
      <x:c r="AC62" s="139" t="n"/>
      <x:c r="AD62" s="139" t="n"/>
      <x:c r="AE62" s="139" t="n"/>
      <x:c r="AF62" s="139" t="n"/>
      <x:c r="AG62" s="139" t="n"/>
      <x:c r="AH62" s="139" t="n"/>
      <x:c r="AI62" s="139" t="n"/>
      <x:c r="AJ62" s="139" t="n"/>
      <x:c r="AK62" s="139" t="n"/>
      <x:c r="AL62" s="139" t="n"/>
      <x:c r="AM62" s="139" t="n"/>
      <x:c r="AN62" s="139" t="n"/>
      <x:c r="AO62" s="139" t="n"/>
      <x:c r="AP62" s="139" t="n"/>
      <x:c r="AQ62" s="139" t="n"/>
      <x:c r="AR62" s="139" t="n"/>
      <x:c r="AS62" s="139" t="n"/>
      <x:c r="AT62" s="139" t="n"/>
      <x:c r="AU62" s="139" t="n"/>
      <x:c r="AV62" s="139" t="n"/>
      <x:c r="AW62" s="139" t="n"/>
      <x:c r="AX62" s="139" t="n"/>
      <x:c r="AY62" s="139" t="n"/>
      <x:c r="AZ62" s="139" t="n"/>
    </x:row>
    <x:row r="63">
      <x:c r="A63" s="139" t="n"/>
      <x:c r="B63" s="139" t="n"/>
      <x:c r="C63" s="139" t="n"/>
      <x:c r="D63" s="139" t="n"/>
      <x:c r="E63" s="139" t="n"/>
      <x:c r="F63" s="139" t="n"/>
      <x:c r="G63" s="139" t="n"/>
      <x:c r="H63" s="139" t="n"/>
      <x:c r="I63" s="139" t="n"/>
      <x:c r="J63" s="139" t="n"/>
      <x:c r="K63" s="139" t="n"/>
      <x:c r="L63" s="139" t="n"/>
      <x:c r="M63" s="139" t="n"/>
      <x:c r="N63" s="139" t="n"/>
      <x:c r="O63" s="139" t="n"/>
      <x:c r="P63" s="139" t="n"/>
      <x:c r="Q63" s="139" t="n"/>
      <x:c r="R63" s="139" t="n"/>
      <x:c r="S63" s="139" t="n"/>
      <x:c r="T63" s="139" t="n"/>
      <x:c r="U63" s="139" t="n"/>
      <x:c r="V63" s="139" t="n"/>
      <x:c r="W63" s="139" t="n"/>
      <x:c r="X63" s="139" t="n"/>
      <x:c r="Y63" s="139" t="n"/>
      <x:c r="Z63" s="139" t="n"/>
      <x:c r="AA63" s="139" t="n"/>
      <x:c r="AB63" s="139" t="n"/>
      <x:c r="AC63" s="139" t="n"/>
      <x:c r="AD63" s="139" t="n"/>
      <x:c r="AE63" s="139" t="n"/>
      <x:c r="AF63" s="139" t="n"/>
      <x:c r="AG63" s="139" t="n"/>
      <x:c r="AH63" s="139" t="n"/>
      <x:c r="AI63" s="139" t="n"/>
      <x:c r="AJ63" s="139" t="n"/>
      <x:c r="AK63" s="139" t="n"/>
      <x:c r="AL63" s="139" t="n"/>
      <x:c r="AM63" s="139" t="n"/>
      <x:c r="AN63" s="139" t="n"/>
      <x:c r="AO63" s="139" t="n"/>
      <x:c r="AP63" s="139" t="n"/>
      <x:c r="AQ63" s="139" t="n"/>
      <x:c r="AR63" s="139" t="n"/>
      <x:c r="AS63" s="139" t="n"/>
      <x:c r="AT63" s="139" t="n"/>
      <x:c r="AU63" s="139" t="n"/>
      <x:c r="AV63" s="139" t="n"/>
      <x:c r="AW63" s="139" t="n"/>
      <x:c r="AX63" s="139" t="n"/>
      <x:c r="AY63" s="139" t="n"/>
      <x:c r="AZ63" s="139" t="n"/>
    </x:row>
    <x:row r="64">
      <x:c r="A64" s="139" t="n"/>
      <x:c r="B64" s="139" t="n"/>
      <x:c r="C64" s="139" t="n"/>
      <x:c r="D64" s="139" t="n"/>
      <x:c r="E64" s="139" t="n"/>
      <x:c r="F64" s="139" t="n"/>
      <x:c r="G64" s="139" t="n"/>
      <x:c r="H64" s="139" t="n"/>
      <x:c r="I64" s="139" t="n"/>
      <x:c r="J64" s="139" t="n"/>
      <x:c r="K64" s="139" t="n"/>
      <x:c r="L64" s="139" t="n"/>
      <x:c r="M64" s="139" t="n"/>
      <x:c r="N64" s="139" t="n"/>
      <x:c r="O64" s="139" t="n"/>
      <x:c r="P64" s="139" t="n"/>
      <x:c r="Q64" s="139" t="n"/>
      <x:c r="R64" s="139" t="n"/>
      <x:c r="S64" s="139" t="n"/>
      <x:c r="T64" s="139" t="n"/>
      <x:c r="U64" s="139" t="n"/>
      <x:c r="V64" s="139" t="n"/>
      <x:c r="W64" s="139" t="n"/>
      <x:c r="X64" s="139" t="n"/>
      <x:c r="Y64" s="139" t="n"/>
      <x:c r="Z64" s="139" t="n"/>
      <x:c r="AA64" s="139" t="n"/>
      <x:c r="AB64" s="139" t="n"/>
      <x:c r="AC64" s="139" t="n"/>
      <x:c r="AD64" s="139" t="n"/>
      <x:c r="AE64" s="139" t="n"/>
      <x:c r="AF64" s="139" t="n"/>
      <x:c r="AG64" s="139" t="n"/>
      <x:c r="AH64" s="139" t="n"/>
      <x:c r="AI64" s="139" t="n"/>
      <x:c r="AJ64" s="139" t="n"/>
      <x:c r="AK64" s="139" t="n"/>
      <x:c r="AL64" s="139" t="n"/>
      <x:c r="AM64" s="139" t="n"/>
      <x:c r="AN64" s="139" t="n"/>
      <x:c r="AO64" s="139" t="n"/>
      <x:c r="AP64" s="139" t="n"/>
      <x:c r="AQ64" s="139" t="n"/>
      <x:c r="AR64" s="139" t="n"/>
      <x:c r="AS64" s="139" t="n"/>
      <x:c r="AT64" s="139" t="n"/>
      <x:c r="AU64" s="139" t="n"/>
      <x:c r="AV64" s="139" t="n"/>
      <x:c r="AW64" s="139" t="n"/>
      <x:c r="AX64" s="139" t="n"/>
      <x:c r="AY64" s="139" t="n"/>
      <x:c r="AZ64" s="139" t="n"/>
    </x:row>
    <x:row r="65">
      <x:c r="A65" s="139" t="n"/>
      <x:c r="B65" s="139" t="n"/>
      <x:c r="C65" s="139" t="n"/>
      <x:c r="D65" s="139" t="n"/>
      <x:c r="E65" s="139" t="n"/>
      <x:c r="F65" s="139" t="n"/>
      <x:c r="G65" s="139" t="n"/>
      <x:c r="H65" s="139" t="n"/>
      <x:c r="I65" s="139" t="n"/>
      <x:c r="J65" s="139" t="n"/>
      <x:c r="K65" s="139" t="n"/>
      <x:c r="L65" s="139" t="n"/>
      <x:c r="M65" s="139" t="n"/>
      <x:c r="N65" s="139" t="n"/>
      <x:c r="O65" s="139" t="n"/>
      <x:c r="P65" s="139" t="n"/>
      <x:c r="Q65" s="139" t="n"/>
      <x:c r="R65" s="139" t="n"/>
      <x:c r="S65" s="139" t="n"/>
      <x:c r="T65" s="139" t="n"/>
      <x:c r="U65" s="139" t="n"/>
      <x:c r="V65" s="139" t="n"/>
      <x:c r="W65" s="139" t="n"/>
      <x:c r="X65" s="139" t="n"/>
      <x:c r="Y65" s="139" t="n"/>
      <x:c r="Z65" s="139" t="n"/>
      <x:c r="AA65" s="139" t="n"/>
      <x:c r="AB65" s="139" t="n"/>
      <x:c r="AC65" s="139" t="n"/>
      <x:c r="AD65" s="139" t="n"/>
      <x:c r="AE65" s="139" t="n"/>
      <x:c r="AF65" s="139" t="n"/>
      <x:c r="AG65" s="139" t="n"/>
      <x:c r="AH65" s="139" t="n"/>
      <x:c r="AI65" s="139" t="n"/>
      <x:c r="AJ65" s="139" t="n"/>
      <x:c r="AK65" s="139" t="n"/>
      <x:c r="AL65" s="139" t="n"/>
      <x:c r="AM65" s="139" t="n"/>
      <x:c r="AN65" s="139" t="n"/>
      <x:c r="AO65" s="139" t="n"/>
      <x:c r="AP65" s="139" t="n"/>
      <x:c r="AQ65" s="139" t="n"/>
      <x:c r="AR65" s="139" t="n"/>
      <x:c r="AS65" s="139" t="n"/>
      <x:c r="AT65" s="139" t="n"/>
      <x:c r="AU65" s="139" t="n"/>
      <x:c r="AV65" s="139" t="n"/>
      <x:c r="AW65" s="139" t="n"/>
      <x:c r="AX65" s="139" t="n"/>
      <x:c r="AY65" s="139" t="n"/>
      <x:c r="AZ65" s="139" t="n"/>
    </x:row>
    <x:row r="66">
      <x:c r="A66" s="139" t="n"/>
      <x:c r="B66" s="139" t="n"/>
      <x:c r="C66" s="139" t="n"/>
      <x:c r="D66" s="139" t="n"/>
      <x:c r="E66" s="139" t="n"/>
      <x:c r="F66" s="139" t="n"/>
      <x:c r="G66" s="139" t="n"/>
      <x:c r="H66" s="139" t="n"/>
      <x:c r="I66" s="139" t="n"/>
      <x:c r="J66" s="139" t="n"/>
      <x:c r="K66" s="139" t="n"/>
      <x:c r="L66" s="139" t="n"/>
      <x:c r="M66" s="139" t="n"/>
      <x:c r="N66" s="139" t="n"/>
      <x:c r="O66" s="139" t="n"/>
      <x:c r="P66" s="139" t="n"/>
      <x:c r="Q66" s="139" t="n"/>
      <x:c r="R66" s="139" t="n"/>
      <x:c r="S66" s="139" t="n"/>
      <x:c r="T66" s="139" t="n"/>
      <x:c r="U66" s="139" t="n"/>
      <x:c r="V66" s="139" t="n"/>
      <x:c r="W66" s="139" t="n"/>
      <x:c r="X66" s="139" t="n"/>
      <x:c r="Y66" s="139" t="n"/>
      <x:c r="Z66" s="139" t="n"/>
      <x:c r="AA66" s="139" t="n"/>
      <x:c r="AB66" s="139" t="n"/>
      <x:c r="AC66" s="139" t="n"/>
      <x:c r="AD66" s="139" t="n"/>
      <x:c r="AE66" s="139" t="n"/>
      <x:c r="AF66" s="139" t="n"/>
      <x:c r="AG66" s="139" t="n"/>
      <x:c r="AH66" s="139" t="n"/>
      <x:c r="AI66" s="139" t="n"/>
      <x:c r="AJ66" s="139" t="n"/>
      <x:c r="AK66" s="139" t="n"/>
      <x:c r="AL66" s="139" t="n"/>
      <x:c r="AM66" s="139" t="n"/>
      <x:c r="AN66" s="139" t="n"/>
      <x:c r="AO66" s="139" t="n"/>
      <x:c r="AP66" s="139" t="n"/>
      <x:c r="AQ66" s="139" t="n"/>
      <x:c r="AR66" s="139" t="n"/>
      <x:c r="AS66" s="139" t="n"/>
      <x:c r="AT66" s="139" t="n"/>
      <x:c r="AU66" s="139" t="n"/>
      <x:c r="AV66" s="139" t="n"/>
      <x:c r="AW66" s="139" t="n"/>
      <x:c r="AX66" s="139" t="n"/>
      <x:c r="AY66" s="139" t="n"/>
      <x:c r="AZ66" s="139" t="n"/>
    </x:row>
    <x:row r="67">
      <x:c r="A67" s="139" t="n"/>
      <x:c r="B67" s="139" t="n"/>
      <x:c r="C67" s="139" t="n"/>
      <x:c r="D67" s="139" t="n"/>
      <x:c r="E67" s="139" t="n"/>
      <x:c r="F67" s="139" t="n"/>
      <x:c r="G67" s="139" t="n"/>
      <x:c r="H67" s="139" t="n"/>
      <x:c r="I67" s="139" t="n"/>
      <x:c r="J67" s="139" t="n"/>
      <x:c r="K67" s="139" t="n"/>
      <x:c r="L67" s="139" t="n"/>
      <x:c r="M67" s="139" t="n"/>
      <x:c r="N67" s="139" t="n"/>
      <x:c r="O67" s="139" t="n"/>
      <x:c r="P67" s="139" t="n"/>
      <x:c r="Q67" s="139" t="n"/>
      <x:c r="R67" s="139" t="n"/>
      <x:c r="S67" s="139" t="n"/>
      <x:c r="T67" s="139" t="n"/>
      <x:c r="U67" s="139" t="n"/>
      <x:c r="V67" s="139" t="n"/>
      <x:c r="W67" s="139" t="n"/>
      <x:c r="X67" s="139" t="n"/>
      <x:c r="Y67" s="139" t="n"/>
      <x:c r="Z67" s="139" t="n"/>
      <x:c r="AA67" s="139" t="n"/>
      <x:c r="AB67" s="139" t="n"/>
      <x:c r="AC67" s="139" t="n"/>
      <x:c r="AD67" s="139" t="n"/>
      <x:c r="AE67" s="139" t="n"/>
      <x:c r="AF67" s="139" t="n"/>
      <x:c r="AG67" s="139" t="n"/>
      <x:c r="AH67" s="139" t="n"/>
      <x:c r="AI67" s="139" t="n"/>
      <x:c r="AJ67" s="139" t="n"/>
      <x:c r="AK67" s="139" t="n"/>
      <x:c r="AL67" s="139" t="n"/>
      <x:c r="AM67" s="139" t="n"/>
      <x:c r="AN67" s="139" t="n"/>
      <x:c r="AO67" s="139" t="n"/>
      <x:c r="AP67" s="139" t="n"/>
      <x:c r="AQ67" s="139" t="n"/>
      <x:c r="AR67" s="139" t="n"/>
      <x:c r="AS67" s="139" t="n"/>
      <x:c r="AT67" s="139" t="n"/>
      <x:c r="AU67" s="139" t="n"/>
      <x:c r="AV67" s="139" t="n"/>
      <x:c r="AW67" s="139" t="n"/>
      <x:c r="AX67" s="139" t="n"/>
      <x:c r="AY67" s="139" t="n"/>
      <x:c r="AZ67" s="139" t="n"/>
    </x:row>
    <x:row r="68">
      <x:c r="A68" s="139" t="n"/>
      <x:c r="B68" s="139" t="n"/>
      <x:c r="C68" s="139" t="n"/>
      <x:c r="D68" s="139" t="n"/>
      <x:c r="E68" s="139" t="n"/>
      <x:c r="F68" s="139" t="n"/>
      <x:c r="G68" s="139" t="n"/>
      <x:c r="H68" s="139" t="n"/>
      <x:c r="I68" s="139" t="n"/>
      <x:c r="J68" s="139" t="n"/>
      <x:c r="K68" s="139" t="n"/>
      <x:c r="L68" s="139" t="n"/>
      <x:c r="M68" s="139" t="n"/>
      <x:c r="N68" s="139" t="n"/>
      <x:c r="O68" s="139" t="n"/>
      <x:c r="P68" s="139" t="n"/>
      <x:c r="Q68" s="139" t="n"/>
      <x:c r="R68" s="139" t="n"/>
      <x:c r="S68" s="139" t="n"/>
      <x:c r="T68" s="139" t="n"/>
      <x:c r="U68" s="139" t="n"/>
      <x:c r="V68" s="139" t="n"/>
      <x:c r="W68" s="139" t="n"/>
      <x:c r="X68" s="139" t="n"/>
      <x:c r="Y68" s="139" t="n"/>
      <x:c r="Z68" s="139" t="n"/>
      <x:c r="AA68" s="139" t="n"/>
      <x:c r="AB68" s="139" t="n"/>
      <x:c r="AC68" s="139" t="n"/>
      <x:c r="AD68" s="139" t="n"/>
      <x:c r="AE68" s="139" t="n"/>
      <x:c r="AF68" s="139" t="n"/>
      <x:c r="AG68" s="139" t="n"/>
      <x:c r="AH68" s="139" t="n"/>
      <x:c r="AI68" s="139" t="n"/>
      <x:c r="AJ68" s="139" t="n"/>
      <x:c r="AK68" s="139" t="n"/>
      <x:c r="AL68" s="139" t="n"/>
      <x:c r="AM68" s="139" t="n"/>
      <x:c r="AN68" s="139" t="n"/>
      <x:c r="AO68" s="139" t="n"/>
      <x:c r="AP68" s="139" t="n"/>
      <x:c r="AQ68" s="139" t="n"/>
      <x:c r="AR68" s="139" t="n"/>
      <x:c r="AS68" s="139" t="n"/>
      <x:c r="AT68" s="139" t="n"/>
      <x:c r="AU68" s="139" t="n"/>
      <x:c r="AV68" s="139" t="n"/>
      <x:c r="AW68" s="139" t="n"/>
      <x:c r="AX68" s="139" t="n"/>
      <x:c r="AY68" s="139" t="n"/>
      <x:c r="AZ68" s="139" t="n"/>
    </x:row>
    <x:row r="69">
      <x:c r="A69" s="139" t="n"/>
      <x:c r="B69" s="139" t="n"/>
      <x:c r="C69" s="139" t="n"/>
      <x:c r="D69" s="139" t="n"/>
      <x:c r="E69" s="139" t="n"/>
      <x:c r="F69" s="139" t="n"/>
      <x:c r="G69" s="139" t="n"/>
      <x:c r="H69" s="139" t="n"/>
      <x:c r="I69" s="139" t="n"/>
      <x:c r="J69" s="139" t="n"/>
      <x:c r="K69" s="139" t="n"/>
      <x:c r="L69" s="139" t="n"/>
      <x:c r="M69" s="139" t="n"/>
      <x:c r="N69" s="139" t="n"/>
      <x:c r="O69" s="139" t="n"/>
      <x:c r="P69" s="139" t="n"/>
      <x:c r="Q69" s="139" t="n"/>
      <x:c r="R69" s="139" t="n"/>
      <x:c r="S69" s="139" t="n"/>
      <x:c r="T69" s="139" t="n"/>
      <x:c r="U69" s="139" t="n"/>
      <x:c r="V69" s="139" t="n"/>
      <x:c r="W69" s="139" t="n"/>
      <x:c r="X69" s="139" t="n"/>
      <x:c r="Y69" s="139" t="n"/>
      <x:c r="Z69" s="139" t="n"/>
      <x:c r="AA69" s="139" t="n"/>
      <x:c r="AB69" s="139" t="n"/>
      <x:c r="AC69" s="139" t="n"/>
      <x:c r="AD69" s="139" t="n"/>
      <x:c r="AE69" s="139" t="n"/>
      <x:c r="AF69" s="139" t="n"/>
      <x:c r="AG69" s="139" t="n"/>
      <x:c r="AH69" s="139" t="n"/>
      <x:c r="AI69" s="139" t="n"/>
      <x:c r="AJ69" s="139" t="n"/>
      <x:c r="AK69" s="139" t="n"/>
      <x:c r="AL69" s="139" t="n"/>
      <x:c r="AM69" s="139" t="n"/>
      <x:c r="AN69" s="139" t="n"/>
      <x:c r="AO69" s="139" t="n"/>
      <x:c r="AP69" s="139" t="n"/>
      <x:c r="AQ69" s="139" t="n"/>
      <x:c r="AR69" s="139" t="n"/>
      <x:c r="AS69" s="139" t="n"/>
      <x:c r="AT69" s="139" t="n"/>
      <x:c r="AU69" s="139" t="n"/>
      <x:c r="AV69" s="139" t="n"/>
      <x:c r="AW69" s="139" t="n"/>
      <x:c r="AX69" s="139" t="n"/>
      <x:c r="AY69" s="139" t="n"/>
      <x:c r="AZ69" s="139" t="n"/>
    </x:row>
    <x:row r="70">
      <x:c r="A70" s="139" t="n"/>
      <x:c r="B70" s="139" t="n"/>
      <x:c r="C70" s="139" t="n"/>
      <x:c r="D70" s="139" t="n"/>
      <x:c r="E70" s="139" t="n"/>
      <x:c r="F70" s="139" t="n"/>
      <x:c r="G70" s="139" t="n"/>
      <x:c r="H70" s="139" t="n"/>
      <x:c r="I70" s="139" t="n"/>
      <x:c r="J70" s="139" t="n"/>
      <x:c r="K70" s="139" t="n"/>
      <x:c r="L70" s="139" t="n"/>
      <x:c r="M70" s="139" t="n"/>
      <x:c r="N70" s="139" t="n"/>
      <x:c r="O70" s="139" t="n"/>
      <x:c r="P70" s="139" t="n"/>
      <x:c r="Q70" s="139" t="n"/>
      <x:c r="R70" s="139" t="n"/>
      <x:c r="S70" s="139" t="n"/>
      <x:c r="T70" s="139" t="n"/>
      <x:c r="U70" s="139" t="n"/>
      <x:c r="V70" s="139" t="n"/>
      <x:c r="W70" s="139" t="n"/>
      <x:c r="X70" s="139" t="n"/>
      <x:c r="Y70" s="139" t="n"/>
      <x:c r="Z70" s="139" t="n"/>
      <x:c r="AA70" s="139" t="n"/>
      <x:c r="AB70" s="139" t="n"/>
      <x:c r="AC70" s="139" t="n"/>
      <x:c r="AD70" s="139" t="n"/>
      <x:c r="AE70" s="139" t="n"/>
      <x:c r="AF70" s="139" t="n"/>
      <x:c r="AG70" s="139" t="n"/>
      <x:c r="AH70" s="139" t="n"/>
      <x:c r="AI70" s="139" t="n"/>
      <x:c r="AJ70" s="139" t="n"/>
      <x:c r="AK70" s="139" t="n"/>
      <x:c r="AL70" s="139" t="n"/>
      <x:c r="AM70" s="139" t="n"/>
      <x:c r="AN70" s="139" t="n"/>
      <x:c r="AO70" s="139" t="n"/>
      <x:c r="AP70" s="139" t="n"/>
      <x:c r="AQ70" s="139" t="n"/>
      <x:c r="AR70" s="139" t="n"/>
      <x:c r="AS70" s="139" t="n"/>
      <x:c r="AT70" s="139" t="n"/>
      <x:c r="AU70" s="139" t="n"/>
      <x:c r="AV70" s="139" t="n"/>
      <x:c r="AW70" s="139" t="n"/>
      <x:c r="AX70" s="139" t="n"/>
      <x:c r="AY70" s="139" t="n"/>
      <x:c r="AZ70" s="139" t="n"/>
    </x:row>
    <x:row r="71">
      <x:c r="A71" s="139" t="n"/>
      <x:c r="B71" s="139" t="n"/>
      <x:c r="C71" s="139" t="n"/>
      <x:c r="D71" s="139" t="n"/>
      <x:c r="E71" s="139" t="n"/>
      <x:c r="F71" s="139" t="n"/>
      <x:c r="G71" s="139" t="n"/>
      <x:c r="H71" s="139" t="n"/>
      <x:c r="I71" s="139" t="n"/>
      <x:c r="J71" s="139" t="n"/>
      <x:c r="K71" s="139" t="n"/>
      <x:c r="L71" s="139" t="n"/>
      <x:c r="M71" s="139" t="n"/>
      <x:c r="N71" s="139" t="n"/>
      <x:c r="O71" s="139" t="n"/>
      <x:c r="P71" s="139" t="n"/>
      <x:c r="Q71" s="139" t="n"/>
      <x:c r="R71" s="139" t="n"/>
      <x:c r="S71" s="139" t="n"/>
      <x:c r="T71" s="139" t="n"/>
      <x:c r="U71" s="139" t="n"/>
      <x:c r="V71" s="139" t="n"/>
      <x:c r="W71" s="139" t="n"/>
      <x:c r="X71" s="139" t="n"/>
      <x:c r="Y71" s="139" t="n"/>
      <x:c r="Z71" s="139" t="n"/>
      <x:c r="AA71" s="139" t="n"/>
      <x:c r="AB71" s="139" t="n"/>
      <x:c r="AC71" s="139" t="n"/>
      <x:c r="AD71" s="139" t="n"/>
      <x:c r="AE71" s="139" t="n"/>
      <x:c r="AF71" s="139" t="n"/>
      <x:c r="AG71" s="139" t="n"/>
      <x:c r="AH71" s="139" t="n"/>
      <x:c r="AI71" s="139" t="n"/>
      <x:c r="AJ71" s="139" t="n"/>
      <x:c r="AK71" s="139" t="n"/>
      <x:c r="AL71" s="139" t="n"/>
      <x:c r="AM71" s="139" t="n"/>
      <x:c r="AN71" s="139" t="n"/>
      <x:c r="AO71" s="139" t="n"/>
      <x:c r="AP71" s="139" t="n"/>
      <x:c r="AQ71" s="139" t="n"/>
      <x:c r="AR71" s="139" t="n"/>
      <x:c r="AS71" s="139" t="n"/>
      <x:c r="AT71" s="139" t="n"/>
      <x:c r="AU71" s="139" t="n"/>
      <x:c r="AV71" s="139" t="n"/>
      <x:c r="AW71" s="139" t="n"/>
      <x:c r="AX71" s="139" t="n"/>
      <x:c r="AY71" s="139" t="n"/>
      <x:c r="AZ71" s="139" t="n"/>
    </x:row>
    <x:row r="72">
      <x:c r="A72" s="139" t="n"/>
      <x:c r="B72" s="139" t="n"/>
      <x:c r="C72" s="139" t="n"/>
      <x:c r="D72" s="139" t="n"/>
      <x:c r="E72" s="139" t="n"/>
      <x:c r="F72" s="139" t="n"/>
      <x:c r="G72" s="139" t="n"/>
      <x:c r="H72" s="139" t="n"/>
      <x:c r="I72" s="139" t="n"/>
      <x:c r="J72" s="139" t="n"/>
      <x:c r="K72" s="139" t="n"/>
      <x:c r="L72" s="139" t="n"/>
      <x:c r="M72" s="139" t="n"/>
      <x:c r="N72" s="139" t="n"/>
      <x:c r="O72" s="139" t="n"/>
      <x:c r="P72" s="139" t="n"/>
      <x:c r="Q72" s="139" t="n"/>
      <x:c r="R72" s="139" t="n"/>
      <x:c r="S72" s="139" t="n"/>
      <x:c r="T72" s="139" t="n"/>
      <x:c r="U72" s="139" t="n"/>
      <x:c r="V72" s="139" t="n"/>
      <x:c r="W72" s="139" t="n"/>
      <x:c r="X72" s="139" t="n"/>
      <x:c r="Y72" s="139" t="n"/>
      <x:c r="Z72" s="139" t="n"/>
      <x:c r="AA72" s="139" t="n"/>
      <x:c r="AB72" s="139" t="n"/>
      <x:c r="AC72" s="139" t="n"/>
      <x:c r="AD72" s="139" t="n"/>
      <x:c r="AE72" s="139" t="n"/>
      <x:c r="AF72" s="139" t="n"/>
      <x:c r="AG72" s="139" t="n"/>
      <x:c r="AH72" s="139" t="n"/>
      <x:c r="AI72" s="139" t="n"/>
      <x:c r="AJ72" s="139" t="n"/>
      <x:c r="AK72" s="139" t="n"/>
      <x:c r="AL72" s="139" t="n"/>
      <x:c r="AM72" s="139" t="n"/>
      <x:c r="AN72" s="139" t="n"/>
      <x:c r="AO72" s="139" t="n"/>
      <x:c r="AP72" s="139" t="n"/>
      <x:c r="AQ72" s="139" t="n"/>
      <x:c r="AR72" s="139" t="n"/>
      <x:c r="AS72" s="139" t="n"/>
      <x:c r="AT72" s="139" t="n"/>
      <x:c r="AU72" s="139" t="n"/>
      <x:c r="AV72" s="139" t="n"/>
      <x:c r="AW72" s="139" t="n"/>
      <x:c r="AX72" s="139" t="n"/>
      <x:c r="AY72" s="139" t="n"/>
      <x:c r="AZ72" s="139" t="n"/>
    </x:row>
    <x:row r="73">
      <x:c r="A73" s="139" t="n"/>
      <x:c r="B73" s="139" t="n"/>
      <x:c r="C73" s="139" t="n"/>
      <x:c r="D73" s="139" t="n"/>
      <x:c r="E73" s="139" t="n"/>
      <x:c r="F73" s="139" t="n"/>
      <x:c r="G73" s="139" t="n"/>
      <x:c r="H73" s="139" t="n"/>
      <x:c r="I73" s="139" t="n"/>
      <x:c r="J73" s="139" t="n"/>
      <x:c r="K73" s="139" t="n"/>
      <x:c r="L73" s="139" t="n"/>
      <x:c r="M73" s="139" t="n"/>
      <x:c r="N73" s="139" t="n"/>
      <x:c r="O73" s="139" t="n"/>
      <x:c r="P73" s="139" t="n"/>
      <x:c r="Q73" s="139" t="n"/>
      <x:c r="R73" s="139" t="n"/>
      <x:c r="S73" s="139" t="n"/>
      <x:c r="T73" s="139" t="n"/>
      <x:c r="U73" s="139" t="n"/>
      <x:c r="V73" s="139" t="n"/>
      <x:c r="W73" s="139" t="n"/>
      <x:c r="X73" s="139" t="n"/>
      <x:c r="Y73" s="139" t="n"/>
      <x:c r="Z73" s="139" t="n"/>
      <x:c r="AA73" s="139" t="n"/>
      <x:c r="AB73" s="139" t="n"/>
      <x:c r="AC73" s="139" t="n"/>
      <x:c r="AD73" s="139" t="n"/>
      <x:c r="AE73" s="139" t="n"/>
      <x:c r="AF73" s="139" t="n"/>
      <x:c r="AG73" s="139" t="n"/>
      <x:c r="AH73" s="139" t="n"/>
      <x:c r="AI73" s="139" t="n"/>
      <x:c r="AJ73" s="139" t="n"/>
      <x:c r="AK73" s="139" t="n"/>
      <x:c r="AL73" s="139" t="n"/>
      <x:c r="AM73" s="139" t="n"/>
      <x:c r="AN73" s="139" t="n"/>
      <x:c r="AO73" s="139" t="n"/>
      <x:c r="AP73" s="139" t="n"/>
      <x:c r="AQ73" s="139" t="n"/>
      <x:c r="AR73" s="139" t="n"/>
      <x:c r="AS73" s="139" t="n"/>
      <x:c r="AT73" s="139" t="n"/>
      <x:c r="AU73" s="139" t="n"/>
      <x:c r="AV73" s="139" t="n"/>
      <x:c r="AW73" s="139" t="n"/>
      <x:c r="AX73" s="139" t="n"/>
      <x:c r="AY73" s="139" t="n"/>
      <x:c r="AZ73" s="139" t="n"/>
    </x:row>
    <x:row r="74">
      <x:c r="A74" s="139" t="n"/>
      <x:c r="B74" s="139" t="n"/>
      <x:c r="C74" s="139" t="n"/>
      <x:c r="D74" s="139" t="n"/>
      <x:c r="E74" s="139" t="n"/>
      <x:c r="F74" s="139" t="n"/>
      <x:c r="G74" s="139" t="n"/>
      <x:c r="H74" s="139" t="n"/>
      <x:c r="I74" s="139" t="n"/>
      <x:c r="J74" s="139" t="n"/>
      <x:c r="K74" s="139" t="n"/>
      <x:c r="L74" s="139" t="n"/>
      <x:c r="M74" s="139" t="n"/>
      <x:c r="N74" s="139" t="n"/>
      <x:c r="O74" s="139" t="n"/>
      <x:c r="P74" s="139" t="n"/>
      <x:c r="Q74" s="139" t="n"/>
      <x:c r="R74" s="139" t="n"/>
      <x:c r="S74" s="139" t="n"/>
      <x:c r="T74" s="139" t="n"/>
      <x:c r="U74" s="139" t="n"/>
      <x:c r="V74" s="139" t="n"/>
      <x:c r="W74" s="139" t="n"/>
      <x:c r="X74" s="139" t="n"/>
      <x:c r="Y74" s="139" t="n"/>
      <x:c r="Z74" s="139" t="n"/>
      <x:c r="AA74" s="139" t="n"/>
      <x:c r="AB74" s="139" t="n"/>
      <x:c r="AC74" s="139" t="n"/>
      <x:c r="AD74" s="139" t="n"/>
      <x:c r="AE74" s="139" t="n"/>
      <x:c r="AF74" s="139" t="n"/>
      <x:c r="AG74" s="139" t="n"/>
      <x:c r="AH74" s="139" t="n"/>
      <x:c r="AI74" s="139" t="n"/>
      <x:c r="AJ74" s="139" t="n"/>
      <x:c r="AK74" s="139" t="n"/>
      <x:c r="AL74" s="139" t="n"/>
      <x:c r="AM74" s="139" t="n"/>
      <x:c r="AN74" s="139" t="n"/>
      <x:c r="AO74" s="139" t="n"/>
      <x:c r="AP74" s="139" t="n"/>
      <x:c r="AQ74" s="139" t="n"/>
      <x:c r="AR74" s="139" t="n"/>
      <x:c r="AS74" s="139" t="n"/>
      <x:c r="AT74" s="139" t="n"/>
      <x:c r="AU74" s="139" t="n"/>
      <x:c r="AV74" s="139" t="n"/>
      <x:c r="AW74" s="139" t="n"/>
      <x:c r="AX74" s="139" t="n"/>
      <x:c r="AY74" s="139" t="n"/>
      <x:c r="AZ74" s="139" t="n"/>
    </x:row>
    <x:row r="75">
      <x:c r="A75" s="139" t="n"/>
      <x:c r="B75" s="139" t="n"/>
      <x:c r="C75" s="139" t="n"/>
      <x:c r="D75" s="139" t="n"/>
      <x:c r="E75" s="139" t="n"/>
      <x:c r="F75" s="139" t="n"/>
      <x:c r="G75" s="139" t="n"/>
      <x:c r="H75" s="139" t="n"/>
      <x:c r="I75" s="139" t="n"/>
      <x:c r="J75" s="139" t="n"/>
      <x:c r="K75" s="139" t="n"/>
      <x:c r="L75" s="139" t="n"/>
      <x:c r="M75" s="139" t="n"/>
      <x:c r="N75" s="139" t="n"/>
      <x:c r="O75" s="139" t="n"/>
      <x:c r="P75" s="139" t="n"/>
      <x:c r="Q75" s="139" t="n"/>
      <x:c r="R75" s="139" t="n"/>
      <x:c r="S75" s="139" t="n"/>
      <x:c r="T75" s="139" t="n"/>
      <x:c r="U75" s="139" t="n"/>
      <x:c r="V75" s="139" t="n"/>
      <x:c r="W75" s="139" t="n"/>
      <x:c r="X75" s="139" t="n"/>
      <x:c r="Y75" s="139" t="n"/>
      <x:c r="Z75" s="139" t="n"/>
      <x:c r="AA75" s="139" t="n"/>
      <x:c r="AB75" s="139" t="n"/>
      <x:c r="AC75" s="139" t="n"/>
      <x:c r="AD75" s="139" t="n"/>
      <x:c r="AE75" s="139" t="n"/>
      <x:c r="AF75" s="139" t="n"/>
      <x:c r="AG75" s="139" t="n"/>
      <x:c r="AH75" s="139" t="n"/>
      <x:c r="AI75" s="139" t="n"/>
      <x:c r="AJ75" s="139" t="n"/>
      <x:c r="AK75" s="139" t="n"/>
      <x:c r="AL75" s="139" t="n"/>
      <x:c r="AM75" s="139" t="n"/>
      <x:c r="AN75" s="139" t="n"/>
      <x:c r="AO75" s="139" t="n"/>
      <x:c r="AP75" s="139" t="n"/>
      <x:c r="AQ75" s="139" t="n"/>
      <x:c r="AR75" s="139" t="n"/>
      <x:c r="AS75" s="139" t="n"/>
      <x:c r="AT75" s="139" t="n"/>
      <x:c r="AU75" s="139" t="n"/>
      <x:c r="AV75" s="139" t="n"/>
      <x:c r="AW75" s="139" t="n"/>
      <x:c r="AX75" s="139" t="n"/>
      <x:c r="AY75" s="139" t="n"/>
      <x:c r="AZ75" s="139" t="n"/>
    </x:row>
    <x:row r="76">
      <x:c r="A76" s="139" t="n"/>
      <x:c r="B76" s="139" t="n"/>
      <x:c r="C76" s="139" t="n"/>
      <x:c r="D76" s="139" t="n"/>
      <x:c r="E76" s="139" t="n"/>
      <x:c r="F76" s="139" t="n"/>
      <x:c r="G76" s="139" t="n"/>
      <x:c r="H76" s="139" t="n"/>
      <x:c r="I76" s="139" t="n"/>
      <x:c r="J76" s="139" t="n"/>
      <x:c r="K76" s="139" t="n"/>
      <x:c r="L76" s="139" t="n"/>
      <x:c r="M76" s="139" t="n"/>
      <x:c r="N76" s="139" t="n"/>
      <x:c r="O76" s="139" t="n"/>
      <x:c r="P76" s="139" t="n"/>
      <x:c r="Q76" s="139" t="n"/>
      <x:c r="R76" s="139" t="n"/>
      <x:c r="S76" s="139" t="n"/>
      <x:c r="T76" s="139" t="n"/>
      <x:c r="U76" s="139" t="n"/>
      <x:c r="V76" s="139" t="n"/>
      <x:c r="W76" s="139" t="n"/>
      <x:c r="X76" s="139" t="n"/>
      <x:c r="Y76" s="139" t="n"/>
      <x:c r="Z76" s="139" t="n"/>
      <x:c r="AA76" s="139" t="n"/>
      <x:c r="AB76" s="139" t="n"/>
      <x:c r="AC76" s="139" t="n"/>
      <x:c r="AD76" s="139" t="n"/>
      <x:c r="AE76" s="139" t="n"/>
      <x:c r="AF76" s="139" t="n"/>
      <x:c r="AG76" s="139" t="n"/>
      <x:c r="AH76" s="139" t="n"/>
      <x:c r="AI76" s="139" t="n"/>
      <x:c r="AJ76" s="139" t="n"/>
      <x:c r="AK76" s="139" t="n"/>
      <x:c r="AL76" s="139" t="n"/>
      <x:c r="AM76" s="139" t="n"/>
      <x:c r="AN76" s="139" t="n"/>
      <x:c r="AO76" s="139" t="n"/>
      <x:c r="AP76" s="139" t="n"/>
      <x:c r="AQ76" s="139" t="n"/>
      <x:c r="AR76" s="139" t="n"/>
      <x:c r="AS76" s="139" t="n"/>
      <x:c r="AT76" s="139" t="n"/>
      <x:c r="AU76" s="139" t="n"/>
      <x:c r="AV76" s="139" t="n"/>
      <x:c r="AW76" s="139" t="n"/>
      <x:c r="AX76" s="139" t="n"/>
      <x:c r="AY76" s="139" t="n"/>
      <x:c r="AZ76" s="139" t="n"/>
    </x:row>
    <x:row r="77">
      <x:c r="A77" s="139" t="n"/>
      <x:c r="B77" s="139" t="n"/>
      <x:c r="C77" s="139" t="n"/>
      <x:c r="D77" s="139" t="n"/>
      <x:c r="E77" s="139" t="n"/>
      <x:c r="F77" s="139" t="n"/>
      <x:c r="G77" s="139" t="n"/>
      <x:c r="H77" s="139" t="n"/>
      <x:c r="I77" s="139" t="n"/>
      <x:c r="J77" s="139" t="n"/>
      <x:c r="K77" s="139" t="n"/>
      <x:c r="L77" s="139" t="n"/>
      <x:c r="M77" s="139" t="n"/>
      <x:c r="N77" s="139" t="n"/>
      <x:c r="O77" s="139" t="n"/>
      <x:c r="P77" s="139" t="n"/>
      <x:c r="Q77" s="139" t="n"/>
      <x:c r="R77" s="139" t="n"/>
      <x:c r="S77" s="139" t="n"/>
      <x:c r="T77" s="139" t="n"/>
      <x:c r="U77" s="139" t="n"/>
      <x:c r="V77" s="139" t="n"/>
      <x:c r="W77" s="139" t="n"/>
      <x:c r="X77" s="139" t="n"/>
      <x:c r="Y77" s="139" t="n"/>
      <x:c r="Z77" s="139" t="n"/>
      <x:c r="AA77" s="139" t="n"/>
      <x:c r="AB77" s="139" t="n"/>
      <x:c r="AC77" s="139" t="n"/>
      <x:c r="AD77" s="139" t="n"/>
      <x:c r="AE77" s="139" t="n"/>
      <x:c r="AF77" s="139" t="n"/>
      <x:c r="AG77" s="139" t="n"/>
      <x:c r="AH77" s="139" t="n"/>
      <x:c r="AI77" s="139" t="n"/>
      <x:c r="AJ77" s="139" t="n"/>
      <x:c r="AK77" s="139" t="n"/>
      <x:c r="AL77" s="139" t="n"/>
      <x:c r="AM77" s="139" t="n"/>
      <x:c r="AN77" s="139" t="n"/>
      <x:c r="AO77" s="139" t="n"/>
      <x:c r="AP77" s="139" t="n"/>
      <x:c r="AQ77" s="139" t="n"/>
      <x:c r="AR77" s="139" t="n"/>
      <x:c r="AS77" s="139" t="n"/>
      <x:c r="AT77" s="139" t="n"/>
      <x:c r="AU77" s="139" t="n"/>
      <x:c r="AV77" s="139" t="n"/>
      <x:c r="AW77" s="139" t="n"/>
      <x:c r="AX77" s="139" t="n"/>
      <x:c r="AY77" s="139" t="n"/>
      <x:c r="AZ77" s="139" t="n"/>
    </x:row>
    <x:row r="78">
      <x:c r="A78" s="139" t="n"/>
      <x:c r="B78" s="139" t="n"/>
      <x:c r="C78" s="139" t="n"/>
      <x:c r="D78" s="139" t="n"/>
      <x:c r="E78" s="139" t="n"/>
      <x:c r="F78" s="139" t="n"/>
      <x:c r="G78" s="139" t="n"/>
      <x:c r="H78" s="139" t="n"/>
      <x:c r="I78" s="139" t="n"/>
      <x:c r="J78" s="139" t="n"/>
      <x:c r="K78" s="139" t="n"/>
      <x:c r="L78" s="139" t="n"/>
      <x:c r="M78" s="139" t="n"/>
      <x:c r="N78" s="139" t="n"/>
      <x:c r="O78" s="139" t="n"/>
      <x:c r="P78" s="139" t="n"/>
      <x:c r="Q78" s="139" t="n"/>
      <x:c r="R78" s="139" t="n"/>
      <x:c r="S78" s="139" t="n"/>
      <x:c r="T78" s="139" t="n"/>
      <x:c r="U78" s="139" t="n"/>
      <x:c r="V78" s="139" t="n"/>
      <x:c r="W78" s="139" t="n"/>
      <x:c r="X78" s="139" t="n"/>
      <x:c r="Y78" s="139" t="n"/>
      <x:c r="Z78" s="139" t="n"/>
      <x:c r="AA78" s="139" t="n"/>
      <x:c r="AB78" s="139" t="n"/>
      <x:c r="AC78" s="139" t="n"/>
      <x:c r="AD78" s="139" t="n"/>
      <x:c r="AE78" s="139" t="n"/>
      <x:c r="AF78" s="139" t="n"/>
      <x:c r="AG78" s="139" t="n"/>
      <x:c r="AH78" s="139" t="n"/>
      <x:c r="AI78" s="139" t="n"/>
      <x:c r="AJ78" s="139" t="n"/>
      <x:c r="AK78" s="139" t="n"/>
      <x:c r="AL78" s="139" t="n"/>
      <x:c r="AM78" s="139" t="n"/>
      <x:c r="AN78" s="139" t="n"/>
      <x:c r="AO78" s="139" t="n"/>
      <x:c r="AP78" s="139" t="n"/>
      <x:c r="AQ78" s="139" t="n"/>
      <x:c r="AR78" s="139" t="n"/>
      <x:c r="AS78" s="139" t="n"/>
      <x:c r="AT78" s="139" t="n"/>
      <x:c r="AU78" s="139" t="n"/>
      <x:c r="AV78" s="139" t="n"/>
      <x:c r="AW78" s="139" t="n"/>
      <x:c r="AX78" s="139" t="n"/>
      <x:c r="AY78" s="139" t="n"/>
      <x:c r="AZ78" s="139" t="n"/>
    </x:row>
    <x:row r="79">
      <x:c r="A79" s="139" t="n"/>
      <x:c r="B79" s="139" t="n"/>
      <x:c r="C79" s="139" t="n"/>
      <x:c r="D79" s="139" t="n"/>
      <x:c r="E79" s="139" t="n"/>
      <x:c r="F79" s="139" t="n"/>
      <x:c r="G79" s="139" t="n"/>
      <x:c r="H79" s="139" t="n"/>
      <x:c r="I79" s="139" t="n"/>
      <x:c r="J79" s="139" t="n"/>
      <x:c r="K79" s="139" t="n"/>
      <x:c r="L79" s="139" t="n"/>
      <x:c r="M79" s="139" t="n"/>
      <x:c r="N79" s="139" t="n"/>
      <x:c r="O79" s="139" t="n"/>
      <x:c r="P79" s="139" t="n"/>
      <x:c r="Q79" s="139" t="n"/>
      <x:c r="R79" s="139" t="n"/>
      <x:c r="S79" s="139" t="n"/>
      <x:c r="T79" s="139" t="n"/>
      <x:c r="U79" s="139" t="n"/>
      <x:c r="V79" s="139" t="n"/>
      <x:c r="W79" s="139" t="n"/>
      <x:c r="X79" s="139" t="n"/>
      <x:c r="Y79" s="139" t="n"/>
      <x:c r="Z79" s="139" t="n"/>
      <x:c r="AA79" s="139" t="n"/>
      <x:c r="AB79" s="139" t="n"/>
      <x:c r="AC79" s="139" t="n"/>
      <x:c r="AD79" s="139" t="n"/>
      <x:c r="AE79" s="139" t="n"/>
      <x:c r="AF79" s="139" t="n"/>
      <x:c r="AG79" s="139" t="n"/>
      <x:c r="AH79" s="139" t="n"/>
      <x:c r="AI79" s="139" t="n"/>
      <x:c r="AJ79" s="139" t="n"/>
      <x:c r="AK79" s="139" t="n"/>
      <x:c r="AL79" s="139" t="n"/>
      <x:c r="AM79" s="139" t="n"/>
      <x:c r="AN79" s="139" t="n"/>
      <x:c r="AO79" s="139" t="n"/>
      <x:c r="AP79" s="139" t="n"/>
      <x:c r="AQ79" s="139" t="n"/>
      <x:c r="AR79" s="139" t="n"/>
      <x:c r="AS79" s="139" t="n"/>
      <x:c r="AT79" s="139" t="n"/>
      <x:c r="AU79" s="139" t="n"/>
      <x:c r="AV79" s="139" t="n"/>
      <x:c r="AW79" s="139" t="n"/>
      <x:c r="AX79" s="139" t="n"/>
      <x:c r="AY79" s="139" t="n"/>
      <x:c r="AZ79" s="139" t="n"/>
    </x:row>
    <x:row r="80">
      <x:c r="A80" s="139" t="n"/>
      <x:c r="B80" s="139" t="n"/>
      <x:c r="C80" s="139" t="n"/>
      <x:c r="D80" s="139" t="n"/>
      <x:c r="E80" s="139" t="n"/>
      <x:c r="F80" s="139" t="n"/>
      <x:c r="G80" s="139" t="n"/>
      <x:c r="H80" s="139" t="n"/>
      <x:c r="I80" s="139" t="n"/>
      <x:c r="J80" s="139" t="n"/>
      <x:c r="K80" s="139" t="n"/>
      <x:c r="L80" s="139" t="n"/>
      <x:c r="M80" s="139" t="n"/>
      <x:c r="N80" s="139" t="n"/>
      <x:c r="O80" s="139" t="n"/>
      <x:c r="P80" s="139" t="n"/>
      <x:c r="Q80" s="139" t="n"/>
      <x:c r="R80" s="139" t="n"/>
      <x:c r="S80" s="139" t="n"/>
      <x:c r="T80" s="139" t="n"/>
      <x:c r="U80" s="139" t="n"/>
      <x:c r="V80" s="139" t="n"/>
      <x:c r="W80" s="139" t="n"/>
      <x:c r="X80" s="139" t="n"/>
      <x:c r="Y80" s="139" t="n"/>
      <x:c r="Z80" s="139" t="n"/>
      <x:c r="AA80" s="139" t="n"/>
      <x:c r="AB80" s="139" t="n"/>
      <x:c r="AC80" s="139" t="n"/>
      <x:c r="AD80" s="139" t="n"/>
      <x:c r="AE80" s="139" t="n"/>
      <x:c r="AF80" s="139" t="n"/>
      <x:c r="AG80" s="139" t="n"/>
      <x:c r="AH80" s="139" t="n"/>
      <x:c r="AI80" s="139" t="n"/>
      <x:c r="AJ80" s="139" t="n"/>
      <x:c r="AK80" s="139" t="n"/>
      <x:c r="AL80" s="139" t="n"/>
      <x:c r="AM80" s="139" t="n"/>
      <x:c r="AN80" s="139" t="n"/>
      <x:c r="AO80" s="139" t="n"/>
      <x:c r="AP80" s="139" t="n"/>
      <x:c r="AQ80" s="139" t="n"/>
      <x:c r="AR80" s="139" t="n"/>
      <x:c r="AS80" s="139" t="n"/>
      <x:c r="AT80" s="139" t="n"/>
      <x:c r="AU80" s="139" t="n"/>
      <x:c r="AV80" s="139" t="n"/>
      <x:c r="AW80" s="139" t="n"/>
      <x:c r="AX80" s="139" t="n"/>
      <x:c r="AY80" s="139" t="n"/>
      <x:c r="AZ80" s="139" t="n"/>
    </x:row>
    <x:row r="81">
      <x:c r="A81" s="139" t="n"/>
      <x:c r="B81" s="139" t="n"/>
      <x:c r="C81" s="139" t="n"/>
      <x:c r="D81" s="139" t="n"/>
      <x:c r="E81" s="139" t="n"/>
      <x:c r="F81" s="139" t="n"/>
      <x:c r="G81" s="139" t="n"/>
      <x:c r="H81" s="139" t="n"/>
      <x:c r="I81" s="139" t="n"/>
      <x:c r="J81" s="139" t="n"/>
      <x:c r="K81" s="139" t="n"/>
      <x:c r="L81" s="139" t="n"/>
      <x:c r="M81" s="139" t="n"/>
      <x:c r="N81" s="139" t="n"/>
      <x:c r="O81" s="139" t="n"/>
      <x:c r="P81" s="139" t="n"/>
      <x:c r="Q81" s="139" t="n"/>
      <x:c r="R81" s="139" t="n"/>
      <x:c r="S81" s="139" t="n"/>
      <x:c r="T81" s="139" t="n"/>
      <x:c r="U81" s="139" t="n"/>
      <x:c r="V81" s="139" t="n"/>
      <x:c r="W81" s="139" t="n"/>
      <x:c r="X81" s="139" t="n"/>
      <x:c r="Y81" s="139" t="n"/>
      <x:c r="Z81" s="139" t="n"/>
      <x:c r="AA81" s="139" t="n"/>
      <x:c r="AB81" s="139" t="n"/>
      <x:c r="AC81" s="139" t="n"/>
      <x:c r="AD81" s="139" t="n"/>
      <x:c r="AE81" s="139" t="n"/>
      <x:c r="AF81" s="139" t="n"/>
      <x:c r="AG81" s="139" t="n"/>
      <x:c r="AH81" s="139" t="n"/>
      <x:c r="AI81" s="139" t="n"/>
      <x:c r="AJ81" s="139" t="n"/>
      <x:c r="AK81" s="139" t="n"/>
      <x:c r="AL81" s="139" t="n"/>
      <x:c r="AM81" s="139" t="n"/>
      <x:c r="AN81" s="139" t="n"/>
      <x:c r="AO81" s="139" t="n"/>
      <x:c r="AP81" s="139" t="n"/>
      <x:c r="AQ81" s="139" t="n"/>
      <x:c r="AR81" s="139" t="n"/>
      <x:c r="AS81" s="139" t="n"/>
      <x:c r="AT81" s="139" t="n"/>
      <x:c r="AU81" s="139" t="n"/>
      <x:c r="AV81" s="139" t="n"/>
      <x:c r="AW81" s="139" t="n"/>
      <x:c r="AX81" s="139" t="n"/>
      <x:c r="AY81" s="139" t="n"/>
      <x:c r="AZ81" s="139" t="n"/>
    </x:row>
    <x:row r="82">
      <x:c r="A82" s="139" t="n"/>
      <x:c r="B82" s="139" t="n"/>
      <x:c r="C82" s="139" t="n"/>
      <x:c r="D82" s="139" t="n"/>
      <x:c r="E82" s="139" t="n"/>
      <x:c r="F82" s="139" t="n"/>
      <x:c r="G82" s="139" t="n"/>
      <x:c r="H82" s="139" t="n"/>
      <x:c r="I82" s="139" t="n"/>
      <x:c r="J82" s="139" t="n"/>
      <x:c r="K82" s="139" t="n"/>
      <x:c r="L82" s="139" t="n"/>
      <x:c r="M82" s="139" t="n"/>
      <x:c r="N82" s="139" t="n"/>
      <x:c r="O82" s="139" t="n"/>
      <x:c r="P82" s="139" t="n"/>
      <x:c r="Q82" s="139" t="n"/>
      <x:c r="R82" s="139" t="n"/>
      <x:c r="S82" s="139" t="n"/>
      <x:c r="T82" s="139" t="n"/>
      <x:c r="U82" s="139" t="n"/>
      <x:c r="V82" s="139" t="n"/>
      <x:c r="W82" s="139" t="n"/>
      <x:c r="X82" s="139" t="n"/>
      <x:c r="Y82" s="139" t="n"/>
      <x:c r="Z82" s="139" t="n"/>
      <x:c r="AA82" s="139" t="n"/>
      <x:c r="AB82" s="139" t="n"/>
      <x:c r="AC82" s="139" t="n"/>
      <x:c r="AD82" s="139" t="n"/>
      <x:c r="AE82" s="139" t="n"/>
      <x:c r="AF82" s="139" t="n"/>
      <x:c r="AG82" s="139" t="n"/>
      <x:c r="AH82" s="139" t="n"/>
      <x:c r="AI82" s="139" t="n"/>
      <x:c r="AJ82" s="139" t="n"/>
      <x:c r="AK82" s="139" t="n"/>
      <x:c r="AL82" s="139" t="n"/>
      <x:c r="AM82" s="139" t="n"/>
      <x:c r="AN82" s="139" t="n"/>
      <x:c r="AO82" s="139" t="n"/>
      <x:c r="AP82" s="139" t="n"/>
      <x:c r="AQ82" s="139" t="n"/>
      <x:c r="AR82" s="139" t="n"/>
      <x:c r="AS82" s="139" t="n"/>
      <x:c r="AT82" s="139" t="n"/>
      <x:c r="AU82" s="139" t="n"/>
      <x:c r="AV82" s="139" t="n"/>
      <x:c r="AW82" s="139" t="n"/>
      <x:c r="AX82" s="139" t="n"/>
      <x:c r="AY82" s="139" t="n"/>
      <x:c r="AZ82" s="139" t="n"/>
    </x:row>
    <x:row r="83">
      <x:c r="A83" s="139" t="n"/>
      <x:c r="B83" s="139" t="n"/>
      <x:c r="C83" s="139" t="n"/>
      <x:c r="D83" s="139" t="n"/>
      <x:c r="E83" s="139" t="n"/>
      <x:c r="F83" s="139" t="n"/>
      <x:c r="G83" s="139" t="n"/>
      <x:c r="H83" s="139" t="n"/>
      <x:c r="I83" s="139" t="n"/>
      <x:c r="J83" s="139" t="n"/>
      <x:c r="K83" s="139" t="n"/>
      <x:c r="L83" s="139" t="n"/>
      <x:c r="M83" s="139" t="n"/>
      <x:c r="N83" s="139" t="n"/>
      <x:c r="O83" s="139" t="n"/>
      <x:c r="P83" s="139" t="n"/>
      <x:c r="Q83" s="139" t="n"/>
      <x:c r="R83" s="139" t="n"/>
      <x:c r="S83" s="139" t="n"/>
      <x:c r="T83" s="139" t="n"/>
      <x:c r="U83" s="139" t="n"/>
      <x:c r="V83" s="139" t="n"/>
      <x:c r="W83" s="139" t="n"/>
      <x:c r="X83" s="139" t="n"/>
      <x:c r="Y83" s="139" t="n"/>
      <x:c r="Z83" s="139" t="n"/>
      <x:c r="AA83" s="139" t="n"/>
      <x:c r="AB83" s="139" t="n"/>
      <x:c r="AC83" s="139" t="n"/>
      <x:c r="AD83" s="139" t="n"/>
      <x:c r="AE83" s="139" t="n"/>
      <x:c r="AF83" s="139" t="n"/>
      <x:c r="AG83" s="139" t="n"/>
      <x:c r="AH83" s="139" t="n"/>
      <x:c r="AI83" s="139" t="n"/>
      <x:c r="AJ83" s="139" t="n"/>
      <x:c r="AK83" s="139" t="n"/>
      <x:c r="AL83" s="139" t="n"/>
      <x:c r="AM83" s="139" t="n"/>
      <x:c r="AN83" s="139" t="n"/>
      <x:c r="AO83" s="139" t="n"/>
      <x:c r="AP83" s="139" t="n"/>
      <x:c r="AQ83" s="139" t="n"/>
      <x:c r="AR83" s="139" t="n"/>
      <x:c r="AS83" s="139" t="n"/>
      <x:c r="AT83" s="139" t="n"/>
      <x:c r="AU83" s="139" t="n"/>
      <x:c r="AV83" s="139" t="n"/>
      <x:c r="AW83" s="139" t="n"/>
      <x:c r="AX83" s="139" t="n"/>
      <x:c r="AY83" s="139" t="n"/>
      <x:c r="AZ83" s="139" t="n"/>
    </x:row>
    <x:row r="84">
      <x:c r="A84" s="139" t="n"/>
      <x:c r="B84" s="139" t="n"/>
      <x:c r="C84" s="139" t="n"/>
      <x:c r="D84" s="139" t="n"/>
      <x:c r="E84" s="139" t="n"/>
      <x:c r="F84" s="139" t="n"/>
      <x:c r="G84" s="139" t="n"/>
      <x:c r="H84" s="139" t="n"/>
      <x:c r="I84" s="139" t="n"/>
      <x:c r="J84" s="139" t="n"/>
      <x:c r="K84" s="139" t="n"/>
      <x:c r="L84" s="139" t="n"/>
      <x:c r="M84" s="139" t="n"/>
      <x:c r="N84" s="139" t="n"/>
      <x:c r="O84" s="139" t="n"/>
      <x:c r="P84" s="139" t="n"/>
      <x:c r="Q84" s="139" t="n"/>
      <x:c r="R84" s="139" t="n"/>
      <x:c r="S84" s="139" t="n"/>
      <x:c r="T84" s="139" t="n"/>
      <x:c r="U84" s="139" t="n"/>
      <x:c r="V84" s="139" t="n"/>
      <x:c r="W84" s="139" t="n"/>
      <x:c r="X84" s="139" t="n"/>
      <x:c r="Y84" s="139" t="n"/>
      <x:c r="Z84" s="139" t="n"/>
      <x:c r="AA84" s="139" t="n"/>
      <x:c r="AB84" s="139" t="n"/>
      <x:c r="AC84" s="139" t="n"/>
      <x:c r="AD84" s="139" t="n"/>
      <x:c r="AE84" s="139" t="n"/>
      <x:c r="AF84" s="139" t="n"/>
      <x:c r="AG84" s="139" t="n"/>
      <x:c r="AH84" s="139" t="n"/>
      <x:c r="AI84" s="139" t="n"/>
      <x:c r="AJ84" s="139" t="n"/>
      <x:c r="AK84" s="139" t="n"/>
      <x:c r="AL84" s="139" t="n"/>
      <x:c r="AM84" s="139" t="n"/>
      <x:c r="AN84" s="139" t="n"/>
      <x:c r="AO84" s="139" t="n"/>
      <x:c r="AP84" s="139" t="n"/>
      <x:c r="AQ84" s="139" t="n"/>
      <x:c r="AR84" s="139" t="n"/>
      <x:c r="AS84" s="139" t="n"/>
      <x:c r="AT84" s="139" t="n"/>
      <x:c r="AU84" s="139" t="n"/>
      <x:c r="AV84" s="139" t="n"/>
      <x:c r="AW84" s="139" t="n"/>
      <x:c r="AX84" s="139" t="n"/>
      <x:c r="AY84" s="139" t="n"/>
      <x:c r="AZ84" s="139" t="n"/>
    </x:row>
    <x:row r="85">
      <x:c r="A85" s="139" t="n"/>
      <x:c r="B85" s="139" t="n"/>
      <x:c r="C85" s="139" t="n"/>
      <x:c r="D85" s="139" t="n"/>
      <x:c r="E85" s="139" t="n"/>
      <x:c r="F85" s="139" t="n"/>
      <x:c r="G85" s="139" t="n"/>
      <x:c r="H85" s="139" t="n"/>
      <x:c r="I85" s="139" t="n"/>
      <x:c r="J85" s="139" t="n"/>
      <x:c r="K85" s="139" t="n"/>
      <x:c r="L85" s="139" t="n"/>
      <x:c r="M85" s="139" t="n"/>
      <x:c r="N85" s="139" t="n"/>
      <x:c r="O85" s="139" t="n"/>
      <x:c r="P85" s="139" t="n"/>
      <x:c r="Q85" s="139" t="n"/>
      <x:c r="R85" s="139" t="n"/>
      <x:c r="S85" s="139" t="n"/>
      <x:c r="T85" s="139" t="n"/>
      <x:c r="U85" s="139" t="n"/>
      <x:c r="V85" s="139" t="n"/>
      <x:c r="W85" s="139" t="n"/>
      <x:c r="X85" s="139" t="n"/>
      <x:c r="Y85" s="139" t="n"/>
      <x:c r="Z85" s="139" t="n"/>
      <x:c r="AA85" s="139" t="n"/>
      <x:c r="AB85" s="139" t="n"/>
      <x:c r="AC85" s="139" t="n"/>
      <x:c r="AD85" s="139" t="n"/>
      <x:c r="AE85" s="139" t="n"/>
      <x:c r="AF85" s="139" t="n"/>
      <x:c r="AG85" s="139" t="n"/>
      <x:c r="AH85" s="139" t="n"/>
      <x:c r="AI85" s="139" t="n"/>
      <x:c r="AJ85" s="139" t="n"/>
      <x:c r="AK85" s="139" t="n"/>
      <x:c r="AL85" s="139" t="n"/>
      <x:c r="AM85" s="139" t="n"/>
      <x:c r="AN85" s="139" t="n"/>
      <x:c r="AO85" s="139" t="n"/>
      <x:c r="AP85" s="139" t="n"/>
      <x:c r="AQ85" s="139" t="n"/>
      <x:c r="AR85" s="139" t="n"/>
      <x:c r="AS85" s="139" t="n"/>
      <x:c r="AT85" s="139" t="n"/>
      <x:c r="AU85" s="139" t="n"/>
      <x:c r="AV85" s="139" t="n"/>
      <x:c r="AW85" s="139" t="n"/>
      <x:c r="AX85" s="139" t="n"/>
      <x:c r="AY85" s="139" t="n"/>
      <x:c r="AZ85" s="139" t="n"/>
    </x:row>
    <x:row r="86">
      <x:c r="A86" s="139" t="n"/>
      <x:c r="B86" s="139" t="n"/>
      <x:c r="C86" s="139" t="n"/>
      <x:c r="D86" s="139" t="n"/>
      <x:c r="E86" s="139" t="n"/>
      <x:c r="F86" s="139" t="n"/>
      <x:c r="G86" s="139" t="n"/>
      <x:c r="H86" s="139" t="n"/>
      <x:c r="I86" s="139" t="n"/>
      <x:c r="J86" s="139" t="n"/>
      <x:c r="K86" s="139" t="n"/>
      <x:c r="L86" s="139" t="n"/>
      <x:c r="M86" s="139" t="n"/>
      <x:c r="N86" s="139" t="n"/>
      <x:c r="O86" s="139" t="n"/>
      <x:c r="P86" s="139" t="n"/>
      <x:c r="Q86" s="139" t="n"/>
      <x:c r="R86" s="139" t="n"/>
      <x:c r="S86" s="139" t="n"/>
      <x:c r="T86" s="139" t="n"/>
      <x:c r="U86" s="139" t="n"/>
      <x:c r="V86" s="139" t="n"/>
      <x:c r="W86" s="139" t="n"/>
      <x:c r="X86" s="139" t="n"/>
      <x:c r="Y86" s="139" t="n"/>
      <x:c r="Z86" s="139" t="n"/>
      <x:c r="AA86" s="139" t="n"/>
      <x:c r="AB86" s="139" t="n"/>
      <x:c r="AC86" s="139" t="n"/>
      <x:c r="AD86" s="139" t="n"/>
      <x:c r="AE86" s="139" t="n"/>
      <x:c r="AF86" s="139" t="n"/>
      <x:c r="AG86" s="139" t="n"/>
      <x:c r="AH86" s="139" t="n"/>
      <x:c r="AI86" s="139" t="n"/>
      <x:c r="AJ86" s="139" t="n"/>
      <x:c r="AK86" s="139" t="n"/>
      <x:c r="AL86" s="139" t="n"/>
      <x:c r="AM86" s="139" t="n"/>
      <x:c r="AN86" s="139" t="n"/>
      <x:c r="AO86" s="139" t="n"/>
      <x:c r="AP86" s="139" t="n"/>
      <x:c r="AQ86" s="139" t="n"/>
      <x:c r="AR86" s="139" t="n"/>
      <x:c r="AS86" s="139" t="n"/>
      <x:c r="AT86" s="139" t="n"/>
      <x:c r="AU86" s="139" t="n"/>
      <x:c r="AV86" s="139" t="n"/>
      <x:c r="AW86" s="139" t="n"/>
      <x:c r="AX86" s="139" t="n"/>
      <x:c r="AY86" s="139" t="n"/>
      <x:c r="AZ86" s="139" t="n"/>
    </x:row>
    <x:row r="87">
      <x:c r="A87" s="139" t="n"/>
      <x:c r="B87" s="139" t="n"/>
      <x:c r="C87" s="139" t="n"/>
      <x:c r="D87" s="139" t="n"/>
      <x:c r="E87" s="139" t="n"/>
      <x:c r="F87" s="139" t="n"/>
      <x:c r="G87" s="139" t="n"/>
      <x:c r="H87" s="139" t="n"/>
      <x:c r="I87" s="139" t="n"/>
      <x:c r="J87" s="139" t="n"/>
      <x:c r="K87" s="139" t="n"/>
      <x:c r="L87" s="139" t="n"/>
      <x:c r="M87" s="139" t="n"/>
      <x:c r="N87" s="139" t="n"/>
      <x:c r="O87" s="139" t="n"/>
      <x:c r="P87" s="139" t="n"/>
      <x:c r="Q87" s="139" t="n"/>
      <x:c r="R87" s="139" t="n"/>
      <x:c r="S87" s="139" t="n"/>
      <x:c r="T87" s="139" t="n"/>
      <x:c r="U87" s="139" t="n"/>
      <x:c r="V87" s="139" t="n"/>
      <x:c r="W87" s="139" t="n"/>
      <x:c r="X87" s="139" t="n"/>
      <x:c r="Y87" s="139" t="n"/>
      <x:c r="Z87" s="139" t="n"/>
      <x:c r="AA87" s="139" t="n"/>
      <x:c r="AB87" s="139" t="n"/>
      <x:c r="AC87" s="139" t="n"/>
      <x:c r="AD87" s="139" t="n"/>
      <x:c r="AE87" s="139" t="n"/>
      <x:c r="AF87" s="139" t="n"/>
      <x:c r="AG87" s="139" t="n"/>
      <x:c r="AH87" s="139" t="n"/>
      <x:c r="AI87" s="139" t="n"/>
      <x:c r="AJ87" s="139" t="n"/>
      <x:c r="AK87" s="139" t="n"/>
      <x:c r="AL87" s="139" t="n"/>
      <x:c r="AM87" s="139" t="n"/>
      <x:c r="AN87" s="139" t="n"/>
      <x:c r="AO87" s="139" t="n"/>
      <x:c r="AP87" s="139" t="n"/>
      <x:c r="AQ87" s="139" t="n"/>
      <x:c r="AR87" s="139" t="n"/>
      <x:c r="AS87" s="139" t="n"/>
      <x:c r="AT87" s="139" t="n"/>
      <x:c r="AU87" s="139" t="n"/>
      <x:c r="AV87" s="139" t="n"/>
      <x:c r="AW87" s="139" t="n"/>
      <x:c r="AX87" s="139" t="n"/>
      <x:c r="AY87" s="139" t="n"/>
      <x:c r="AZ87" s="139" t="n"/>
    </x:row>
    <x:row r="88">
      <x:c r="A88" s="139" t="n"/>
      <x:c r="B88" s="139" t="n"/>
      <x:c r="C88" s="139" t="n"/>
      <x:c r="D88" s="139" t="n"/>
      <x:c r="E88" s="139" t="n"/>
      <x:c r="F88" s="139" t="n"/>
      <x:c r="G88" s="139" t="n"/>
      <x:c r="H88" s="139" t="n"/>
      <x:c r="I88" s="139" t="n"/>
      <x:c r="J88" s="139" t="n"/>
      <x:c r="K88" s="139" t="n"/>
      <x:c r="L88" s="139" t="n"/>
      <x:c r="M88" s="139" t="n"/>
      <x:c r="N88" s="139" t="n"/>
      <x:c r="O88" s="139" t="n"/>
      <x:c r="P88" s="139" t="n"/>
      <x:c r="Q88" s="139" t="n"/>
      <x:c r="R88" s="139" t="n"/>
      <x:c r="S88" s="139" t="n"/>
      <x:c r="T88" s="139" t="n"/>
      <x:c r="U88" s="139" t="n"/>
      <x:c r="V88" s="139" t="n"/>
      <x:c r="W88" s="139" t="n"/>
      <x:c r="X88" s="139" t="n"/>
      <x:c r="Y88" s="139" t="n"/>
      <x:c r="Z88" s="139" t="n"/>
      <x:c r="AA88" s="139" t="n"/>
      <x:c r="AB88" s="139" t="n"/>
      <x:c r="AC88" s="139" t="n"/>
      <x:c r="AD88" s="139" t="n"/>
      <x:c r="AE88" s="139" t="n"/>
      <x:c r="AF88" s="139" t="n"/>
      <x:c r="AG88" s="139" t="n"/>
      <x:c r="AH88" s="139" t="n"/>
      <x:c r="AI88" s="139" t="n"/>
      <x:c r="AJ88" s="139" t="n"/>
      <x:c r="AK88" s="139" t="n"/>
      <x:c r="AL88" s="139" t="n"/>
      <x:c r="AM88" s="139" t="n"/>
      <x:c r="AN88" s="139" t="n"/>
      <x:c r="AO88" s="139" t="n"/>
      <x:c r="AP88" s="139" t="n"/>
      <x:c r="AQ88" s="139" t="n"/>
      <x:c r="AR88" s="139" t="n"/>
      <x:c r="AS88" s="139" t="n"/>
      <x:c r="AT88" s="139" t="n"/>
      <x:c r="AU88" s="139" t="n"/>
      <x:c r="AV88" s="139" t="n"/>
      <x:c r="AW88" s="139" t="n"/>
      <x:c r="AX88" s="139" t="n"/>
      <x:c r="AY88" s="139" t="n"/>
      <x:c r="AZ88" s="139" t="n"/>
    </x:row>
    <x:row r="89">
      <x:c r="A89" s="139" t="n"/>
      <x:c r="B89" s="139" t="n"/>
      <x:c r="C89" s="139" t="n"/>
      <x:c r="D89" s="139" t="n"/>
      <x:c r="E89" s="139" t="n"/>
      <x:c r="F89" s="139" t="n"/>
      <x:c r="G89" s="139" t="n"/>
      <x:c r="H89" s="139" t="n"/>
      <x:c r="I89" s="139" t="n"/>
      <x:c r="J89" s="139" t="n"/>
      <x:c r="K89" s="139" t="n"/>
      <x:c r="L89" s="139" t="n"/>
      <x:c r="M89" s="139" t="n"/>
      <x:c r="N89" s="139" t="n"/>
      <x:c r="O89" s="139" t="n"/>
      <x:c r="P89" s="139" t="n"/>
      <x:c r="Q89" s="139" t="n"/>
      <x:c r="R89" s="139" t="n"/>
      <x:c r="S89" s="139" t="n"/>
      <x:c r="T89" s="139" t="n"/>
      <x:c r="U89" s="139" t="n"/>
      <x:c r="V89" s="139" t="n"/>
      <x:c r="W89" s="139" t="n"/>
      <x:c r="X89" s="139" t="n"/>
      <x:c r="Y89" s="139" t="n"/>
      <x:c r="Z89" s="139" t="n"/>
      <x:c r="AA89" s="139" t="n"/>
      <x:c r="AB89" s="139" t="n"/>
      <x:c r="AC89" s="139" t="n"/>
      <x:c r="AD89" s="139" t="n"/>
      <x:c r="AE89" s="139" t="n"/>
      <x:c r="AF89" s="139" t="n"/>
      <x:c r="AG89" s="139" t="n"/>
      <x:c r="AH89" s="139" t="n"/>
      <x:c r="AI89" s="139" t="n"/>
      <x:c r="AJ89" s="139" t="n"/>
      <x:c r="AK89" s="139" t="n"/>
      <x:c r="AL89" s="139" t="n"/>
      <x:c r="AM89" s="139" t="n"/>
      <x:c r="AN89" s="139" t="n"/>
      <x:c r="AO89" s="139" t="n"/>
      <x:c r="AP89" s="139" t="n"/>
      <x:c r="AQ89" s="139" t="n"/>
      <x:c r="AR89" s="139" t="n"/>
      <x:c r="AS89" s="139" t="n"/>
      <x:c r="AT89" s="139" t="n"/>
      <x:c r="AU89" s="139" t="n"/>
      <x:c r="AV89" s="139" t="n"/>
      <x:c r="AW89" s="139" t="n"/>
      <x:c r="AX89" s="139" t="n"/>
      <x:c r="AY89" s="139" t="n"/>
      <x:c r="AZ89" s="139" t="n"/>
    </x:row>
    <x:row r="90">
      <x:c r="A90" s="139" t="n"/>
      <x:c r="B90" s="139" t="n"/>
      <x:c r="C90" s="139" t="n"/>
      <x:c r="D90" s="139" t="n"/>
      <x:c r="E90" s="139" t="n"/>
      <x:c r="F90" s="139" t="n"/>
      <x:c r="G90" s="139" t="n"/>
      <x:c r="H90" s="139" t="n"/>
      <x:c r="I90" s="139" t="n"/>
      <x:c r="J90" s="139" t="n"/>
      <x:c r="K90" s="139" t="n"/>
      <x:c r="L90" s="139" t="n"/>
      <x:c r="M90" s="139" t="n"/>
      <x:c r="N90" s="139" t="n"/>
      <x:c r="O90" s="139" t="n"/>
      <x:c r="P90" s="139" t="n"/>
      <x:c r="Q90" s="139" t="n"/>
      <x:c r="R90" s="139" t="n"/>
      <x:c r="S90" s="139" t="n"/>
      <x:c r="T90" s="139" t="n"/>
      <x:c r="U90" s="139" t="n"/>
      <x:c r="V90" s="139" t="n"/>
      <x:c r="W90" s="139" t="n"/>
      <x:c r="X90" s="139" t="n"/>
      <x:c r="Y90" s="139" t="n"/>
      <x:c r="Z90" s="139" t="n"/>
      <x:c r="AA90" s="139" t="n"/>
      <x:c r="AB90" s="139" t="n"/>
      <x:c r="AC90" s="139" t="n"/>
      <x:c r="AD90" s="139" t="n"/>
      <x:c r="AE90" s="139" t="n"/>
      <x:c r="AF90" s="139" t="n"/>
      <x:c r="AG90" s="139" t="n"/>
      <x:c r="AH90" s="139" t="n"/>
      <x:c r="AI90" s="139" t="n"/>
      <x:c r="AJ90" s="139" t="n"/>
      <x:c r="AK90" s="139" t="n"/>
      <x:c r="AL90" s="139" t="n"/>
      <x:c r="AM90" s="139" t="n"/>
      <x:c r="AN90" s="139" t="n"/>
      <x:c r="AO90" s="139" t="n"/>
      <x:c r="AP90" s="139" t="n"/>
      <x:c r="AQ90" s="139" t="n"/>
      <x:c r="AR90" s="139" t="n"/>
      <x:c r="AS90" s="139" t="n"/>
      <x:c r="AT90" s="139" t="n"/>
      <x:c r="AU90" s="139" t="n"/>
      <x:c r="AV90" s="139" t="n"/>
      <x:c r="AW90" s="139" t="n"/>
      <x:c r="AX90" s="139" t="n"/>
      <x:c r="AY90" s="139" t="n"/>
      <x:c r="AZ90" s="139" t="n"/>
    </x:row>
    <x:row r="91">
      <x:c r="A91" s="139" t="n"/>
      <x:c r="B91" s="139" t="n"/>
      <x:c r="C91" s="139" t="n"/>
      <x:c r="D91" s="139" t="n"/>
      <x:c r="E91" s="139" t="n"/>
      <x:c r="F91" s="139" t="n"/>
      <x:c r="G91" s="139" t="n"/>
      <x:c r="H91" s="139" t="n"/>
      <x:c r="I91" s="139" t="n"/>
      <x:c r="J91" s="139" t="n"/>
      <x:c r="K91" s="139" t="n"/>
      <x:c r="L91" s="139" t="n"/>
      <x:c r="M91" s="139" t="n"/>
      <x:c r="N91" s="139" t="n"/>
      <x:c r="O91" s="139" t="n"/>
      <x:c r="P91" s="139" t="n"/>
      <x:c r="Q91" s="139" t="n"/>
      <x:c r="R91" s="139" t="n"/>
      <x:c r="S91" s="139" t="n"/>
      <x:c r="T91" s="139" t="n"/>
      <x:c r="U91" s="139" t="n"/>
      <x:c r="V91" s="139" t="n"/>
      <x:c r="W91" s="139" t="n"/>
      <x:c r="X91" s="139" t="n"/>
      <x:c r="Y91" s="139" t="n"/>
      <x:c r="Z91" s="139" t="n"/>
      <x:c r="AA91" s="139" t="n"/>
      <x:c r="AB91" s="139" t="n"/>
      <x:c r="AC91" s="139" t="n"/>
      <x:c r="AD91" s="139" t="n"/>
      <x:c r="AE91" s="139" t="n"/>
      <x:c r="AF91" s="139" t="n"/>
      <x:c r="AG91" s="139" t="n"/>
      <x:c r="AH91" s="139" t="n"/>
      <x:c r="AI91" s="139" t="n"/>
      <x:c r="AJ91" s="139" t="n"/>
      <x:c r="AK91" s="139" t="n"/>
      <x:c r="AL91" s="139" t="n"/>
      <x:c r="AM91" s="139" t="n"/>
      <x:c r="AN91" s="139" t="n"/>
      <x:c r="AO91" s="139" t="n"/>
      <x:c r="AP91" s="139" t="n"/>
      <x:c r="AQ91" s="139" t="n"/>
      <x:c r="AR91" s="139" t="n"/>
      <x:c r="AS91" s="139" t="n"/>
      <x:c r="AT91" s="139" t="n"/>
      <x:c r="AU91" s="139" t="n"/>
      <x:c r="AV91" s="139" t="n"/>
      <x:c r="AW91" s="139" t="n"/>
      <x:c r="AX91" s="139" t="n"/>
      <x:c r="AY91" s="139" t="n"/>
      <x:c r="AZ91" s="139" t="n"/>
    </x:row>
    <x:row r="92">
      <x:c r="A92" s="139" t="n"/>
      <x:c r="B92" s="139" t="n"/>
      <x:c r="C92" s="139" t="n"/>
      <x:c r="D92" s="139" t="n"/>
      <x:c r="E92" s="139" t="n"/>
      <x:c r="F92" s="139" t="n"/>
      <x:c r="G92" s="139" t="n"/>
      <x:c r="H92" s="139" t="n"/>
      <x:c r="I92" s="139" t="n"/>
      <x:c r="J92" s="139" t="n"/>
      <x:c r="K92" s="139" t="n"/>
      <x:c r="L92" s="139" t="n"/>
      <x:c r="M92" s="139" t="n"/>
      <x:c r="N92" s="139" t="n"/>
      <x:c r="O92" s="139" t="n"/>
      <x:c r="P92" s="139" t="n"/>
      <x:c r="Q92" s="139" t="n"/>
      <x:c r="R92" s="139" t="n"/>
      <x:c r="S92" s="139" t="n"/>
      <x:c r="T92" s="139" t="n"/>
      <x:c r="U92" s="139" t="n"/>
      <x:c r="V92" s="139" t="n"/>
      <x:c r="W92" s="139" t="n"/>
      <x:c r="X92" s="139" t="n"/>
      <x:c r="Y92" s="139" t="n"/>
      <x:c r="Z92" s="139" t="n"/>
      <x:c r="AA92" s="139" t="n"/>
      <x:c r="AB92" s="139" t="n"/>
      <x:c r="AC92" s="139" t="n"/>
      <x:c r="AD92" s="139" t="n"/>
      <x:c r="AE92" s="139" t="n"/>
      <x:c r="AF92" s="139" t="n"/>
      <x:c r="AG92" s="139" t="n"/>
      <x:c r="AH92" s="139" t="n"/>
      <x:c r="AI92" s="139" t="n"/>
      <x:c r="AJ92" s="139" t="n"/>
      <x:c r="AK92" s="139" t="n"/>
      <x:c r="AL92" s="139" t="n"/>
      <x:c r="AM92" s="139" t="n"/>
      <x:c r="AN92" s="139" t="n"/>
      <x:c r="AO92" s="139" t="n"/>
      <x:c r="AP92" s="139" t="n"/>
      <x:c r="AQ92" s="139" t="n"/>
      <x:c r="AR92" s="139" t="n"/>
      <x:c r="AS92" s="139" t="n"/>
      <x:c r="AT92" s="139" t="n"/>
      <x:c r="AU92" s="139" t="n"/>
      <x:c r="AV92" s="139" t="n"/>
      <x:c r="AW92" s="139" t="n"/>
      <x:c r="AX92" s="139" t="n"/>
      <x:c r="AY92" s="139" t="n"/>
      <x:c r="AZ92" s="139" t="n"/>
    </x:row>
    <x:row r="93">
      <x:c r="A93" s="139" t="n"/>
      <x:c r="B93" s="139" t="n"/>
      <x:c r="C93" s="139" t="n"/>
      <x:c r="D93" s="139" t="n"/>
      <x:c r="E93" s="139" t="n"/>
      <x:c r="F93" s="139" t="n"/>
      <x:c r="G93" s="139" t="n"/>
      <x:c r="H93" s="139" t="n"/>
      <x:c r="I93" s="139" t="n"/>
      <x:c r="J93" s="139" t="n"/>
      <x:c r="K93" s="139" t="n"/>
      <x:c r="L93" s="139" t="n"/>
      <x:c r="M93" s="139" t="n"/>
      <x:c r="N93" s="139" t="n"/>
      <x:c r="O93" s="139" t="n"/>
      <x:c r="P93" s="139" t="n"/>
      <x:c r="Q93" s="139" t="n"/>
      <x:c r="R93" s="139" t="n"/>
      <x:c r="S93" s="139" t="n"/>
      <x:c r="T93" s="139" t="n"/>
      <x:c r="U93" s="139" t="n"/>
      <x:c r="V93" s="139" t="n"/>
      <x:c r="W93" s="139" t="n"/>
      <x:c r="X93" s="139" t="n"/>
      <x:c r="Y93" s="139" t="n"/>
      <x:c r="Z93" s="139" t="n"/>
      <x:c r="AA93" s="139" t="n"/>
      <x:c r="AB93" s="139" t="n"/>
      <x:c r="AC93" s="139" t="n"/>
      <x:c r="AD93" s="139" t="n"/>
      <x:c r="AE93" s="139" t="n"/>
      <x:c r="AF93" s="139" t="n"/>
      <x:c r="AG93" s="139" t="n"/>
      <x:c r="AH93" s="139" t="n"/>
      <x:c r="AI93" s="139" t="n"/>
      <x:c r="AJ93" s="139" t="n"/>
      <x:c r="AK93" s="139" t="n"/>
      <x:c r="AL93" s="139" t="n"/>
      <x:c r="AM93" s="139" t="n"/>
      <x:c r="AN93" s="139" t="n"/>
      <x:c r="AO93" s="139" t="n"/>
      <x:c r="AP93" s="139" t="n"/>
      <x:c r="AQ93" s="139" t="n"/>
      <x:c r="AR93" s="139" t="n"/>
      <x:c r="AS93" s="139" t="n"/>
      <x:c r="AT93" s="139" t="n"/>
      <x:c r="AU93" s="139" t="n"/>
      <x:c r="AV93" s="139" t="n"/>
      <x:c r="AW93" s="139" t="n"/>
      <x:c r="AX93" s="139" t="n"/>
      <x:c r="AY93" s="139" t="n"/>
      <x:c r="AZ93" s="139" t="n"/>
    </x:row>
    <x:row r="94">
      <x:c r="A94" s="139" t="n"/>
      <x:c r="B94" s="139" t="n"/>
      <x:c r="C94" s="139" t="n"/>
      <x:c r="D94" s="139" t="n"/>
      <x:c r="E94" s="139" t="n"/>
      <x:c r="F94" s="139" t="n"/>
      <x:c r="G94" s="139" t="n"/>
      <x:c r="H94" s="139" t="n"/>
      <x:c r="I94" s="139" t="n"/>
      <x:c r="J94" s="139" t="n"/>
      <x:c r="K94" s="139" t="n"/>
      <x:c r="L94" s="139" t="n"/>
      <x:c r="M94" s="139" t="n"/>
      <x:c r="N94" s="139" t="n"/>
      <x:c r="O94" s="139" t="n"/>
      <x:c r="P94" s="139" t="n"/>
      <x:c r="Q94" s="139" t="n"/>
      <x:c r="R94" s="139" t="n"/>
      <x:c r="S94" s="139" t="n"/>
      <x:c r="T94" s="139" t="n"/>
      <x:c r="U94" s="139" t="n"/>
      <x:c r="V94" s="139" t="n"/>
      <x:c r="W94" s="139" t="n"/>
      <x:c r="X94" s="139" t="n"/>
      <x:c r="Y94" s="139" t="n"/>
      <x:c r="Z94" s="139" t="n"/>
      <x:c r="AA94" s="139" t="n"/>
      <x:c r="AB94" s="139" t="n"/>
      <x:c r="AC94" s="139" t="n"/>
      <x:c r="AD94" s="139" t="n"/>
      <x:c r="AE94" s="139" t="n"/>
      <x:c r="AF94" s="139" t="n"/>
      <x:c r="AG94" s="139" t="n"/>
      <x:c r="AH94" s="139" t="n"/>
      <x:c r="AI94" s="139" t="n"/>
      <x:c r="AJ94" s="139" t="n"/>
      <x:c r="AK94" s="139" t="n"/>
      <x:c r="AL94" s="139" t="n"/>
      <x:c r="AM94" s="139" t="n"/>
      <x:c r="AN94" s="139" t="n"/>
      <x:c r="AO94" s="139" t="n"/>
      <x:c r="AP94" s="139" t="n"/>
      <x:c r="AQ94" s="139" t="n"/>
      <x:c r="AR94" s="139" t="n"/>
      <x:c r="AS94" s="139" t="n"/>
      <x:c r="AT94" s="139" t="n"/>
      <x:c r="AU94" s="139" t="n"/>
      <x:c r="AV94" s="139" t="n"/>
      <x:c r="AW94" s="139" t="n"/>
      <x:c r="AX94" s="139" t="n"/>
      <x:c r="AY94" s="139" t="n"/>
      <x:c r="AZ94" s="139" t="n"/>
    </x:row>
    <x:row r="95">
      <x:c r="A95" s="139" t="n"/>
      <x:c r="B95" s="139" t="n"/>
      <x:c r="C95" s="139" t="n"/>
      <x:c r="D95" s="139" t="n"/>
      <x:c r="E95" s="139" t="n"/>
      <x:c r="F95" s="139" t="n"/>
      <x:c r="G95" s="139" t="n"/>
      <x:c r="H95" s="139" t="n"/>
      <x:c r="I95" s="139" t="n"/>
      <x:c r="J95" s="139" t="n"/>
      <x:c r="K95" s="139" t="n"/>
      <x:c r="L95" s="139" t="n"/>
      <x:c r="M95" s="139" t="n"/>
      <x:c r="N95" s="139" t="n"/>
      <x:c r="O95" s="139" t="n"/>
      <x:c r="P95" s="139" t="n"/>
      <x:c r="Q95" s="139" t="n"/>
      <x:c r="R95" s="139" t="n"/>
      <x:c r="S95" s="139" t="n"/>
      <x:c r="T95" s="139" t="n"/>
      <x:c r="U95" s="139" t="n"/>
      <x:c r="V95" s="139" t="n"/>
      <x:c r="W95" s="139" t="n"/>
      <x:c r="X95" s="139" t="n"/>
      <x:c r="Y95" s="139" t="n"/>
      <x:c r="Z95" s="139" t="n"/>
      <x:c r="AA95" s="139" t="n"/>
      <x:c r="AB95" s="139" t="n"/>
      <x:c r="AC95" s="139" t="n"/>
      <x:c r="AD95" s="139" t="n"/>
      <x:c r="AE95" s="139" t="n"/>
      <x:c r="AF95" s="139" t="n"/>
      <x:c r="AG95" s="139" t="n"/>
      <x:c r="AH95" s="139" t="n"/>
      <x:c r="AI95" s="139" t="n"/>
      <x:c r="AJ95" s="139" t="n"/>
      <x:c r="AK95" s="139" t="n"/>
      <x:c r="AL95" s="139" t="n"/>
      <x:c r="AM95" s="139" t="n"/>
      <x:c r="AN95" s="139" t="n"/>
      <x:c r="AO95" s="139" t="n"/>
      <x:c r="AP95" s="139" t="n"/>
      <x:c r="AQ95" s="139" t="n"/>
      <x:c r="AR95" s="139" t="n"/>
      <x:c r="AS95" s="139" t="n"/>
      <x:c r="AT95" s="139" t="n"/>
      <x:c r="AU95" s="139" t="n"/>
      <x:c r="AV95" s="139" t="n"/>
      <x:c r="AW95" s="139" t="n"/>
      <x:c r="AX95" s="139" t="n"/>
      <x:c r="AY95" s="139" t="n"/>
      <x:c r="AZ95" s="139" t="n"/>
    </x:row>
    <x:row r="96">
      <x:c r="A96" s="139" t="n"/>
      <x:c r="B96" s="139" t="n"/>
      <x:c r="C96" s="139" t="n"/>
      <x:c r="D96" s="139" t="n"/>
      <x:c r="E96" s="139" t="n"/>
      <x:c r="F96" s="139" t="n"/>
      <x:c r="G96" s="139" t="n"/>
      <x:c r="H96" s="139" t="n"/>
      <x:c r="I96" s="139" t="n"/>
      <x:c r="J96" s="139" t="n"/>
      <x:c r="K96" s="139" t="n"/>
      <x:c r="L96" s="139" t="n"/>
      <x:c r="M96" s="139" t="n"/>
      <x:c r="N96" s="139" t="n"/>
      <x:c r="O96" s="139" t="n"/>
      <x:c r="P96" s="139" t="n"/>
      <x:c r="Q96" s="139" t="n"/>
      <x:c r="R96" s="139" t="n"/>
      <x:c r="S96" s="139" t="n"/>
      <x:c r="T96" s="139" t="n"/>
      <x:c r="U96" s="139" t="n"/>
      <x:c r="V96" s="139" t="n"/>
      <x:c r="W96" s="139" t="n"/>
      <x:c r="X96" s="139" t="n"/>
      <x:c r="Y96" s="139" t="n"/>
      <x:c r="Z96" s="139" t="n"/>
      <x:c r="AA96" s="139" t="n"/>
      <x:c r="AB96" s="139" t="n"/>
      <x:c r="AC96" s="139" t="n"/>
      <x:c r="AD96" s="139" t="n"/>
      <x:c r="AE96" s="139" t="n"/>
      <x:c r="AF96" s="139" t="n"/>
      <x:c r="AG96" s="139" t="n"/>
      <x:c r="AH96" s="139" t="n"/>
      <x:c r="AI96" s="139" t="n"/>
      <x:c r="AJ96" s="139" t="n"/>
      <x:c r="AK96" s="139" t="n"/>
      <x:c r="AL96" s="139" t="n"/>
      <x:c r="AM96" s="139" t="n"/>
      <x:c r="AN96" s="139" t="n"/>
      <x:c r="AO96" s="139" t="n"/>
      <x:c r="AP96" s="139" t="n"/>
      <x:c r="AQ96" s="139" t="n"/>
      <x:c r="AR96" s="139" t="n"/>
      <x:c r="AS96" s="139" t="n"/>
      <x:c r="AT96" s="139" t="n"/>
      <x:c r="AU96" s="139" t="n"/>
      <x:c r="AV96" s="139" t="n"/>
      <x:c r="AW96" s="139" t="n"/>
      <x:c r="AX96" s="139" t="n"/>
      <x:c r="AY96" s="139" t="n"/>
      <x:c r="AZ96" s="139" t="n"/>
    </x:row>
    <x:row r="97">
      <x:c r="A97" s="139" t="n"/>
      <x:c r="B97" s="139" t="n"/>
      <x:c r="C97" s="139" t="n"/>
      <x:c r="D97" s="139" t="n"/>
      <x:c r="E97" s="139" t="n"/>
      <x:c r="F97" s="139" t="n"/>
      <x:c r="G97" s="139" t="n"/>
      <x:c r="H97" s="139" t="n"/>
      <x:c r="I97" s="139" t="n"/>
      <x:c r="J97" s="139" t="n"/>
      <x:c r="K97" s="139" t="n"/>
      <x:c r="L97" s="139" t="n"/>
      <x:c r="M97" s="139" t="n"/>
      <x:c r="N97" s="139" t="n"/>
      <x:c r="O97" s="139" t="n"/>
      <x:c r="P97" s="139" t="n"/>
      <x:c r="Q97" s="139" t="n"/>
      <x:c r="R97" s="139" t="n"/>
      <x:c r="S97" s="139" t="n"/>
      <x:c r="T97" s="139" t="n"/>
      <x:c r="U97" s="139" t="n"/>
      <x:c r="V97" s="139" t="n"/>
      <x:c r="W97" s="139" t="n"/>
      <x:c r="X97" s="139" t="n"/>
      <x:c r="Y97" s="139" t="n"/>
      <x:c r="Z97" s="139" t="n"/>
      <x:c r="AA97" s="139" t="n"/>
      <x:c r="AB97" s="139" t="n"/>
      <x:c r="AC97" s="139" t="n"/>
      <x:c r="AD97" s="139" t="n"/>
      <x:c r="AE97" s="139" t="n"/>
      <x:c r="AF97" s="139" t="n"/>
      <x:c r="AG97" s="139" t="n"/>
      <x:c r="AH97" s="139" t="n"/>
      <x:c r="AI97" s="139" t="n"/>
      <x:c r="AJ97" s="139" t="n"/>
      <x:c r="AK97" s="139" t="n"/>
      <x:c r="AL97" s="139" t="n"/>
      <x:c r="AM97" s="139" t="n"/>
      <x:c r="AN97" s="139" t="n"/>
      <x:c r="AO97" s="139" t="n"/>
      <x:c r="AP97" s="139" t="n"/>
      <x:c r="AQ97" s="139" t="n"/>
      <x:c r="AR97" s="139" t="n"/>
      <x:c r="AS97" s="139" t="n"/>
      <x:c r="AT97" s="139" t="n"/>
      <x:c r="AU97" s="139" t="n"/>
      <x:c r="AV97" s="139" t="n"/>
      <x:c r="AW97" s="139" t="n"/>
      <x:c r="AX97" s="139" t="n"/>
      <x:c r="AY97" s="139" t="n"/>
      <x:c r="AZ97" s="139" t="n"/>
    </x:row>
    <x:row r="98">
      <x:c r="A98" s="139" t="n"/>
      <x:c r="B98" s="139" t="n"/>
      <x:c r="C98" s="139" t="n"/>
      <x:c r="D98" s="139" t="n"/>
      <x:c r="E98" s="139" t="n"/>
      <x:c r="F98" s="139" t="n"/>
      <x:c r="G98" s="139" t="n"/>
      <x:c r="H98" s="139" t="n"/>
      <x:c r="I98" s="139" t="n"/>
      <x:c r="J98" s="139" t="n"/>
      <x:c r="K98" s="139" t="n"/>
      <x:c r="L98" s="139" t="n"/>
      <x:c r="M98" s="139" t="n"/>
      <x:c r="N98" s="139" t="n"/>
      <x:c r="O98" s="139" t="n"/>
      <x:c r="P98" s="139" t="n"/>
      <x:c r="Q98" s="139" t="n"/>
      <x:c r="R98" s="139" t="n"/>
      <x:c r="S98" s="139" t="n"/>
      <x:c r="T98" s="139" t="n"/>
      <x:c r="U98" s="139" t="n"/>
      <x:c r="V98" s="139" t="n"/>
      <x:c r="W98" s="139" t="n"/>
      <x:c r="X98" s="139" t="n"/>
      <x:c r="Y98" s="139" t="n"/>
      <x:c r="Z98" s="139" t="n"/>
      <x:c r="AA98" s="139" t="n"/>
      <x:c r="AB98" s="139" t="n"/>
      <x:c r="AC98" s="139" t="n"/>
      <x:c r="AD98" s="139" t="n"/>
      <x:c r="AE98" s="139" t="n"/>
      <x:c r="AF98" s="139" t="n"/>
      <x:c r="AG98" s="139" t="n"/>
      <x:c r="AH98" s="139" t="n"/>
      <x:c r="AI98" s="139" t="n"/>
      <x:c r="AJ98" s="139" t="n"/>
      <x:c r="AK98" s="139" t="n"/>
      <x:c r="AL98" s="139" t="n"/>
      <x:c r="AM98" s="139" t="n"/>
      <x:c r="AN98" s="139" t="n"/>
      <x:c r="AO98" s="139" t="n"/>
      <x:c r="AP98" s="139" t="n"/>
      <x:c r="AQ98" s="139" t="n"/>
      <x:c r="AR98" s="139" t="n"/>
      <x:c r="AS98" s="139" t="n"/>
      <x:c r="AT98" s="139" t="n"/>
      <x:c r="AU98" s="139" t="n"/>
      <x:c r="AV98" s="139" t="n"/>
      <x:c r="AW98" s="139" t="n"/>
      <x:c r="AX98" s="139" t="n"/>
      <x:c r="AY98" s="139" t="n"/>
      <x:c r="AZ98" s="139" t="n"/>
    </x:row>
    <x:row r="99">
      <x:c r="A99" s="139" t="n"/>
      <x:c r="B99" s="139" t="n"/>
      <x:c r="C99" s="139" t="n"/>
      <x:c r="D99" s="139" t="n"/>
      <x:c r="E99" s="139" t="n"/>
      <x:c r="F99" s="139" t="n"/>
      <x:c r="G99" s="139" t="n"/>
      <x:c r="H99" s="139" t="n"/>
      <x:c r="I99" s="139" t="n"/>
      <x:c r="J99" s="139" t="n"/>
      <x:c r="K99" s="139" t="n"/>
      <x:c r="L99" s="139" t="n"/>
      <x:c r="M99" s="139" t="n"/>
      <x:c r="N99" s="139" t="n"/>
      <x:c r="O99" s="139" t="n"/>
      <x:c r="P99" s="139" t="n"/>
      <x:c r="Q99" s="139" t="n"/>
      <x:c r="R99" s="139" t="n"/>
      <x:c r="S99" s="139" t="n"/>
      <x:c r="T99" s="139" t="n"/>
      <x:c r="U99" s="139" t="n"/>
      <x:c r="V99" s="139" t="n"/>
      <x:c r="W99" s="139" t="n"/>
      <x:c r="X99" s="139" t="n"/>
      <x:c r="Y99" s="139" t="n"/>
      <x:c r="Z99" s="139" t="n"/>
      <x:c r="AA99" s="139" t="n"/>
      <x:c r="AB99" s="139" t="n"/>
      <x:c r="AC99" s="139" t="n"/>
      <x:c r="AD99" s="139" t="n"/>
      <x:c r="AE99" s="139" t="n"/>
      <x:c r="AF99" s="139" t="n"/>
      <x:c r="AG99" s="139" t="n"/>
      <x:c r="AH99" s="139" t="n"/>
      <x:c r="AI99" s="139" t="n"/>
      <x:c r="AJ99" s="139" t="n"/>
      <x:c r="AK99" s="139" t="n"/>
      <x:c r="AL99" s="139" t="n"/>
      <x:c r="AM99" s="139" t="n"/>
      <x:c r="AN99" s="139" t="n"/>
      <x:c r="AO99" s="139" t="n"/>
      <x:c r="AP99" s="139" t="n"/>
      <x:c r="AQ99" s="139" t="n"/>
      <x:c r="AR99" s="139" t="n"/>
      <x:c r="AS99" s="139" t="n"/>
      <x:c r="AT99" s="139" t="n"/>
      <x:c r="AU99" s="139" t="n"/>
      <x:c r="AV99" s="139" t="n"/>
      <x:c r="AW99" s="139" t="n"/>
      <x:c r="AX99" s="139" t="n"/>
      <x:c r="AY99" s="139" t="n"/>
      <x:c r="AZ99" s="139" t="n"/>
    </x:row>
    <x:row r="100">
      <x:c r="A100" s="139" t="n"/>
      <x:c r="B100" s="139" t="n"/>
      <x:c r="C100" s="139" t="n"/>
      <x:c r="D100" s="139" t="n"/>
      <x:c r="E100" s="139" t="n"/>
      <x:c r="F100" s="139" t="n"/>
      <x:c r="G100" s="139" t="n"/>
      <x:c r="H100" s="139" t="n"/>
      <x:c r="I100" s="139" t="n"/>
      <x:c r="J100" s="139" t="n"/>
      <x:c r="K100" s="139" t="n"/>
      <x:c r="L100" s="139" t="n"/>
      <x:c r="M100" s="139" t="n"/>
      <x:c r="N100" s="139" t="n"/>
      <x:c r="O100" s="139" t="n"/>
      <x:c r="P100" s="139" t="n"/>
      <x:c r="Q100" s="139" t="n"/>
      <x:c r="R100" s="139" t="n"/>
      <x:c r="S100" s="139" t="n"/>
      <x:c r="T100" s="139" t="n"/>
      <x:c r="U100" s="139" t="n"/>
      <x:c r="V100" s="139" t="n"/>
      <x:c r="W100" s="139" t="n"/>
      <x:c r="X100" s="139" t="n"/>
      <x:c r="Y100" s="139" t="n"/>
      <x:c r="Z100" s="139" t="n"/>
      <x:c r="AA100" s="139" t="n"/>
      <x:c r="AB100" s="139" t="n"/>
      <x:c r="AC100" s="139" t="n"/>
      <x:c r="AD100" s="139" t="n"/>
      <x:c r="AE100" s="139" t="n"/>
      <x:c r="AF100" s="139" t="n"/>
      <x:c r="AG100" s="139" t="n"/>
      <x:c r="AH100" s="139" t="n"/>
      <x:c r="AI100" s="139" t="n"/>
      <x:c r="AJ100" s="139" t="n"/>
      <x:c r="AK100" s="139" t="n"/>
      <x:c r="AL100" s="139" t="n"/>
      <x:c r="AM100" s="139" t="n"/>
      <x:c r="AN100" s="139" t="n"/>
      <x:c r="AO100" s="139" t="n"/>
      <x:c r="AP100" s="139" t="n"/>
      <x:c r="AQ100" s="139" t="n"/>
      <x:c r="AR100" s="139" t="n"/>
      <x:c r="AS100" s="139" t="n"/>
      <x:c r="AT100" s="139" t="n"/>
      <x:c r="AU100" s="139" t="n"/>
      <x:c r="AV100" s="139" t="n"/>
      <x:c r="AW100" s="139" t="n"/>
      <x:c r="AX100" s="139" t="n"/>
      <x:c r="AY100" s="139" t="n"/>
      <x:c r="AZ100" s="139" t="n"/>
    </x:row>
    <x:row r="101">
      <x:c r="A101" s="139" t="n"/>
      <x:c r="B101" s="139" t="n"/>
      <x:c r="C101" s="139" t="n"/>
      <x:c r="D101" s="139" t="n"/>
      <x:c r="E101" s="139" t="n"/>
      <x:c r="F101" s="139" t="n"/>
      <x:c r="G101" s="139" t="n"/>
      <x:c r="H101" s="139" t="n"/>
      <x:c r="I101" s="139" t="n"/>
      <x:c r="J101" s="139" t="n"/>
      <x:c r="K101" s="139" t="n"/>
      <x:c r="L101" s="139" t="n"/>
      <x:c r="M101" s="139" t="n"/>
      <x:c r="N101" s="139" t="n"/>
      <x:c r="O101" s="139" t="n"/>
      <x:c r="P101" s="139" t="n"/>
      <x:c r="Q101" s="139" t="n"/>
      <x:c r="R101" s="139" t="n"/>
      <x:c r="S101" s="139" t="n"/>
      <x:c r="T101" s="139" t="n"/>
      <x:c r="U101" s="139" t="n"/>
      <x:c r="V101" s="139" t="n"/>
      <x:c r="W101" s="139" t="n"/>
      <x:c r="X101" s="139" t="n"/>
      <x:c r="Y101" s="139" t="n"/>
      <x:c r="Z101" s="139" t="n"/>
      <x:c r="AA101" s="139" t="n"/>
      <x:c r="AB101" s="139" t="n"/>
      <x:c r="AC101" s="139" t="n"/>
      <x:c r="AD101" s="139" t="n"/>
      <x:c r="AE101" s="139" t="n"/>
      <x:c r="AF101" s="139" t="n"/>
      <x:c r="AG101" s="139" t="n"/>
      <x:c r="AH101" s="139" t="n"/>
      <x:c r="AI101" s="139" t="n"/>
      <x:c r="AJ101" s="139" t="n"/>
      <x:c r="AK101" s="139" t="n"/>
      <x:c r="AL101" s="139" t="n"/>
      <x:c r="AM101" s="139" t="n"/>
      <x:c r="AN101" s="139" t="n"/>
      <x:c r="AO101" s="139" t="n"/>
      <x:c r="AP101" s="139" t="n"/>
      <x:c r="AQ101" s="139" t="n"/>
      <x:c r="AR101" s="139" t="n"/>
      <x:c r="AS101" s="139" t="n"/>
      <x:c r="AT101" s="139" t="n"/>
      <x:c r="AU101" s="139" t="n"/>
      <x:c r="AV101" s="139" t="n"/>
      <x:c r="AW101" s="139" t="n"/>
      <x:c r="AX101" s="139" t="n"/>
      <x:c r="AY101" s="139" t="n"/>
      <x:c r="AZ101" s="139" t="n"/>
    </x:row>
    <x:row r="102">
      <x:c r="A102" s="139" t="n"/>
      <x:c r="B102" s="139" t="n"/>
      <x:c r="C102" s="139" t="n"/>
      <x:c r="D102" s="139" t="n"/>
      <x:c r="E102" s="139" t="n"/>
      <x:c r="F102" s="139" t="n"/>
      <x:c r="G102" s="139" t="n"/>
      <x:c r="H102" s="139" t="n"/>
      <x:c r="I102" s="139" t="n"/>
      <x:c r="J102" s="139" t="n"/>
      <x:c r="K102" s="139" t="n"/>
      <x:c r="L102" s="139" t="n"/>
      <x:c r="M102" s="139" t="n"/>
      <x:c r="N102" s="139" t="n"/>
      <x:c r="O102" s="139" t="n"/>
      <x:c r="P102" s="139" t="n"/>
      <x:c r="Q102" s="139" t="n"/>
      <x:c r="R102" s="139" t="n"/>
      <x:c r="S102" s="139" t="n"/>
      <x:c r="T102" s="139" t="n"/>
      <x:c r="U102" s="139" t="n"/>
      <x:c r="V102" s="139" t="n"/>
      <x:c r="W102" s="139" t="n"/>
      <x:c r="X102" s="139" t="n"/>
      <x:c r="Y102" s="139" t="n"/>
      <x:c r="Z102" s="139" t="n"/>
      <x:c r="AA102" s="139" t="n"/>
      <x:c r="AB102" s="139" t="n"/>
      <x:c r="AC102" s="139" t="n"/>
      <x:c r="AD102" s="139" t="n"/>
      <x:c r="AE102" s="139" t="n"/>
      <x:c r="AF102" s="139" t="n"/>
      <x:c r="AG102" s="139" t="n"/>
      <x:c r="AH102" s="139" t="n"/>
      <x:c r="AI102" s="139" t="n"/>
      <x:c r="AJ102" s="139" t="n"/>
      <x:c r="AK102" s="139" t="n"/>
      <x:c r="AL102" s="139" t="n"/>
      <x:c r="AM102" s="139" t="n"/>
      <x:c r="AN102" s="139" t="n"/>
      <x:c r="AO102" s="139" t="n"/>
      <x:c r="AP102" s="139" t="n"/>
      <x:c r="AQ102" s="139" t="n"/>
      <x:c r="AR102" s="139" t="n"/>
      <x:c r="AS102" s="139" t="n"/>
      <x:c r="AT102" s="139" t="n"/>
      <x:c r="AU102" s="139" t="n"/>
      <x:c r="AV102" s="139" t="n"/>
      <x:c r="AW102" s="139" t="n"/>
      <x:c r="AX102" s="139" t="n"/>
      <x:c r="AY102" s="139" t="n"/>
      <x:c r="AZ102" s="139" t="n"/>
    </x:row>
    <x:row r="103">
      <x:c r="A103" s="139" t="n"/>
      <x:c r="B103" s="139" t="n"/>
      <x:c r="C103" s="139" t="n"/>
      <x:c r="D103" s="139" t="n"/>
      <x:c r="E103" s="139" t="n"/>
      <x:c r="F103" s="139" t="n"/>
      <x:c r="G103" s="139" t="n"/>
      <x:c r="H103" s="139" t="n"/>
      <x:c r="I103" s="139" t="n"/>
      <x:c r="J103" s="139" t="n"/>
      <x:c r="K103" s="139" t="n"/>
      <x:c r="L103" s="139" t="n"/>
      <x:c r="M103" s="139" t="n"/>
      <x:c r="N103" s="139" t="n"/>
      <x:c r="O103" s="139" t="n"/>
      <x:c r="P103" s="139" t="n"/>
      <x:c r="Q103" s="139" t="n"/>
      <x:c r="R103" s="139" t="n"/>
      <x:c r="S103" s="139" t="n"/>
      <x:c r="T103" s="139" t="n"/>
      <x:c r="U103" s="139" t="n"/>
      <x:c r="V103" s="139" t="n"/>
      <x:c r="W103" s="139" t="n"/>
      <x:c r="X103" s="139" t="n"/>
      <x:c r="Y103" s="139" t="n"/>
      <x:c r="Z103" s="139" t="n"/>
      <x:c r="AA103" s="139" t="n"/>
      <x:c r="AB103" s="139" t="n"/>
      <x:c r="AC103" s="139" t="n"/>
      <x:c r="AD103" s="139" t="n"/>
      <x:c r="AE103" s="139" t="n"/>
      <x:c r="AF103" s="139" t="n"/>
      <x:c r="AG103" s="139" t="n"/>
      <x:c r="AH103" s="139" t="n"/>
      <x:c r="AI103" s="139" t="n"/>
      <x:c r="AJ103" s="139" t="n"/>
      <x:c r="AK103" s="139" t="n"/>
      <x:c r="AL103" s="139" t="n"/>
      <x:c r="AM103" s="139" t="n"/>
      <x:c r="AN103" s="139" t="n"/>
      <x:c r="AO103" s="139" t="n"/>
      <x:c r="AP103" s="139" t="n"/>
      <x:c r="AQ103" s="139" t="n"/>
      <x:c r="AR103" s="139" t="n"/>
      <x:c r="AS103" s="139" t="n"/>
      <x:c r="AT103" s="139" t="n"/>
      <x:c r="AU103" s="139" t="n"/>
      <x:c r="AV103" s="139" t="n"/>
      <x:c r="AW103" s="139" t="n"/>
      <x:c r="AX103" s="139" t="n"/>
      <x:c r="AY103" s="139" t="n"/>
      <x:c r="AZ103" s="139" t="n"/>
    </x:row>
    <x:row r="104">
      <x:c r="A104" s="139" t="n"/>
      <x:c r="B104" s="139" t="n"/>
      <x:c r="C104" s="139" t="n"/>
      <x:c r="D104" s="139" t="n"/>
      <x:c r="E104" s="139" t="n"/>
      <x:c r="F104" s="139" t="n"/>
      <x:c r="G104" s="139" t="n"/>
      <x:c r="H104" s="139" t="n"/>
      <x:c r="I104" s="139" t="n"/>
      <x:c r="J104" s="139" t="n"/>
      <x:c r="K104" s="139" t="n"/>
      <x:c r="L104" s="139" t="n"/>
      <x:c r="M104" s="139" t="n"/>
      <x:c r="N104" s="139" t="n"/>
      <x:c r="O104" s="139" t="n"/>
      <x:c r="P104" s="139" t="n"/>
      <x:c r="Q104" s="139" t="n"/>
      <x:c r="R104" s="139" t="n"/>
      <x:c r="S104" s="139" t="n"/>
      <x:c r="T104" s="139" t="n"/>
      <x:c r="U104" s="139" t="n"/>
      <x:c r="V104" s="139" t="n"/>
      <x:c r="W104" s="139" t="n"/>
      <x:c r="X104" s="139" t="n"/>
      <x:c r="Y104" s="139" t="n"/>
      <x:c r="Z104" s="139" t="n"/>
      <x:c r="AA104" s="139" t="n"/>
      <x:c r="AB104" s="139" t="n"/>
      <x:c r="AC104" s="139" t="n"/>
      <x:c r="AD104" s="139" t="n"/>
      <x:c r="AE104" s="139" t="n"/>
      <x:c r="AF104" s="139" t="n"/>
      <x:c r="AG104" s="139" t="n"/>
      <x:c r="AH104" s="139" t="n"/>
      <x:c r="AI104" s="139" t="n"/>
      <x:c r="AJ104" s="139" t="n"/>
      <x:c r="AK104" s="139" t="n"/>
      <x:c r="AL104" s="139" t="n"/>
      <x:c r="AM104" s="139" t="n"/>
      <x:c r="AN104" s="139" t="n"/>
      <x:c r="AO104" s="139" t="n"/>
      <x:c r="AP104" s="139" t="n"/>
      <x:c r="AQ104" s="139" t="n"/>
      <x:c r="AR104" s="139" t="n"/>
      <x:c r="AS104" s="139" t="n"/>
      <x:c r="AT104" s="139" t="n"/>
      <x:c r="AU104" s="139" t="n"/>
      <x:c r="AV104" s="139" t="n"/>
      <x:c r="AW104" s="139" t="n"/>
      <x:c r="AX104" s="139" t="n"/>
      <x:c r="AY104" s="139" t="n"/>
      <x:c r="AZ104" s="139" t="n"/>
    </x:row>
    <x:row r="105">
      <x:c r="A105" s="139" t="n"/>
      <x:c r="B105" s="139" t="n"/>
      <x:c r="C105" s="139" t="n"/>
      <x:c r="D105" s="139" t="n"/>
      <x:c r="E105" s="139" t="n"/>
      <x:c r="F105" s="139" t="n"/>
      <x:c r="G105" s="139" t="n"/>
      <x:c r="H105" s="139" t="n"/>
      <x:c r="I105" s="139" t="n"/>
      <x:c r="J105" s="139" t="n"/>
      <x:c r="K105" s="139" t="n"/>
      <x:c r="L105" s="139" t="n"/>
      <x:c r="M105" s="139" t="n"/>
      <x:c r="N105" s="139" t="n"/>
      <x:c r="O105" s="139" t="n"/>
      <x:c r="P105" s="139" t="n"/>
      <x:c r="Q105" s="139" t="n"/>
      <x:c r="R105" s="139" t="n"/>
      <x:c r="S105" s="139" t="n"/>
      <x:c r="T105" s="139" t="n"/>
      <x:c r="U105" s="139" t="n"/>
      <x:c r="V105" s="139" t="n"/>
      <x:c r="W105" s="139" t="n"/>
      <x:c r="X105" s="139" t="n"/>
      <x:c r="Y105" s="139" t="n"/>
      <x:c r="Z105" s="139" t="n"/>
      <x:c r="AA105" s="139" t="n"/>
      <x:c r="AB105" s="139" t="n"/>
      <x:c r="AC105" s="139" t="n"/>
      <x:c r="AD105" s="139" t="n"/>
      <x:c r="AE105" s="139" t="n"/>
      <x:c r="AF105" s="139" t="n"/>
      <x:c r="AG105" s="139" t="n"/>
      <x:c r="AH105" s="139" t="n"/>
      <x:c r="AI105" s="139" t="n"/>
      <x:c r="AJ105" s="139" t="n"/>
      <x:c r="AK105" s="139" t="n"/>
      <x:c r="AL105" s="139" t="n"/>
      <x:c r="AM105" s="139" t="n"/>
      <x:c r="AN105" s="139" t="n"/>
      <x:c r="AO105" s="139" t="n"/>
      <x:c r="AP105" s="139" t="n"/>
      <x:c r="AQ105" s="139" t="n"/>
      <x:c r="AR105" s="139" t="n"/>
      <x:c r="AS105" s="139" t="n"/>
      <x:c r="AT105" s="139" t="n"/>
      <x:c r="AU105" s="139" t="n"/>
      <x:c r="AV105" s="139" t="n"/>
      <x:c r="AW105" s="139" t="n"/>
      <x:c r="AX105" s="139" t="n"/>
      <x:c r="AY105" s="139" t="n"/>
      <x:c r="AZ105" s="139" t="n"/>
    </x:row>
    <x:row r="106">
      <x:c r="A106" s="139" t="n"/>
      <x:c r="B106" s="139" t="n"/>
      <x:c r="C106" s="139" t="n"/>
      <x:c r="D106" s="139" t="n"/>
      <x:c r="E106" s="139" t="n"/>
      <x:c r="F106" s="139" t="n"/>
      <x:c r="G106" s="139" t="n"/>
      <x:c r="H106" s="139" t="n"/>
      <x:c r="I106" s="139" t="n"/>
      <x:c r="J106" s="139" t="n"/>
      <x:c r="K106" s="139" t="n"/>
      <x:c r="L106" s="139" t="n"/>
      <x:c r="M106" s="139" t="n"/>
      <x:c r="N106" s="139" t="n"/>
      <x:c r="O106" s="139" t="n"/>
      <x:c r="P106" s="139" t="n"/>
      <x:c r="Q106" s="139" t="n"/>
      <x:c r="R106" s="139" t="n"/>
      <x:c r="S106" s="139" t="n"/>
      <x:c r="T106" s="139" t="n"/>
      <x:c r="U106" s="139" t="n"/>
      <x:c r="V106" s="139" t="n"/>
      <x:c r="W106" s="139" t="n"/>
      <x:c r="X106" s="139" t="n"/>
      <x:c r="Y106" s="139" t="n"/>
      <x:c r="Z106" s="139" t="n"/>
      <x:c r="AA106" s="139" t="n"/>
      <x:c r="AB106" s="139" t="n"/>
      <x:c r="AC106" s="139" t="n"/>
      <x:c r="AD106" s="139" t="n"/>
      <x:c r="AE106" s="139" t="n"/>
      <x:c r="AF106" s="139" t="n"/>
      <x:c r="AG106" s="139" t="n"/>
      <x:c r="AH106" s="139" t="n"/>
      <x:c r="AI106" s="139" t="n"/>
      <x:c r="AJ106" s="139" t="n"/>
      <x:c r="AK106" s="139" t="n"/>
      <x:c r="AL106" s="139" t="n"/>
      <x:c r="AM106" s="139" t="n"/>
      <x:c r="AN106" s="139" t="n"/>
      <x:c r="AO106" s="139" t="n"/>
      <x:c r="AP106" s="139" t="n"/>
      <x:c r="AQ106" s="139" t="n"/>
      <x:c r="AR106" s="139" t="n"/>
      <x:c r="AS106" s="139" t="n"/>
      <x:c r="AT106" s="139" t="n"/>
      <x:c r="AU106" s="139" t="n"/>
      <x:c r="AV106" s="139" t="n"/>
      <x:c r="AW106" s="139" t="n"/>
      <x:c r="AX106" s="139" t="n"/>
      <x:c r="AY106" s="139" t="n"/>
      <x:c r="AZ106" s="139" t="n"/>
    </x:row>
    <x:row r="107">
      <x:c r="A107" s="139" t="n"/>
      <x:c r="B107" s="139" t="n"/>
      <x:c r="C107" s="139" t="n"/>
      <x:c r="D107" s="139" t="n"/>
      <x:c r="E107" s="139" t="n"/>
      <x:c r="F107" s="139" t="n"/>
      <x:c r="G107" s="139" t="n"/>
      <x:c r="H107" s="139" t="n"/>
      <x:c r="I107" s="139" t="n"/>
      <x:c r="J107" s="139" t="n"/>
      <x:c r="K107" s="139" t="n"/>
      <x:c r="L107" s="139" t="n"/>
      <x:c r="M107" s="139" t="n"/>
      <x:c r="N107" s="139" t="n"/>
      <x:c r="O107" s="139" t="n"/>
      <x:c r="P107" s="139" t="n"/>
      <x:c r="Q107" s="139" t="n"/>
      <x:c r="R107" s="139" t="n"/>
      <x:c r="S107" s="139" t="n"/>
      <x:c r="T107" s="139" t="n"/>
      <x:c r="U107" s="139" t="n"/>
      <x:c r="V107" s="139" t="n"/>
      <x:c r="W107" s="139" t="n"/>
      <x:c r="X107" s="139" t="n"/>
      <x:c r="Y107" s="139" t="n"/>
      <x:c r="Z107" s="139" t="n"/>
      <x:c r="AA107" s="139" t="n"/>
      <x:c r="AB107" s="139" t="n"/>
      <x:c r="AC107" s="139" t="n"/>
      <x:c r="AD107" s="139" t="n"/>
      <x:c r="AE107" s="139" t="n"/>
      <x:c r="AF107" s="139" t="n"/>
      <x:c r="AG107" s="139" t="n"/>
      <x:c r="AH107" s="139" t="n"/>
      <x:c r="AI107" s="139" t="n"/>
      <x:c r="AJ107" s="139" t="n"/>
      <x:c r="AK107" s="139" t="n"/>
      <x:c r="AL107" s="139" t="n"/>
      <x:c r="AM107" s="139" t="n"/>
      <x:c r="AN107" s="139" t="n"/>
      <x:c r="AO107" s="139" t="n"/>
      <x:c r="AP107" s="139" t="n"/>
      <x:c r="AQ107" s="139" t="n"/>
      <x:c r="AR107" s="139" t="n"/>
      <x:c r="AS107" s="139" t="n"/>
      <x:c r="AT107" s="139" t="n"/>
      <x:c r="AU107" s="139" t="n"/>
      <x:c r="AV107" s="139" t="n"/>
      <x:c r="AW107" s="139" t="n"/>
      <x:c r="AX107" s="139" t="n"/>
      <x:c r="AY107" s="139" t="n"/>
      <x:c r="AZ107" s="139" t="n"/>
    </x:row>
    <x:row r="108">
      <x:c r="A108" s="139" t="n"/>
      <x:c r="B108" s="139" t="n"/>
      <x:c r="C108" s="139" t="n"/>
      <x:c r="D108" s="139" t="n"/>
      <x:c r="E108" s="139" t="n"/>
      <x:c r="F108" s="139" t="n"/>
      <x:c r="G108" s="139" t="n"/>
      <x:c r="H108" s="139" t="n"/>
      <x:c r="I108" s="139" t="n"/>
      <x:c r="J108" s="139" t="n"/>
      <x:c r="K108" s="139" t="n"/>
      <x:c r="L108" s="139" t="n"/>
      <x:c r="M108" s="139" t="n"/>
      <x:c r="N108" s="139" t="n"/>
      <x:c r="O108" s="139" t="n"/>
      <x:c r="P108" s="139" t="n"/>
      <x:c r="Q108" s="139" t="n"/>
      <x:c r="R108" s="139" t="n"/>
      <x:c r="S108" s="139" t="n"/>
      <x:c r="T108" s="139" t="n"/>
      <x:c r="U108" s="139" t="n"/>
      <x:c r="V108" s="139" t="n"/>
      <x:c r="W108" s="139" t="n"/>
      <x:c r="X108" s="139" t="n"/>
      <x:c r="Y108" s="139" t="n"/>
      <x:c r="Z108" s="139" t="n"/>
      <x:c r="AA108" s="139" t="n"/>
      <x:c r="AB108" s="139" t="n"/>
      <x:c r="AC108" s="139" t="n"/>
      <x:c r="AD108" s="139" t="n"/>
      <x:c r="AE108" s="139" t="n"/>
      <x:c r="AF108" s="139" t="n"/>
      <x:c r="AG108" s="139" t="n"/>
      <x:c r="AH108" s="139" t="n"/>
      <x:c r="AI108" s="139" t="n"/>
      <x:c r="AJ108" s="139" t="n"/>
      <x:c r="AK108" s="139" t="n"/>
      <x:c r="AL108" s="139" t="n"/>
      <x:c r="AM108" s="139" t="n"/>
      <x:c r="AN108" s="139" t="n"/>
      <x:c r="AO108" s="139" t="n"/>
      <x:c r="AP108" s="139" t="n"/>
      <x:c r="AQ108" s="139" t="n"/>
      <x:c r="AR108" s="139" t="n"/>
      <x:c r="AS108" s="139" t="n"/>
      <x:c r="AT108" s="139" t="n"/>
      <x:c r="AU108" s="139" t="n"/>
      <x:c r="AV108" s="139" t="n"/>
      <x:c r="AW108" s="139" t="n"/>
      <x:c r="AX108" s="139" t="n"/>
      <x:c r="AY108" s="139" t="n"/>
      <x:c r="AZ108" s="139" t="n"/>
    </x:row>
    <x:row r="109">
      <x:c r="A109" s="139" t="n"/>
      <x:c r="B109" s="139" t="n"/>
      <x:c r="C109" s="139" t="n"/>
      <x:c r="D109" s="139" t="n"/>
      <x:c r="E109" s="139" t="n"/>
      <x:c r="F109" s="139" t="n"/>
      <x:c r="G109" s="139" t="n"/>
      <x:c r="H109" s="139" t="n"/>
      <x:c r="I109" s="139" t="n"/>
      <x:c r="J109" s="139" t="n"/>
      <x:c r="K109" s="139" t="n"/>
      <x:c r="L109" s="139" t="n"/>
      <x:c r="M109" s="139" t="n"/>
      <x:c r="N109" s="139" t="n"/>
      <x:c r="O109" s="139" t="n"/>
      <x:c r="P109" s="139" t="n"/>
      <x:c r="Q109" s="139" t="n"/>
      <x:c r="R109" s="139" t="n"/>
      <x:c r="S109" s="139" t="n"/>
      <x:c r="T109" s="139" t="n"/>
      <x:c r="U109" s="139" t="n"/>
      <x:c r="V109" s="139" t="n"/>
      <x:c r="W109" s="139" t="n"/>
      <x:c r="X109" s="139" t="n"/>
      <x:c r="Y109" s="139" t="n"/>
      <x:c r="Z109" s="139" t="n"/>
      <x:c r="AA109" s="139" t="n"/>
      <x:c r="AB109" s="139" t="n"/>
      <x:c r="AC109" s="139" t="n"/>
      <x:c r="AD109" s="139" t="n"/>
      <x:c r="AE109" s="139" t="n"/>
      <x:c r="AF109" s="139" t="n"/>
      <x:c r="AG109" s="139" t="n"/>
      <x:c r="AH109" s="139" t="n"/>
      <x:c r="AI109" s="139" t="n"/>
      <x:c r="AJ109" s="139" t="n"/>
      <x:c r="AK109" s="139" t="n"/>
      <x:c r="AL109" s="139" t="n"/>
      <x:c r="AM109" s="139" t="n"/>
      <x:c r="AN109" s="139" t="n"/>
      <x:c r="AO109" s="139" t="n"/>
      <x:c r="AP109" s="139" t="n"/>
      <x:c r="AQ109" s="139" t="n"/>
      <x:c r="AR109" s="139" t="n"/>
      <x:c r="AS109" s="139" t="n"/>
      <x:c r="AT109" s="139" t="n"/>
      <x:c r="AU109" s="139" t="n"/>
      <x:c r="AV109" s="139" t="n"/>
      <x:c r="AW109" s="139" t="n"/>
      <x:c r="AX109" s="139" t="n"/>
      <x:c r="AY109" s="139" t="n"/>
      <x:c r="AZ109" s="139" t="n"/>
    </x:row>
    <x:row r="110">
      <x:c r="A110" s="139" t="n"/>
      <x:c r="B110" s="139" t="n"/>
      <x:c r="C110" s="139" t="n"/>
      <x:c r="D110" s="139" t="n"/>
      <x:c r="E110" s="139" t="n"/>
      <x:c r="F110" s="139" t="n"/>
      <x:c r="G110" s="139" t="n"/>
      <x:c r="H110" s="139" t="n"/>
      <x:c r="I110" s="139" t="n"/>
      <x:c r="J110" s="139" t="n"/>
      <x:c r="K110" s="139" t="n"/>
      <x:c r="L110" s="139" t="n"/>
      <x:c r="M110" s="139" t="n"/>
      <x:c r="N110" s="139" t="n"/>
      <x:c r="O110" s="139" t="n"/>
      <x:c r="P110" s="139" t="n"/>
      <x:c r="Q110" s="139" t="n"/>
      <x:c r="R110" s="139" t="n"/>
      <x:c r="S110" s="139" t="n"/>
      <x:c r="T110" s="139" t="n"/>
      <x:c r="U110" s="139" t="n"/>
      <x:c r="V110" s="139" t="n"/>
      <x:c r="W110" s="139" t="n"/>
      <x:c r="X110" s="139" t="n"/>
      <x:c r="Y110" s="139" t="n"/>
      <x:c r="Z110" s="139" t="n"/>
      <x:c r="AA110" s="139" t="n"/>
      <x:c r="AB110" s="139" t="n"/>
      <x:c r="AC110" s="139" t="n"/>
      <x:c r="AD110" s="139" t="n"/>
      <x:c r="AE110" s="139" t="n"/>
      <x:c r="AF110" s="139" t="n"/>
      <x:c r="AG110" s="139" t="n"/>
      <x:c r="AH110" s="139" t="n"/>
      <x:c r="AI110" s="139" t="n"/>
      <x:c r="AJ110" s="139" t="n"/>
      <x:c r="AK110" s="139" t="n"/>
      <x:c r="AL110" s="139" t="n"/>
      <x:c r="AM110" s="139" t="n"/>
      <x:c r="AN110" s="139" t="n"/>
      <x:c r="AO110" s="139" t="n"/>
      <x:c r="AP110" s="139" t="n"/>
      <x:c r="AQ110" s="139" t="n"/>
      <x:c r="AR110" s="139" t="n"/>
      <x:c r="AS110" s="139" t="n"/>
      <x:c r="AT110" s="139" t="n"/>
      <x:c r="AU110" s="139" t="n"/>
      <x:c r="AV110" s="139" t="n"/>
      <x:c r="AW110" s="139" t="n"/>
      <x:c r="AX110" s="139" t="n"/>
      <x:c r="AY110" s="139" t="n"/>
      <x:c r="AZ110" s="139" t="n"/>
    </x:row>
    <x:row r="111">
      <x:c r="A111" s="139" t="n"/>
      <x:c r="B111" s="139" t="n"/>
      <x:c r="C111" s="139" t="n"/>
      <x:c r="D111" s="139" t="n"/>
      <x:c r="E111" s="139" t="n"/>
      <x:c r="F111" s="139" t="n"/>
      <x:c r="G111" s="139" t="n"/>
      <x:c r="H111" s="139" t="n"/>
      <x:c r="I111" s="139" t="n"/>
      <x:c r="J111" s="139" t="n"/>
      <x:c r="K111" s="139" t="n"/>
      <x:c r="L111" s="139" t="n"/>
      <x:c r="M111" s="139" t="n"/>
      <x:c r="N111" s="139" t="n"/>
      <x:c r="O111" s="139" t="n"/>
      <x:c r="P111" s="139" t="n"/>
      <x:c r="Q111" s="139" t="n"/>
      <x:c r="R111" s="139" t="n"/>
      <x:c r="S111" s="139" t="n"/>
      <x:c r="T111" s="139" t="n"/>
      <x:c r="U111" s="139" t="n"/>
      <x:c r="V111" s="139" t="n"/>
      <x:c r="W111" s="139" t="n"/>
      <x:c r="X111" s="139" t="n"/>
      <x:c r="Y111" s="139" t="n"/>
      <x:c r="Z111" s="139" t="n"/>
      <x:c r="AA111" s="139" t="n"/>
      <x:c r="AB111" s="139" t="n"/>
      <x:c r="AC111" s="139" t="n"/>
      <x:c r="AD111" s="139" t="n"/>
      <x:c r="AE111" s="139" t="n"/>
      <x:c r="AF111" s="139" t="n"/>
      <x:c r="AG111" s="139" t="n"/>
      <x:c r="AH111" s="139" t="n"/>
      <x:c r="AI111" s="139" t="n"/>
      <x:c r="AJ111" s="139" t="n"/>
      <x:c r="AK111" s="139" t="n"/>
      <x:c r="AL111" s="139" t="n"/>
      <x:c r="AM111" s="139" t="n"/>
      <x:c r="AN111" s="139" t="n"/>
      <x:c r="AO111" s="139" t="n"/>
      <x:c r="AP111" s="139" t="n"/>
      <x:c r="AQ111" s="139" t="n"/>
      <x:c r="AR111" s="139" t="n"/>
      <x:c r="AS111" s="139" t="n"/>
      <x:c r="AT111" s="139" t="n"/>
      <x:c r="AU111" s="139" t="n"/>
      <x:c r="AV111" s="139" t="n"/>
      <x:c r="AW111" s="139" t="n"/>
      <x:c r="AX111" s="139" t="n"/>
      <x:c r="AY111" s="139" t="n"/>
      <x:c r="AZ111" s="139" t="n"/>
    </x:row>
    <x:row r="112">
      <x:c r="A112" s="139" t="n"/>
      <x:c r="B112" s="139" t="n"/>
      <x:c r="C112" s="139" t="n"/>
      <x:c r="D112" s="139" t="n"/>
      <x:c r="E112" s="139" t="n"/>
      <x:c r="F112" s="139" t="n"/>
      <x:c r="G112" s="139" t="n"/>
      <x:c r="H112" s="139" t="n"/>
      <x:c r="I112" s="139" t="n"/>
      <x:c r="J112" s="139" t="n"/>
      <x:c r="K112" s="139" t="n"/>
      <x:c r="L112" s="139" t="n"/>
      <x:c r="M112" s="139" t="n"/>
      <x:c r="N112" s="139" t="n"/>
      <x:c r="O112" s="139" t="n"/>
      <x:c r="P112" s="139" t="n"/>
      <x:c r="Q112" s="139" t="n"/>
      <x:c r="R112" s="139" t="n"/>
      <x:c r="S112" s="139" t="n"/>
      <x:c r="T112" s="139" t="n"/>
      <x:c r="U112" s="139" t="n"/>
      <x:c r="V112" s="139" t="n"/>
      <x:c r="W112" s="139" t="n"/>
      <x:c r="X112" s="139" t="n"/>
      <x:c r="Y112" s="139" t="n"/>
      <x:c r="Z112" s="139" t="n"/>
      <x:c r="AA112" s="139" t="n"/>
      <x:c r="AB112" s="139" t="n"/>
      <x:c r="AC112" s="139" t="n"/>
      <x:c r="AD112" s="139" t="n"/>
      <x:c r="AE112" s="139" t="n"/>
      <x:c r="AF112" s="139" t="n"/>
      <x:c r="AG112" s="139" t="n"/>
      <x:c r="AH112" s="139" t="n"/>
      <x:c r="AI112" s="139" t="n"/>
      <x:c r="AJ112" s="139" t="n"/>
      <x:c r="AK112" s="139" t="n"/>
      <x:c r="AL112" s="139" t="n"/>
      <x:c r="AM112" s="139" t="n"/>
      <x:c r="AN112" s="139" t="n"/>
      <x:c r="AO112" s="139" t="n"/>
      <x:c r="AP112" s="139" t="n"/>
      <x:c r="AQ112" s="139" t="n"/>
      <x:c r="AR112" s="139" t="n"/>
      <x:c r="AS112" s="139" t="n"/>
      <x:c r="AT112" s="139" t="n"/>
      <x:c r="AU112" s="139" t="n"/>
      <x:c r="AV112" s="139" t="n"/>
      <x:c r="AW112" s="139" t="n"/>
      <x:c r="AX112" s="139" t="n"/>
      <x:c r="AY112" s="139" t="n"/>
      <x:c r="AZ112" s="139" t="n"/>
    </x:row>
    <x:row r="113">
      <x:c r="A113" s="139" t="n"/>
      <x:c r="B113" s="139" t="n"/>
      <x:c r="C113" s="139" t="n"/>
      <x:c r="D113" s="139" t="n"/>
      <x:c r="E113" s="139" t="n"/>
      <x:c r="F113" s="139" t="n"/>
      <x:c r="G113" s="139" t="n"/>
      <x:c r="H113" s="139" t="n"/>
      <x:c r="I113" s="139" t="n"/>
      <x:c r="J113" s="139" t="n"/>
      <x:c r="K113" s="139" t="n"/>
      <x:c r="L113" s="139" t="n"/>
      <x:c r="M113" s="139" t="n"/>
      <x:c r="N113" s="139" t="n"/>
      <x:c r="O113" s="139" t="n"/>
      <x:c r="P113" s="139" t="n"/>
      <x:c r="Q113" s="139" t="n"/>
      <x:c r="R113" s="139" t="n"/>
      <x:c r="S113" s="139" t="n"/>
      <x:c r="T113" s="139" t="n"/>
      <x:c r="U113" s="139" t="n"/>
      <x:c r="V113" s="139" t="n"/>
      <x:c r="W113" s="139" t="n"/>
      <x:c r="X113" s="139" t="n"/>
      <x:c r="Y113" s="139" t="n"/>
      <x:c r="Z113" s="139" t="n"/>
      <x:c r="AA113" s="139" t="n"/>
      <x:c r="AB113" s="139" t="n"/>
      <x:c r="AC113" s="139" t="n"/>
      <x:c r="AD113" s="139" t="n"/>
      <x:c r="AE113" s="139" t="n"/>
      <x:c r="AF113" s="139" t="n"/>
      <x:c r="AG113" s="139" t="n"/>
      <x:c r="AH113" s="139" t="n"/>
      <x:c r="AI113" s="139" t="n"/>
      <x:c r="AJ113" s="139" t="n"/>
      <x:c r="AK113" s="139" t="n"/>
      <x:c r="AL113" s="139" t="n"/>
      <x:c r="AM113" s="139" t="n"/>
      <x:c r="AN113" s="139" t="n"/>
      <x:c r="AO113" s="139" t="n"/>
      <x:c r="AP113" s="139" t="n"/>
      <x:c r="AQ113" s="139" t="n"/>
      <x:c r="AR113" s="139" t="n"/>
      <x:c r="AS113" s="139" t="n"/>
      <x:c r="AT113" s="139" t="n"/>
      <x:c r="AU113" s="139" t="n"/>
      <x:c r="AV113" s="139" t="n"/>
      <x:c r="AW113" s="139" t="n"/>
      <x:c r="AX113" s="139" t="n"/>
      <x:c r="AY113" s="139" t="n"/>
      <x:c r="AZ113" s="139" t="n"/>
    </x:row>
    <x:row r="114">
      <x:c r="A114" s="139" t="n"/>
      <x:c r="B114" s="139" t="n"/>
      <x:c r="C114" s="139" t="n"/>
      <x:c r="D114" s="139" t="n"/>
      <x:c r="E114" s="139" t="n"/>
      <x:c r="F114" s="139" t="n"/>
      <x:c r="G114" s="139" t="n"/>
      <x:c r="H114" s="139" t="n"/>
      <x:c r="I114" s="139" t="n"/>
      <x:c r="J114" s="139" t="n"/>
      <x:c r="K114" s="139" t="n"/>
      <x:c r="L114" s="139" t="n"/>
      <x:c r="M114" s="139" t="n"/>
      <x:c r="N114" s="139" t="n"/>
      <x:c r="O114" s="139" t="n"/>
      <x:c r="P114" s="139" t="n"/>
      <x:c r="Q114" s="139" t="n"/>
      <x:c r="R114" s="139" t="n"/>
      <x:c r="S114" s="139" t="n"/>
      <x:c r="T114" s="139" t="n"/>
      <x:c r="U114" s="139" t="n"/>
      <x:c r="V114" s="139" t="n"/>
      <x:c r="W114" s="139" t="n"/>
      <x:c r="X114" s="139" t="n"/>
      <x:c r="Y114" s="139" t="n"/>
      <x:c r="Z114" s="139" t="n"/>
      <x:c r="AA114" s="139" t="n"/>
      <x:c r="AB114" s="139" t="n"/>
      <x:c r="AC114" s="139" t="n"/>
      <x:c r="AD114" s="139" t="n"/>
      <x:c r="AE114" s="139" t="n"/>
      <x:c r="AF114" s="139" t="n"/>
      <x:c r="AG114" s="139" t="n"/>
      <x:c r="AH114" s="139" t="n"/>
      <x:c r="AI114" s="139" t="n"/>
      <x:c r="AJ114" s="139" t="n"/>
      <x:c r="AK114" s="139" t="n"/>
      <x:c r="AL114" s="139" t="n"/>
      <x:c r="AM114" s="139" t="n"/>
      <x:c r="AN114" s="139" t="n"/>
      <x:c r="AO114" s="139" t="n"/>
      <x:c r="AP114" s="139" t="n"/>
      <x:c r="AQ114" s="139" t="n"/>
      <x:c r="AR114" s="139" t="n"/>
      <x:c r="AS114" s="139" t="n"/>
      <x:c r="AT114" s="139" t="n"/>
      <x:c r="AU114" s="139" t="n"/>
      <x:c r="AV114" s="139" t="n"/>
      <x:c r="AW114" s="139" t="n"/>
      <x:c r="AX114" s="139" t="n"/>
      <x:c r="AY114" s="139" t="n"/>
      <x:c r="AZ114" s="139" t="n"/>
    </x:row>
    <x:row r="115">
      <x:c r="A115" s="139" t="n"/>
      <x:c r="B115" s="139" t="n"/>
      <x:c r="C115" s="139" t="n"/>
      <x:c r="D115" s="139" t="n"/>
      <x:c r="E115" s="139" t="n"/>
      <x:c r="F115" s="139" t="n"/>
      <x:c r="G115" s="139" t="n"/>
      <x:c r="H115" s="139" t="n"/>
      <x:c r="I115" s="139" t="n"/>
      <x:c r="J115" s="139" t="n"/>
      <x:c r="K115" s="139" t="n"/>
      <x:c r="L115" s="139" t="n"/>
      <x:c r="M115" s="139" t="n"/>
      <x:c r="N115" s="139" t="n"/>
      <x:c r="O115" s="139" t="n"/>
      <x:c r="P115" s="139" t="n"/>
      <x:c r="Q115" s="139" t="n"/>
      <x:c r="R115" s="139" t="n"/>
      <x:c r="S115" s="139" t="n"/>
      <x:c r="T115" s="139" t="n"/>
      <x:c r="U115" s="139" t="n"/>
      <x:c r="V115" s="139" t="n"/>
      <x:c r="W115" s="139" t="n"/>
      <x:c r="X115" s="139" t="n"/>
      <x:c r="Y115" s="139" t="n"/>
      <x:c r="Z115" s="139" t="n"/>
      <x:c r="AA115" s="139" t="n"/>
      <x:c r="AB115" s="139" t="n"/>
      <x:c r="AC115" s="139" t="n"/>
      <x:c r="AD115" s="139" t="n"/>
      <x:c r="AE115" s="139" t="n"/>
      <x:c r="AF115" s="139" t="n"/>
      <x:c r="AG115" s="139" t="n"/>
      <x:c r="AH115" s="139" t="n"/>
      <x:c r="AI115" s="139" t="n"/>
      <x:c r="AJ115" s="139" t="n"/>
      <x:c r="AK115" s="139" t="n"/>
      <x:c r="AL115" s="139" t="n"/>
      <x:c r="AM115" s="139" t="n"/>
      <x:c r="AN115" s="139" t="n"/>
      <x:c r="AO115" s="139" t="n"/>
      <x:c r="AP115" s="139" t="n"/>
      <x:c r="AQ115" s="139" t="n"/>
      <x:c r="AR115" s="139" t="n"/>
      <x:c r="AS115" s="139" t="n"/>
      <x:c r="AT115" s="139" t="n"/>
      <x:c r="AU115" s="139" t="n"/>
      <x:c r="AV115" s="139" t="n"/>
      <x:c r="AW115" s="139" t="n"/>
      <x:c r="AX115" s="139" t="n"/>
      <x:c r="AY115" s="139" t="n"/>
      <x:c r="AZ115" s="139" t="n"/>
    </x:row>
    <x:row r="116">
      <x:c r="A116" s="139" t="n"/>
      <x:c r="B116" s="139" t="n"/>
      <x:c r="C116" s="139" t="n"/>
      <x:c r="D116" s="139" t="n"/>
      <x:c r="E116" s="139" t="n"/>
      <x:c r="F116" s="139" t="n"/>
      <x:c r="G116" s="139" t="n"/>
      <x:c r="H116" s="139" t="n"/>
      <x:c r="I116" s="139" t="n"/>
      <x:c r="J116" s="139" t="n"/>
      <x:c r="K116" s="139" t="n"/>
      <x:c r="L116" s="139" t="n"/>
      <x:c r="M116" s="139" t="n"/>
      <x:c r="N116" s="139" t="n"/>
      <x:c r="O116" s="139" t="n"/>
      <x:c r="P116" s="139" t="n"/>
      <x:c r="Q116" s="139" t="n"/>
      <x:c r="R116" s="139" t="n"/>
      <x:c r="S116" s="139" t="n"/>
      <x:c r="T116" s="139" t="n"/>
      <x:c r="U116" s="139" t="n"/>
      <x:c r="V116" s="139" t="n"/>
      <x:c r="W116" s="139" t="n"/>
      <x:c r="X116" s="139" t="n"/>
      <x:c r="Y116" s="139" t="n"/>
      <x:c r="Z116" s="139" t="n"/>
      <x:c r="AA116" s="139" t="n"/>
      <x:c r="AB116" s="139" t="n"/>
      <x:c r="AC116" s="139" t="n"/>
      <x:c r="AD116" s="139" t="n"/>
      <x:c r="AE116" s="139" t="n"/>
      <x:c r="AF116" s="139" t="n"/>
      <x:c r="AG116" s="139" t="n"/>
      <x:c r="AH116" s="139" t="n"/>
      <x:c r="AI116" s="139" t="n"/>
      <x:c r="AJ116" s="139" t="n"/>
      <x:c r="AK116" s="139" t="n"/>
      <x:c r="AL116" s="139" t="n"/>
      <x:c r="AM116" s="139" t="n"/>
      <x:c r="AN116" s="139" t="n"/>
      <x:c r="AO116" s="139" t="n"/>
      <x:c r="AP116" s="139" t="n"/>
      <x:c r="AQ116" s="139" t="n"/>
      <x:c r="AR116" s="139" t="n"/>
      <x:c r="AS116" s="139" t="n"/>
      <x:c r="AT116" s="139" t="n"/>
      <x:c r="AU116" s="139" t="n"/>
      <x:c r="AV116" s="139" t="n"/>
      <x:c r="AW116" s="139" t="n"/>
      <x:c r="AX116" s="139" t="n"/>
      <x:c r="AY116" s="139" t="n"/>
      <x:c r="AZ116" s="139" t="n"/>
    </x:row>
    <x:row r="117">
      <x:c r="A117" s="139" t="n"/>
      <x:c r="B117" s="139" t="n"/>
      <x:c r="C117" s="139" t="n"/>
      <x:c r="D117" s="139" t="n"/>
      <x:c r="E117" s="139" t="n"/>
      <x:c r="F117" s="139" t="n"/>
      <x:c r="G117" s="139" t="n"/>
      <x:c r="H117" s="139" t="n"/>
      <x:c r="I117" s="139" t="n"/>
      <x:c r="J117" s="139" t="n"/>
      <x:c r="K117" s="139" t="n"/>
      <x:c r="L117" s="139" t="n"/>
      <x:c r="M117" s="139" t="n"/>
      <x:c r="N117" s="139" t="n"/>
      <x:c r="O117" s="139" t="n"/>
      <x:c r="P117" s="139" t="n"/>
      <x:c r="Q117" s="139" t="n"/>
      <x:c r="R117" s="139" t="n"/>
      <x:c r="S117" s="139" t="n"/>
      <x:c r="T117" s="139" t="n"/>
      <x:c r="U117" s="139" t="n"/>
      <x:c r="V117" s="139" t="n"/>
      <x:c r="W117" s="139" t="n"/>
      <x:c r="X117" s="139" t="n"/>
      <x:c r="Y117" s="139" t="n"/>
      <x:c r="Z117" s="139" t="n"/>
      <x:c r="AA117" s="139" t="n"/>
      <x:c r="AB117" s="139" t="n"/>
      <x:c r="AC117" s="139" t="n"/>
      <x:c r="AD117" s="139" t="n"/>
      <x:c r="AE117" s="139" t="n"/>
      <x:c r="AF117" s="139" t="n"/>
      <x:c r="AG117" s="139" t="n"/>
      <x:c r="AH117" s="139" t="n"/>
      <x:c r="AI117" s="139" t="n"/>
      <x:c r="AJ117" s="139" t="n"/>
      <x:c r="AK117" s="139" t="n"/>
      <x:c r="AL117" s="139" t="n"/>
      <x:c r="AM117" s="139" t="n"/>
      <x:c r="AN117" s="139" t="n"/>
      <x:c r="AO117" s="139" t="n"/>
      <x:c r="AP117" s="139" t="n"/>
      <x:c r="AQ117" s="139" t="n"/>
      <x:c r="AR117" s="139" t="n"/>
      <x:c r="AS117" s="139" t="n"/>
      <x:c r="AT117" s="139" t="n"/>
      <x:c r="AU117" s="139" t="n"/>
      <x:c r="AV117" s="139" t="n"/>
      <x:c r="AW117" s="139" t="n"/>
      <x:c r="AX117" s="139" t="n"/>
      <x:c r="AY117" s="139" t="n"/>
      <x:c r="AZ117" s="139" t="n"/>
    </x:row>
    <x:row r="118">
      <x:c r="A118" s="139" t="n"/>
      <x:c r="B118" s="139" t="n"/>
      <x:c r="C118" s="139" t="n"/>
      <x:c r="D118" s="139" t="n"/>
      <x:c r="E118" s="139" t="n"/>
      <x:c r="F118" s="139" t="n"/>
      <x:c r="G118" s="139" t="n"/>
      <x:c r="H118" s="139" t="n"/>
      <x:c r="I118" s="139" t="n"/>
      <x:c r="J118" s="139" t="n"/>
      <x:c r="K118" s="139" t="n"/>
      <x:c r="L118" s="139" t="n"/>
      <x:c r="M118" s="139" t="n"/>
      <x:c r="N118" s="139" t="n"/>
      <x:c r="O118" s="139" t="n"/>
      <x:c r="P118" s="139" t="n"/>
      <x:c r="Q118" s="139" t="n"/>
      <x:c r="R118" s="139" t="n"/>
      <x:c r="S118" s="139" t="n"/>
      <x:c r="T118" s="139" t="n"/>
      <x:c r="U118" s="139" t="n"/>
      <x:c r="V118" s="139" t="n"/>
      <x:c r="W118" s="139" t="n"/>
      <x:c r="X118" s="139" t="n"/>
      <x:c r="Y118" s="139" t="n"/>
      <x:c r="Z118" s="139" t="n"/>
      <x:c r="AA118" s="139" t="n"/>
      <x:c r="AB118" s="139" t="n"/>
      <x:c r="AC118" s="139" t="n"/>
      <x:c r="AD118" s="139" t="n"/>
      <x:c r="AE118" s="139" t="n"/>
      <x:c r="AF118" s="139" t="n"/>
      <x:c r="AG118" s="139" t="n"/>
      <x:c r="AH118" s="139" t="n"/>
      <x:c r="AI118" s="139" t="n"/>
      <x:c r="AJ118" s="139" t="n"/>
      <x:c r="AK118" s="139" t="n"/>
      <x:c r="AL118" s="139" t="n"/>
      <x:c r="AM118" s="139" t="n"/>
      <x:c r="AN118" s="139" t="n"/>
      <x:c r="AO118" s="139" t="n"/>
      <x:c r="AP118" s="139" t="n"/>
      <x:c r="AQ118" s="139" t="n"/>
      <x:c r="AR118" s="139" t="n"/>
      <x:c r="AS118" s="139" t="n"/>
      <x:c r="AT118" s="139" t="n"/>
      <x:c r="AU118" s="139" t="n"/>
      <x:c r="AV118" s="139" t="n"/>
      <x:c r="AW118" s="139" t="n"/>
      <x:c r="AX118" s="139" t="n"/>
      <x:c r="AY118" s="139" t="n"/>
      <x:c r="AZ118" s="139" t="n"/>
    </x:row>
    <x:row r="119">
      <x:c r="A119" s="139" t="n"/>
      <x:c r="B119" s="139" t="n"/>
      <x:c r="C119" s="139" t="n"/>
      <x:c r="D119" s="139" t="n"/>
      <x:c r="E119" s="139" t="n"/>
      <x:c r="F119" s="139" t="n"/>
      <x:c r="G119" s="139" t="n"/>
      <x:c r="H119" s="139" t="n"/>
      <x:c r="I119" s="139" t="n"/>
      <x:c r="J119" s="139" t="n"/>
      <x:c r="K119" s="139" t="n"/>
      <x:c r="L119" s="139" t="n"/>
      <x:c r="M119" s="139" t="n"/>
      <x:c r="N119" s="139" t="n"/>
      <x:c r="O119" s="139" t="n"/>
      <x:c r="P119" s="139" t="n"/>
      <x:c r="Q119" s="139" t="n"/>
      <x:c r="R119" s="139" t="n"/>
      <x:c r="S119" s="139" t="n"/>
      <x:c r="T119" s="139" t="n"/>
      <x:c r="U119" s="139" t="n"/>
      <x:c r="V119" s="139" t="n"/>
      <x:c r="W119" s="139" t="n"/>
      <x:c r="X119" s="139" t="n"/>
      <x:c r="Y119" s="139" t="n"/>
      <x:c r="Z119" s="139" t="n"/>
      <x:c r="AA119" s="139" t="n"/>
      <x:c r="AB119" s="139" t="n"/>
      <x:c r="AC119" s="139" t="n"/>
      <x:c r="AD119" s="139" t="n"/>
      <x:c r="AE119" s="139" t="n"/>
      <x:c r="AF119" s="139" t="n"/>
      <x:c r="AG119" s="139" t="n"/>
      <x:c r="AH119" s="139" t="n"/>
      <x:c r="AI119" s="139" t="n"/>
      <x:c r="AJ119" s="139" t="n"/>
      <x:c r="AK119" s="139" t="n"/>
      <x:c r="AL119" s="139" t="n"/>
      <x:c r="AM119" s="139" t="n"/>
      <x:c r="AN119" s="139" t="n"/>
      <x:c r="AO119" s="139" t="n"/>
      <x:c r="AP119" s="139" t="n"/>
      <x:c r="AQ119" s="139" t="n"/>
      <x:c r="AR119" s="139" t="n"/>
      <x:c r="AS119" s="139" t="n"/>
      <x:c r="AT119" s="139" t="n"/>
      <x:c r="AU119" s="139" t="n"/>
      <x:c r="AV119" s="139" t="n"/>
      <x:c r="AW119" s="139" t="n"/>
      <x:c r="AX119" s="139" t="n"/>
      <x:c r="AY119" s="139" t="n"/>
      <x:c r="AZ119" s="139" t="n"/>
    </x:row>
    <x:row r="120">
      <x:c r="A120" s="139" t="n"/>
      <x:c r="B120" s="139" t="n"/>
      <x:c r="C120" s="139" t="n"/>
      <x:c r="D120" s="139" t="n"/>
      <x:c r="E120" s="139" t="n"/>
      <x:c r="F120" s="139" t="n"/>
      <x:c r="G120" s="139" t="n"/>
      <x:c r="H120" s="139" t="n"/>
      <x:c r="I120" s="139" t="n"/>
      <x:c r="J120" s="139" t="n"/>
      <x:c r="K120" s="139" t="n"/>
      <x:c r="L120" s="139" t="n"/>
      <x:c r="M120" s="139" t="n"/>
      <x:c r="N120" s="139" t="n"/>
      <x:c r="O120" s="139" t="n"/>
      <x:c r="P120" s="139" t="n"/>
      <x:c r="Q120" s="139" t="n"/>
      <x:c r="R120" s="139" t="n"/>
      <x:c r="S120" s="139" t="n"/>
      <x:c r="T120" s="139" t="n"/>
      <x:c r="U120" s="139" t="n"/>
      <x:c r="V120" s="139" t="n"/>
      <x:c r="W120" s="139" t="n"/>
      <x:c r="X120" s="139" t="n"/>
      <x:c r="Y120" s="139" t="n"/>
      <x:c r="Z120" s="139" t="n"/>
      <x:c r="AA120" s="139" t="n"/>
      <x:c r="AB120" s="139" t="n"/>
      <x:c r="AC120" s="139" t="n"/>
      <x:c r="AD120" s="139" t="n"/>
      <x:c r="AE120" s="139" t="n"/>
      <x:c r="AF120" s="139" t="n"/>
      <x:c r="AG120" s="139" t="n"/>
      <x:c r="AH120" s="139" t="n"/>
      <x:c r="AI120" s="139" t="n"/>
      <x:c r="AJ120" s="139" t="n"/>
      <x:c r="AK120" s="139" t="n"/>
      <x:c r="AL120" s="139" t="n"/>
      <x:c r="AM120" s="139" t="n"/>
      <x:c r="AN120" s="139" t="n"/>
      <x:c r="AO120" s="139" t="n"/>
      <x:c r="AP120" s="139" t="n"/>
      <x:c r="AQ120" s="139" t="n"/>
      <x:c r="AR120" s="139" t="n"/>
      <x:c r="AS120" s="139" t="n"/>
      <x:c r="AT120" s="139" t="n"/>
      <x:c r="AU120" s="139" t="n"/>
      <x:c r="AV120" s="139" t="n"/>
      <x:c r="AW120" s="139" t="n"/>
      <x:c r="AX120" s="139" t="n"/>
      <x:c r="AY120" s="139" t="n"/>
      <x:c r="AZ120" s="139" t="n"/>
    </x:row>
    <x:row r="121">
      <x:c r="A121" s="139" t="n"/>
      <x:c r="B121" s="139" t="n"/>
      <x:c r="C121" s="139" t="n"/>
      <x:c r="D121" s="139" t="n"/>
      <x:c r="E121" s="139" t="n"/>
      <x:c r="F121" s="139" t="n"/>
      <x:c r="G121" s="139" t="n"/>
      <x:c r="H121" s="139" t="n"/>
      <x:c r="I121" s="139" t="n"/>
      <x:c r="J121" s="139" t="n"/>
      <x:c r="K121" s="139" t="n"/>
      <x:c r="L121" s="139" t="n"/>
      <x:c r="M121" s="139" t="n"/>
      <x:c r="N121" s="139" t="n"/>
      <x:c r="O121" s="139" t="n"/>
      <x:c r="P121" s="139" t="n"/>
      <x:c r="Q121" s="139" t="n"/>
      <x:c r="R121" s="139" t="n"/>
      <x:c r="S121" s="139" t="n"/>
      <x:c r="T121" s="139" t="n"/>
      <x:c r="U121" s="139" t="n"/>
      <x:c r="V121" s="139" t="n"/>
      <x:c r="W121" s="139" t="n"/>
      <x:c r="X121" s="139" t="n"/>
      <x:c r="Y121" s="139" t="n"/>
      <x:c r="Z121" s="139" t="n"/>
      <x:c r="AA121" s="139" t="n"/>
      <x:c r="AB121" s="139" t="n"/>
      <x:c r="AC121" s="139" t="n"/>
      <x:c r="AD121" s="139" t="n"/>
      <x:c r="AE121" s="139" t="n"/>
      <x:c r="AF121" s="139" t="n"/>
      <x:c r="AG121" s="139" t="n"/>
      <x:c r="AH121" s="139" t="n"/>
      <x:c r="AI121" s="139" t="n"/>
      <x:c r="AJ121" s="139" t="n"/>
      <x:c r="AK121" s="139" t="n"/>
      <x:c r="AL121" s="139" t="n"/>
      <x:c r="AM121" s="139" t="n"/>
      <x:c r="AN121" s="139" t="n"/>
      <x:c r="AO121" s="139" t="n"/>
      <x:c r="AP121" s="139" t="n"/>
      <x:c r="AQ121" s="139" t="n"/>
      <x:c r="AR121" s="139" t="n"/>
      <x:c r="AS121" s="139" t="n"/>
      <x:c r="AT121" s="139" t="n"/>
      <x:c r="AU121" s="139" t="n"/>
      <x:c r="AV121" s="139" t="n"/>
      <x:c r="AW121" s="139" t="n"/>
      <x:c r="AX121" s="139" t="n"/>
      <x:c r="AY121" s="139" t="n"/>
      <x:c r="AZ121" s="139" t="n"/>
    </x:row>
    <x:row r="122">
      <x:c r="A122" s="139" t="n"/>
      <x:c r="B122" s="139" t="n"/>
      <x:c r="C122" s="139" t="n"/>
      <x:c r="D122" s="139" t="n"/>
      <x:c r="E122" s="139" t="n"/>
      <x:c r="F122" s="139" t="n"/>
      <x:c r="G122" s="139" t="n"/>
      <x:c r="H122" s="139" t="n"/>
      <x:c r="I122" s="139" t="n"/>
      <x:c r="J122" s="139" t="n"/>
      <x:c r="K122" s="139" t="n"/>
      <x:c r="L122" s="139" t="n"/>
      <x:c r="M122" s="139" t="n"/>
      <x:c r="N122" s="139" t="n"/>
      <x:c r="O122" s="139" t="n"/>
      <x:c r="P122" s="139" t="n"/>
      <x:c r="Q122" s="139" t="n"/>
      <x:c r="R122" s="139" t="n"/>
      <x:c r="S122" s="139" t="n"/>
      <x:c r="T122" s="139" t="n"/>
      <x:c r="U122" s="139" t="n"/>
      <x:c r="V122" s="139" t="n"/>
      <x:c r="W122" s="139" t="n"/>
      <x:c r="X122" s="139" t="n"/>
      <x:c r="Y122" s="139" t="n"/>
      <x:c r="Z122" s="139" t="n"/>
      <x:c r="AA122" s="139" t="n"/>
      <x:c r="AB122" s="139" t="n"/>
      <x:c r="AC122" s="139" t="n"/>
      <x:c r="AD122" s="139" t="n"/>
      <x:c r="AE122" s="139" t="n"/>
      <x:c r="AF122" s="139" t="n"/>
      <x:c r="AG122" s="139" t="n"/>
      <x:c r="AH122" s="139" t="n"/>
      <x:c r="AI122" s="139" t="n"/>
      <x:c r="AJ122" s="139" t="n"/>
      <x:c r="AK122" s="139" t="n"/>
      <x:c r="AL122" s="139" t="n"/>
      <x:c r="AM122" s="139" t="n"/>
      <x:c r="AN122" s="139" t="n"/>
      <x:c r="AO122" s="139" t="n"/>
      <x:c r="AP122" s="139" t="n"/>
      <x:c r="AQ122" s="139" t="n"/>
      <x:c r="AR122" s="139" t="n"/>
      <x:c r="AS122" s="139" t="n"/>
      <x:c r="AT122" s="139" t="n"/>
      <x:c r="AU122" s="139" t="n"/>
      <x:c r="AV122" s="139" t="n"/>
      <x:c r="AW122" s="139" t="n"/>
      <x:c r="AX122" s="139" t="n"/>
      <x:c r="AY122" s="139" t="n"/>
      <x:c r="AZ122" s="139" t="n"/>
    </x:row>
    <x:row r="123">
      <x:c r="A123" s="139" t="n"/>
      <x:c r="B123" s="139" t="n"/>
      <x:c r="C123" s="139" t="n"/>
      <x:c r="D123" s="139" t="n"/>
      <x:c r="E123" s="139" t="n"/>
      <x:c r="F123" s="139" t="n"/>
      <x:c r="G123" s="139" t="n"/>
      <x:c r="H123" s="139" t="n"/>
      <x:c r="I123" s="139" t="n"/>
      <x:c r="J123" s="139" t="n"/>
      <x:c r="K123" s="139" t="n"/>
      <x:c r="L123" s="139" t="n"/>
      <x:c r="M123" s="139" t="n"/>
      <x:c r="N123" s="139" t="n"/>
      <x:c r="O123" s="139" t="n"/>
      <x:c r="P123" s="139" t="n"/>
      <x:c r="Q123" s="139" t="n"/>
      <x:c r="R123" s="139" t="n"/>
      <x:c r="S123" s="139" t="n"/>
      <x:c r="T123" s="139" t="n"/>
      <x:c r="U123" s="139" t="n"/>
      <x:c r="V123" s="139" t="n"/>
      <x:c r="W123" s="139" t="n"/>
      <x:c r="X123" s="139" t="n"/>
      <x:c r="Y123" s="139" t="n"/>
      <x:c r="Z123" s="139" t="n"/>
      <x:c r="AA123" s="139" t="n"/>
      <x:c r="AB123" s="139" t="n"/>
      <x:c r="AC123" s="139" t="n"/>
      <x:c r="AD123" s="139" t="n"/>
      <x:c r="AE123" s="139" t="n"/>
      <x:c r="AF123" s="139" t="n"/>
      <x:c r="AG123" s="139" t="n"/>
      <x:c r="AH123" s="139" t="n"/>
      <x:c r="AI123" s="139" t="n"/>
      <x:c r="AJ123" s="139" t="n"/>
      <x:c r="AK123" s="139" t="n"/>
      <x:c r="AL123" s="139" t="n"/>
      <x:c r="AM123" s="139" t="n"/>
      <x:c r="AN123" s="139" t="n"/>
      <x:c r="AO123" s="139" t="n"/>
      <x:c r="AP123" s="139" t="n"/>
      <x:c r="AQ123" s="139" t="n"/>
      <x:c r="AR123" s="139" t="n"/>
      <x:c r="AS123" s="139" t="n"/>
      <x:c r="AT123" s="139" t="n"/>
      <x:c r="AU123" s="139" t="n"/>
      <x:c r="AV123" s="139" t="n"/>
      <x:c r="AW123" s="139" t="n"/>
      <x:c r="AX123" s="139" t="n"/>
      <x:c r="AY123" s="139" t="n"/>
      <x:c r="AZ123" s="139" t="n"/>
    </x:row>
    <x:row r="124">
      <x:c r="A124" s="139" t="n"/>
      <x:c r="B124" s="139" t="n"/>
      <x:c r="C124" s="139" t="n"/>
      <x:c r="D124" s="139" t="n"/>
      <x:c r="E124" s="139" t="n"/>
      <x:c r="F124" s="139" t="n"/>
      <x:c r="G124" s="139" t="n"/>
      <x:c r="H124" s="139" t="n"/>
      <x:c r="I124" s="139" t="n"/>
      <x:c r="J124" s="139" t="n"/>
      <x:c r="K124" s="139" t="n"/>
      <x:c r="L124" s="139" t="n"/>
      <x:c r="M124" s="139" t="n"/>
      <x:c r="N124" s="139" t="n"/>
      <x:c r="O124" s="139" t="n"/>
      <x:c r="P124" s="139" t="n"/>
      <x:c r="Q124" s="139" t="n"/>
      <x:c r="R124" s="139" t="n"/>
      <x:c r="S124" s="139" t="n"/>
      <x:c r="T124" s="139" t="n"/>
      <x:c r="U124" s="139" t="n"/>
      <x:c r="V124" s="139" t="n"/>
      <x:c r="W124" s="139" t="n"/>
      <x:c r="X124" s="139" t="n"/>
      <x:c r="Y124" s="139" t="n"/>
      <x:c r="Z124" s="139" t="n"/>
      <x:c r="AA124" s="139" t="n"/>
      <x:c r="AB124" s="139" t="n"/>
      <x:c r="AC124" s="139" t="n"/>
      <x:c r="AD124" s="139" t="n"/>
      <x:c r="AE124" s="139" t="n"/>
      <x:c r="AF124" s="139" t="n"/>
      <x:c r="AG124" s="139" t="n"/>
      <x:c r="AH124" s="139" t="n"/>
      <x:c r="AI124" s="139" t="n"/>
      <x:c r="AJ124" s="139" t="n"/>
      <x:c r="AK124" s="139" t="n"/>
      <x:c r="AL124" s="139" t="n"/>
      <x:c r="AM124" s="139" t="n"/>
      <x:c r="AN124" s="139" t="n"/>
      <x:c r="AO124" s="139" t="n"/>
      <x:c r="AP124" s="139" t="n"/>
      <x:c r="AQ124" s="139" t="n"/>
      <x:c r="AR124" s="139" t="n"/>
      <x:c r="AS124" s="139" t="n"/>
      <x:c r="AT124" s="139" t="n"/>
      <x:c r="AU124" s="139" t="n"/>
      <x:c r="AV124" s="139" t="n"/>
      <x:c r="AW124" s="139" t="n"/>
      <x:c r="AX124" s="139" t="n"/>
      <x:c r="AY124" s="139" t="n"/>
      <x:c r="AZ124" s="139" t="n"/>
    </x:row>
    <x:row r="125">
      <x:c r="A125" s="139" t="n"/>
      <x:c r="B125" s="139" t="n"/>
      <x:c r="C125" s="139" t="n"/>
      <x:c r="D125" s="139" t="n"/>
      <x:c r="E125" s="139" t="n"/>
      <x:c r="F125" s="139" t="n"/>
      <x:c r="G125" s="139" t="n"/>
      <x:c r="H125" s="139" t="n"/>
      <x:c r="I125" s="139" t="n"/>
      <x:c r="J125" s="139" t="n"/>
      <x:c r="K125" s="139" t="n"/>
      <x:c r="L125" s="139" t="n"/>
      <x:c r="M125" s="139" t="n"/>
      <x:c r="N125" s="139" t="n"/>
      <x:c r="O125" s="139" t="n"/>
      <x:c r="P125" s="139" t="n"/>
      <x:c r="Q125" s="139" t="n"/>
      <x:c r="R125" s="139" t="n"/>
      <x:c r="S125" s="139" t="n"/>
      <x:c r="T125" s="139" t="n"/>
      <x:c r="U125" s="139" t="n"/>
      <x:c r="V125" s="139" t="n"/>
      <x:c r="W125" s="139" t="n"/>
      <x:c r="X125" s="139" t="n"/>
      <x:c r="Y125" s="139" t="n"/>
      <x:c r="Z125" s="139" t="n"/>
      <x:c r="AA125" s="139" t="n"/>
      <x:c r="AB125" s="139" t="n"/>
      <x:c r="AC125" s="139" t="n"/>
      <x:c r="AD125" s="139" t="n"/>
      <x:c r="AE125" s="139" t="n"/>
      <x:c r="AF125" s="139" t="n"/>
      <x:c r="AG125" s="139" t="n"/>
      <x:c r="AH125" s="139" t="n"/>
      <x:c r="AI125" s="139" t="n"/>
      <x:c r="AJ125" s="139" t="n"/>
      <x:c r="AK125" s="139" t="n"/>
      <x:c r="AL125" s="139" t="n"/>
      <x:c r="AM125" s="139" t="n"/>
      <x:c r="AN125" s="139" t="n"/>
      <x:c r="AO125" s="139" t="n"/>
      <x:c r="AP125" s="139" t="n"/>
      <x:c r="AQ125" s="139" t="n"/>
      <x:c r="AR125" s="139" t="n"/>
      <x:c r="AS125" s="139" t="n"/>
      <x:c r="AT125" s="139" t="n"/>
      <x:c r="AU125" s="139" t="n"/>
      <x:c r="AV125" s="139" t="n"/>
      <x:c r="AW125" s="139" t="n"/>
      <x:c r="AX125" s="139" t="n"/>
      <x:c r="AY125" s="139" t="n"/>
      <x:c r="AZ125" s="139" t="n"/>
    </x:row>
    <x:row r="126">
      <x:c r="A126" s="139" t="n"/>
      <x:c r="B126" s="139" t="n"/>
      <x:c r="C126" s="139" t="n"/>
      <x:c r="D126" s="139" t="n"/>
      <x:c r="E126" s="139" t="n"/>
      <x:c r="F126" s="139" t="n"/>
      <x:c r="G126" s="139" t="n"/>
      <x:c r="H126" s="139" t="n"/>
      <x:c r="I126" s="139" t="n"/>
      <x:c r="J126" s="139" t="n"/>
      <x:c r="K126" s="139" t="n"/>
      <x:c r="L126" s="139" t="n"/>
      <x:c r="M126" s="139" t="n"/>
      <x:c r="N126" s="139" t="n"/>
      <x:c r="O126" s="139" t="n"/>
      <x:c r="P126" s="139" t="n"/>
      <x:c r="Q126" s="139" t="n"/>
      <x:c r="R126" s="139" t="n"/>
      <x:c r="S126" s="139" t="n"/>
      <x:c r="T126" s="139" t="n"/>
      <x:c r="U126" s="139" t="n"/>
      <x:c r="V126" s="139" t="n"/>
      <x:c r="W126" s="139" t="n"/>
      <x:c r="X126" s="139" t="n"/>
      <x:c r="Y126" s="139" t="n"/>
      <x:c r="Z126" s="139" t="n"/>
      <x:c r="AA126" s="139" t="n"/>
      <x:c r="AB126" s="139" t="n"/>
      <x:c r="AC126" s="139" t="n"/>
      <x:c r="AD126" s="139" t="n"/>
      <x:c r="AE126" s="139" t="n"/>
      <x:c r="AF126" s="139" t="n"/>
      <x:c r="AG126" s="139" t="n"/>
      <x:c r="AH126" s="139" t="n"/>
      <x:c r="AI126" s="139" t="n"/>
      <x:c r="AJ126" s="139" t="n"/>
      <x:c r="AK126" s="139" t="n"/>
      <x:c r="AL126" s="139" t="n"/>
      <x:c r="AM126" s="139" t="n"/>
      <x:c r="AN126" s="139" t="n"/>
      <x:c r="AO126" s="139" t="n"/>
      <x:c r="AP126" s="139" t="n"/>
      <x:c r="AQ126" s="139" t="n"/>
      <x:c r="AR126" s="139" t="n"/>
      <x:c r="AS126" s="139" t="n"/>
      <x:c r="AT126" s="139" t="n"/>
      <x:c r="AU126" s="139" t="n"/>
      <x:c r="AV126" s="139" t="n"/>
      <x:c r="AW126" s="139" t="n"/>
      <x:c r="AX126" s="139" t="n"/>
      <x:c r="AY126" s="139" t="n"/>
      <x:c r="AZ126" s="139" t="n"/>
    </x:row>
    <x:row r="127">
      <x:c r="A127" s="139" t="n"/>
      <x:c r="B127" s="139" t="n"/>
      <x:c r="C127" s="139" t="n"/>
      <x:c r="D127" s="139" t="n"/>
      <x:c r="E127" s="139" t="n"/>
      <x:c r="F127" s="139" t="n"/>
      <x:c r="G127" s="139" t="n"/>
      <x:c r="H127" s="139" t="n"/>
      <x:c r="I127" s="139" t="n"/>
      <x:c r="J127" s="139" t="n"/>
      <x:c r="K127" s="139" t="n"/>
      <x:c r="L127" s="139" t="n"/>
      <x:c r="M127" s="139" t="n"/>
      <x:c r="N127" s="139" t="n"/>
      <x:c r="O127" s="139" t="n"/>
      <x:c r="P127" s="139" t="n"/>
      <x:c r="Q127" s="139" t="n"/>
      <x:c r="R127" s="139" t="n"/>
      <x:c r="S127" s="139" t="n"/>
      <x:c r="T127" s="139" t="n"/>
      <x:c r="U127" s="139" t="n"/>
      <x:c r="V127" s="139" t="n"/>
      <x:c r="W127" s="139" t="n"/>
      <x:c r="X127" s="139" t="n"/>
      <x:c r="Y127" s="139" t="n"/>
      <x:c r="Z127" s="139" t="n"/>
      <x:c r="AA127" s="139" t="n"/>
      <x:c r="AB127" s="139" t="n"/>
      <x:c r="AC127" s="139" t="n"/>
      <x:c r="AD127" s="139" t="n"/>
      <x:c r="AE127" s="139" t="n"/>
      <x:c r="AF127" s="139" t="n"/>
      <x:c r="AG127" s="139" t="n"/>
      <x:c r="AH127" s="139" t="n"/>
      <x:c r="AI127" s="139" t="n"/>
      <x:c r="AJ127" s="139" t="n"/>
      <x:c r="AK127" s="139" t="n"/>
      <x:c r="AL127" s="139" t="n"/>
      <x:c r="AM127" s="139" t="n"/>
      <x:c r="AN127" s="139" t="n"/>
      <x:c r="AO127" s="139" t="n"/>
      <x:c r="AP127" s="139" t="n"/>
      <x:c r="AQ127" s="139" t="n"/>
      <x:c r="AR127" s="139" t="n"/>
      <x:c r="AS127" s="139" t="n"/>
      <x:c r="AT127" s="139" t="n"/>
      <x:c r="AU127" s="139" t="n"/>
      <x:c r="AV127" s="139" t="n"/>
      <x:c r="AW127" s="139" t="n"/>
      <x:c r="AX127" s="139" t="n"/>
      <x:c r="AY127" s="139" t="n"/>
      <x:c r="AZ127" s="139" t="n"/>
    </x:row>
    <x:row r="128">
      <x:c r="A128" s="139" t="n"/>
      <x:c r="B128" s="139" t="n"/>
      <x:c r="C128" s="139" t="n"/>
      <x:c r="D128" s="139" t="n"/>
      <x:c r="E128" s="139" t="n"/>
      <x:c r="F128" s="139" t="n"/>
      <x:c r="G128" s="139" t="n"/>
      <x:c r="H128" s="139" t="n"/>
      <x:c r="I128" s="139" t="n"/>
      <x:c r="J128" s="139" t="n"/>
      <x:c r="K128" s="139" t="n"/>
      <x:c r="L128" s="139" t="n"/>
      <x:c r="M128" s="139" t="n"/>
      <x:c r="N128" s="139" t="n"/>
      <x:c r="O128" s="139" t="n"/>
      <x:c r="P128" s="139" t="n"/>
      <x:c r="Q128" s="139" t="n"/>
      <x:c r="R128" s="139" t="n"/>
      <x:c r="S128" s="139" t="n"/>
      <x:c r="T128" s="139" t="n"/>
      <x:c r="U128" s="139" t="n"/>
      <x:c r="V128" s="139" t="n"/>
      <x:c r="W128" s="139" t="n"/>
      <x:c r="X128" s="139" t="n"/>
      <x:c r="Y128" s="139" t="n"/>
      <x:c r="Z128" s="139" t="n"/>
      <x:c r="AA128" s="139" t="n"/>
      <x:c r="AB128" s="139" t="n"/>
      <x:c r="AC128" s="139" t="n"/>
      <x:c r="AD128" s="139" t="n"/>
      <x:c r="AE128" s="139" t="n"/>
      <x:c r="AF128" s="139" t="n"/>
      <x:c r="AG128" s="139" t="n"/>
      <x:c r="AH128" s="139" t="n"/>
      <x:c r="AI128" s="139" t="n"/>
      <x:c r="AJ128" s="139" t="n"/>
      <x:c r="AK128" s="139" t="n"/>
      <x:c r="AL128" s="139" t="n"/>
      <x:c r="AM128" s="139" t="n"/>
      <x:c r="AN128" s="139" t="n"/>
      <x:c r="AO128" s="139" t="n"/>
      <x:c r="AP128" s="139" t="n"/>
      <x:c r="AQ128" s="139" t="n"/>
      <x:c r="AR128" s="139" t="n"/>
      <x:c r="AS128" s="139" t="n"/>
      <x:c r="AT128" s="139" t="n"/>
      <x:c r="AU128" s="139" t="n"/>
      <x:c r="AV128" s="139" t="n"/>
      <x:c r="AW128" s="139" t="n"/>
      <x:c r="AX128" s="139" t="n"/>
      <x:c r="AY128" s="139" t="n"/>
      <x:c r="AZ128" s="139" t="n"/>
    </x:row>
    <x:row r="129">
      <x:c r="A129" s="139" t="n"/>
      <x:c r="B129" s="139" t="n"/>
      <x:c r="C129" s="139" t="n"/>
      <x:c r="D129" s="139" t="n"/>
      <x:c r="E129" s="139" t="n"/>
      <x:c r="F129" s="139" t="n"/>
      <x:c r="G129" s="139" t="n"/>
      <x:c r="H129" s="139" t="n"/>
      <x:c r="I129" s="139" t="n"/>
      <x:c r="J129" s="139" t="n"/>
      <x:c r="K129" s="139" t="n"/>
      <x:c r="L129" s="139" t="n"/>
      <x:c r="M129" s="139" t="n"/>
      <x:c r="N129" s="139" t="n"/>
      <x:c r="O129" s="139" t="n"/>
      <x:c r="P129" s="139" t="n"/>
      <x:c r="Q129" s="139" t="n"/>
      <x:c r="R129" s="139" t="n"/>
      <x:c r="S129" s="139" t="n"/>
      <x:c r="T129" s="139" t="n"/>
      <x:c r="U129" s="139" t="n"/>
      <x:c r="V129" s="139" t="n"/>
      <x:c r="W129" s="139" t="n"/>
      <x:c r="X129" s="139" t="n"/>
      <x:c r="Y129" s="139" t="n"/>
      <x:c r="Z129" s="139" t="n"/>
      <x:c r="AA129" s="139" t="n"/>
      <x:c r="AB129" s="139" t="n"/>
      <x:c r="AC129" s="139" t="n"/>
      <x:c r="AD129" s="139" t="n"/>
      <x:c r="AE129" s="139" t="n"/>
      <x:c r="AF129" s="139" t="n"/>
      <x:c r="AG129" s="139" t="n"/>
      <x:c r="AH129" s="139" t="n"/>
      <x:c r="AI129" s="139" t="n"/>
      <x:c r="AJ129" s="139" t="n"/>
      <x:c r="AK129" s="139" t="n"/>
      <x:c r="AL129" s="139" t="n"/>
      <x:c r="AM129" s="139" t="n"/>
      <x:c r="AN129" s="139" t="n"/>
      <x:c r="AO129" s="139" t="n"/>
      <x:c r="AP129" s="139" t="n"/>
      <x:c r="AQ129" s="139" t="n"/>
      <x:c r="AR129" s="139" t="n"/>
      <x:c r="AS129" s="139" t="n"/>
      <x:c r="AT129" s="139" t="n"/>
      <x:c r="AU129" s="139" t="n"/>
      <x:c r="AV129" s="139" t="n"/>
      <x:c r="AW129" s="139" t="n"/>
      <x:c r="AX129" s="139" t="n"/>
      <x:c r="AY129" s="139" t="n"/>
      <x:c r="AZ129" s="139" t="n"/>
    </x:row>
    <x:row r="130">
      <x:c r="A130" s="139" t="n"/>
      <x:c r="B130" s="139" t="n"/>
      <x:c r="C130" s="139" t="n"/>
      <x:c r="D130" s="139" t="n"/>
      <x:c r="E130" s="139" t="n"/>
      <x:c r="F130" s="139" t="n"/>
      <x:c r="G130" s="139" t="n"/>
      <x:c r="H130" s="139" t="n"/>
      <x:c r="I130" s="139" t="n"/>
      <x:c r="J130" s="139" t="n"/>
      <x:c r="K130" s="139" t="n"/>
      <x:c r="L130" s="139" t="n"/>
      <x:c r="M130" s="139" t="n"/>
      <x:c r="N130" s="139" t="n"/>
      <x:c r="O130" s="139" t="n"/>
      <x:c r="P130" s="139" t="n"/>
      <x:c r="Q130" s="139" t="n"/>
      <x:c r="R130" s="139" t="n"/>
      <x:c r="S130" s="139" t="n"/>
      <x:c r="T130" s="139" t="n"/>
      <x:c r="U130" s="139" t="n"/>
      <x:c r="V130" s="139" t="n"/>
      <x:c r="W130" s="139" t="n"/>
      <x:c r="X130" s="139" t="n"/>
      <x:c r="Y130" s="139" t="n"/>
      <x:c r="Z130" s="139" t="n"/>
      <x:c r="AA130" s="139" t="n"/>
      <x:c r="AB130" s="139" t="n"/>
      <x:c r="AC130" s="139" t="n"/>
      <x:c r="AD130" s="139" t="n"/>
      <x:c r="AE130" s="139" t="n"/>
      <x:c r="AF130" s="139" t="n"/>
      <x:c r="AG130" s="139" t="n"/>
      <x:c r="AH130" s="139" t="n"/>
      <x:c r="AI130" s="139" t="n"/>
      <x:c r="AJ130" s="139" t="n"/>
      <x:c r="AK130" s="139" t="n"/>
      <x:c r="AL130" s="139" t="n"/>
      <x:c r="AM130" s="139" t="n"/>
      <x:c r="AN130" s="139" t="n"/>
      <x:c r="AO130" s="139" t="n"/>
      <x:c r="AP130" s="139" t="n"/>
      <x:c r="AQ130" s="139" t="n"/>
      <x:c r="AR130" s="139" t="n"/>
      <x:c r="AS130" s="139" t="n"/>
      <x:c r="AT130" s="139" t="n"/>
      <x:c r="AU130" s="139" t="n"/>
      <x:c r="AV130" s="139" t="n"/>
      <x:c r="AW130" s="139" t="n"/>
      <x:c r="AX130" s="139" t="n"/>
      <x:c r="AY130" s="139" t="n"/>
      <x:c r="AZ130" s="139" t="n"/>
    </x:row>
    <x:row r="131">
      <x:c r="A131" s="139" t="n"/>
      <x:c r="B131" s="139" t="n"/>
      <x:c r="C131" s="139" t="n"/>
      <x:c r="D131" s="139" t="n"/>
      <x:c r="E131" s="139" t="n"/>
      <x:c r="F131" s="139" t="n"/>
      <x:c r="G131" s="139" t="n"/>
      <x:c r="H131" s="139" t="n"/>
      <x:c r="I131" s="139" t="n"/>
      <x:c r="J131" s="139" t="n"/>
      <x:c r="K131" s="139" t="n"/>
      <x:c r="L131" s="139" t="n"/>
      <x:c r="M131" s="139" t="n"/>
      <x:c r="N131" s="139" t="n"/>
      <x:c r="O131" s="139" t="n"/>
      <x:c r="P131" s="139" t="n"/>
      <x:c r="Q131" s="139" t="n"/>
      <x:c r="R131" s="139" t="n"/>
      <x:c r="S131" s="139" t="n"/>
      <x:c r="T131" s="139" t="n"/>
      <x:c r="U131" s="139" t="n"/>
      <x:c r="V131" s="139" t="n"/>
      <x:c r="W131" s="139" t="n"/>
      <x:c r="X131" s="139" t="n"/>
      <x:c r="Y131" s="139" t="n"/>
      <x:c r="Z131" s="139" t="n"/>
      <x:c r="AA131" s="139" t="n"/>
      <x:c r="AB131" s="139" t="n"/>
      <x:c r="AC131" s="139" t="n"/>
      <x:c r="AD131" s="139" t="n"/>
      <x:c r="AE131" s="139" t="n"/>
      <x:c r="AF131" s="139" t="n"/>
      <x:c r="AG131" s="139" t="n"/>
      <x:c r="AH131" s="139" t="n"/>
      <x:c r="AI131" s="139" t="n"/>
      <x:c r="AJ131" s="139" t="n"/>
      <x:c r="AK131" s="139" t="n"/>
      <x:c r="AL131" s="139" t="n"/>
      <x:c r="AM131" s="139" t="n"/>
      <x:c r="AN131" s="139" t="n"/>
      <x:c r="AO131" s="139" t="n"/>
      <x:c r="AP131" s="139" t="n"/>
      <x:c r="AQ131" s="139" t="n"/>
      <x:c r="AR131" s="139" t="n"/>
      <x:c r="AS131" s="139" t="n"/>
      <x:c r="AT131" s="139" t="n"/>
      <x:c r="AU131" s="139" t="n"/>
      <x:c r="AV131" s="139" t="n"/>
      <x:c r="AW131" s="139" t="n"/>
      <x:c r="AX131" s="139" t="n"/>
      <x:c r="AY131" s="139" t="n"/>
      <x:c r="AZ131" s="139" t="n"/>
    </x:row>
    <x:row r="132">
      <x:c r="A132" s="139" t="n"/>
      <x:c r="B132" s="139" t="n"/>
      <x:c r="C132" s="139" t="n"/>
      <x:c r="D132" s="139" t="n"/>
      <x:c r="E132" s="139" t="n"/>
      <x:c r="F132" s="139" t="n"/>
      <x:c r="G132" s="139" t="n"/>
      <x:c r="H132" s="139" t="n"/>
      <x:c r="I132" s="139" t="n"/>
      <x:c r="J132" s="139" t="n"/>
      <x:c r="K132" s="139" t="n"/>
      <x:c r="L132" s="139" t="n"/>
      <x:c r="M132" s="139" t="n"/>
      <x:c r="N132" s="139" t="n"/>
      <x:c r="O132" s="139" t="n"/>
      <x:c r="P132" s="139" t="n"/>
      <x:c r="Q132" s="139" t="n"/>
      <x:c r="R132" s="139" t="n"/>
      <x:c r="S132" s="139" t="n"/>
      <x:c r="T132" s="139" t="n"/>
      <x:c r="U132" s="139" t="n"/>
      <x:c r="V132" s="139" t="n"/>
      <x:c r="W132" s="139" t="n"/>
      <x:c r="X132" s="139" t="n"/>
      <x:c r="Y132" s="139" t="n"/>
      <x:c r="Z132" s="139" t="n"/>
      <x:c r="AA132" s="139" t="n"/>
      <x:c r="AB132" s="139" t="n"/>
      <x:c r="AC132" s="139" t="n"/>
      <x:c r="AD132" s="139" t="n"/>
      <x:c r="AE132" s="139" t="n"/>
      <x:c r="AF132" s="139" t="n"/>
      <x:c r="AG132" s="139" t="n"/>
      <x:c r="AH132" s="139" t="n"/>
      <x:c r="AI132" s="139" t="n"/>
      <x:c r="AJ132" s="139" t="n"/>
      <x:c r="AK132" s="139" t="n"/>
      <x:c r="AL132" s="139" t="n"/>
      <x:c r="AM132" s="139" t="n"/>
      <x:c r="AN132" s="139" t="n"/>
      <x:c r="AO132" s="139" t="n"/>
      <x:c r="AP132" s="139" t="n"/>
      <x:c r="AQ132" s="139" t="n"/>
      <x:c r="AR132" s="139" t="n"/>
      <x:c r="AS132" s="139" t="n"/>
      <x:c r="AT132" s="139" t="n"/>
      <x:c r="AU132" s="139" t="n"/>
      <x:c r="AV132" s="139" t="n"/>
      <x:c r="AW132" s="139" t="n"/>
      <x:c r="AX132" s="139" t="n"/>
      <x:c r="AY132" s="139" t="n"/>
      <x:c r="AZ132" s="139" t="n"/>
    </x:row>
    <x:row r="133">
      <x:c r="A133" s="139" t="n"/>
      <x:c r="B133" s="139" t="n"/>
      <x:c r="C133" s="139" t="n"/>
      <x:c r="D133" s="139" t="n"/>
      <x:c r="E133" s="139" t="n"/>
      <x:c r="F133" s="139" t="n"/>
      <x:c r="G133" s="139" t="n"/>
      <x:c r="H133" s="139" t="n"/>
      <x:c r="I133" s="139" t="n"/>
      <x:c r="J133" s="139" t="n"/>
      <x:c r="K133" s="139" t="n"/>
      <x:c r="L133" s="139" t="n"/>
      <x:c r="M133" s="139" t="n"/>
      <x:c r="N133" s="139" t="n"/>
      <x:c r="O133" s="139" t="n"/>
      <x:c r="P133" s="139" t="n"/>
      <x:c r="Q133" s="139" t="n"/>
      <x:c r="R133" s="139" t="n"/>
      <x:c r="S133" s="139" t="n"/>
      <x:c r="T133" s="139" t="n"/>
      <x:c r="U133" s="139" t="n"/>
      <x:c r="V133" s="139" t="n"/>
      <x:c r="W133" s="139" t="n"/>
      <x:c r="X133" s="139" t="n"/>
      <x:c r="Y133" s="139" t="n"/>
      <x:c r="Z133" s="139" t="n"/>
      <x:c r="AA133" s="139" t="n"/>
      <x:c r="AB133" s="139" t="n"/>
      <x:c r="AC133" s="139" t="n"/>
      <x:c r="AD133" s="139" t="n"/>
      <x:c r="AE133" s="139" t="n"/>
      <x:c r="AF133" s="139" t="n"/>
      <x:c r="AG133" s="139" t="n"/>
      <x:c r="AH133" s="139" t="n"/>
      <x:c r="AI133" s="139" t="n"/>
      <x:c r="AJ133" s="139" t="n"/>
      <x:c r="AK133" s="139" t="n"/>
      <x:c r="AL133" s="139" t="n"/>
      <x:c r="AM133" s="139" t="n"/>
      <x:c r="AN133" s="139" t="n"/>
      <x:c r="AO133" s="139" t="n"/>
      <x:c r="AP133" s="139" t="n"/>
      <x:c r="AQ133" s="139" t="n"/>
      <x:c r="AR133" s="139" t="n"/>
      <x:c r="AS133" s="139" t="n"/>
      <x:c r="AT133" s="139" t="n"/>
      <x:c r="AU133" s="139" t="n"/>
      <x:c r="AV133" s="139" t="n"/>
      <x:c r="AW133" s="139" t="n"/>
      <x:c r="AX133" s="139" t="n"/>
      <x:c r="AY133" s="139" t="n"/>
      <x:c r="AZ133" s="139" t="n"/>
    </x:row>
    <x:row r="134">
      <x:c r="A134" s="139" t="n"/>
      <x:c r="B134" s="139" t="n"/>
      <x:c r="C134" s="139" t="n"/>
      <x:c r="D134" s="139" t="n"/>
      <x:c r="E134" s="139" t="n"/>
      <x:c r="F134" s="139" t="n"/>
      <x:c r="G134" s="139" t="n"/>
      <x:c r="H134" s="139" t="n"/>
      <x:c r="I134" s="139" t="n"/>
      <x:c r="J134" s="139" t="n"/>
      <x:c r="K134" s="139" t="n"/>
      <x:c r="L134" s="139" t="n"/>
      <x:c r="M134" s="139" t="n"/>
      <x:c r="N134" s="139" t="n"/>
      <x:c r="O134" s="139" t="n"/>
      <x:c r="P134" s="139" t="n"/>
      <x:c r="Q134" s="139" t="n"/>
      <x:c r="R134" s="139" t="n"/>
      <x:c r="S134" s="139" t="n"/>
      <x:c r="T134" s="139" t="n"/>
      <x:c r="U134" s="139" t="n"/>
      <x:c r="V134" s="139" t="n"/>
      <x:c r="W134" s="139" t="n"/>
      <x:c r="X134" s="139" t="n"/>
      <x:c r="Y134" s="139" t="n"/>
      <x:c r="Z134" s="139" t="n"/>
      <x:c r="AA134" s="139" t="n"/>
      <x:c r="AB134" s="139" t="n"/>
      <x:c r="AC134" s="139" t="n"/>
      <x:c r="AD134" s="139" t="n"/>
      <x:c r="AE134" s="139" t="n"/>
      <x:c r="AF134" s="139" t="n"/>
      <x:c r="AG134" s="139" t="n"/>
      <x:c r="AH134" s="139" t="n"/>
      <x:c r="AI134" s="139" t="n"/>
      <x:c r="AJ134" s="139" t="n"/>
      <x:c r="AK134" s="139" t="n"/>
      <x:c r="AL134" s="139" t="n"/>
      <x:c r="AM134" s="139" t="n"/>
      <x:c r="AN134" s="139" t="n"/>
      <x:c r="AO134" s="139" t="n"/>
      <x:c r="AP134" s="139" t="n"/>
      <x:c r="AQ134" s="139" t="n"/>
      <x:c r="AR134" s="139" t="n"/>
      <x:c r="AS134" s="139" t="n"/>
      <x:c r="AT134" s="139" t="n"/>
      <x:c r="AU134" s="139" t="n"/>
      <x:c r="AV134" s="139" t="n"/>
      <x:c r="AW134" s="139" t="n"/>
      <x:c r="AX134" s="139" t="n"/>
      <x:c r="AY134" s="139" t="n"/>
      <x:c r="AZ134" s="139" t="n"/>
    </x:row>
    <x:row r="135">
      <x:c r="A135" s="139" t="n"/>
      <x:c r="B135" s="139" t="n"/>
      <x:c r="C135" s="139" t="n"/>
      <x:c r="D135" s="139" t="n"/>
      <x:c r="E135" s="139" t="n"/>
      <x:c r="F135" s="139" t="n"/>
      <x:c r="G135" s="139" t="n"/>
      <x:c r="H135" s="139" t="n"/>
      <x:c r="I135" s="139" t="n"/>
      <x:c r="J135" s="139" t="n"/>
      <x:c r="K135" s="139" t="n"/>
      <x:c r="L135" s="139" t="n"/>
      <x:c r="M135" s="139" t="n"/>
      <x:c r="N135" s="139" t="n"/>
      <x:c r="O135" s="139" t="n"/>
      <x:c r="P135" s="139" t="n"/>
      <x:c r="Q135" s="139" t="n"/>
      <x:c r="R135" s="139" t="n"/>
      <x:c r="S135" s="139" t="n"/>
      <x:c r="T135" s="139" t="n"/>
      <x:c r="U135" s="139" t="n"/>
      <x:c r="V135" s="139" t="n"/>
      <x:c r="W135" s="139" t="n"/>
      <x:c r="X135" s="139" t="n"/>
      <x:c r="Y135" s="139" t="n"/>
      <x:c r="Z135" s="139" t="n"/>
      <x:c r="AA135" s="139" t="n"/>
      <x:c r="AB135" s="139" t="n"/>
      <x:c r="AC135" s="139" t="n"/>
      <x:c r="AD135" s="139" t="n"/>
      <x:c r="AE135" s="139" t="n"/>
      <x:c r="AF135" s="139" t="n"/>
      <x:c r="AG135" s="139" t="n"/>
      <x:c r="AH135" s="139" t="n"/>
      <x:c r="AI135" s="139" t="n"/>
      <x:c r="AJ135" s="139" t="n"/>
      <x:c r="AK135" s="139" t="n"/>
      <x:c r="AL135" s="139" t="n"/>
      <x:c r="AM135" s="139" t="n"/>
      <x:c r="AN135" s="139" t="n"/>
      <x:c r="AO135" s="139" t="n"/>
      <x:c r="AP135" s="139" t="n"/>
      <x:c r="AQ135" s="139" t="n"/>
      <x:c r="AR135" s="139" t="n"/>
      <x:c r="AS135" s="139" t="n"/>
      <x:c r="AT135" s="139" t="n"/>
      <x:c r="AU135" s="139" t="n"/>
      <x:c r="AV135" s="139" t="n"/>
      <x:c r="AW135" s="139" t="n"/>
      <x:c r="AX135" s="139" t="n"/>
      <x:c r="AY135" s="139" t="n"/>
      <x:c r="AZ135" s="139" t="n"/>
    </x:row>
    <x:row r="136">
      <x:c r="A136" s="139" t="n"/>
      <x:c r="B136" s="139" t="n"/>
      <x:c r="C136" s="139" t="n"/>
      <x:c r="D136" s="139" t="n"/>
      <x:c r="E136" s="139" t="n"/>
      <x:c r="F136" s="139" t="n"/>
      <x:c r="G136" s="139" t="n"/>
      <x:c r="H136" s="139" t="n"/>
      <x:c r="I136" s="139" t="n"/>
      <x:c r="J136" s="139" t="n"/>
      <x:c r="K136" s="139" t="n"/>
      <x:c r="L136" s="139" t="n"/>
      <x:c r="M136" s="139" t="n"/>
      <x:c r="N136" s="139" t="n"/>
      <x:c r="O136" s="139" t="n"/>
      <x:c r="P136" s="139" t="n"/>
      <x:c r="Q136" s="139" t="n"/>
      <x:c r="R136" s="139" t="n"/>
      <x:c r="S136" s="139" t="n"/>
      <x:c r="T136" s="139" t="n"/>
      <x:c r="U136" s="139" t="n"/>
      <x:c r="V136" s="139" t="n"/>
      <x:c r="W136" s="139" t="n"/>
      <x:c r="X136" s="139" t="n"/>
      <x:c r="Y136" s="139" t="n"/>
      <x:c r="Z136" s="139" t="n"/>
      <x:c r="AA136" s="139" t="n"/>
      <x:c r="AB136" s="139" t="n"/>
      <x:c r="AC136" s="139" t="n"/>
      <x:c r="AD136" s="139" t="n"/>
      <x:c r="AE136" s="139" t="n"/>
      <x:c r="AF136" s="139" t="n"/>
      <x:c r="AG136" s="139" t="n"/>
      <x:c r="AH136" s="139" t="n"/>
      <x:c r="AI136" s="139" t="n"/>
      <x:c r="AJ136" s="139" t="n"/>
      <x:c r="AK136" s="139" t="n"/>
      <x:c r="AL136" s="139" t="n"/>
      <x:c r="AM136" s="139" t="n"/>
      <x:c r="AN136" s="139" t="n"/>
      <x:c r="AO136" s="139" t="n"/>
      <x:c r="AP136" s="139" t="n"/>
      <x:c r="AQ136" s="139" t="n"/>
      <x:c r="AR136" s="139" t="n"/>
      <x:c r="AS136" s="139" t="n"/>
      <x:c r="AT136" s="139" t="n"/>
      <x:c r="AU136" s="139" t="n"/>
      <x:c r="AV136" s="139" t="n"/>
      <x:c r="AW136" s="139" t="n"/>
      <x:c r="AX136" s="139" t="n"/>
      <x:c r="AY136" s="139" t="n"/>
      <x:c r="AZ136" s="139" t="n"/>
    </x:row>
    <x:row r="137">
      <x:c r="A137" s="139" t="n"/>
      <x:c r="B137" s="139" t="n"/>
      <x:c r="C137" s="139" t="n"/>
      <x:c r="D137" s="139" t="n"/>
      <x:c r="E137" s="139" t="n"/>
      <x:c r="F137" s="139" t="n"/>
      <x:c r="G137" s="139" t="n"/>
      <x:c r="H137" s="139" t="n"/>
      <x:c r="I137" s="139" t="n"/>
      <x:c r="J137" s="139" t="n"/>
      <x:c r="K137" s="139" t="n"/>
      <x:c r="L137" s="139" t="n"/>
      <x:c r="M137" s="139" t="n"/>
      <x:c r="N137" s="139" t="n"/>
      <x:c r="O137" s="139" t="n"/>
      <x:c r="P137" s="139" t="n"/>
      <x:c r="Q137" s="139" t="n"/>
      <x:c r="R137" s="139" t="n"/>
      <x:c r="S137" s="139" t="n"/>
      <x:c r="T137" s="139" t="n"/>
      <x:c r="U137" s="139" t="n"/>
      <x:c r="V137" s="139" t="n"/>
      <x:c r="W137" s="139" t="n"/>
      <x:c r="X137" s="139" t="n"/>
      <x:c r="Y137" s="139" t="n"/>
      <x:c r="Z137" s="139" t="n"/>
      <x:c r="AA137" s="139" t="n"/>
      <x:c r="AB137" s="139" t="n"/>
      <x:c r="AC137" s="139" t="n"/>
      <x:c r="AD137" s="139" t="n"/>
      <x:c r="AE137" s="139" t="n"/>
      <x:c r="AF137" s="139" t="n"/>
      <x:c r="AG137" s="139" t="n"/>
      <x:c r="AH137" s="139" t="n"/>
      <x:c r="AI137" s="139" t="n"/>
      <x:c r="AJ137" s="139" t="n"/>
      <x:c r="AK137" s="139" t="n"/>
      <x:c r="AL137" s="139" t="n"/>
      <x:c r="AM137" s="139" t="n"/>
      <x:c r="AN137" s="139" t="n"/>
      <x:c r="AO137" s="139" t="n"/>
      <x:c r="AP137" s="139" t="n"/>
      <x:c r="AQ137" s="139" t="n"/>
      <x:c r="AR137" s="139" t="n"/>
      <x:c r="AS137" s="139" t="n"/>
      <x:c r="AT137" s="139" t="n"/>
      <x:c r="AU137" s="139" t="n"/>
      <x:c r="AV137" s="139" t="n"/>
      <x:c r="AW137" s="139" t="n"/>
      <x:c r="AX137" s="139" t="n"/>
      <x:c r="AY137" s="139" t="n"/>
      <x:c r="AZ137" s="139" t="n"/>
    </x:row>
    <x:row r="138">
      <x:c r="A138" s="139" t="n"/>
      <x:c r="B138" s="139" t="n"/>
      <x:c r="C138" s="139" t="n"/>
      <x:c r="D138" s="139" t="n"/>
      <x:c r="E138" s="139" t="n"/>
      <x:c r="F138" s="139" t="n"/>
      <x:c r="G138" s="139" t="n"/>
      <x:c r="H138" s="139" t="n"/>
      <x:c r="I138" s="139" t="n"/>
      <x:c r="J138" s="139" t="n"/>
      <x:c r="K138" s="139" t="n"/>
      <x:c r="L138" s="139" t="n"/>
      <x:c r="M138" s="139" t="n"/>
      <x:c r="N138" s="139" t="n"/>
      <x:c r="O138" s="139" t="n"/>
      <x:c r="P138" s="139" t="n"/>
      <x:c r="Q138" s="139" t="n"/>
      <x:c r="R138" s="139" t="n"/>
      <x:c r="S138" s="139" t="n"/>
      <x:c r="T138" s="139" t="n"/>
      <x:c r="U138" s="139" t="n"/>
      <x:c r="V138" s="139" t="n"/>
      <x:c r="W138" s="139" t="n"/>
      <x:c r="X138" s="139" t="n"/>
      <x:c r="Y138" s="139" t="n"/>
      <x:c r="Z138" s="139" t="n"/>
      <x:c r="AA138" s="139" t="n"/>
      <x:c r="AB138" s="139" t="n"/>
      <x:c r="AC138" s="139" t="n"/>
      <x:c r="AD138" s="139" t="n"/>
      <x:c r="AE138" s="139" t="n"/>
      <x:c r="AF138" s="139" t="n"/>
      <x:c r="AG138" s="139" t="n"/>
      <x:c r="AH138" s="139" t="n"/>
      <x:c r="AI138" s="139" t="n"/>
      <x:c r="AJ138" s="139" t="n"/>
      <x:c r="AK138" s="139" t="n"/>
      <x:c r="AL138" s="139" t="n"/>
      <x:c r="AM138" s="139" t="n"/>
      <x:c r="AN138" s="139" t="n"/>
      <x:c r="AO138" s="139" t="n"/>
      <x:c r="AP138" s="139" t="n"/>
      <x:c r="AQ138" s="139" t="n"/>
      <x:c r="AR138" s="139" t="n"/>
      <x:c r="AS138" s="139" t="n"/>
      <x:c r="AT138" s="139" t="n"/>
      <x:c r="AU138" s="139" t="n"/>
      <x:c r="AV138" s="139" t="n"/>
      <x:c r="AW138" s="139" t="n"/>
      <x:c r="AX138" s="139" t="n"/>
      <x:c r="AY138" s="139" t="n"/>
      <x:c r="AZ138" s="139" t="n"/>
    </x:row>
    <x:row r="139">
      <x:c r="A139" s="139" t="n"/>
      <x:c r="B139" s="139" t="n"/>
      <x:c r="C139" s="139" t="n"/>
      <x:c r="D139" s="139" t="n"/>
      <x:c r="E139" s="139" t="n"/>
      <x:c r="F139" s="139" t="n"/>
      <x:c r="G139" s="139" t="n"/>
      <x:c r="H139" s="139" t="n"/>
      <x:c r="I139" s="139" t="n"/>
      <x:c r="J139" s="139" t="n"/>
      <x:c r="K139" s="139" t="n"/>
      <x:c r="L139" s="139" t="n"/>
      <x:c r="M139" s="139" t="n"/>
      <x:c r="N139" s="139" t="n"/>
      <x:c r="O139" s="139" t="n"/>
      <x:c r="P139" s="139" t="n"/>
      <x:c r="Q139" s="139" t="n"/>
      <x:c r="R139" s="139" t="n"/>
      <x:c r="S139" s="139" t="n"/>
      <x:c r="T139" s="139" t="n"/>
      <x:c r="U139" s="139" t="n"/>
      <x:c r="V139" s="139" t="n"/>
      <x:c r="W139" s="139" t="n"/>
      <x:c r="X139" s="139" t="n"/>
      <x:c r="Y139" s="139" t="n"/>
      <x:c r="Z139" s="139" t="n"/>
      <x:c r="AA139" s="139" t="n"/>
      <x:c r="AB139" s="139" t="n"/>
      <x:c r="AC139" s="139" t="n"/>
      <x:c r="AD139" s="139" t="n"/>
      <x:c r="AE139" s="139" t="n"/>
      <x:c r="AF139" s="139" t="n"/>
      <x:c r="AG139" s="139" t="n"/>
      <x:c r="AH139" s="139" t="n"/>
      <x:c r="AI139" s="139" t="n"/>
      <x:c r="AJ139" s="139" t="n"/>
      <x:c r="AK139" s="139" t="n"/>
      <x:c r="AL139" s="139" t="n"/>
      <x:c r="AM139" s="139" t="n"/>
      <x:c r="AN139" s="139" t="n"/>
      <x:c r="AO139" s="139" t="n"/>
      <x:c r="AP139" s="139" t="n"/>
      <x:c r="AQ139" s="139" t="n"/>
      <x:c r="AR139" s="139" t="n"/>
      <x:c r="AS139" s="139" t="n"/>
      <x:c r="AT139" s="139" t="n"/>
      <x:c r="AU139" s="139" t="n"/>
      <x:c r="AV139" s="139" t="n"/>
      <x:c r="AW139" s="139" t="n"/>
      <x:c r="AX139" s="139" t="n"/>
      <x:c r="AY139" s="139" t="n"/>
      <x:c r="AZ139" s="139" t="n"/>
    </x:row>
    <x:row r="140">
      <x:c r="A140" s="139" t="n"/>
      <x:c r="B140" s="139" t="n"/>
      <x:c r="C140" s="139" t="n"/>
      <x:c r="D140" s="139" t="n"/>
      <x:c r="E140" s="139" t="n"/>
      <x:c r="F140" s="139" t="n"/>
      <x:c r="G140" s="139" t="n"/>
      <x:c r="H140" s="139" t="n"/>
      <x:c r="I140" s="139" t="n"/>
      <x:c r="J140" s="139" t="n"/>
      <x:c r="K140" s="139" t="n"/>
      <x:c r="L140" s="139" t="n"/>
      <x:c r="M140" s="139" t="n"/>
      <x:c r="N140" s="139" t="n"/>
      <x:c r="O140" s="139" t="n"/>
      <x:c r="P140" s="139" t="n"/>
      <x:c r="Q140" s="139" t="n"/>
      <x:c r="R140" s="139" t="n"/>
      <x:c r="S140" s="139" t="n"/>
      <x:c r="T140" s="139" t="n"/>
      <x:c r="U140" s="139" t="n"/>
      <x:c r="V140" s="139" t="n"/>
      <x:c r="W140" s="139" t="n"/>
      <x:c r="X140" s="139" t="n"/>
      <x:c r="Y140" s="139" t="n"/>
      <x:c r="Z140" s="139" t="n"/>
      <x:c r="AA140" s="139" t="n"/>
      <x:c r="AB140" s="139" t="n"/>
      <x:c r="AC140" s="139" t="n"/>
      <x:c r="AD140" s="139" t="n"/>
      <x:c r="AE140" s="139" t="n"/>
      <x:c r="AF140" s="139" t="n"/>
      <x:c r="AG140" s="139" t="n"/>
      <x:c r="AH140" s="139" t="n"/>
      <x:c r="AI140" s="139" t="n"/>
      <x:c r="AJ140" s="139" t="n"/>
      <x:c r="AK140" s="139" t="n"/>
      <x:c r="AL140" s="139" t="n"/>
      <x:c r="AM140" s="139" t="n"/>
      <x:c r="AN140" s="139" t="n"/>
      <x:c r="AO140" s="139" t="n"/>
      <x:c r="AP140" s="139" t="n"/>
      <x:c r="AQ140" s="139" t="n"/>
      <x:c r="AR140" s="139" t="n"/>
      <x:c r="AS140" s="139" t="n"/>
      <x:c r="AT140" s="139" t="n"/>
      <x:c r="AU140" s="139" t="n"/>
      <x:c r="AV140" s="139" t="n"/>
      <x:c r="AW140" s="139" t="n"/>
      <x:c r="AX140" s="139" t="n"/>
      <x:c r="AY140" s="139" t="n"/>
      <x:c r="AZ140" s="139" t="n"/>
    </x:row>
    <x:row r="141">
      <x:c r="A141" s="139" t="n"/>
      <x:c r="B141" s="139" t="n"/>
      <x:c r="C141" s="139" t="n"/>
      <x:c r="D141" s="139" t="n"/>
      <x:c r="E141" s="139" t="n"/>
      <x:c r="F141" s="139" t="n"/>
      <x:c r="G141" s="139" t="n"/>
      <x:c r="H141" s="139" t="n"/>
      <x:c r="I141" s="139" t="n"/>
      <x:c r="J141" s="139" t="n"/>
      <x:c r="K141" s="139" t="n"/>
      <x:c r="L141" s="139" t="n"/>
      <x:c r="M141" s="139" t="n"/>
      <x:c r="N141" s="139" t="n"/>
      <x:c r="O141" s="139" t="n"/>
      <x:c r="P141" s="139" t="n"/>
      <x:c r="Q141" s="139" t="n"/>
      <x:c r="R141" s="139" t="n"/>
      <x:c r="S141" s="139" t="n"/>
      <x:c r="T141" s="139" t="n"/>
      <x:c r="U141" s="139" t="n"/>
      <x:c r="V141" s="139" t="n"/>
      <x:c r="W141" s="139" t="n"/>
      <x:c r="X141" s="139" t="n"/>
      <x:c r="Y141" s="139" t="n"/>
      <x:c r="Z141" s="139" t="n"/>
      <x:c r="AA141" s="139" t="n"/>
      <x:c r="AB141" s="139" t="n"/>
      <x:c r="AC141" s="139" t="n"/>
      <x:c r="AD141" s="139" t="n"/>
      <x:c r="AE141" s="139" t="n"/>
      <x:c r="AF141" s="139" t="n"/>
      <x:c r="AG141" s="139" t="n"/>
      <x:c r="AH141" s="139" t="n"/>
      <x:c r="AI141" s="139" t="n"/>
      <x:c r="AJ141" s="139" t="n"/>
      <x:c r="AK141" s="139" t="n"/>
      <x:c r="AL141" s="139" t="n"/>
      <x:c r="AM141" s="139" t="n"/>
      <x:c r="AN141" s="139" t="n"/>
      <x:c r="AO141" s="139" t="n"/>
      <x:c r="AP141" s="139" t="n"/>
      <x:c r="AQ141" s="139" t="n"/>
      <x:c r="AR141" s="139" t="n"/>
      <x:c r="AS141" s="139" t="n"/>
      <x:c r="AT141" s="139" t="n"/>
      <x:c r="AU141" s="139" t="n"/>
      <x:c r="AV141" s="139" t="n"/>
      <x:c r="AW141" s="139" t="n"/>
      <x:c r="AX141" s="139" t="n"/>
      <x:c r="AY141" s="139" t="n"/>
      <x:c r="AZ141" s="139" t="n"/>
    </x:row>
    <x:row r="142">
      <x:c r="A142" s="139" t="n"/>
      <x:c r="B142" s="139" t="n"/>
      <x:c r="C142" s="139" t="n"/>
      <x:c r="D142" s="139" t="n"/>
      <x:c r="E142" s="139" t="n"/>
      <x:c r="F142" s="139" t="n"/>
      <x:c r="G142" s="139" t="n"/>
      <x:c r="H142" s="139" t="n"/>
      <x:c r="I142" s="139" t="n"/>
      <x:c r="J142" s="139" t="n"/>
      <x:c r="K142" s="139" t="n"/>
      <x:c r="L142" s="139" t="n"/>
      <x:c r="M142" s="139" t="n"/>
      <x:c r="N142" s="139" t="n"/>
      <x:c r="O142" s="139" t="n"/>
      <x:c r="P142" s="139" t="n"/>
      <x:c r="Q142" s="139" t="n"/>
      <x:c r="R142" s="139" t="n"/>
      <x:c r="S142" s="139" t="n"/>
      <x:c r="T142" s="139" t="n"/>
      <x:c r="U142" s="139" t="n"/>
      <x:c r="V142" s="139" t="n"/>
      <x:c r="W142" s="139" t="n"/>
      <x:c r="X142" s="139" t="n"/>
      <x:c r="Y142" s="139" t="n"/>
      <x:c r="Z142" s="139" t="n"/>
      <x:c r="AA142" s="139" t="n"/>
      <x:c r="AB142" s="139" t="n"/>
      <x:c r="AC142" s="139" t="n"/>
      <x:c r="AD142" s="139" t="n"/>
      <x:c r="AE142" s="139" t="n"/>
      <x:c r="AF142" s="139" t="n"/>
      <x:c r="AG142" s="139" t="n"/>
      <x:c r="AH142" s="139" t="n"/>
      <x:c r="AI142" s="139" t="n"/>
      <x:c r="AJ142" s="139" t="n"/>
      <x:c r="AK142" s="139" t="n"/>
      <x:c r="AL142" s="139" t="n"/>
      <x:c r="AM142" s="139" t="n"/>
      <x:c r="AN142" s="139" t="n"/>
      <x:c r="AO142" s="139" t="n"/>
      <x:c r="AP142" s="139" t="n"/>
      <x:c r="AQ142" s="139" t="n"/>
      <x:c r="AR142" s="139" t="n"/>
      <x:c r="AS142" s="139" t="n"/>
      <x:c r="AT142" s="139" t="n"/>
      <x:c r="AU142" s="139" t="n"/>
      <x:c r="AV142" s="139" t="n"/>
      <x:c r="AW142" s="139" t="n"/>
      <x:c r="AX142" s="139" t="n"/>
      <x:c r="AY142" s="139" t="n"/>
      <x:c r="AZ142" s="139" t="n"/>
    </x:row>
    <x:row r="143">
      <x:c r="A143" s="139" t="n"/>
      <x:c r="B143" s="139" t="n"/>
      <x:c r="C143" s="139" t="n"/>
      <x:c r="D143" s="139" t="n"/>
      <x:c r="E143" s="139" t="n"/>
      <x:c r="F143" s="139" t="n"/>
      <x:c r="G143" s="139" t="n"/>
      <x:c r="H143" s="139" t="n"/>
      <x:c r="I143" s="139" t="n"/>
      <x:c r="J143" s="139" t="n"/>
      <x:c r="K143" s="139" t="n"/>
      <x:c r="L143" s="139" t="n"/>
      <x:c r="M143" s="139" t="n"/>
      <x:c r="N143" s="139" t="n"/>
      <x:c r="O143" s="139" t="n"/>
      <x:c r="P143" s="139" t="n"/>
      <x:c r="Q143" s="139" t="n"/>
      <x:c r="R143" s="139" t="n"/>
      <x:c r="S143" s="139" t="n"/>
      <x:c r="T143" s="139" t="n"/>
      <x:c r="U143" s="139" t="n"/>
      <x:c r="V143" s="139" t="n"/>
      <x:c r="W143" s="139" t="n"/>
      <x:c r="X143" s="139" t="n"/>
      <x:c r="Y143" s="139" t="n"/>
      <x:c r="Z143" s="139" t="n"/>
      <x:c r="AA143" s="139" t="n"/>
      <x:c r="AB143" s="139" t="n"/>
      <x:c r="AC143" s="139" t="n"/>
      <x:c r="AD143" s="139" t="n"/>
      <x:c r="AE143" s="139" t="n"/>
      <x:c r="AF143" s="139" t="n"/>
      <x:c r="AG143" s="139" t="n"/>
      <x:c r="AH143" s="139" t="n"/>
      <x:c r="AI143" s="139" t="n"/>
      <x:c r="AJ143" s="139" t="n"/>
      <x:c r="AK143" s="139" t="n"/>
      <x:c r="AL143" s="139" t="n"/>
      <x:c r="AM143" s="139" t="n"/>
      <x:c r="AN143" s="139" t="n"/>
      <x:c r="AO143" s="139" t="n"/>
      <x:c r="AP143" s="139" t="n"/>
      <x:c r="AQ143" s="139" t="n"/>
      <x:c r="AR143" s="139" t="n"/>
      <x:c r="AS143" s="139" t="n"/>
      <x:c r="AT143" s="139" t="n"/>
      <x:c r="AU143" s="139" t="n"/>
      <x:c r="AV143" s="139" t="n"/>
      <x:c r="AW143" s="139" t="n"/>
      <x:c r="AX143" s="139" t="n"/>
      <x:c r="AY143" s="139" t="n"/>
      <x:c r="AZ143" s="139" t="n"/>
    </x:row>
    <x:row r="144">
      <x:c r="A144" s="139" t="n"/>
      <x:c r="B144" s="139" t="n"/>
      <x:c r="C144" s="139" t="n"/>
      <x:c r="D144" s="139" t="n"/>
      <x:c r="E144" s="139" t="n"/>
      <x:c r="F144" s="139" t="n"/>
      <x:c r="G144" s="139" t="n"/>
      <x:c r="H144" s="139" t="n"/>
      <x:c r="I144" s="139" t="n"/>
      <x:c r="J144" s="139" t="n"/>
      <x:c r="K144" s="139" t="n"/>
      <x:c r="L144" s="139" t="n"/>
      <x:c r="M144" s="139" t="n"/>
      <x:c r="N144" s="139" t="n"/>
      <x:c r="O144" s="139" t="n"/>
      <x:c r="P144" s="139" t="n"/>
      <x:c r="Q144" s="139" t="n"/>
      <x:c r="R144" s="139" t="n"/>
      <x:c r="S144" s="139" t="n"/>
      <x:c r="T144" s="139" t="n"/>
      <x:c r="U144" s="139" t="n"/>
      <x:c r="V144" s="139" t="n"/>
      <x:c r="W144" s="139" t="n"/>
      <x:c r="X144" s="139" t="n"/>
      <x:c r="Y144" s="139" t="n"/>
      <x:c r="Z144" s="139" t="n"/>
      <x:c r="AA144" s="139" t="n"/>
      <x:c r="AB144" s="139" t="n"/>
      <x:c r="AC144" s="139" t="n"/>
      <x:c r="AD144" s="139" t="n"/>
      <x:c r="AE144" s="139" t="n"/>
      <x:c r="AF144" s="139" t="n"/>
      <x:c r="AG144" s="139" t="n"/>
      <x:c r="AH144" s="139" t="n"/>
      <x:c r="AI144" s="139" t="n"/>
      <x:c r="AJ144" s="139" t="n"/>
      <x:c r="AK144" s="139" t="n"/>
      <x:c r="AL144" s="139" t="n"/>
      <x:c r="AM144" s="139" t="n"/>
      <x:c r="AN144" s="139" t="n"/>
      <x:c r="AO144" s="139" t="n"/>
      <x:c r="AP144" s="139" t="n"/>
      <x:c r="AQ144" s="139" t="n"/>
      <x:c r="AR144" s="139" t="n"/>
      <x:c r="AS144" s="139" t="n"/>
      <x:c r="AT144" s="139" t="n"/>
      <x:c r="AU144" s="139" t="n"/>
      <x:c r="AV144" s="139" t="n"/>
      <x:c r="AW144" s="139" t="n"/>
      <x:c r="AX144" s="139" t="n"/>
      <x:c r="AY144" s="139" t="n"/>
      <x:c r="AZ144" s="139" t="n"/>
    </x:row>
    <x:row r="145">
      <x:c r="A145" s="139" t="n"/>
      <x:c r="B145" s="139" t="n"/>
      <x:c r="C145" s="139" t="n"/>
      <x:c r="D145" s="139" t="n"/>
      <x:c r="E145" s="139" t="n"/>
      <x:c r="F145" s="139" t="n"/>
      <x:c r="G145" s="139" t="n"/>
      <x:c r="H145" s="139" t="n"/>
      <x:c r="I145" s="139" t="n"/>
      <x:c r="J145" s="139" t="n"/>
      <x:c r="K145" s="139" t="n"/>
      <x:c r="L145" s="139" t="n"/>
      <x:c r="M145" s="139" t="n"/>
      <x:c r="N145" s="139" t="n"/>
      <x:c r="O145" s="139" t="n"/>
      <x:c r="P145" s="139" t="n"/>
      <x:c r="Q145" s="139" t="n"/>
      <x:c r="R145" s="139" t="n"/>
      <x:c r="S145" s="139" t="n"/>
      <x:c r="T145" s="139" t="n"/>
      <x:c r="U145" s="139" t="n"/>
      <x:c r="V145" s="139" t="n"/>
      <x:c r="W145" s="139" t="n"/>
      <x:c r="X145" s="139" t="n"/>
      <x:c r="Y145" s="139" t="n"/>
      <x:c r="Z145" s="139" t="n"/>
      <x:c r="AA145" s="139" t="n"/>
      <x:c r="AB145" s="139" t="n"/>
      <x:c r="AC145" s="139" t="n"/>
      <x:c r="AD145" s="139" t="n"/>
      <x:c r="AE145" s="139" t="n"/>
      <x:c r="AF145" s="139" t="n"/>
      <x:c r="AG145" s="139" t="n"/>
      <x:c r="AH145" s="139" t="n"/>
      <x:c r="AI145" s="139" t="n"/>
      <x:c r="AJ145" s="139" t="n"/>
      <x:c r="AK145" s="139" t="n"/>
      <x:c r="AL145" s="139" t="n"/>
      <x:c r="AM145" s="139" t="n"/>
      <x:c r="AN145" s="139" t="n"/>
      <x:c r="AO145" s="139" t="n"/>
      <x:c r="AP145" s="139" t="n"/>
      <x:c r="AQ145" s="139" t="n"/>
      <x:c r="AR145" s="139" t="n"/>
      <x:c r="AS145" s="139" t="n"/>
      <x:c r="AT145" s="139" t="n"/>
      <x:c r="AU145" s="139" t="n"/>
      <x:c r="AV145" s="139" t="n"/>
      <x:c r="AW145" s="139" t="n"/>
      <x:c r="AX145" s="139" t="n"/>
      <x:c r="AY145" s="139" t="n"/>
      <x:c r="AZ145" s="139" t="n"/>
    </x:row>
    <x:row r="146">
      <x:c r="A146" s="139" t="n"/>
      <x:c r="B146" s="139" t="n"/>
      <x:c r="C146" s="139" t="n"/>
      <x:c r="D146" s="139" t="n"/>
      <x:c r="E146" s="139" t="n"/>
      <x:c r="F146" s="139" t="n"/>
      <x:c r="G146" s="139" t="n"/>
      <x:c r="H146" s="139" t="n"/>
      <x:c r="I146" s="139" t="n"/>
      <x:c r="J146" s="139" t="n"/>
      <x:c r="K146" s="139" t="n"/>
      <x:c r="L146" s="139" t="n"/>
      <x:c r="M146" s="139" t="n"/>
      <x:c r="N146" s="139" t="n"/>
      <x:c r="O146" s="139" t="n"/>
      <x:c r="P146" s="139" t="n"/>
      <x:c r="Q146" s="139" t="n"/>
      <x:c r="R146" s="139" t="n"/>
      <x:c r="S146" s="139" t="n"/>
      <x:c r="T146" s="139" t="n"/>
      <x:c r="U146" s="139" t="n"/>
      <x:c r="V146" s="139" t="n"/>
      <x:c r="W146" s="139" t="n"/>
      <x:c r="X146" s="139" t="n"/>
      <x:c r="Y146" s="139" t="n"/>
      <x:c r="Z146" s="139" t="n"/>
      <x:c r="AA146" s="139" t="n"/>
      <x:c r="AB146" s="139" t="n"/>
      <x:c r="AC146" s="139" t="n"/>
      <x:c r="AD146" s="139" t="n"/>
      <x:c r="AE146" s="139" t="n"/>
      <x:c r="AF146" s="139" t="n"/>
      <x:c r="AG146" s="139" t="n"/>
      <x:c r="AH146" s="139" t="n"/>
      <x:c r="AI146" s="139" t="n"/>
      <x:c r="AJ146" s="139" t="n"/>
      <x:c r="AK146" s="139" t="n"/>
      <x:c r="AL146" s="139" t="n"/>
      <x:c r="AM146" s="139" t="n"/>
      <x:c r="AN146" s="139" t="n"/>
      <x:c r="AO146" s="139" t="n"/>
      <x:c r="AP146" s="139" t="n"/>
      <x:c r="AQ146" s="139" t="n"/>
      <x:c r="AR146" s="139" t="n"/>
      <x:c r="AS146" s="139" t="n"/>
      <x:c r="AT146" s="139" t="n"/>
      <x:c r="AU146" s="139" t="n"/>
      <x:c r="AV146" s="139" t="n"/>
      <x:c r="AW146" s="139" t="n"/>
      <x:c r="AX146" s="139" t="n"/>
      <x:c r="AY146" s="139" t="n"/>
      <x:c r="AZ146" s="139" t="n"/>
    </x:row>
    <x:row r="147">
      <x:c r="A147" s="139" t="n"/>
      <x:c r="B147" s="139" t="n"/>
      <x:c r="C147" s="139" t="n"/>
      <x:c r="D147" s="139" t="n"/>
      <x:c r="E147" s="139" t="n"/>
      <x:c r="F147" s="139" t="n"/>
      <x:c r="G147" s="139" t="n"/>
      <x:c r="H147" s="139" t="n"/>
      <x:c r="I147" s="139" t="n"/>
      <x:c r="J147" s="139" t="n"/>
      <x:c r="K147" s="139" t="n"/>
      <x:c r="L147" s="139" t="n"/>
      <x:c r="M147" s="139" t="n"/>
      <x:c r="N147" s="139" t="n"/>
      <x:c r="O147" s="139" t="n"/>
      <x:c r="P147" s="139" t="n"/>
      <x:c r="Q147" s="139" t="n"/>
      <x:c r="R147" s="139" t="n"/>
      <x:c r="S147" s="139" t="n"/>
      <x:c r="T147" s="139" t="n"/>
      <x:c r="U147" s="139" t="n"/>
      <x:c r="V147" s="139" t="n"/>
      <x:c r="W147" s="139" t="n"/>
      <x:c r="X147" s="139" t="n"/>
      <x:c r="Y147" s="139" t="n"/>
      <x:c r="Z147" s="139" t="n"/>
      <x:c r="AA147" s="139" t="n"/>
      <x:c r="AB147" s="139" t="n"/>
      <x:c r="AC147" s="139" t="n"/>
      <x:c r="AD147" s="139" t="n"/>
      <x:c r="AE147" s="139" t="n"/>
      <x:c r="AF147" s="139" t="n"/>
      <x:c r="AG147" s="139" t="n"/>
      <x:c r="AH147" s="139" t="n"/>
      <x:c r="AI147" s="139" t="n"/>
      <x:c r="AJ147" s="139" t="n"/>
      <x:c r="AK147" s="139" t="n"/>
      <x:c r="AL147" s="139" t="n"/>
      <x:c r="AM147" s="139" t="n"/>
      <x:c r="AN147" s="139" t="n"/>
      <x:c r="AO147" s="139" t="n"/>
      <x:c r="AP147" s="139" t="n"/>
      <x:c r="AQ147" s="139" t="n"/>
      <x:c r="AR147" s="139" t="n"/>
      <x:c r="AS147" s="139" t="n"/>
      <x:c r="AT147" s="139" t="n"/>
      <x:c r="AU147" s="139" t="n"/>
      <x:c r="AV147" s="139" t="n"/>
      <x:c r="AW147" s="139" t="n"/>
      <x:c r="AX147" s="139" t="n"/>
      <x:c r="AY147" s="139" t="n"/>
      <x:c r="AZ147" s="139" t="n"/>
    </x:row>
    <x:row r="148">
      <x:c r="A148" s="139" t="n"/>
      <x:c r="B148" s="139" t="n"/>
      <x:c r="C148" s="139" t="n"/>
      <x:c r="D148" s="139" t="n"/>
      <x:c r="E148" s="139" t="n"/>
      <x:c r="F148" s="139" t="n"/>
      <x:c r="G148" s="139" t="n"/>
      <x:c r="H148" s="139" t="n"/>
      <x:c r="I148" s="139" t="n"/>
      <x:c r="J148" s="139" t="n"/>
      <x:c r="K148" s="139" t="n"/>
      <x:c r="L148" s="139" t="n"/>
      <x:c r="M148" s="139" t="n"/>
      <x:c r="N148" s="139" t="n"/>
      <x:c r="O148" s="139" t="n"/>
      <x:c r="P148" s="139" t="n"/>
      <x:c r="Q148" s="139" t="n"/>
      <x:c r="R148" s="139" t="n"/>
      <x:c r="S148" s="139" t="n"/>
      <x:c r="T148" s="139" t="n"/>
      <x:c r="U148" s="139" t="n"/>
      <x:c r="V148" s="139" t="n"/>
      <x:c r="W148" s="139" t="n"/>
      <x:c r="X148" s="139" t="n"/>
      <x:c r="Y148" s="139" t="n"/>
      <x:c r="Z148" s="139" t="n"/>
      <x:c r="AA148" s="139" t="n"/>
      <x:c r="AB148" s="139" t="n"/>
      <x:c r="AC148" s="139" t="n"/>
      <x:c r="AD148" s="139" t="n"/>
      <x:c r="AE148" s="139" t="n"/>
      <x:c r="AF148" s="139" t="n"/>
      <x:c r="AG148" s="139" t="n"/>
      <x:c r="AH148" s="139" t="n"/>
      <x:c r="AI148" s="139" t="n"/>
      <x:c r="AJ148" s="139" t="n"/>
      <x:c r="AK148" s="139" t="n"/>
      <x:c r="AL148" s="139" t="n"/>
      <x:c r="AM148" s="139" t="n"/>
      <x:c r="AN148" s="139" t="n"/>
      <x:c r="AO148" s="139" t="n"/>
      <x:c r="AP148" s="139" t="n"/>
      <x:c r="AQ148" s="139" t="n"/>
      <x:c r="AR148" s="139" t="n"/>
      <x:c r="AS148" s="139" t="n"/>
      <x:c r="AT148" s="139" t="n"/>
      <x:c r="AU148" s="139" t="n"/>
      <x:c r="AV148" s="139" t="n"/>
      <x:c r="AW148" s="139" t="n"/>
      <x:c r="AX148" s="139" t="n"/>
      <x:c r="AY148" s="139" t="n"/>
      <x:c r="AZ148" s="139" t="n"/>
    </x:row>
    <x:row r="149">
      <x:c r="A149" s="139" t="n"/>
      <x:c r="B149" s="139" t="n"/>
      <x:c r="C149" s="139" t="n"/>
      <x:c r="D149" s="139" t="n"/>
      <x:c r="E149" s="139" t="n"/>
      <x:c r="F149" s="139" t="n"/>
      <x:c r="G149" s="139" t="n"/>
      <x:c r="H149" s="139" t="n"/>
      <x:c r="I149" s="139" t="n"/>
      <x:c r="J149" s="139" t="n"/>
      <x:c r="K149" s="139" t="n"/>
      <x:c r="L149" s="139" t="n"/>
      <x:c r="M149" s="139" t="n"/>
      <x:c r="N149" s="139" t="n"/>
      <x:c r="O149" s="139" t="n"/>
      <x:c r="P149" s="139" t="n"/>
      <x:c r="Q149" s="139" t="n"/>
      <x:c r="R149" s="139" t="n"/>
      <x:c r="S149" s="139" t="n"/>
      <x:c r="T149" s="139" t="n"/>
      <x:c r="U149" s="139" t="n"/>
      <x:c r="V149" s="139" t="n"/>
      <x:c r="W149" s="139" t="n"/>
      <x:c r="X149" s="139" t="n"/>
      <x:c r="Y149" s="139" t="n"/>
      <x:c r="Z149" s="139" t="n"/>
      <x:c r="AA149" s="139" t="n"/>
      <x:c r="AB149" s="139" t="n"/>
      <x:c r="AC149" s="139" t="n"/>
      <x:c r="AD149" s="139" t="n"/>
      <x:c r="AE149" s="139" t="n"/>
      <x:c r="AF149" s="139" t="n"/>
      <x:c r="AG149" s="139" t="n"/>
      <x:c r="AH149" s="139" t="n"/>
      <x:c r="AI149" s="139" t="n"/>
      <x:c r="AJ149" s="139" t="n"/>
      <x:c r="AK149" s="139" t="n"/>
      <x:c r="AL149" s="139" t="n"/>
      <x:c r="AM149" s="139" t="n"/>
      <x:c r="AN149" s="139" t="n"/>
      <x:c r="AO149" s="139" t="n"/>
      <x:c r="AP149" s="139" t="n"/>
      <x:c r="AQ149" s="139" t="n"/>
      <x:c r="AR149" s="139" t="n"/>
      <x:c r="AS149" s="139" t="n"/>
      <x:c r="AT149" s="139" t="n"/>
      <x:c r="AU149" s="139" t="n"/>
      <x:c r="AV149" s="139" t="n"/>
      <x:c r="AW149" s="139" t="n"/>
      <x:c r="AX149" s="139" t="n"/>
      <x:c r="AY149" s="139" t="n"/>
      <x:c r="AZ149" s="139" t="n"/>
    </x:row>
    <x:row r="150">
      <x:c r="A150" s="139" t="n"/>
      <x:c r="B150" s="139" t="n"/>
      <x:c r="C150" s="139" t="n"/>
      <x:c r="D150" s="139" t="n"/>
      <x:c r="E150" s="139" t="n"/>
      <x:c r="F150" s="139" t="n"/>
      <x:c r="G150" s="139" t="n"/>
      <x:c r="H150" s="139" t="n"/>
      <x:c r="I150" s="139" t="n"/>
      <x:c r="J150" s="139" t="n"/>
      <x:c r="K150" s="139" t="n"/>
      <x:c r="L150" s="139" t="n"/>
      <x:c r="M150" s="139" t="n"/>
      <x:c r="N150" s="139" t="n"/>
      <x:c r="O150" s="139" t="n"/>
      <x:c r="P150" s="139" t="n"/>
      <x:c r="Q150" s="139" t="n"/>
      <x:c r="R150" s="139" t="n"/>
      <x:c r="S150" s="139" t="n"/>
      <x:c r="T150" s="139" t="n"/>
      <x:c r="U150" s="139" t="n"/>
      <x:c r="V150" s="139" t="n"/>
      <x:c r="W150" s="139" t="n"/>
      <x:c r="X150" s="139" t="n"/>
      <x:c r="Y150" s="139" t="n"/>
      <x:c r="Z150" s="139" t="n"/>
      <x:c r="AA150" s="139" t="n"/>
      <x:c r="AB150" s="139" t="n"/>
      <x:c r="AC150" s="139" t="n"/>
      <x:c r="AD150" s="139" t="n"/>
      <x:c r="AE150" s="139" t="n"/>
      <x:c r="AF150" s="139" t="n"/>
      <x:c r="AG150" s="139" t="n"/>
      <x:c r="AH150" s="139" t="n"/>
      <x:c r="AI150" s="139" t="n"/>
      <x:c r="AJ150" s="139" t="n"/>
      <x:c r="AK150" s="139" t="n"/>
      <x:c r="AL150" s="139" t="n"/>
      <x:c r="AM150" s="139" t="n"/>
      <x:c r="AN150" s="139" t="n"/>
      <x:c r="AO150" s="139" t="n"/>
      <x:c r="AP150" s="139" t="n"/>
      <x:c r="AQ150" s="139" t="n"/>
      <x:c r="AR150" s="139" t="n"/>
      <x:c r="AS150" s="139" t="n"/>
      <x:c r="AT150" s="139" t="n"/>
      <x:c r="AU150" s="139" t="n"/>
      <x:c r="AV150" s="139" t="n"/>
      <x:c r="AW150" s="139" t="n"/>
      <x:c r="AX150" s="139" t="n"/>
      <x:c r="AY150" s="139" t="n"/>
      <x:c r="AZ150" s="139" t="n"/>
    </x:row>
    <x:row r="151">
      <x:c r="A151" s="139" t="n"/>
      <x:c r="B151" s="139" t="n"/>
      <x:c r="C151" s="139" t="n"/>
      <x:c r="D151" s="139" t="n"/>
      <x:c r="E151" s="139" t="n"/>
      <x:c r="F151" s="139" t="n"/>
      <x:c r="G151" s="139" t="n"/>
      <x:c r="H151" s="139" t="n"/>
      <x:c r="I151" s="139" t="n"/>
      <x:c r="J151" s="139" t="n"/>
      <x:c r="K151" s="139" t="n"/>
      <x:c r="L151" s="139" t="n"/>
      <x:c r="M151" s="139" t="n"/>
      <x:c r="N151" s="139" t="n"/>
      <x:c r="O151" s="139" t="n"/>
      <x:c r="P151" s="139" t="n"/>
      <x:c r="Q151" s="139" t="n"/>
      <x:c r="R151" s="139" t="n"/>
      <x:c r="S151" s="139" t="n"/>
      <x:c r="T151" s="139" t="n"/>
      <x:c r="U151" s="139" t="n"/>
      <x:c r="V151" s="139" t="n"/>
      <x:c r="W151" s="139" t="n"/>
      <x:c r="X151" s="139" t="n"/>
      <x:c r="Y151" s="139" t="n"/>
      <x:c r="Z151" s="139" t="n"/>
      <x:c r="AA151" s="139" t="n"/>
      <x:c r="AB151" s="139" t="n"/>
      <x:c r="AC151" s="139" t="n"/>
      <x:c r="AD151" s="139" t="n"/>
      <x:c r="AE151" s="139" t="n"/>
      <x:c r="AF151" s="139" t="n"/>
      <x:c r="AG151" s="139" t="n"/>
      <x:c r="AH151" s="139" t="n"/>
      <x:c r="AI151" s="139" t="n"/>
      <x:c r="AJ151" s="139" t="n"/>
      <x:c r="AK151" s="139" t="n"/>
      <x:c r="AL151" s="139" t="n"/>
      <x:c r="AM151" s="139" t="n"/>
      <x:c r="AN151" s="139" t="n"/>
      <x:c r="AO151" s="139" t="n"/>
      <x:c r="AP151" s="139" t="n"/>
      <x:c r="AQ151" s="139" t="n"/>
      <x:c r="AR151" s="139" t="n"/>
      <x:c r="AS151" s="139" t="n"/>
      <x:c r="AT151" s="139" t="n"/>
      <x:c r="AU151" s="139" t="n"/>
      <x:c r="AV151" s="139" t="n"/>
      <x:c r="AW151" s="139" t="n"/>
      <x:c r="AX151" s="139" t="n"/>
      <x:c r="AY151" s="139" t="n"/>
      <x:c r="AZ151" s="139" t="n"/>
    </x:row>
    <x:row r="152">
      <x:c r="A152" s="139" t="n"/>
      <x:c r="B152" s="139" t="n"/>
      <x:c r="C152" s="139" t="n"/>
      <x:c r="D152" s="139" t="n"/>
      <x:c r="E152" s="139" t="n"/>
      <x:c r="F152" s="139" t="n"/>
      <x:c r="G152" s="139" t="n"/>
      <x:c r="H152" s="139" t="n"/>
      <x:c r="I152" s="139" t="n"/>
      <x:c r="J152" s="139" t="n"/>
      <x:c r="K152" s="139" t="n"/>
      <x:c r="L152" s="139" t="n"/>
      <x:c r="M152" s="139" t="n"/>
      <x:c r="N152" s="139" t="n"/>
      <x:c r="O152" s="139" t="n"/>
      <x:c r="P152" s="139" t="n"/>
      <x:c r="Q152" s="139" t="n"/>
      <x:c r="R152" s="139" t="n"/>
      <x:c r="S152" s="139" t="n"/>
      <x:c r="T152" s="139" t="n"/>
      <x:c r="U152" s="139" t="n"/>
      <x:c r="V152" s="139" t="n"/>
      <x:c r="W152" s="139" t="n"/>
      <x:c r="X152" s="139" t="n"/>
      <x:c r="Y152" s="139" t="n"/>
      <x:c r="Z152" s="139" t="n"/>
      <x:c r="AA152" s="139" t="n"/>
      <x:c r="AB152" s="139" t="n"/>
      <x:c r="AC152" s="139" t="n"/>
      <x:c r="AD152" s="139" t="n"/>
      <x:c r="AE152" s="139" t="n"/>
      <x:c r="AF152" s="139" t="n"/>
      <x:c r="AG152" s="139" t="n"/>
      <x:c r="AH152" s="139" t="n"/>
      <x:c r="AI152" s="139" t="n"/>
      <x:c r="AJ152" s="139" t="n"/>
      <x:c r="AK152" s="139" t="n"/>
      <x:c r="AL152" s="139" t="n"/>
      <x:c r="AM152" s="139" t="n"/>
      <x:c r="AN152" s="139" t="n"/>
      <x:c r="AO152" s="139" t="n"/>
      <x:c r="AP152" s="139" t="n"/>
      <x:c r="AQ152" s="139" t="n"/>
      <x:c r="AR152" s="139" t="n"/>
      <x:c r="AS152" s="139" t="n"/>
      <x:c r="AT152" s="139" t="n"/>
      <x:c r="AU152" s="139" t="n"/>
      <x:c r="AV152" s="139" t="n"/>
      <x:c r="AW152" s="139" t="n"/>
      <x:c r="AX152" s="139" t="n"/>
      <x:c r="AY152" s="139" t="n"/>
      <x:c r="AZ152" s="139" t="n"/>
    </x:row>
    <x:row r="153">
      <x:c r="A153" s="139" t="n"/>
      <x:c r="B153" s="139" t="n"/>
      <x:c r="C153" s="139" t="n"/>
      <x:c r="D153" s="139" t="n"/>
      <x:c r="E153" s="139" t="n"/>
      <x:c r="F153" s="139" t="n"/>
      <x:c r="G153" s="139" t="n"/>
      <x:c r="H153" s="139" t="n"/>
      <x:c r="I153" s="139" t="n"/>
      <x:c r="J153" s="139" t="n"/>
      <x:c r="K153" s="139" t="n"/>
      <x:c r="L153" s="139" t="n"/>
      <x:c r="M153" s="139" t="n"/>
      <x:c r="N153" s="139" t="n"/>
      <x:c r="O153" s="139" t="n"/>
      <x:c r="P153" s="139" t="n"/>
      <x:c r="Q153" s="139" t="n"/>
      <x:c r="R153" s="139" t="n"/>
      <x:c r="S153" s="139" t="n"/>
      <x:c r="T153" s="139" t="n"/>
      <x:c r="U153" s="139" t="n"/>
      <x:c r="V153" s="139" t="n"/>
      <x:c r="W153" s="139" t="n"/>
      <x:c r="X153" s="139" t="n"/>
      <x:c r="Y153" s="139" t="n"/>
      <x:c r="Z153" s="139" t="n"/>
      <x:c r="AA153" s="139" t="n"/>
      <x:c r="AB153" s="139" t="n"/>
      <x:c r="AC153" s="139" t="n"/>
      <x:c r="AD153" s="139" t="n"/>
      <x:c r="AE153" s="139" t="n"/>
      <x:c r="AF153" s="139" t="n"/>
      <x:c r="AG153" s="139" t="n"/>
      <x:c r="AH153" s="139" t="n"/>
      <x:c r="AI153" s="139" t="n"/>
      <x:c r="AJ153" s="139" t="n"/>
      <x:c r="AK153" s="139" t="n"/>
      <x:c r="AL153" s="139" t="n"/>
      <x:c r="AM153" s="139" t="n"/>
      <x:c r="AN153" s="139" t="n"/>
      <x:c r="AO153" s="139" t="n"/>
      <x:c r="AP153" s="139" t="n"/>
      <x:c r="AQ153" s="139" t="n"/>
      <x:c r="AR153" s="139" t="n"/>
      <x:c r="AS153" s="139" t="n"/>
      <x:c r="AT153" s="139" t="n"/>
      <x:c r="AU153" s="139" t="n"/>
      <x:c r="AV153" s="139" t="n"/>
      <x:c r="AW153" s="139" t="n"/>
      <x:c r="AX153" s="139" t="n"/>
      <x:c r="AY153" s="139" t="n"/>
      <x:c r="AZ153" s="139" t="n"/>
    </x:row>
    <x:row r="154">
      <x:c r="A154" s="139" t="n"/>
      <x:c r="B154" s="139" t="n"/>
      <x:c r="C154" s="139" t="n"/>
      <x:c r="D154" s="139" t="n"/>
      <x:c r="E154" s="139" t="n"/>
      <x:c r="F154" s="139" t="n"/>
      <x:c r="G154" s="139" t="n"/>
      <x:c r="H154" s="139" t="n"/>
      <x:c r="I154" s="139" t="n"/>
      <x:c r="J154" s="139" t="n"/>
      <x:c r="K154" s="139" t="n"/>
      <x:c r="L154" s="139" t="n"/>
      <x:c r="M154" s="139" t="n"/>
      <x:c r="N154" s="139" t="n"/>
      <x:c r="O154" s="139" t="n"/>
      <x:c r="P154" s="139" t="n"/>
      <x:c r="Q154" s="139" t="n"/>
      <x:c r="R154" s="139" t="n"/>
      <x:c r="S154" s="139" t="n"/>
      <x:c r="T154" s="139" t="n"/>
      <x:c r="U154" s="139" t="n"/>
      <x:c r="V154" s="139" t="n"/>
      <x:c r="W154" s="139" t="n"/>
      <x:c r="X154" s="139" t="n"/>
      <x:c r="Y154" s="139" t="n"/>
      <x:c r="Z154" s="139" t="n"/>
      <x:c r="AA154" s="139" t="n"/>
      <x:c r="AB154" s="139" t="n"/>
      <x:c r="AC154" s="139" t="n"/>
      <x:c r="AD154" s="139" t="n"/>
      <x:c r="AE154" s="139" t="n"/>
      <x:c r="AF154" s="139" t="n"/>
      <x:c r="AG154" s="139" t="n"/>
      <x:c r="AH154" s="139" t="n"/>
      <x:c r="AI154" s="139" t="n"/>
      <x:c r="AJ154" s="139" t="n"/>
      <x:c r="AK154" s="139" t="n"/>
      <x:c r="AL154" s="139" t="n"/>
      <x:c r="AM154" s="139" t="n"/>
      <x:c r="AN154" s="139" t="n"/>
      <x:c r="AO154" s="139" t="n"/>
      <x:c r="AP154" s="139" t="n"/>
      <x:c r="AQ154" s="139" t="n"/>
      <x:c r="AR154" s="139" t="n"/>
      <x:c r="AS154" s="139" t="n"/>
      <x:c r="AT154" s="139" t="n"/>
      <x:c r="AU154" s="139" t="n"/>
      <x:c r="AV154" s="139" t="n"/>
      <x:c r="AW154" s="139" t="n"/>
      <x:c r="AX154" s="139" t="n"/>
      <x:c r="AY154" s="139" t="n"/>
      <x:c r="AZ154" s="139" t="n"/>
    </x:row>
    <x:row r="155">
      <x:c r="A155" s="139" t="n"/>
      <x:c r="B155" s="139" t="n"/>
      <x:c r="C155" s="139" t="n"/>
      <x:c r="D155" s="139" t="n"/>
      <x:c r="E155" s="139" t="n"/>
      <x:c r="F155" s="139" t="n"/>
      <x:c r="G155" s="139" t="n"/>
      <x:c r="H155" s="139" t="n"/>
      <x:c r="I155" s="139" t="n"/>
      <x:c r="J155" s="139" t="n"/>
      <x:c r="K155" s="139" t="n"/>
      <x:c r="L155" s="139" t="n"/>
      <x:c r="M155" s="139" t="n"/>
      <x:c r="N155" s="139" t="n"/>
      <x:c r="O155" s="139" t="n"/>
      <x:c r="P155" s="139" t="n"/>
      <x:c r="Q155" s="139" t="n"/>
      <x:c r="R155" s="139" t="n"/>
      <x:c r="S155" s="139" t="n"/>
      <x:c r="T155" s="139" t="n"/>
      <x:c r="U155" s="139" t="n"/>
      <x:c r="V155" s="139" t="n"/>
      <x:c r="W155" s="139" t="n"/>
      <x:c r="X155" s="139" t="n"/>
      <x:c r="Y155" s="139" t="n"/>
      <x:c r="Z155" s="139" t="n"/>
      <x:c r="AA155" s="139" t="n"/>
      <x:c r="AB155" s="139" t="n"/>
      <x:c r="AC155" s="139" t="n"/>
      <x:c r="AD155" s="139" t="n"/>
      <x:c r="AE155" s="139" t="n"/>
      <x:c r="AF155" s="139" t="n"/>
      <x:c r="AG155" s="139" t="n"/>
      <x:c r="AH155" s="139" t="n"/>
      <x:c r="AI155" s="139" t="n"/>
      <x:c r="AJ155" s="139" t="n"/>
      <x:c r="AK155" s="139" t="n"/>
      <x:c r="AL155" s="139" t="n"/>
      <x:c r="AM155" s="139" t="n"/>
      <x:c r="AN155" s="139" t="n"/>
      <x:c r="AO155" s="139" t="n"/>
      <x:c r="AP155" s="139" t="n"/>
      <x:c r="AQ155" s="139" t="n"/>
      <x:c r="AR155" s="139" t="n"/>
      <x:c r="AS155" s="139" t="n"/>
      <x:c r="AT155" s="139" t="n"/>
      <x:c r="AU155" s="139" t="n"/>
      <x:c r="AV155" s="139" t="n"/>
      <x:c r="AW155" s="139" t="n"/>
      <x:c r="AX155" s="139" t="n"/>
      <x:c r="AY155" s="139" t="n"/>
      <x:c r="AZ155" s="139" t="n"/>
    </x:row>
    <x:row r="156">
      <x:c r="A156" s="139" t="n"/>
      <x:c r="B156" s="139" t="n"/>
      <x:c r="C156" s="139" t="n"/>
      <x:c r="D156" s="139" t="n"/>
      <x:c r="E156" s="139" t="n"/>
      <x:c r="F156" s="139" t="n"/>
      <x:c r="G156" s="139" t="n"/>
      <x:c r="H156" s="139" t="n"/>
      <x:c r="I156" s="139" t="n"/>
      <x:c r="J156" s="139" t="n"/>
      <x:c r="K156" s="139" t="n"/>
      <x:c r="L156" s="139" t="n"/>
      <x:c r="M156" s="139" t="n"/>
      <x:c r="N156" s="139" t="n"/>
      <x:c r="O156" s="139" t="n"/>
      <x:c r="P156" s="139" t="n"/>
      <x:c r="Q156" s="139" t="n"/>
      <x:c r="R156" s="139" t="n"/>
      <x:c r="S156" s="139" t="n"/>
      <x:c r="T156" s="139" t="n"/>
      <x:c r="U156" s="139" t="n"/>
      <x:c r="V156" s="139" t="n"/>
      <x:c r="W156" s="139" t="n"/>
      <x:c r="X156" s="139" t="n"/>
      <x:c r="Y156" s="139" t="n"/>
      <x:c r="Z156" s="139" t="n"/>
      <x:c r="AA156" s="139" t="n"/>
      <x:c r="AB156" s="139" t="n"/>
      <x:c r="AC156" s="139" t="n"/>
      <x:c r="AD156" s="139" t="n"/>
      <x:c r="AE156" s="139" t="n"/>
      <x:c r="AF156" s="139" t="n"/>
      <x:c r="AG156" s="139" t="n"/>
      <x:c r="AH156" s="139" t="n"/>
      <x:c r="AI156" s="139" t="n"/>
      <x:c r="AJ156" s="139" t="n"/>
      <x:c r="AK156" s="139" t="n"/>
      <x:c r="AL156" s="139" t="n"/>
      <x:c r="AM156" s="139" t="n"/>
      <x:c r="AN156" s="139" t="n"/>
      <x:c r="AO156" s="139" t="n"/>
      <x:c r="AP156" s="139" t="n"/>
      <x:c r="AQ156" s="139" t="n"/>
      <x:c r="AR156" s="139" t="n"/>
      <x:c r="AS156" s="139" t="n"/>
      <x:c r="AT156" s="139" t="n"/>
      <x:c r="AU156" s="139" t="n"/>
      <x:c r="AV156" s="139" t="n"/>
      <x:c r="AW156" s="139" t="n"/>
      <x:c r="AX156" s="139" t="n"/>
      <x:c r="AY156" s="139" t="n"/>
      <x:c r="AZ156" s="139" t="n"/>
    </x:row>
    <x:row r="157">
      <x:c r="A157" s="139" t="n"/>
      <x:c r="B157" s="139" t="n"/>
      <x:c r="C157" s="139" t="n"/>
      <x:c r="D157" s="139" t="n"/>
      <x:c r="E157" s="139" t="n"/>
      <x:c r="F157" s="139" t="n"/>
      <x:c r="G157" s="139" t="n"/>
      <x:c r="H157" s="139" t="n"/>
      <x:c r="I157" s="139" t="n"/>
      <x:c r="J157" s="139" t="n"/>
      <x:c r="K157" s="139" t="n"/>
      <x:c r="L157" s="139" t="n"/>
      <x:c r="M157" s="139" t="n"/>
      <x:c r="N157" s="139" t="n"/>
      <x:c r="O157" s="139" t="n"/>
      <x:c r="P157" s="139" t="n"/>
      <x:c r="Q157" s="139" t="n"/>
      <x:c r="R157" s="139" t="n"/>
      <x:c r="S157" s="139" t="n"/>
      <x:c r="T157" s="139" t="n"/>
      <x:c r="U157" s="139" t="n"/>
      <x:c r="V157" s="139" t="n"/>
      <x:c r="W157" s="139" t="n"/>
      <x:c r="X157" s="139" t="n"/>
      <x:c r="Y157" s="139" t="n"/>
      <x:c r="Z157" s="139" t="n"/>
      <x:c r="AA157" s="139" t="n"/>
      <x:c r="AB157" s="139" t="n"/>
      <x:c r="AC157" s="139" t="n"/>
      <x:c r="AD157" s="139" t="n"/>
      <x:c r="AE157" s="139" t="n"/>
      <x:c r="AF157" s="139" t="n"/>
      <x:c r="AG157" s="139" t="n"/>
      <x:c r="AH157" s="139" t="n"/>
      <x:c r="AI157" s="139" t="n"/>
      <x:c r="AJ157" s="139" t="n"/>
      <x:c r="AK157" s="139" t="n"/>
      <x:c r="AL157" s="139" t="n"/>
      <x:c r="AM157" s="139" t="n"/>
      <x:c r="AN157" s="139" t="n"/>
      <x:c r="AO157" s="139" t="n"/>
      <x:c r="AP157" s="139" t="n"/>
      <x:c r="AQ157" s="139" t="n"/>
      <x:c r="AR157" s="139" t="n"/>
      <x:c r="AS157" s="139" t="n"/>
      <x:c r="AT157" s="139" t="n"/>
      <x:c r="AU157" s="139" t="n"/>
      <x:c r="AV157" s="139" t="n"/>
      <x:c r="AW157" s="139" t="n"/>
      <x:c r="AX157" s="139" t="n"/>
      <x:c r="AY157" s="139" t="n"/>
      <x:c r="AZ157" s="139" t="n"/>
    </x:row>
    <x:row r="158">
      <x:c r="A158" s="139" t="n"/>
      <x:c r="B158" s="139" t="n"/>
      <x:c r="C158" s="139" t="n"/>
      <x:c r="D158" s="139" t="n"/>
      <x:c r="E158" s="139" t="n"/>
      <x:c r="F158" s="139" t="n"/>
      <x:c r="G158" s="139" t="n"/>
      <x:c r="H158" s="139" t="n"/>
      <x:c r="I158" s="139" t="n"/>
      <x:c r="J158" s="139" t="n"/>
      <x:c r="K158" s="139" t="n"/>
      <x:c r="L158" s="139" t="n"/>
      <x:c r="M158" s="139" t="n"/>
      <x:c r="N158" s="139" t="n"/>
      <x:c r="O158" s="139" t="n"/>
      <x:c r="P158" s="139" t="n"/>
      <x:c r="Q158" s="139" t="n"/>
      <x:c r="R158" s="139" t="n"/>
      <x:c r="S158" s="139" t="n"/>
      <x:c r="T158" s="139" t="n"/>
      <x:c r="U158" s="139" t="n"/>
      <x:c r="V158" s="139" t="n"/>
      <x:c r="W158" s="139" t="n"/>
      <x:c r="X158" s="139" t="n"/>
      <x:c r="Y158" s="139" t="n"/>
      <x:c r="Z158" s="139" t="n"/>
      <x:c r="AA158" s="139" t="n"/>
      <x:c r="AB158" s="139" t="n"/>
      <x:c r="AC158" s="139" t="n"/>
      <x:c r="AD158" s="139" t="n"/>
      <x:c r="AE158" s="139" t="n"/>
      <x:c r="AF158" s="139" t="n"/>
      <x:c r="AG158" s="139" t="n"/>
      <x:c r="AH158" s="139" t="n"/>
      <x:c r="AI158" s="139" t="n"/>
      <x:c r="AJ158" s="139" t="n"/>
      <x:c r="AK158" s="139" t="n"/>
      <x:c r="AL158" s="139" t="n"/>
      <x:c r="AM158" s="139" t="n"/>
      <x:c r="AN158" s="139" t="n"/>
      <x:c r="AO158" s="139" t="n"/>
      <x:c r="AP158" s="139" t="n"/>
      <x:c r="AQ158" s="139" t="n"/>
      <x:c r="AR158" s="139" t="n"/>
      <x:c r="AS158" s="139" t="n"/>
      <x:c r="AT158" s="139" t="n"/>
      <x:c r="AU158" s="139" t="n"/>
      <x:c r="AV158" s="139" t="n"/>
      <x:c r="AW158" s="139" t="n"/>
      <x:c r="AX158" s="139" t="n"/>
      <x:c r="AY158" s="139" t="n"/>
      <x:c r="AZ158" s="139" t="n"/>
    </x:row>
    <x:row r="159">
      <x:c r="A159" s="139" t="n"/>
      <x:c r="B159" s="139" t="n"/>
      <x:c r="C159" s="139" t="n"/>
      <x:c r="D159" s="139" t="n"/>
      <x:c r="E159" s="139" t="n"/>
      <x:c r="F159" s="139" t="n"/>
      <x:c r="G159" s="139" t="n"/>
      <x:c r="H159" s="139" t="n"/>
      <x:c r="I159" s="139" t="n"/>
      <x:c r="J159" s="139" t="n"/>
      <x:c r="K159" s="139" t="n"/>
      <x:c r="L159" s="139" t="n"/>
      <x:c r="M159" s="139" t="n"/>
      <x:c r="N159" s="139" t="n"/>
      <x:c r="O159" s="139" t="n"/>
      <x:c r="P159" s="139" t="n"/>
      <x:c r="Q159" s="139" t="n"/>
      <x:c r="R159" s="139" t="n"/>
      <x:c r="S159" s="139" t="n"/>
      <x:c r="T159" s="139" t="n"/>
      <x:c r="U159" s="139" t="n"/>
      <x:c r="V159" s="139" t="n"/>
      <x:c r="W159" s="139" t="n"/>
      <x:c r="X159" s="139" t="n"/>
      <x:c r="Y159" s="139" t="n"/>
      <x:c r="Z159" s="139" t="n"/>
      <x:c r="AA159" s="139" t="n"/>
      <x:c r="AB159" s="139" t="n"/>
      <x:c r="AC159" s="139" t="n"/>
      <x:c r="AD159" s="139" t="n"/>
      <x:c r="AE159" s="139" t="n"/>
      <x:c r="AF159" s="139" t="n"/>
      <x:c r="AG159" s="139" t="n"/>
      <x:c r="AH159" s="139" t="n"/>
      <x:c r="AI159" s="139" t="n"/>
      <x:c r="AJ159" s="139" t="n"/>
      <x:c r="AK159" s="139" t="n"/>
      <x:c r="AL159" s="139" t="n"/>
      <x:c r="AM159" s="139" t="n"/>
      <x:c r="AN159" s="139" t="n"/>
      <x:c r="AO159" s="139" t="n"/>
      <x:c r="AP159" s="139" t="n"/>
      <x:c r="AQ159" s="139" t="n"/>
      <x:c r="AR159" s="139" t="n"/>
      <x:c r="AS159" s="139" t="n"/>
      <x:c r="AT159" s="139" t="n"/>
      <x:c r="AU159" s="139" t="n"/>
      <x:c r="AV159" s="139" t="n"/>
      <x:c r="AW159" s="139" t="n"/>
      <x:c r="AX159" s="139" t="n"/>
      <x:c r="AY159" s="139" t="n"/>
      <x:c r="AZ159" s="139" t="n"/>
    </x:row>
    <x:row r="160">
      <x:c r="A160" s="139" t="n"/>
      <x:c r="B160" s="139" t="n"/>
      <x:c r="C160" s="139" t="n"/>
      <x:c r="D160" s="139" t="n"/>
      <x:c r="E160" s="139" t="n"/>
      <x:c r="F160" s="139" t="n"/>
      <x:c r="G160" s="139" t="n"/>
      <x:c r="H160" s="139" t="n"/>
      <x:c r="I160" s="139" t="n"/>
      <x:c r="J160" s="139" t="n"/>
      <x:c r="K160" s="139" t="n"/>
      <x:c r="L160" s="139" t="n"/>
      <x:c r="M160" s="139" t="n"/>
      <x:c r="N160" s="139" t="n"/>
      <x:c r="O160" s="139" t="n"/>
      <x:c r="P160" s="139" t="n"/>
      <x:c r="Q160" s="139" t="n"/>
      <x:c r="R160" s="139" t="n"/>
      <x:c r="S160" s="139" t="n"/>
      <x:c r="T160" s="139" t="n"/>
      <x:c r="U160" s="139" t="n"/>
      <x:c r="V160" s="139" t="n"/>
      <x:c r="W160" s="139" t="n"/>
      <x:c r="X160" s="139" t="n"/>
      <x:c r="Y160" s="139" t="n"/>
      <x:c r="Z160" s="139" t="n"/>
      <x:c r="AA160" s="139" t="n"/>
      <x:c r="AB160" s="139" t="n"/>
      <x:c r="AC160" s="139" t="n"/>
      <x:c r="AD160" s="139" t="n"/>
      <x:c r="AE160" s="139" t="n"/>
      <x:c r="AF160" s="139" t="n"/>
      <x:c r="AG160" s="139" t="n"/>
      <x:c r="AH160" s="139" t="n"/>
      <x:c r="AI160" s="139" t="n"/>
      <x:c r="AJ160" s="139" t="n"/>
      <x:c r="AK160" s="139" t="n"/>
      <x:c r="AL160" s="139" t="n"/>
      <x:c r="AM160" s="139" t="n"/>
      <x:c r="AN160" s="139" t="n"/>
      <x:c r="AO160" s="139" t="n"/>
      <x:c r="AP160" s="139" t="n"/>
      <x:c r="AQ160" s="139" t="n"/>
      <x:c r="AR160" s="139" t="n"/>
      <x:c r="AS160" s="139" t="n"/>
      <x:c r="AT160" s="139" t="n"/>
      <x:c r="AU160" s="139" t="n"/>
      <x:c r="AV160" s="139" t="n"/>
      <x:c r="AW160" s="139" t="n"/>
      <x:c r="AX160" s="139" t="n"/>
      <x:c r="AY160" s="139" t="n"/>
      <x:c r="AZ160" s="139" t="n"/>
    </x:row>
    <x:row r="161">
      <x:c r="A161" s="139" t="n"/>
      <x:c r="B161" s="139" t="n"/>
      <x:c r="C161" s="139" t="n"/>
      <x:c r="D161" s="139" t="n"/>
      <x:c r="E161" s="139" t="n"/>
      <x:c r="F161" s="139" t="n"/>
      <x:c r="G161" s="139" t="n"/>
      <x:c r="H161" s="139" t="n"/>
      <x:c r="I161" s="139" t="n"/>
      <x:c r="J161" s="139" t="n"/>
      <x:c r="K161" s="139" t="n"/>
      <x:c r="L161" s="139" t="n"/>
      <x:c r="M161" s="139" t="n"/>
      <x:c r="N161" s="139" t="n"/>
      <x:c r="O161" s="139" t="n"/>
      <x:c r="P161" s="139" t="n"/>
      <x:c r="Q161" s="139" t="n"/>
      <x:c r="R161" s="139" t="n"/>
      <x:c r="S161" s="139" t="n"/>
      <x:c r="T161" s="139" t="n"/>
      <x:c r="U161" s="139" t="n"/>
      <x:c r="V161" s="139" t="n"/>
      <x:c r="W161" s="139" t="n"/>
      <x:c r="X161" s="139" t="n"/>
      <x:c r="Y161" s="139" t="n"/>
      <x:c r="Z161" s="139" t="n"/>
      <x:c r="AA161" s="139" t="n"/>
      <x:c r="AB161" s="139" t="n"/>
      <x:c r="AC161" s="139" t="n"/>
      <x:c r="AD161" s="139" t="n"/>
      <x:c r="AE161" s="139" t="n"/>
      <x:c r="AF161" s="139" t="n"/>
      <x:c r="AG161" s="139" t="n"/>
      <x:c r="AH161" s="139" t="n"/>
      <x:c r="AI161" s="139" t="n"/>
      <x:c r="AJ161" s="139" t="n"/>
      <x:c r="AK161" s="139" t="n"/>
      <x:c r="AL161" s="139" t="n"/>
      <x:c r="AM161" s="139" t="n"/>
      <x:c r="AN161" s="139" t="n"/>
      <x:c r="AO161" s="139" t="n"/>
      <x:c r="AP161" s="139" t="n"/>
      <x:c r="AQ161" s="139" t="n"/>
      <x:c r="AR161" s="139" t="n"/>
      <x:c r="AS161" s="139" t="n"/>
      <x:c r="AT161" s="139" t="n"/>
      <x:c r="AU161" s="139" t="n"/>
      <x:c r="AV161" s="139" t="n"/>
      <x:c r="AW161" s="139" t="n"/>
      <x:c r="AX161" s="139" t="n"/>
      <x:c r="AY161" s="139" t="n"/>
      <x:c r="AZ161" s="139" t="n"/>
    </x:row>
    <x:row r="162">
      <x:c r="A162" s="139" t="n"/>
      <x:c r="B162" s="139" t="n"/>
      <x:c r="C162" s="139" t="n"/>
      <x:c r="D162" s="139" t="n"/>
      <x:c r="E162" s="139" t="n"/>
      <x:c r="F162" s="139" t="n"/>
      <x:c r="G162" s="139" t="n"/>
      <x:c r="H162" s="139" t="n"/>
      <x:c r="I162" s="139" t="n"/>
      <x:c r="J162" s="139" t="n"/>
      <x:c r="K162" s="139" t="n"/>
      <x:c r="L162" s="139" t="n"/>
      <x:c r="M162" s="139" t="n"/>
      <x:c r="N162" s="139" t="n"/>
      <x:c r="O162" s="139" t="n"/>
      <x:c r="P162" s="139" t="n"/>
      <x:c r="Q162" s="139" t="n"/>
      <x:c r="R162" s="139" t="n"/>
      <x:c r="S162" s="139" t="n"/>
      <x:c r="T162" s="139" t="n"/>
      <x:c r="U162" s="139" t="n"/>
      <x:c r="V162" s="139" t="n"/>
      <x:c r="W162" s="139" t="n"/>
      <x:c r="X162" s="139" t="n"/>
      <x:c r="Y162" s="139" t="n"/>
      <x:c r="Z162" s="139" t="n"/>
      <x:c r="AA162" s="139" t="n"/>
      <x:c r="AB162" s="139" t="n"/>
      <x:c r="AC162" s="139" t="n"/>
      <x:c r="AD162" s="139" t="n"/>
      <x:c r="AE162" s="139" t="n"/>
      <x:c r="AF162" s="139" t="n"/>
      <x:c r="AG162" s="139" t="n"/>
      <x:c r="AH162" s="139" t="n"/>
      <x:c r="AI162" s="139" t="n"/>
      <x:c r="AJ162" s="139" t="n"/>
      <x:c r="AK162" s="139" t="n"/>
      <x:c r="AL162" s="139" t="n"/>
      <x:c r="AM162" s="139" t="n"/>
      <x:c r="AN162" s="139" t="n"/>
      <x:c r="AO162" s="139" t="n"/>
      <x:c r="AP162" s="139" t="n"/>
      <x:c r="AQ162" s="139" t="n"/>
      <x:c r="AR162" s="139" t="n"/>
      <x:c r="AS162" s="139" t="n"/>
      <x:c r="AT162" s="139" t="n"/>
      <x:c r="AU162" s="139" t="n"/>
      <x:c r="AV162" s="139" t="n"/>
      <x:c r="AW162" s="139" t="n"/>
      <x:c r="AX162" s="139" t="n"/>
      <x:c r="AY162" s="139" t="n"/>
      <x:c r="AZ162" s="139" t="n"/>
    </x:row>
    <x:row r="163">
      <x:c r="A163" s="139" t="n"/>
      <x:c r="B163" s="139" t="n"/>
      <x:c r="C163" s="139" t="n"/>
      <x:c r="D163" s="139" t="n"/>
      <x:c r="E163" s="139" t="n"/>
      <x:c r="F163" s="139" t="n"/>
      <x:c r="G163" s="139" t="n"/>
      <x:c r="H163" s="139" t="n"/>
      <x:c r="I163" s="139" t="n"/>
      <x:c r="J163" s="139" t="n"/>
      <x:c r="K163" s="139" t="n"/>
      <x:c r="L163" s="139" t="n"/>
      <x:c r="M163" s="139" t="n"/>
      <x:c r="N163" s="139" t="n"/>
      <x:c r="O163" s="139" t="n"/>
      <x:c r="P163" s="139" t="n"/>
      <x:c r="Q163" s="139" t="n"/>
      <x:c r="R163" s="139" t="n"/>
      <x:c r="S163" s="139" t="n"/>
      <x:c r="T163" s="139" t="n"/>
      <x:c r="U163" s="139" t="n"/>
      <x:c r="V163" s="139" t="n"/>
      <x:c r="W163" s="139" t="n"/>
      <x:c r="X163" s="139" t="n"/>
      <x:c r="Y163" s="139" t="n"/>
      <x:c r="Z163" s="139" t="n"/>
      <x:c r="AA163" s="139" t="n"/>
      <x:c r="AB163" s="139" t="n"/>
      <x:c r="AC163" s="139" t="n"/>
      <x:c r="AD163" s="139" t="n"/>
      <x:c r="AE163" s="139" t="n"/>
      <x:c r="AF163" s="139" t="n"/>
      <x:c r="AG163" s="139" t="n"/>
      <x:c r="AH163" s="139" t="n"/>
      <x:c r="AI163" s="139" t="n"/>
      <x:c r="AJ163" s="139" t="n"/>
      <x:c r="AK163" s="139" t="n"/>
      <x:c r="AL163" s="139" t="n"/>
      <x:c r="AM163" s="139" t="n"/>
      <x:c r="AN163" s="139" t="n"/>
      <x:c r="AO163" s="139" t="n"/>
      <x:c r="AP163" s="139" t="n"/>
      <x:c r="AQ163" s="139" t="n"/>
      <x:c r="AR163" s="139" t="n"/>
      <x:c r="AS163" s="139" t="n"/>
      <x:c r="AT163" s="139" t="n"/>
      <x:c r="AU163" s="139" t="n"/>
      <x:c r="AV163" s="139" t="n"/>
      <x:c r="AW163" s="139" t="n"/>
      <x:c r="AX163" s="139" t="n"/>
      <x:c r="AY163" s="139" t="n"/>
      <x:c r="AZ163" s="139" t="n"/>
    </x:row>
    <x:row r="164">
      <x:c r="A164" s="139" t="n"/>
      <x:c r="B164" s="139" t="n"/>
      <x:c r="C164" s="139" t="n"/>
      <x:c r="D164" s="139" t="n"/>
      <x:c r="E164" s="139" t="n"/>
      <x:c r="F164" s="139" t="n"/>
      <x:c r="G164" s="139" t="n"/>
      <x:c r="H164" s="139" t="n"/>
      <x:c r="I164" s="139" t="n"/>
      <x:c r="J164" s="139" t="n"/>
      <x:c r="K164" s="139" t="n"/>
      <x:c r="L164" s="139" t="n"/>
      <x:c r="M164" s="139" t="n"/>
      <x:c r="N164" s="139" t="n"/>
      <x:c r="O164" s="139" t="n"/>
      <x:c r="P164" s="139" t="n"/>
      <x:c r="Q164" s="139" t="n"/>
      <x:c r="R164" s="139" t="n"/>
      <x:c r="S164" s="139" t="n"/>
      <x:c r="T164" s="139" t="n"/>
      <x:c r="U164" s="139" t="n"/>
      <x:c r="V164" s="139" t="n"/>
      <x:c r="W164" s="139" t="n"/>
      <x:c r="X164" s="139" t="n"/>
      <x:c r="Y164" s="139" t="n"/>
      <x:c r="Z164" s="139" t="n"/>
      <x:c r="AA164" s="139" t="n"/>
      <x:c r="AB164" s="139" t="n"/>
      <x:c r="AC164" s="139" t="n"/>
      <x:c r="AD164" s="139" t="n"/>
      <x:c r="AE164" s="139" t="n"/>
      <x:c r="AF164" s="139" t="n"/>
      <x:c r="AG164" s="139" t="n"/>
      <x:c r="AH164" s="139" t="n"/>
      <x:c r="AI164" s="139" t="n"/>
      <x:c r="AJ164" s="139" t="n"/>
      <x:c r="AK164" s="139" t="n"/>
      <x:c r="AL164" s="139" t="n"/>
      <x:c r="AM164" s="139" t="n"/>
      <x:c r="AN164" s="139" t="n"/>
      <x:c r="AO164" s="139" t="n"/>
      <x:c r="AP164" s="139" t="n"/>
      <x:c r="AQ164" s="139" t="n"/>
      <x:c r="AR164" s="139" t="n"/>
      <x:c r="AS164" s="139" t="n"/>
      <x:c r="AT164" s="139" t="n"/>
      <x:c r="AU164" s="139" t="n"/>
      <x:c r="AV164" s="139" t="n"/>
      <x:c r="AW164" s="139" t="n"/>
      <x:c r="AX164" s="139" t="n"/>
      <x:c r="AY164" s="139" t="n"/>
      <x:c r="AZ164" s="139" t="n"/>
    </x:row>
    <x:row r="165">
      <x:c r="A165" s="139" t="n"/>
      <x:c r="B165" s="139" t="n"/>
      <x:c r="C165" s="139" t="n"/>
      <x:c r="D165" s="139" t="n"/>
      <x:c r="E165" s="139" t="n"/>
      <x:c r="F165" s="139" t="n"/>
      <x:c r="G165" s="139" t="n"/>
      <x:c r="H165" s="139" t="n"/>
      <x:c r="I165" s="139" t="n"/>
      <x:c r="J165" s="139" t="n"/>
      <x:c r="K165" s="139" t="n"/>
      <x:c r="L165" s="139" t="n"/>
      <x:c r="M165" s="139" t="n"/>
      <x:c r="N165" s="139" t="n"/>
      <x:c r="O165" s="139" t="n"/>
      <x:c r="P165" s="139" t="n"/>
      <x:c r="Q165" s="139" t="n"/>
      <x:c r="R165" s="139" t="n"/>
      <x:c r="S165" s="139" t="n"/>
      <x:c r="T165" s="139" t="n"/>
      <x:c r="U165" s="139" t="n"/>
      <x:c r="V165" s="139" t="n"/>
      <x:c r="W165" s="139" t="n"/>
      <x:c r="X165" s="139" t="n"/>
      <x:c r="Y165" s="139" t="n"/>
      <x:c r="Z165" s="139" t="n"/>
      <x:c r="AA165" s="139" t="n"/>
      <x:c r="AB165" s="139" t="n"/>
      <x:c r="AC165" s="139" t="n"/>
      <x:c r="AD165" s="139" t="n"/>
      <x:c r="AE165" s="139" t="n"/>
      <x:c r="AF165" s="139" t="n"/>
      <x:c r="AG165" s="139" t="n"/>
      <x:c r="AH165" s="139" t="n"/>
      <x:c r="AI165" s="139" t="n"/>
      <x:c r="AJ165" s="139" t="n"/>
      <x:c r="AK165" s="139" t="n"/>
      <x:c r="AL165" s="139" t="n"/>
      <x:c r="AM165" s="139" t="n"/>
      <x:c r="AN165" s="139" t="n"/>
      <x:c r="AO165" s="139" t="n"/>
      <x:c r="AP165" s="139" t="n"/>
      <x:c r="AQ165" s="139" t="n"/>
      <x:c r="AR165" s="139" t="n"/>
      <x:c r="AS165" s="139" t="n"/>
      <x:c r="AT165" s="139" t="n"/>
      <x:c r="AU165" s="139" t="n"/>
      <x:c r="AV165" s="139" t="n"/>
      <x:c r="AW165" s="139" t="n"/>
      <x:c r="AX165" s="139" t="n"/>
      <x:c r="AY165" s="139" t="n"/>
      <x:c r="AZ165" s="139" t="n"/>
    </x:row>
    <x:row r="166">
      <x:c r="A166" s="139" t="n"/>
      <x:c r="B166" s="139" t="n"/>
      <x:c r="C166" s="139" t="n"/>
      <x:c r="D166" s="139" t="n"/>
      <x:c r="E166" s="139" t="n"/>
      <x:c r="F166" s="139" t="n"/>
      <x:c r="G166" s="139" t="n"/>
      <x:c r="H166" s="139" t="n"/>
      <x:c r="I166" s="139" t="n"/>
      <x:c r="J166" s="139" t="n"/>
      <x:c r="K166" s="139" t="n"/>
      <x:c r="L166" s="139" t="n"/>
      <x:c r="M166" s="139" t="n"/>
      <x:c r="N166" s="139" t="n"/>
      <x:c r="O166" s="139" t="n"/>
      <x:c r="P166" s="139" t="n"/>
      <x:c r="Q166" s="139" t="n"/>
      <x:c r="R166" s="139" t="n"/>
      <x:c r="S166" s="139" t="n"/>
      <x:c r="T166" s="139" t="n"/>
      <x:c r="U166" s="139" t="n"/>
      <x:c r="V166" s="139" t="n"/>
      <x:c r="W166" s="139" t="n"/>
      <x:c r="X166" s="139" t="n"/>
      <x:c r="Y166" s="139" t="n"/>
      <x:c r="Z166" s="139" t="n"/>
      <x:c r="AA166" s="139" t="n"/>
      <x:c r="AB166" s="139" t="n"/>
      <x:c r="AC166" s="139" t="n"/>
      <x:c r="AD166" s="139" t="n"/>
      <x:c r="AE166" s="139" t="n"/>
      <x:c r="AF166" s="139" t="n"/>
      <x:c r="AG166" s="139" t="n"/>
      <x:c r="AH166" s="139" t="n"/>
      <x:c r="AI166" s="139" t="n"/>
      <x:c r="AJ166" s="139" t="n"/>
      <x:c r="AK166" s="139" t="n"/>
      <x:c r="AL166" s="139" t="n"/>
      <x:c r="AM166" s="139" t="n"/>
      <x:c r="AN166" s="139" t="n"/>
      <x:c r="AO166" s="139" t="n"/>
      <x:c r="AP166" s="139" t="n"/>
      <x:c r="AQ166" s="139" t="n"/>
      <x:c r="AR166" s="139" t="n"/>
      <x:c r="AS166" s="139" t="n"/>
      <x:c r="AT166" s="139" t="n"/>
      <x:c r="AU166" s="139" t="n"/>
      <x:c r="AV166" s="139" t="n"/>
      <x:c r="AW166" s="139" t="n"/>
      <x:c r="AX166" s="139" t="n"/>
      <x:c r="AY166" s="139" t="n"/>
      <x:c r="AZ166" s="139" t="n"/>
    </x:row>
    <x:row r="167">
      <x:c r="A167" s="139" t="n"/>
      <x:c r="B167" s="139" t="n"/>
      <x:c r="C167" s="139" t="n"/>
      <x:c r="D167" s="139" t="n"/>
      <x:c r="E167" s="139" t="n"/>
      <x:c r="F167" s="139" t="n"/>
      <x:c r="G167" s="139" t="n"/>
      <x:c r="H167" s="139" t="n"/>
      <x:c r="I167" s="139" t="n"/>
      <x:c r="J167" s="139" t="n"/>
      <x:c r="K167" s="139" t="n"/>
      <x:c r="L167" s="139" t="n"/>
      <x:c r="M167" s="139" t="n"/>
      <x:c r="N167" s="139" t="n"/>
      <x:c r="O167" s="139" t="n"/>
      <x:c r="P167" s="139" t="n"/>
      <x:c r="Q167" s="139" t="n"/>
      <x:c r="R167" s="139" t="n"/>
      <x:c r="S167" s="139" t="n"/>
      <x:c r="T167" s="139" t="n"/>
      <x:c r="U167" s="139" t="n"/>
      <x:c r="V167" s="139" t="n"/>
      <x:c r="W167" s="139" t="n"/>
      <x:c r="X167" s="139" t="n"/>
      <x:c r="Y167" s="139" t="n"/>
      <x:c r="Z167" s="139" t="n"/>
      <x:c r="AA167" s="139" t="n"/>
      <x:c r="AB167" s="139" t="n"/>
      <x:c r="AC167" s="139" t="n"/>
      <x:c r="AD167" s="139" t="n"/>
      <x:c r="AE167" s="139" t="n"/>
      <x:c r="AF167" s="139" t="n"/>
      <x:c r="AG167" s="139" t="n"/>
      <x:c r="AH167" s="139" t="n"/>
      <x:c r="AI167" s="139" t="n"/>
      <x:c r="AJ167" s="139" t="n"/>
      <x:c r="AK167" s="139" t="n"/>
      <x:c r="AL167" s="139" t="n"/>
      <x:c r="AM167" s="139" t="n"/>
      <x:c r="AN167" s="139" t="n"/>
      <x:c r="AO167" s="139" t="n"/>
      <x:c r="AP167" s="139" t="n"/>
      <x:c r="AQ167" s="139" t="n"/>
      <x:c r="AR167" s="139" t="n"/>
      <x:c r="AS167" s="139" t="n"/>
      <x:c r="AT167" s="139" t="n"/>
      <x:c r="AU167" s="139" t="n"/>
      <x:c r="AV167" s="139" t="n"/>
      <x:c r="AW167" s="139" t="n"/>
      <x:c r="AX167" s="139" t="n"/>
      <x:c r="AY167" s="139" t="n"/>
      <x:c r="AZ167" s="139" t="n"/>
    </x:row>
    <x:row r="168">
      <x:c r="A168" s="139" t="n"/>
      <x:c r="B168" s="139" t="n"/>
      <x:c r="C168" s="139" t="n"/>
      <x:c r="D168" s="139" t="n"/>
      <x:c r="E168" s="139" t="n"/>
      <x:c r="F168" s="139" t="n"/>
      <x:c r="G168" s="139" t="n"/>
      <x:c r="H168" s="139" t="n"/>
      <x:c r="I168" s="139" t="n"/>
      <x:c r="J168" s="139" t="n"/>
      <x:c r="K168" s="139" t="n"/>
      <x:c r="L168" s="139" t="n"/>
      <x:c r="M168" s="139" t="n"/>
      <x:c r="N168" s="139" t="n"/>
      <x:c r="O168" s="139" t="n"/>
      <x:c r="P168" s="139" t="n"/>
      <x:c r="Q168" s="139" t="n"/>
      <x:c r="R168" s="139" t="n"/>
      <x:c r="S168" s="139" t="n"/>
      <x:c r="T168" s="139" t="n"/>
      <x:c r="U168" s="139" t="n"/>
      <x:c r="V168" s="139" t="n"/>
      <x:c r="W168" s="139" t="n"/>
      <x:c r="X168" s="139" t="n"/>
      <x:c r="Y168" s="139" t="n"/>
      <x:c r="Z168" s="139" t="n"/>
      <x:c r="AA168" s="139" t="n"/>
      <x:c r="AB168" s="139" t="n"/>
      <x:c r="AC168" s="139" t="n"/>
      <x:c r="AD168" s="139" t="n"/>
      <x:c r="AE168" s="139" t="n"/>
      <x:c r="AF168" s="139" t="n"/>
      <x:c r="AG168" s="139" t="n"/>
      <x:c r="AH168" s="139" t="n"/>
      <x:c r="AI168" s="139" t="n"/>
      <x:c r="AJ168" s="139" t="n"/>
      <x:c r="AK168" s="139" t="n"/>
      <x:c r="AL168" s="139" t="n"/>
      <x:c r="AM168" s="139" t="n"/>
      <x:c r="AN168" s="139" t="n"/>
      <x:c r="AO168" s="139" t="n"/>
      <x:c r="AP168" s="139" t="n"/>
      <x:c r="AQ168" s="139" t="n"/>
      <x:c r="AR168" s="139" t="n"/>
      <x:c r="AS168" s="139" t="n"/>
      <x:c r="AT168" s="139" t="n"/>
      <x:c r="AU168" s="139" t="n"/>
      <x:c r="AV168" s="139" t="n"/>
      <x:c r="AW168" s="139" t="n"/>
      <x:c r="AX168" s="139" t="n"/>
      <x:c r="AY168" s="139" t="n"/>
      <x:c r="AZ168" s="139" t="n"/>
    </x:row>
    <x:row r="169">
      <x:c r="A169" s="139" t="n"/>
      <x:c r="B169" s="139" t="n"/>
      <x:c r="C169" s="139" t="n"/>
      <x:c r="D169" s="139" t="n"/>
      <x:c r="E169" s="139" t="n"/>
      <x:c r="F169" s="139" t="n"/>
      <x:c r="G169" s="139" t="n"/>
      <x:c r="H169" s="139" t="n"/>
      <x:c r="I169" s="139" t="n"/>
      <x:c r="J169" s="139" t="n"/>
      <x:c r="K169" s="139" t="n"/>
      <x:c r="L169" s="139" t="n"/>
      <x:c r="M169" s="139" t="n"/>
      <x:c r="N169" s="139" t="n"/>
      <x:c r="O169" s="139" t="n"/>
      <x:c r="P169" s="139" t="n"/>
      <x:c r="Q169" s="139" t="n"/>
      <x:c r="R169" s="139" t="n"/>
      <x:c r="S169" s="139" t="n"/>
      <x:c r="T169" s="139" t="n"/>
      <x:c r="U169" s="139" t="n"/>
      <x:c r="V169" s="139" t="n"/>
      <x:c r="W169" s="139" t="n"/>
      <x:c r="X169" s="139" t="n"/>
      <x:c r="Y169" s="139" t="n"/>
      <x:c r="Z169" s="139" t="n"/>
      <x:c r="AA169" s="139" t="n"/>
      <x:c r="AB169" s="139" t="n"/>
      <x:c r="AC169" s="139" t="n"/>
      <x:c r="AD169" s="139" t="n"/>
      <x:c r="AE169" s="139" t="n"/>
      <x:c r="AF169" s="139" t="n"/>
      <x:c r="AG169" s="139" t="n"/>
      <x:c r="AH169" s="139" t="n"/>
      <x:c r="AI169" s="139" t="n"/>
      <x:c r="AJ169" s="139" t="n"/>
      <x:c r="AK169" s="139" t="n"/>
      <x:c r="AL169" s="139" t="n"/>
      <x:c r="AM169" s="139" t="n"/>
      <x:c r="AN169" s="139" t="n"/>
      <x:c r="AO169" s="139" t="n"/>
      <x:c r="AP169" s="139" t="n"/>
      <x:c r="AQ169" s="139" t="n"/>
      <x:c r="AR169" s="139" t="n"/>
      <x:c r="AS169" s="139" t="n"/>
      <x:c r="AT169" s="139" t="n"/>
      <x:c r="AU169" s="139" t="n"/>
      <x:c r="AV169" s="139" t="n"/>
      <x:c r="AW169" s="139" t="n"/>
      <x:c r="AX169" s="139" t="n"/>
      <x:c r="AY169" s="139" t="n"/>
      <x:c r="AZ169" s="139" t="n"/>
    </x:row>
    <x:row r="170">
      <x:c r="A170" s="139" t="n"/>
      <x:c r="B170" s="139" t="n"/>
      <x:c r="C170" s="139" t="n"/>
      <x:c r="D170" s="139" t="n"/>
      <x:c r="E170" s="139" t="n"/>
      <x:c r="F170" s="139" t="n"/>
      <x:c r="G170" s="139" t="n"/>
      <x:c r="H170" s="139" t="n"/>
      <x:c r="I170" s="139" t="n"/>
      <x:c r="J170" s="139" t="n"/>
      <x:c r="K170" s="139" t="n"/>
      <x:c r="L170" s="139" t="n"/>
      <x:c r="M170" s="139" t="n"/>
      <x:c r="N170" s="139" t="n"/>
      <x:c r="O170" s="139" t="n"/>
      <x:c r="P170" s="139" t="n"/>
      <x:c r="Q170" s="139" t="n"/>
      <x:c r="R170" s="139" t="n"/>
      <x:c r="S170" s="139" t="n"/>
      <x:c r="T170" s="139" t="n"/>
      <x:c r="U170" s="139" t="n"/>
      <x:c r="V170" s="139" t="n"/>
      <x:c r="W170" s="139" t="n"/>
      <x:c r="X170" s="139" t="n"/>
      <x:c r="Y170" s="139" t="n"/>
      <x:c r="Z170" s="139" t="n"/>
      <x:c r="AA170" s="139" t="n"/>
      <x:c r="AB170" s="139" t="n"/>
      <x:c r="AC170" s="139" t="n"/>
      <x:c r="AD170" s="139" t="n"/>
      <x:c r="AE170" s="139" t="n"/>
      <x:c r="AF170" s="139" t="n"/>
      <x:c r="AG170" s="139" t="n"/>
      <x:c r="AH170" s="139" t="n"/>
      <x:c r="AI170" s="139" t="n"/>
      <x:c r="AJ170" s="139" t="n"/>
      <x:c r="AK170" s="139" t="n"/>
      <x:c r="AL170" s="139" t="n"/>
      <x:c r="AM170" s="139" t="n"/>
      <x:c r="AN170" s="139" t="n"/>
      <x:c r="AO170" s="139" t="n"/>
      <x:c r="AP170" s="139" t="n"/>
      <x:c r="AQ170" s="139" t="n"/>
      <x:c r="AR170" s="139" t="n"/>
      <x:c r="AS170" s="139" t="n"/>
      <x:c r="AT170" s="139" t="n"/>
      <x:c r="AU170" s="139" t="n"/>
      <x:c r="AV170" s="139" t="n"/>
      <x:c r="AW170" s="139" t="n"/>
      <x:c r="AX170" s="139" t="n"/>
      <x:c r="AY170" s="139" t="n"/>
      <x:c r="AZ170" s="139" t="n"/>
    </x:row>
    <x:row r="171">
      <x:c r="A171" s="139" t="n"/>
      <x:c r="B171" s="139" t="n"/>
      <x:c r="C171" s="139" t="n"/>
      <x:c r="D171" s="139" t="n"/>
      <x:c r="E171" s="139" t="n"/>
      <x:c r="F171" s="139" t="n"/>
      <x:c r="G171" s="139" t="n"/>
      <x:c r="H171" s="139" t="n"/>
      <x:c r="I171" s="139" t="n"/>
      <x:c r="J171" s="139" t="n"/>
      <x:c r="K171" s="139" t="n"/>
      <x:c r="L171" s="139" t="n"/>
      <x:c r="M171" s="139" t="n"/>
      <x:c r="N171" s="139" t="n"/>
      <x:c r="O171" s="139" t="n"/>
      <x:c r="P171" s="139" t="n"/>
      <x:c r="Q171" s="139" t="n"/>
      <x:c r="R171" s="139" t="n"/>
      <x:c r="S171" s="139" t="n"/>
      <x:c r="T171" s="139" t="n"/>
      <x:c r="U171" s="139" t="n"/>
      <x:c r="V171" s="139" t="n"/>
      <x:c r="W171" s="139" t="n"/>
      <x:c r="X171" s="139" t="n"/>
      <x:c r="Y171" s="139" t="n"/>
      <x:c r="Z171" s="139" t="n"/>
      <x:c r="AA171" s="139" t="n"/>
      <x:c r="AB171" s="139" t="n"/>
      <x:c r="AC171" s="139" t="n"/>
      <x:c r="AD171" s="139" t="n"/>
      <x:c r="AE171" s="139" t="n"/>
      <x:c r="AF171" s="139" t="n"/>
      <x:c r="AG171" s="139" t="n"/>
      <x:c r="AH171" s="139" t="n"/>
      <x:c r="AI171" s="139" t="n"/>
      <x:c r="AJ171" s="139" t="n"/>
      <x:c r="AK171" s="139" t="n"/>
      <x:c r="AL171" s="139" t="n"/>
      <x:c r="AM171" s="139" t="n"/>
      <x:c r="AN171" s="139" t="n"/>
      <x:c r="AO171" s="139" t="n"/>
      <x:c r="AP171" s="139" t="n"/>
      <x:c r="AQ171" s="139" t="n"/>
      <x:c r="AR171" s="139" t="n"/>
      <x:c r="AS171" s="139" t="n"/>
      <x:c r="AT171" s="139" t="n"/>
      <x:c r="AU171" s="139" t="n"/>
      <x:c r="AV171" s="139" t="n"/>
      <x:c r="AW171" s="139" t="n"/>
      <x:c r="AX171" s="139" t="n"/>
      <x:c r="AY171" s="139" t="n"/>
      <x:c r="AZ171" s="139" t="n"/>
    </x:row>
    <x:row r="172">
      <x:c r="A172" s="139" t="n"/>
      <x:c r="B172" s="139" t="n"/>
      <x:c r="C172" s="139" t="n"/>
      <x:c r="D172" s="139" t="n"/>
      <x:c r="E172" s="139" t="n"/>
      <x:c r="F172" s="139" t="n"/>
      <x:c r="G172" s="139" t="n"/>
      <x:c r="H172" s="139" t="n"/>
      <x:c r="I172" s="139" t="n"/>
      <x:c r="J172" s="139" t="n"/>
      <x:c r="K172" s="139" t="n"/>
      <x:c r="L172" s="139" t="n"/>
      <x:c r="M172" s="139" t="n"/>
      <x:c r="N172" s="139" t="n"/>
      <x:c r="O172" s="139" t="n"/>
      <x:c r="P172" s="139" t="n"/>
      <x:c r="Q172" s="139" t="n"/>
      <x:c r="R172" s="139" t="n"/>
      <x:c r="S172" s="139" t="n"/>
      <x:c r="T172" s="139" t="n"/>
      <x:c r="U172" s="139" t="n"/>
      <x:c r="V172" s="139" t="n"/>
      <x:c r="W172" s="139" t="n"/>
      <x:c r="X172" s="139" t="n"/>
      <x:c r="Y172" s="139" t="n"/>
      <x:c r="Z172" s="139" t="n"/>
      <x:c r="AA172" s="139" t="n"/>
      <x:c r="AB172" s="139" t="n"/>
      <x:c r="AC172" s="139" t="n"/>
      <x:c r="AD172" s="139" t="n"/>
      <x:c r="AE172" s="139" t="n"/>
      <x:c r="AF172" s="139" t="n"/>
      <x:c r="AG172" s="139" t="n"/>
      <x:c r="AH172" s="139" t="n"/>
      <x:c r="AI172" s="139" t="n"/>
      <x:c r="AJ172" s="139" t="n"/>
      <x:c r="AK172" s="139" t="n"/>
      <x:c r="AL172" s="139" t="n"/>
      <x:c r="AM172" s="139" t="n"/>
      <x:c r="AN172" s="139" t="n"/>
      <x:c r="AO172" s="139" t="n"/>
      <x:c r="AP172" s="139" t="n"/>
      <x:c r="AQ172" s="139" t="n"/>
      <x:c r="AR172" s="139" t="n"/>
      <x:c r="AS172" s="139" t="n"/>
      <x:c r="AT172" s="139" t="n"/>
      <x:c r="AU172" s="139" t="n"/>
      <x:c r="AV172" s="139" t="n"/>
      <x:c r="AW172" s="139" t="n"/>
      <x:c r="AX172" s="139" t="n"/>
      <x:c r="AY172" s="139" t="n"/>
      <x:c r="AZ172" s="139" t="n"/>
    </x:row>
    <x:row r="173">
      <x:c r="A173" s="139" t="n"/>
      <x:c r="B173" s="139" t="n"/>
      <x:c r="C173" s="139" t="n"/>
      <x:c r="D173" s="139" t="n"/>
      <x:c r="E173" s="139" t="n"/>
      <x:c r="F173" s="139" t="n"/>
      <x:c r="G173" s="139" t="n"/>
      <x:c r="H173" s="139" t="n"/>
      <x:c r="I173" s="139" t="n"/>
      <x:c r="J173" s="139" t="n"/>
      <x:c r="K173" s="139" t="n"/>
      <x:c r="L173" s="139" t="n"/>
      <x:c r="M173" s="139" t="n"/>
      <x:c r="N173" s="139" t="n"/>
      <x:c r="O173" s="139" t="n"/>
      <x:c r="P173" s="139" t="n"/>
      <x:c r="Q173" s="139" t="n"/>
      <x:c r="R173" s="139" t="n"/>
      <x:c r="S173" s="139" t="n"/>
      <x:c r="T173" s="139" t="n"/>
      <x:c r="U173" s="139" t="n"/>
      <x:c r="V173" s="139" t="n"/>
      <x:c r="W173" s="139" t="n"/>
      <x:c r="X173" s="139" t="n"/>
      <x:c r="Y173" s="139" t="n"/>
      <x:c r="Z173" s="139" t="n"/>
      <x:c r="AA173" s="139" t="n"/>
      <x:c r="AB173" s="139" t="n"/>
      <x:c r="AC173" s="139" t="n"/>
      <x:c r="AD173" s="139" t="n"/>
      <x:c r="AE173" s="139" t="n"/>
      <x:c r="AF173" s="139" t="n"/>
      <x:c r="AG173" s="139" t="n"/>
      <x:c r="AH173" s="139" t="n"/>
      <x:c r="AI173" s="139" t="n"/>
      <x:c r="AJ173" s="139" t="n"/>
      <x:c r="AK173" s="139" t="n"/>
      <x:c r="AL173" s="139" t="n"/>
      <x:c r="AM173" s="139" t="n"/>
      <x:c r="AN173" s="139" t="n"/>
      <x:c r="AO173" s="139" t="n"/>
      <x:c r="AP173" s="139" t="n"/>
      <x:c r="AQ173" s="139" t="n"/>
      <x:c r="AR173" s="139" t="n"/>
      <x:c r="AS173" s="139" t="n"/>
      <x:c r="AT173" s="139" t="n"/>
      <x:c r="AU173" s="139" t="n"/>
      <x:c r="AV173" s="139" t="n"/>
      <x:c r="AW173" s="139" t="n"/>
      <x:c r="AX173" s="139" t="n"/>
      <x:c r="AY173" s="139" t="n"/>
      <x:c r="AZ173" s="139" t="n"/>
    </x:row>
    <x:row r="174">
      <x:c r="A174" s="139" t="n"/>
      <x:c r="B174" s="139" t="n"/>
      <x:c r="C174" s="139" t="n"/>
      <x:c r="D174" s="139" t="n"/>
      <x:c r="E174" s="139" t="n"/>
      <x:c r="F174" s="139" t="n"/>
      <x:c r="G174" s="139" t="n"/>
      <x:c r="H174" s="139" t="n"/>
      <x:c r="I174" s="139" t="n"/>
      <x:c r="J174" s="139" t="n"/>
      <x:c r="K174" s="139" t="n"/>
      <x:c r="L174" s="139" t="n"/>
      <x:c r="M174" s="139" t="n"/>
      <x:c r="N174" s="139" t="n"/>
      <x:c r="O174" s="139" t="n"/>
      <x:c r="P174" s="139" t="n"/>
      <x:c r="Q174" s="139" t="n"/>
      <x:c r="R174" s="139" t="n"/>
      <x:c r="S174" s="139" t="n"/>
      <x:c r="T174" s="139" t="n"/>
      <x:c r="U174" s="139" t="n"/>
      <x:c r="V174" s="139" t="n"/>
      <x:c r="W174" s="139" t="n"/>
      <x:c r="X174" s="139" t="n"/>
      <x:c r="Y174" s="139" t="n"/>
      <x:c r="Z174" s="139" t="n"/>
      <x:c r="AA174" s="139" t="n"/>
      <x:c r="AB174" s="139" t="n"/>
      <x:c r="AC174" s="139" t="n"/>
      <x:c r="AD174" s="139" t="n"/>
      <x:c r="AE174" s="139" t="n"/>
      <x:c r="AF174" s="139" t="n"/>
      <x:c r="AG174" s="139" t="n"/>
      <x:c r="AH174" s="139" t="n"/>
      <x:c r="AI174" s="139" t="n"/>
      <x:c r="AJ174" s="139" t="n"/>
      <x:c r="AK174" s="139" t="n"/>
      <x:c r="AL174" s="139" t="n"/>
      <x:c r="AM174" s="139" t="n"/>
      <x:c r="AN174" s="139" t="n"/>
      <x:c r="AO174" s="139" t="n"/>
      <x:c r="AP174" s="139" t="n"/>
      <x:c r="AQ174" s="139" t="n"/>
      <x:c r="AR174" s="139" t="n"/>
      <x:c r="AS174" s="139" t="n"/>
      <x:c r="AT174" s="139" t="n"/>
      <x:c r="AU174" s="139" t="n"/>
      <x:c r="AV174" s="139" t="n"/>
      <x:c r="AW174" s="139" t="n"/>
      <x:c r="AX174" s="139" t="n"/>
      <x:c r="AY174" s="139" t="n"/>
      <x:c r="AZ174" s="139" t="n"/>
    </x:row>
    <x:row r="175">
      <x:c r="A175" s="139" t="n"/>
      <x:c r="B175" s="139" t="n"/>
      <x:c r="C175" s="139" t="n"/>
      <x:c r="D175" s="139" t="n"/>
      <x:c r="E175" s="139" t="n"/>
      <x:c r="F175" s="139" t="n"/>
      <x:c r="G175" s="139" t="n"/>
      <x:c r="H175" s="139" t="n"/>
      <x:c r="I175" s="139" t="n"/>
      <x:c r="J175" s="139" t="n"/>
      <x:c r="K175" s="139" t="n"/>
      <x:c r="L175" s="139" t="n"/>
      <x:c r="M175" s="139" t="n"/>
      <x:c r="N175" s="139" t="n"/>
      <x:c r="O175" s="139" t="n"/>
      <x:c r="P175" s="139" t="n"/>
      <x:c r="Q175" s="139" t="n"/>
      <x:c r="R175" s="139" t="n"/>
      <x:c r="S175" s="139" t="n"/>
      <x:c r="T175" s="139" t="n"/>
      <x:c r="U175" s="139" t="n"/>
      <x:c r="V175" s="139" t="n"/>
      <x:c r="W175" s="139" t="n"/>
      <x:c r="X175" s="139" t="n"/>
      <x:c r="Y175" s="139" t="n"/>
      <x:c r="Z175" s="139" t="n"/>
      <x:c r="AA175" s="139" t="n"/>
      <x:c r="AB175" s="139" t="n"/>
      <x:c r="AC175" s="139" t="n"/>
      <x:c r="AD175" s="139" t="n"/>
      <x:c r="AE175" s="139" t="n"/>
      <x:c r="AF175" s="139" t="n"/>
      <x:c r="AG175" s="139" t="n"/>
      <x:c r="AH175" s="139" t="n"/>
      <x:c r="AI175" s="139" t="n"/>
      <x:c r="AJ175" s="139" t="n"/>
      <x:c r="AK175" s="139" t="n"/>
      <x:c r="AL175" s="139" t="n"/>
      <x:c r="AM175" s="139" t="n"/>
      <x:c r="AN175" s="139" t="n"/>
      <x:c r="AO175" s="139" t="n"/>
      <x:c r="AP175" s="139" t="n"/>
      <x:c r="AQ175" s="139" t="n"/>
      <x:c r="AR175" s="139" t="n"/>
      <x:c r="AS175" s="139" t="n"/>
      <x:c r="AT175" s="139" t="n"/>
      <x:c r="AU175" s="139" t="n"/>
      <x:c r="AV175" s="139" t="n"/>
      <x:c r="AW175" s="139" t="n"/>
      <x:c r="AX175" s="139" t="n"/>
      <x:c r="AY175" s="139" t="n"/>
      <x:c r="AZ175" s="139" t="n"/>
    </x:row>
    <x:row r="176">
      <x:c r="A176" s="139" t="n"/>
      <x:c r="B176" s="139" t="n"/>
      <x:c r="C176" s="139" t="n"/>
      <x:c r="D176" s="139" t="n"/>
      <x:c r="E176" s="139" t="n"/>
      <x:c r="F176" s="139" t="n"/>
      <x:c r="G176" s="139" t="n"/>
      <x:c r="H176" s="139" t="n"/>
      <x:c r="I176" s="139" t="n"/>
      <x:c r="J176" s="139" t="n"/>
      <x:c r="K176" s="139" t="n"/>
      <x:c r="L176" s="139" t="n"/>
      <x:c r="M176" s="139" t="n"/>
      <x:c r="N176" s="139" t="n"/>
      <x:c r="O176" s="139" t="n"/>
      <x:c r="P176" s="139" t="n"/>
      <x:c r="Q176" s="139" t="n"/>
      <x:c r="R176" s="139" t="n"/>
      <x:c r="S176" s="139" t="n"/>
      <x:c r="T176" s="139" t="n"/>
      <x:c r="U176" s="139" t="n"/>
      <x:c r="V176" s="139" t="n"/>
      <x:c r="W176" s="139" t="n"/>
      <x:c r="X176" s="139" t="n"/>
      <x:c r="Y176" s="139" t="n"/>
      <x:c r="Z176" s="139" t="n"/>
      <x:c r="AA176" s="139" t="n"/>
      <x:c r="AB176" s="139" t="n"/>
      <x:c r="AC176" s="139" t="n"/>
      <x:c r="AD176" s="139" t="n"/>
      <x:c r="AE176" s="139" t="n"/>
      <x:c r="AF176" s="139" t="n"/>
      <x:c r="AG176" s="139" t="n"/>
      <x:c r="AH176" s="139" t="n"/>
      <x:c r="AI176" s="139" t="n"/>
      <x:c r="AJ176" s="139" t="n"/>
      <x:c r="AK176" s="139" t="n"/>
      <x:c r="AL176" s="139" t="n"/>
      <x:c r="AM176" s="139" t="n"/>
      <x:c r="AN176" s="139" t="n"/>
      <x:c r="AO176" s="139" t="n"/>
      <x:c r="AP176" s="139" t="n"/>
      <x:c r="AQ176" s="139" t="n"/>
      <x:c r="AR176" s="139" t="n"/>
      <x:c r="AS176" s="139" t="n"/>
      <x:c r="AT176" s="139" t="n"/>
      <x:c r="AU176" s="139" t="n"/>
      <x:c r="AV176" s="139" t="n"/>
      <x:c r="AW176" s="139" t="n"/>
      <x:c r="AX176" s="139" t="n"/>
      <x:c r="AY176" s="139" t="n"/>
      <x:c r="AZ176" s="139" t="n"/>
    </x:row>
    <x:row r="177">
      <x:c r="A177" s="139" t="n"/>
      <x:c r="B177" s="139" t="n"/>
      <x:c r="C177" s="139" t="n"/>
      <x:c r="D177" s="139" t="n"/>
      <x:c r="E177" s="139" t="n"/>
      <x:c r="F177" s="139" t="n"/>
      <x:c r="G177" s="139" t="n"/>
      <x:c r="H177" s="139" t="n"/>
      <x:c r="I177" s="139" t="n"/>
      <x:c r="J177" s="139" t="n"/>
      <x:c r="K177" s="139" t="n"/>
      <x:c r="L177" s="139" t="n"/>
      <x:c r="M177" s="139" t="n"/>
      <x:c r="N177" s="139" t="n"/>
      <x:c r="O177" s="139" t="n"/>
      <x:c r="P177" s="139" t="n"/>
      <x:c r="Q177" s="139" t="n"/>
      <x:c r="R177" s="139" t="n"/>
      <x:c r="S177" s="139" t="n"/>
      <x:c r="T177" s="139" t="n"/>
      <x:c r="U177" s="139" t="n"/>
      <x:c r="V177" s="139" t="n"/>
      <x:c r="W177" s="139" t="n"/>
      <x:c r="X177" s="139" t="n"/>
      <x:c r="Y177" s="139" t="n"/>
      <x:c r="Z177" s="139" t="n"/>
      <x:c r="AA177" s="139" t="n"/>
      <x:c r="AB177" s="139" t="n"/>
      <x:c r="AC177" s="139" t="n"/>
      <x:c r="AD177" s="139" t="n"/>
      <x:c r="AE177" s="139" t="n"/>
      <x:c r="AF177" s="139" t="n"/>
      <x:c r="AG177" s="139" t="n"/>
      <x:c r="AH177" s="139" t="n"/>
      <x:c r="AI177" s="139" t="n"/>
      <x:c r="AJ177" s="139" t="n"/>
      <x:c r="AK177" s="139" t="n"/>
      <x:c r="AL177" s="139" t="n"/>
      <x:c r="AM177" s="139" t="n"/>
      <x:c r="AN177" s="139" t="n"/>
      <x:c r="AO177" s="139" t="n"/>
      <x:c r="AP177" s="139" t="n"/>
      <x:c r="AQ177" s="139" t="n"/>
      <x:c r="AR177" s="139" t="n"/>
      <x:c r="AS177" s="139" t="n"/>
      <x:c r="AT177" s="139" t="n"/>
      <x:c r="AU177" s="139" t="n"/>
      <x:c r="AV177" s="139" t="n"/>
      <x:c r="AW177" s="139" t="n"/>
      <x:c r="AX177" s="139" t="n"/>
      <x:c r="AY177" s="139" t="n"/>
      <x:c r="AZ177" s="139" t="n"/>
    </x:row>
    <x:row r="178">
      <x:c r="A178" s="139" t="n"/>
      <x:c r="B178" s="139" t="n"/>
      <x:c r="C178" s="139" t="n"/>
      <x:c r="D178" s="139" t="n"/>
      <x:c r="E178" s="139" t="n"/>
      <x:c r="F178" s="139" t="n"/>
      <x:c r="G178" s="139" t="n"/>
      <x:c r="H178" s="139" t="n"/>
      <x:c r="I178" s="139" t="n"/>
      <x:c r="J178" s="139" t="n"/>
      <x:c r="K178" s="139" t="n"/>
      <x:c r="L178" s="139" t="n"/>
      <x:c r="M178" s="139" t="n"/>
      <x:c r="N178" s="139" t="n"/>
      <x:c r="O178" s="139" t="n"/>
      <x:c r="P178" s="139" t="n"/>
      <x:c r="Q178" s="139" t="n"/>
      <x:c r="R178" s="139" t="n"/>
      <x:c r="S178" s="139" t="n"/>
      <x:c r="T178" s="139" t="n"/>
      <x:c r="U178" s="139" t="n"/>
      <x:c r="V178" s="139" t="n"/>
      <x:c r="W178" s="139" t="n"/>
      <x:c r="X178" s="139" t="n"/>
      <x:c r="Y178" s="139" t="n"/>
      <x:c r="Z178" s="139" t="n"/>
      <x:c r="AA178" s="139" t="n"/>
      <x:c r="AB178" s="139" t="n"/>
      <x:c r="AC178" s="139" t="n"/>
      <x:c r="AD178" s="139" t="n"/>
      <x:c r="AE178" s="139" t="n"/>
      <x:c r="AF178" s="139" t="n"/>
      <x:c r="AG178" s="139" t="n"/>
      <x:c r="AH178" s="139" t="n"/>
      <x:c r="AI178" s="139" t="n"/>
      <x:c r="AJ178" s="139" t="n"/>
      <x:c r="AK178" s="139" t="n"/>
      <x:c r="AL178" s="139" t="n"/>
      <x:c r="AM178" s="139" t="n"/>
      <x:c r="AN178" s="139" t="n"/>
      <x:c r="AO178" s="139" t="n"/>
      <x:c r="AP178" s="139" t="n"/>
      <x:c r="AQ178" s="139" t="n"/>
      <x:c r="AR178" s="139" t="n"/>
      <x:c r="AS178" s="139" t="n"/>
      <x:c r="AT178" s="139" t="n"/>
      <x:c r="AU178" s="139" t="n"/>
      <x:c r="AV178" s="139" t="n"/>
      <x:c r="AW178" s="139" t="n"/>
      <x:c r="AX178" s="139" t="n"/>
      <x:c r="AY178" s="139" t="n"/>
      <x:c r="AZ178" s="139" t="n"/>
    </x:row>
    <x:row r="179">
      <x:c r="A179" s="139" t="n"/>
      <x:c r="B179" s="139" t="n"/>
      <x:c r="C179" s="139" t="n"/>
      <x:c r="D179" s="139" t="n"/>
      <x:c r="E179" s="139" t="n"/>
      <x:c r="F179" s="139" t="n"/>
      <x:c r="G179" s="139" t="n"/>
      <x:c r="H179" s="139" t="n"/>
      <x:c r="I179" s="139" t="n"/>
      <x:c r="J179" s="139" t="n"/>
      <x:c r="K179" s="139" t="n"/>
      <x:c r="L179" s="139" t="n"/>
      <x:c r="M179" s="139" t="n"/>
      <x:c r="N179" s="139" t="n"/>
      <x:c r="O179" s="139" t="n"/>
      <x:c r="P179" s="139" t="n"/>
      <x:c r="Q179" s="139" t="n"/>
      <x:c r="R179" s="139" t="n"/>
      <x:c r="S179" s="139" t="n"/>
      <x:c r="T179" s="139" t="n"/>
      <x:c r="U179" s="139" t="n"/>
      <x:c r="V179" s="139" t="n"/>
      <x:c r="W179" s="139" t="n"/>
      <x:c r="X179" s="139" t="n"/>
      <x:c r="Y179" s="139" t="n"/>
      <x:c r="Z179" s="139" t="n"/>
      <x:c r="AA179" s="139" t="n"/>
      <x:c r="AB179" s="139" t="n"/>
      <x:c r="AC179" s="139" t="n"/>
      <x:c r="AD179" s="139" t="n"/>
      <x:c r="AE179" s="139" t="n"/>
      <x:c r="AF179" s="139" t="n"/>
      <x:c r="AG179" s="139" t="n"/>
      <x:c r="AH179" s="139" t="n"/>
      <x:c r="AI179" s="139" t="n"/>
      <x:c r="AJ179" s="139" t="n"/>
      <x:c r="AK179" s="139" t="n"/>
      <x:c r="AL179" s="139" t="n"/>
      <x:c r="AM179" s="139" t="n"/>
      <x:c r="AN179" s="139" t="n"/>
      <x:c r="AO179" s="139" t="n"/>
      <x:c r="AP179" s="139" t="n"/>
      <x:c r="AQ179" s="139" t="n"/>
      <x:c r="AR179" s="139" t="n"/>
      <x:c r="AS179" s="139" t="n"/>
      <x:c r="AT179" s="139" t="n"/>
      <x:c r="AU179" s="139" t="n"/>
      <x:c r="AV179" s="139" t="n"/>
      <x:c r="AW179" s="139" t="n"/>
      <x:c r="AX179" s="139" t="n"/>
      <x:c r="AY179" s="139" t="n"/>
      <x:c r="AZ179" s="139" t="n"/>
    </x:row>
    <x:row r="180">
      <x:c r="A180" s="139" t="n"/>
      <x:c r="B180" s="139" t="n"/>
      <x:c r="C180" s="139" t="n"/>
      <x:c r="D180" s="139" t="n"/>
      <x:c r="E180" s="139" t="n"/>
      <x:c r="F180" s="139" t="n"/>
      <x:c r="G180" s="139" t="n"/>
      <x:c r="H180" s="139" t="n"/>
      <x:c r="I180" s="139" t="n"/>
      <x:c r="J180" s="139" t="n"/>
      <x:c r="K180" s="139" t="n"/>
      <x:c r="L180" s="139" t="n"/>
      <x:c r="M180" s="139" t="n"/>
      <x:c r="N180" s="139" t="n"/>
      <x:c r="O180" s="139" t="n"/>
      <x:c r="P180" s="139" t="n"/>
      <x:c r="Q180" s="139" t="n"/>
      <x:c r="R180" s="139" t="n"/>
      <x:c r="S180" s="139" t="n"/>
      <x:c r="T180" s="139" t="n"/>
      <x:c r="U180" s="139" t="n"/>
      <x:c r="V180" s="139" t="n"/>
      <x:c r="W180" s="139" t="n"/>
      <x:c r="X180" s="139" t="n"/>
      <x:c r="Y180" s="139" t="n"/>
      <x:c r="Z180" s="139" t="n"/>
      <x:c r="AA180" s="139" t="n"/>
      <x:c r="AB180" s="139" t="n"/>
      <x:c r="AC180" s="139" t="n"/>
      <x:c r="AD180" s="139" t="n"/>
      <x:c r="AE180" s="139" t="n"/>
      <x:c r="AF180" s="139" t="n"/>
      <x:c r="AG180" s="139" t="n"/>
      <x:c r="AH180" s="139" t="n"/>
      <x:c r="AI180" s="139" t="n"/>
      <x:c r="AJ180" s="139" t="n"/>
      <x:c r="AK180" s="139" t="n"/>
      <x:c r="AL180" s="139" t="n"/>
      <x:c r="AM180" s="139" t="n"/>
      <x:c r="AN180" s="139" t="n"/>
      <x:c r="AO180" s="139" t="n"/>
      <x:c r="AP180" s="139" t="n"/>
      <x:c r="AQ180" s="139" t="n"/>
      <x:c r="AR180" s="139" t="n"/>
      <x:c r="AS180" s="139" t="n"/>
      <x:c r="AT180" s="139" t="n"/>
      <x:c r="AU180" s="139" t="n"/>
      <x:c r="AV180" s="139" t="n"/>
      <x:c r="AW180" s="139" t="n"/>
      <x:c r="AX180" s="139" t="n"/>
      <x:c r="AY180" s="139" t="n"/>
      <x:c r="AZ180" s="139" t="n"/>
    </x:row>
    <x:row r="181">
      <x:c r="A181" s="139" t="n"/>
      <x:c r="B181" s="139" t="n"/>
      <x:c r="C181" s="139" t="n"/>
      <x:c r="D181" s="139" t="n"/>
      <x:c r="E181" s="139" t="n"/>
      <x:c r="F181" s="139" t="n"/>
      <x:c r="G181" s="139" t="n"/>
      <x:c r="H181" s="139" t="n"/>
      <x:c r="I181" s="139" t="n"/>
      <x:c r="J181" s="139" t="n"/>
      <x:c r="K181" s="139" t="n"/>
      <x:c r="L181" s="139" t="n"/>
      <x:c r="M181" s="139" t="n"/>
      <x:c r="N181" s="139" t="n"/>
      <x:c r="O181" s="139" t="n"/>
      <x:c r="P181" s="139" t="n"/>
      <x:c r="Q181" s="139" t="n"/>
      <x:c r="R181" s="139" t="n"/>
      <x:c r="S181" s="139" t="n"/>
      <x:c r="T181" s="139" t="n"/>
      <x:c r="U181" s="139" t="n"/>
      <x:c r="V181" s="139" t="n"/>
      <x:c r="W181" s="139" t="n"/>
      <x:c r="X181" s="139" t="n"/>
      <x:c r="Y181" s="139" t="n"/>
      <x:c r="Z181" s="139" t="n"/>
      <x:c r="AA181" s="139" t="n"/>
      <x:c r="AB181" s="139" t="n"/>
      <x:c r="AC181" s="139" t="n"/>
      <x:c r="AD181" s="139" t="n"/>
      <x:c r="AE181" s="139" t="n"/>
      <x:c r="AF181" s="139" t="n"/>
      <x:c r="AG181" s="139" t="n"/>
      <x:c r="AH181" s="139" t="n"/>
      <x:c r="AI181" s="139" t="n"/>
      <x:c r="AJ181" s="139" t="n"/>
      <x:c r="AK181" s="139" t="n"/>
      <x:c r="AL181" s="139" t="n"/>
      <x:c r="AM181" s="139" t="n"/>
      <x:c r="AN181" s="139" t="n"/>
      <x:c r="AO181" s="139" t="n"/>
      <x:c r="AP181" s="139" t="n"/>
      <x:c r="AQ181" s="139" t="n"/>
      <x:c r="AR181" s="139" t="n"/>
      <x:c r="AS181" s="139" t="n"/>
      <x:c r="AT181" s="139" t="n"/>
      <x:c r="AU181" s="139" t="n"/>
      <x:c r="AV181" s="139" t="n"/>
      <x:c r="AW181" s="139" t="n"/>
      <x:c r="AX181" s="139" t="n"/>
      <x:c r="AY181" s="139" t="n"/>
      <x:c r="AZ181" s="139" t="n"/>
    </x:row>
    <x:row r="182">
      <x:c r="A182" s="139" t="n"/>
      <x:c r="B182" s="139" t="n"/>
      <x:c r="C182" s="139" t="n"/>
      <x:c r="D182" s="139" t="n"/>
      <x:c r="E182" s="139" t="n"/>
      <x:c r="F182" s="139" t="n"/>
      <x:c r="G182" s="139" t="n"/>
      <x:c r="H182" s="139" t="n"/>
      <x:c r="I182" s="139" t="n"/>
      <x:c r="J182" s="139" t="n"/>
      <x:c r="K182" s="139" t="n"/>
      <x:c r="L182" s="139" t="n"/>
      <x:c r="M182" s="139" t="n"/>
      <x:c r="N182" s="139" t="n"/>
      <x:c r="O182" s="139" t="n"/>
      <x:c r="P182" s="139" t="n"/>
      <x:c r="Q182" s="139" t="n"/>
      <x:c r="R182" s="139" t="n"/>
      <x:c r="S182" s="139" t="n"/>
      <x:c r="T182" s="139" t="n"/>
      <x:c r="U182" s="139" t="n"/>
      <x:c r="V182" s="139" t="n"/>
      <x:c r="W182" s="139" t="n"/>
      <x:c r="X182" s="139" t="n"/>
      <x:c r="Y182" s="139" t="n"/>
      <x:c r="Z182" s="139" t="n"/>
      <x:c r="AA182" s="139" t="n"/>
      <x:c r="AB182" s="139" t="n"/>
      <x:c r="AC182" s="139" t="n"/>
      <x:c r="AD182" s="139" t="n"/>
      <x:c r="AE182" s="139" t="n"/>
      <x:c r="AF182" s="139" t="n"/>
      <x:c r="AG182" s="139" t="n"/>
      <x:c r="AH182" s="139" t="n"/>
      <x:c r="AI182" s="139" t="n"/>
      <x:c r="AJ182" s="139" t="n"/>
      <x:c r="AK182" s="139" t="n"/>
      <x:c r="AL182" s="139" t="n"/>
      <x:c r="AM182" s="139" t="n"/>
      <x:c r="AN182" s="139" t="n"/>
      <x:c r="AO182" s="139" t="n"/>
      <x:c r="AP182" s="139" t="n"/>
      <x:c r="AQ182" s="139" t="n"/>
      <x:c r="AR182" s="139" t="n"/>
      <x:c r="AS182" s="139" t="n"/>
      <x:c r="AT182" s="139" t="n"/>
      <x:c r="AU182" s="139" t="n"/>
      <x:c r="AV182" s="139" t="n"/>
      <x:c r="AW182" s="139" t="n"/>
      <x:c r="AX182" s="139" t="n"/>
      <x:c r="AY182" s="139" t="n"/>
      <x:c r="AZ182" s="139" t="n"/>
    </x:row>
    <x:row r="183">
      <x:c r="A183" s="139" t="n"/>
      <x:c r="B183" s="139" t="n"/>
      <x:c r="C183" s="139" t="n"/>
      <x:c r="D183" s="139" t="n"/>
      <x:c r="E183" s="139" t="n"/>
      <x:c r="F183" s="139" t="n"/>
      <x:c r="G183" s="139" t="n"/>
      <x:c r="H183" s="139" t="n"/>
      <x:c r="I183" s="139" t="n"/>
      <x:c r="J183" s="139" t="n"/>
      <x:c r="K183" s="139" t="n"/>
      <x:c r="L183" s="139" t="n"/>
      <x:c r="M183" s="139" t="n"/>
      <x:c r="N183" s="139" t="n"/>
      <x:c r="O183" s="139" t="n"/>
      <x:c r="P183" s="139" t="n"/>
      <x:c r="Q183" s="139" t="n"/>
      <x:c r="R183" s="139" t="n"/>
      <x:c r="S183" s="139" t="n"/>
      <x:c r="T183" s="139" t="n"/>
      <x:c r="U183" s="139" t="n"/>
      <x:c r="V183" s="139" t="n"/>
      <x:c r="W183" s="139" t="n"/>
      <x:c r="X183" s="139" t="n"/>
      <x:c r="Y183" s="139" t="n"/>
      <x:c r="Z183" s="139" t="n"/>
      <x:c r="AA183" s="139" t="n"/>
      <x:c r="AB183" s="139" t="n"/>
      <x:c r="AC183" s="139" t="n"/>
      <x:c r="AD183" s="139" t="n"/>
      <x:c r="AE183" s="139" t="n"/>
      <x:c r="AF183" s="139" t="n"/>
      <x:c r="AG183" s="139" t="n"/>
      <x:c r="AH183" s="139" t="n"/>
      <x:c r="AI183" s="139" t="n"/>
      <x:c r="AJ183" s="139" t="n"/>
      <x:c r="AK183" s="139" t="n"/>
      <x:c r="AL183" s="139" t="n"/>
      <x:c r="AM183" s="139" t="n"/>
      <x:c r="AN183" s="139" t="n"/>
      <x:c r="AO183" s="139" t="n"/>
      <x:c r="AP183" s="139" t="n"/>
      <x:c r="AQ183" s="139" t="n"/>
      <x:c r="AR183" s="139" t="n"/>
      <x:c r="AS183" s="139" t="n"/>
      <x:c r="AT183" s="139" t="n"/>
      <x:c r="AU183" s="139" t="n"/>
      <x:c r="AV183" s="139" t="n"/>
      <x:c r="AW183" s="139" t="n"/>
      <x:c r="AX183" s="139" t="n"/>
      <x:c r="AY183" s="139" t="n"/>
      <x:c r="AZ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c r="V184" s="139" t="n"/>
      <x:c r="W184" s="139" t="n"/>
      <x:c r="X184" s="139" t="n"/>
      <x:c r="Y184" s="139" t="n"/>
      <x:c r="Z184" s="139" t="n"/>
      <x:c r="AA184" s="139" t="n"/>
      <x:c r="AB184" s="139" t="n"/>
      <x:c r="AC184" s="139" t="n"/>
      <x:c r="AD184" s="139" t="n"/>
      <x:c r="AE184" s="139" t="n"/>
      <x:c r="AF184" s="139" t="n"/>
      <x:c r="AG184" s="139" t="n"/>
      <x:c r="AH184" s="139" t="n"/>
      <x:c r="AI184" s="139" t="n"/>
      <x:c r="AJ184" s="139" t="n"/>
      <x:c r="AK184" s="139" t="n"/>
      <x:c r="AL184" s="139" t="n"/>
      <x:c r="AM184" s="139" t="n"/>
      <x:c r="AN184" s="139" t="n"/>
      <x:c r="AO184" s="139" t="n"/>
      <x:c r="AP184" s="139" t="n"/>
      <x:c r="AQ184" s="139" t="n"/>
      <x:c r="AR184" s="139" t="n"/>
      <x:c r="AS184" s="139" t="n"/>
      <x:c r="AT184" s="139" t="n"/>
      <x:c r="AU184" s="139" t="n"/>
      <x:c r="AV184" s="139" t="n"/>
      <x:c r="AW184" s="139" t="n"/>
      <x:c r="AX184" s="139" t="n"/>
      <x:c r="AY184" s="139" t="n"/>
      <x:c r="AZ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c r="V185" s="139" t="n"/>
      <x:c r="W185" s="139" t="n"/>
      <x:c r="X185" s="139" t="n"/>
      <x:c r="Y185" s="139" t="n"/>
      <x:c r="Z185" s="139" t="n"/>
      <x:c r="AA185" s="139" t="n"/>
      <x:c r="AB185" s="139" t="n"/>
      <x:c r="AC185" s="139" t="n"/>
      <x:c r="AD185" s="139" t="n"/>
      <x:c r="AE185" s="139" t="n"/>
      <x:c r="AF185" s="139" t="n"/>
      <x:c r="AG185" s="139" t="n"/>
      <x:c r="AH185" s="139" t="n"/>
      <x:c r="AI185" s="139" t="n"/>
      <x:c r="AJ185" s="139" t="n"/>
      <x:c r="AK185" s="139" t="n"/>
      <x:c r="AL185" s="139" t="n"/>
      <x:c r="AM185" s="139" t="n"/>
      <x:c r="AN185" s="139" t="n"/>
      <x:c r="AO185" s="139" t="n"/>
      <x:c r="AP185" s="139" t="n"/>
      <x:c r="AQ185" s="139" t="n"/>
      <x:c r="AR185" s="139" t="n"/>
      <x:c r="AS185" s="139" t="n"/>
      <x:c r="AT185" s="139" t="n"/>
      <x:c r="AU185" s="139" t="n"/>
      <x:c r="AV185" s="139" t="n"/>
      <x:c r="AW185" s="139" t="n"/>
      <x:c r="AX185" s="139" t="n"/>
      <x:c r="AY185" s="139" t="n"/>
      <x:c r="AZ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c r="V186" s="139" t="n"/>
      <x:c r="W186" s="139" t="n"/>
      <x:c r="X186" s="139" t="n"/>
      <x:c r="Y186" s="139" t="n"/>
      <x:c r="Z186" s="139" t="n"/>
      <x:c r="AA186" s="139" t="n"/>
      <x:c r="AB186" s="139" t="n"/>
      <x:c r="AC186" s="139" t="n"/>
      <x:c r="AD186" s="139" t="n"/>
      <x:c r="AE186" s="139" t="n"/>
      <x:c r="AF186" s="139" t="n"/>
      <x:c r="AG186" s="139" t="n"/>
      <x:c r="AH186" s="139" t="n"/>
      <x:c r="AI186" s="139" t="n"/>
      <x:c r="AJ186" s="139" t="n"/>
      <x:c r="AK186" s="139" t="n"/>
      <x:c r="AL186" s="139" t="n"/>
      <x:c r="AM186" s="139" t="n"/>
      <x:c r="AN186" s="139" t="n"/>
      <x:c r="AO186" s="139" t="n"/>
      <x:c r="AP186" s="139" t="n"/>
      <x:c r="AQ186" s="139" t="n"/>
      <x:c r="AR186" s="139" t="n"/>
      <x:c r="AS186" s="139" t="n"/>
      <x:c r="AT186" s="139" t="n"/>
      <x:c r="AU186" s="139" t="n"/>
      <x:c r="AV186" s="139" t="n"/>
      <x:c r="AW186" s="139" t="n"/>
      <x:c r="AX186" s="139" t="n"/>
      <x:c r="AY186" s="139" t="n"/>
      <x:c r="AZ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c r="V187" s="139" t="n"/>
      <x:c r="W187" s="139" t="n"/>
      <x:c r="X187" s="139" t="n"/>
      <x:c r="Y187" s="139" t="n"/>
      <x:c r="Z187" s="139" t="n"/>
      <x:c r="AA187" s="139" t="n"/>
      <x:c r="AB187" s="139" t="n"/>
      <x:c r="AC187" s="139" t="n"/>
      <x:c r="AD187" s="139" t="n"/>
      <x:c r="AE187" s="139" t="n"/>
      <x:c r="AF187" s="139" t="n"/>
      <x:c r="AG187" s="139" t="n"/>
      <x:c r="AH187" s="139" t="n"/>
      <x:c r="AI187" s="139" t="n"/>
      <x:c r="AJ187" s="139" t="n"/>
      <x:c r="AK187" s="139" t="n"/>
      <x:c r="AL187" s="139" t="n"/>
      <x:c r="AM187" s="139" t="n"/>
      <x:c r="AN187" s="139" t="n"/>
      <x:c r="AO187" s="139" t="n"/>
      <x:c r="AP187" s="139" t="n"/>
      <x:c r="AQ187" s="139" t="n"/>
      <x:c r="AR187" s="139" t="n"/>
      <x:c r="AS187" s="139" t="n"/>
      <x:c r="AT187" s="139" t="n"/>
      <x:c r="AU187" s="139" t="n"/>
      <x:c r="AV187" s="139" t="n"/>
      <x:c r="AW187" s="139" t="n"/>
      <x:c r="AX187" s="139" t="n"/>
      <x:c r="AY187" s="139" t="n"/>
      <x:c r="AZ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c r="V188" s="139" t="n"/>
      <x:c r="W188" s="139" t="n"/>
      <x:c r="X188" s="139" t="n"/>
      <x:c r="Y188" s="139" t="n"/>
      <x:c r="Z188" s="139" t="n"/>
      <x:c r="AA188" s="139" t="n"/>
      <x:c r="AB188" s="139" t="n"/>
      <x:c r="AC188" s="139" t="n"/>
      <x:c r="AD188" s="139" t="n"/>
      <x:c r="AE188" s="139" t="n"/>
      <x:c r="AF188" s="139" t="n"/>
      <x:c r="AG188" s="139" t="n"/>
      <x:c r="AH188" s="139" t="n"/>
      <x:c r="AI188" s="139" t="n"/>
      <x:c r="AJ188" s="139" t="n"/>
      <x:c r="AK188" s="139" t="n"/>
      <x:c r="AL188" s="139" t="n"/>
      <x:c r="AM188" s="139" t="n"/>
      <x:c r="AN188" s="139" t="n"/>
      <x:c r="AO188" s="139" t="n"/>
      <x:c r="AP188" s="139" t="n"/>
      <x:c r="AQ188" s="139" t="n"/>
      <x:c r="AR188" s="139" t="n"/>
      <x:c r="AS188" s="139" t="n"/>
      <x:c r="AT188" s="139" t="n"/>
      <x:c r="AU188" s="139" t="n"/>
      <x:c r="AV188" s="139" t="n"/>
      <x:c r="AW188" s="139" t="n"/>
      <x:c r="AX188" s="139" t="n"/>
      <x:c r="AY188" s="139" t="n"/>
      <x:c r="AZ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c r="V189" s="139" t="n"/>
      <x:c r="W189" s="139" t="n"/>
      <x:c r="X189" s="139" t="n"/>
      <x:c r="Y189" s="139" t="n"/>
      <x:c r="Z189" s="139" t="n"/>
      <x:c r="AA189" s="139" t="n"/>
      <x:c r="AB189" s="139" t="n"/>
      <x:c r="AC189" s="139" t="n"/>
      <x:c r="AD189" s="139" t="n"/>
      <x:c r="AE189" s="139" t="n"/>
      <x:c r="AF189" s="139" t="n"/>
      <x:c r="AG189" s="139" t="n"/>
      <x:c r="AH189" s="139" t="n"/>
      <x:c r="AI189" s="139" t="n"/>
      <x:c r="AJ189" s="139" t="n"/>
      <x:c r="AK189" s="139" t="n"/>
      <x:c r="AL189" s="139" t="n"/>
      <x:c r="AM189" s="139" t="n"/>
      <x:c r="AN189" s="139" t="n"/>
      <x:c r="AO189" s="139" t="n"/>
      <x:c r="AP189" s="139" t="n"/>
      <x:c r="AQ189" s="139" t="n"/>
      <x:c r="AR189" s="139" t="n"/>
      <x:c r="AS189" s="139" t="n"/>
      <x:c r="AT189" s="139" t="n"/>
      <x:c r="AU189" s="139" t="n"/>
      <x:c r="AV189" s="139" t="n"/>
      <x:c r="AW189" s="139" t="n"/>
      <x:c r="AX189" s="139" t="n"/>
      <x:c r="AY189" s="139" t="n"/>
      <x:c r="AZ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c r="V190" s="139" t="n"/>
      <x:c r="W190" s="139" t="n"/>
      <x:c r="X190" s="139" t="n"/>
      <x:c r="Y190" s="139" t="n"/>
      <x:c r="Z190" s="139" t="n"/>
      <x:c r="AA190" s="139" t="n"/>
      <x:c r="AB190" s="139" t="n"/>
      <x:c r="AC190" s="139" t="n"/>
      <x:c r="AD190" s="139" t="n"/>
      <x:c r="AE190" s="139" t="n"/>
      <x:c r="AF190" s="139" t="n"/>
      <x:c r="AG190" s="139" t="n"/>
      <x:c r="AH190" s="139" t="n"/>
      <x:c r="AI190" s="139" t="n"/>
      <x:c r="AJ190" s="139" t="n"/>
      <x:c r="AK190" s="139" t="n"/>
      <x:c r="AL190" s="139" t="n"/>
      <x:c r="AM190" s="139" t="n"/>
      <x:c r="AN190" s="139" t="n"/>
      <x:c r="AO190" s="139" t="n"/>
      <x:c r="AP190" s="139" t="n"/>
      <x:c r="AQ190" s="139" t="n"/>
      <x:c r="AR190" s="139" t="n"/>
      <x:c r="AS190" s="139" t="n"/>
      <x:c r="AT190" s="139" t="n"/>
      <x:c r="AU190" s="139" t="n"/>
      <x:c r="AV190" s="139" t="n"/>
      <x:c r="AW190" s="139" t="n"/>
      <x:c r="AX190" s="139" t="n"/>
      <x:c r="AY190" s="139" t="n"/>
      <x:c r="AZ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c r="V191" s="139" t="n"/>
      <x:c r="W191" s="139" t="n"/>
      <x:c r="X191" s="139" t="n"/>
      <x:c r="Y191" s="139" t="n"/>
      <x:c r="Z191" s="139" t="n"/>
      <x:c r="AA191" s="139" t="n"/>
      <x:c r="AB191" s="139" t="n"/>
      <x:c r="AC191" s="139" t="n"/>
      <x:c r="AD191" s="139" t="n"/>
      <x:c r="AE191" s="139" t="n"/>
      <x:c r="AF191" s="139" t="n"/>
      <x:c r="AG191" s="139" t="n"/>
      <x:c r="AH191" s="139" t="n"/>
      <x:c r="AI191" s="139" t="n"/>
      <x:c r="AJ191" s="139" t="n"/>
      <x:c r="AK191" s="139" t="n"/>
      <x:c r="AL191" s="139" t="n"/>
      <x:c r="AM191" s="139" t="n"/>
      <x:c r="AN191" s="139" t="n"/>
      <x:c r="AO191" s="139" t="n"/>
      <x:c r="AP191" s="139" t="n"/>
      <x:c r="AQ191" s="139" t="n"/>
      <x:c r="AR191" s="139" t="n"/>
      <x:c r="AS191" s="139" t="n"/>
      <x:c r="AT191" s="139" t="n"/>
      <x:c r="AU191" s="139" t="n"/>
      <x:c r="AV191" s="139" t="n"/>
      <x:c r="AW191" s="139" t="n"/>
      <x:c r="AX191" s="139" t="n"/>
      <x:c r="AY191" s="139" t="n"/>
      <x:c r="AZ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c r="V192" s="139" t="n"/>
      <x:c r="W192" s="139" t="n"/>
      <x:c r="X192" s="139" t="n"/>
      <x:c r="Y192" s="139" t="n"/>
      <x:c r="Z192" s="139" t="n"/>
      <x:c r="AA192" s="139" t="n"/>
      <x:c r="AB192" s="139" t="n"/>
      <x:c r="AC192" s="139" t="n"/>
      <x:c r="AD192" s="139" t="n"/>
      <x:c r="AE192" s="139" t="n"/>
      <x:c r="AF192" s="139" t="n"/>
      <x:c r="AG192" s="139" t="n"/>
      <x:c r="AH192" s="139" t="n"/>
      <x:c r="AI192" s="139" t="n"/>
      <x:c r="AJ192" s="139" t="n"/>
      <x:c r="AK192" s="139" t="n"/>
      <x:c r="AL192" s="139" t="n"/>
      <x:c r="AM192" s="139" t="n"/>
      <x:c r="AN192" s="139" t="n"/>
      <x:c r="AO192" s="139" t="n"/>
      <x:c r="AP192" s="139" t="n"/>
      <x:c r="AQ192" s="139" t="n"/>
      <x:c r="AR192" s="139" t="n"/>
      <x:c r="AS192" s="139" t="n"/>
      <x:c r="AT192" s="139" t="n"/>
      <x:c r="AU192" s="139" t="n"/>
      <x:c r="AV192" s="139" t="n"/>
      <x:c r="AW192" s="139" t="n"/>
      <x:c r="AX192" s="139" t="n"/>
      <x:c r="AY192" s="139" t="n"/>
      <x:c r="AZ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c r="V193" s="139" t="n"/>
      <x:c r="W193" s="139" t="n"/>
      <x:c r="X193" s="139" t="n"/>
      <x:c r="Y193" s="139" t="n"/>
      <x:c r="Z193" s="139" t="n"/>
      <x:c r="AA193" s="139" t="n"/>
      <x:c r="AB193" s="139" t="n"/>
      <x:c r="AC193" s="139" t="n"/>
      <x:c r="AD193" s="139" t="n"/>
      <x:c r="AE193" s="139" t="n"/>
      <x:c r="AF193" s="139" t="n"/>
      <x:c r="AG193" s="139" t="n"/>
      <x:c r="AH193" s="139" t="n"/>
      <x:c r="AI193" s="139" t="n"/>
      <x:c r="AJ193" s="139" t="n"/>
      <x:c r="AK193" s="139" t="n"/>
      <x:c r="AL193" s="139" t="n"/>
      <x:c r="AM193" s="139" t="n"/>
      <x:c r="AN193" s="139" t="n"/>
      <x:c r="AO193" s="139" t="n"/>
      <x:c r="AP193" s="139" t="n"/>
      <x:c r="AQ193" s="139" t="n"/>
      <x:c r="AR193" s="139" t="n"/>
      <x:c r="AS193" s="139" t="n"/>
      <x:c r="AT193" s="139" t="n"/>
      <x:c r="AU193" s="139" t="n"/>
      <x:c r="AV193" s="139" t="n"/>
      <x:c r="AW193" s="139" t="n"/>
      <x:c r="AX193" s="139" t="n"/>
      <x:c r="AY193" s="139" t="n"/>
      <x:c r="AZ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c r="V194" s="139" t="n"/>
      <x:c r="W194" s="139" t="n"/>
      <x:c r="X194" s="139" t="n"/>
      <x:c r="Y194" s="139" t="n"/>
      <x:c r="Z194" s="139" t="n"/>
      <x:c r="AA194" s="139" t="n"/>
      <x:c r="AB194" s="139" t="n"/>
      <x:c r="AC194" s="139" t="n"/>
      <x:c r="AD194" s="139" t="n"/>
      <x:c r="AE194" s="139" t="n"/>
      <x:c r="AF194" s="139" t="n"/>
      <x:c r="AG194" s="139" t="n"/>
      <x:c r="AH194" s="139" t="n"/>
      <x:c r="AI194" s="139" t="n"/>
      <x:c r="AJ194" s="139" t="n"/>
      <x:c r="AK194" s="139" t="n"/>
      <x:c r="AL194" s="139" t="n"/>
      <x:c r="AM194" s="139" t="n"/>
      <x:c r="AN194" s="139" t="n"/>
      <x:c r="AO194" s="139" t="n"/>
      <x:c r="AP194" s="139" t="n"/>
      <x:c r="AQ194" s="139" t="n"/>
      <x:c r="AR194" s="139" t="n"/>
      <x:c r="AS194" s="139" t="n"/>
      <x:c r="AT194" s="139" t="n"/>
      <x:c r="AU194" s="139" t="n"/>
      <x:c r="AV194" s="139" t="n"/>
      <x:c r="AW194" s="139" t="n"/>
      <x:c r="AX194" s="139" t="n"/>
      <x:c r="AY194" s="139" t="n"/>
      <x:c r="AZ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c r="V195" s="139" t="n"/>
      <x:c r="W195" s="139" t="n"/>
      <x:c r="X195" s="139" t="n"/>
      <x:c r="Y195" s="139" t="n"/>
      <x:c r="Z195" s="139" t="n"/>
      <x:c r="AA195" s="139" t="n"/>
      <x:c r="AB195" s="139" t="n"/>
      <x:c r="AC195" s="139" t="n"/>
      <x:c r="AD195" s="139" t="n"/>
      <x:c r="AE195" s="139" t="n"/>
      <x:c r="AF195" s="139" t="n"/>
      <x:c r="AG195" s="139" t="n"/>
      <x:c r="AH195" s="139" t="n"/>
      <x:c r="AI195" s="139" t="n"/>
      <x:c r="AJ195" s="139" t="n"/>
      <x:c r="AK195" s="139" t="n"/>
      <x:c r="AL195" s="139" t="n"/>
      <x:c r="AM195" s="139" t="n"/>
      <x:c r="AN195" s="139" t="n"/>
      <x:c r="AO195" s="139" t="n"/>
      <x:c r="AP195" s="139" t="n"/>
      <x:c r="AQ195" s="139" t="n"/>
      <x:c r="AR195" s="139" t="n"/>
      <x:c r="AS195" s="139" t="n"/>
      <x:c r="AT195" s="139" t="n"/>
      <x:c r="AU195" s="139" t="n"/>
      <x:c r="AV195" s="139" t="n"/>
      <x:c r="AW195" s="139" t="n"/>
      <x:c r="AX195" s="139" t="n"/>
      <x:c r="AY195" s="139" t="n"/>
      <x:c r="AZ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c r="V196" s="139" t="n"/>
      <x:c r="W196" s="139" t="n"/>
      <x:c r="X196" s="139" t="n"/>
      <x:c r="Y196" s="139" t="n"/>
      <x:c r="Z196" s="139" t="n"/>
      <x:c r="AA196" s="139" t="n"/>
      <x:c r="AB196" s="139" t="n"/>
      <x:c r="AC196" s="139" t="n"/>
      <x:c r="AD196" s="139" t="n"/>
      <x:c r="AE196" s="139" t="n"/>
      <x:c r="AF196" s="139" t="n"/>
      <x:c r="AG196" s="139" t="n"/>
      <x:c r="AH196" s="139" t="n"/>
      <x:c r="AI196" s="139" t="n"/>
      <x:c r="AJ196" s="139" t="n"/>
      <x:c r="AK196" s="139" t="n"/>
      <x:c r="AL196" s="139" t="n"/>
      <x:c r="AM196" s="139" t="n"/>
      <x:c r="AN196" s="139" t="n"/>
      <x:c r="AO196" s="139" t="n"/>
      <x:c r="AP196" s="139" t="n"/>
      <x:c r="AQ196" s="139" t="n"/>
      <x:c r="AR196" s="139" t="n"/>
      <x:c r="AS196" s="139" t="n"/>
      <x:c r="AT196" s="139" t="n"/>
      <x:c r="AU196" s="139" t="n"/>
      <x:c r="AV196" s="139" t="n"/>
      <x:c r="AW196" s="139" t="n"/>
      <x:c r="AX196" s="139" t="n"/>
      <x:c r="AY196" s="139" t="n"/>
      <x:c r="AZ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c r="V197" s="139" t="n"/>
      <x:c r="W197" s="139" t="n"/>
      <x:c r="X197" s="139" t="n"/>
      <x:c r="Y197" s="139" t="n"/>
      <x:c r="Z197" s="139" t="n"/>
      <x:c r="AA197" s="139" t="n"/>
      <x:c r="AB197" s="139" t="n"/>
      <x:c r="AC197" s="139" t="n"/>
      <x:c r="AD197" s="139" t="n"/>
      <x:c r="AE197" s="139" t="n"/>
      <x:c r="AF197" s="139" t="n"/>
      <x:c r="AG197" s="139" t="n"/>
      <x:c r="AH197" s="139" t="n"/>
      <x:c r="AI197" s="139" t="n"/>
      <x:c r="AJ197" s="139" t="n"/>
      <x:c r="AK197" s="139" t="n"/>
      <x:c r="AL197" s="139" t="n"/>
      <x:c r="AM197" s="139" t="n"/>
      <x:c r="AN197" s="139" t="n"/>
      <x:c r="AO197" s="139" t="n"/>
      <x:c r="AP197" s="139" t="n"/>
      <x:c r="AQ197" s="139" t="n"/>
      <x:c r="AR197" s="139" t="n"/>
      <x:c r="AS197" s="139" t="n"/>
      <x:c r="AT197" s="139" t="n"/>
      <x:c r="AU197" s="139" t="n"/>
      <x:c r="AV197" s="139" t="n"/>
      <x:c r="AW197" s="139" t="n"/>
      <x:c r="AX197" s="139" t="n"/>
      <x:c r="AY197" s="139" t="n"/>
      <x:c r="AZ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c r="V198" s="139" t="n"/>
      <x:c r="W198" s="139" t="n"/>
      <x:c r="X198" s="139" t="n"/>
      <x:c r="Y198" s="139" t="n"/>
      <x:c r="Z198" s="139" t="n"/>
      <x:c r="AA198" s="139" t="n"/>
      <x:c r="AB198" s="139" t="n"/>
      <x:c r="AC198" s="139" t="n"/>
      <x:c r="AD198" s="139" t="n"/>
      <x:c r="AE198" s="139" t="n"/>
      <x:c r="AF198" s="139" t="n"/>
      <x:c r="AG198" s="139" t="n"/>
      <x:c r="AH198" s="139" t="n"/>
      <x:c r="AI198" s="139" t="n"/>
      <x:c r="AJ198" s="139" t="n"/>
      <x:c r="AK198" s="139" t="n"/>
      <x:c r="AL198" s="139" t="n"/>
      <x:c r="AM198" s="139" t="n"/>
      <x:c r="AN198" s="139" t="n"/>
      <x:c r="AO198" s="139" t="n"/>
      <x:c r="AP198" s="139" t="n"/>
      <x:c r="AQ198" s="139" t="n"/>
      <x:c r="AR198" s="139" t="n"/>
      <x:c r="AS198" s="139" t="n"/>
      <x:c r="AT198" s="139" t="n"/>
      <x:c r="AU198" s="139" t="n"/>
      <x:c r="AV198" s="139" t="n"/>
      <x:c r="AW198" s="139" t="n"/>
      <x:c r="AX198" s="139" t="n"/>
      <x:c r="AY198" s="139" t="n"/>
      <x:c r="AZ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c r="V199" s="139" t="n"/>
      <x:c r="W199" s="139" t="n"/>
      <x:c r="X199" s="139" t="n"/>
      <x:c r="Y199" s="139" t="n"/>
      <x:c r="Z199" s="139" t="n"/>
      <x:c r="AA199" s="139" t="n"/>
      <x:c r="AB199" s="139" t="n"/>
      <x:c r="AC199" s="139" t="n"/>
      <x:c r="AD199" s="139" t="n"/>
      <x:c r="AE199" s="139" t="n"/>
      <x:c r="AF199" s="139" t="n"/>
      <x:c r="AG199" s="139" t="n"/>
      <x:c r="AH199" s="139" t="n"/>
      <x:c r="AI199" s="139" t="n"/>
      <x:c r="AJ199" s="139" t="n"/>
      <x:c r="AK199" s="139" t="n"/>
      <x:c r="AL199" s="139" t="n"/>
      <x:c r="AM199" s="139" t="n"/>
      <x:c r="AN199" s="139" t="n"/>
      <x:c r="AO199" s="139" t="n"/>
      <x:c r="AP199" s="139" t="n"/>
      <x:c r="AQ199" s="139" t="n"/>
      <x:c r="AR199" s="139" t="n"/>
      <x:c r="AS199" s="139" t="n"/>
      <x:c r="AT199" s="139" t="n"/>
      <x:c r="AU199" s="139" t="n"/>
      <x:c r="AV199" s="139" t="n"/>
      <x:c r="AW199" s="139" t="n"/>
      <x:c r="AX199" s="139" t="n"/>
      <x:c r="AY199" s="139" t="n"/>
      <x:c r="AZ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c r="V200" s="139" t="n"/>
      <x:c r="W200" s="139" t="n"/>
      <x:c r="X200" s="139" t="n"/>
      <x:c r="Y200" s="139" t="n"/>
      <x:c r="Z200" s="139" t="n"/>
      <x:c r="AA200" s="139" t="n"/>
      <x:c r="AB200" s="139" t="n"/>
      <x:c r="AC200" s="139" t="n"/>
      <x:c r="AD200" s="139" t="n"/>
      <x:c r="AE200" s="139" t="n"/>
      <x:c r="AF200" s="139" t="n"/>
      <x:c r="AG200" s="139" t="n"/>
      <x:c r="AH200" s="139" t="n"/>
      <x:c r="AI200" s="139" t="n"/>
      <x:c r="AJ200" s="139" t="n"/>
      <x:c r="AK200" s="139" t="n"/>
      <x:c r="AL200" s="139" t="n"/>
      <x:c r="AM200" s="139" t="n"/>
      <x:c r="AN200" s="139" t="n"/>
      <x:c r="AO200" s="139" t="n"/>
      <x:c r="AP200" s="139" t="n"/>
      <x:c r="AQ200" s="139" t="n"/>
      <x:c r="AR200" s="139" t="n"/>
      <x:c r="AS200" s="139" t="n"/>
      <x:c r="AT200" s="139" t="n"/>
      <x:c r="AU200" s="139" t="n"/>
      <x:c r="AV200" s="139" t="n"/>
      <x:c r="AW200" s="139" t="n"/>
      <x:c r="AX200" s="139" t="n"/>
      <x:c r="AY200" s="139" t="n"/>
      <x:c r="AZ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c r="V201" s="139" t="n"/>
      <x:c r="W201" s="139" t="n"/>
      <x:c r="X201" s="139" t="n"/>
      <x:c r="Y201" s="139" t="n"/>
      <x:c r="Z201" s="139" t="n"/>
      <x:c r="AA201" s="139" t="n"/>
      <x:c r="AB201" s="139" t="n"/>
      <x:c r="AC201" s="139" t="n"/>
      <x:c r="AD201" s="139" t="n"/>
      <x:c r="AE201" s="139" t="n"/>
      <x:c r="AF201" s="139" t="n"/>
      <x:c r="AG201" s="139" t="n"/>
      <x:c r="AH201" s="139" t="n"/>
      <x:c r="AI201" s="139" t="n"/>
      <x:c r="AJ201" s="139" t="n"/>
      <x:c r="AK201" s="139" t="n"/>
      <x:c r="AL201" s="139" t="n"/>
      <x:c r="AM201" s="139" t="n"/>
      <x:c r="AN201" s="139" t="n"/>
      <x:c r="AO201" s="139" t="n"/>
      <x:c r="AP201" s="139" t="n"/>
      <x:c r="AQ201" s="139" t="n"/>
      <x:c r="AR201" s="139" t="n"/>
      <x:c r="AS201" s="139" t="n"/>
      <x:c r="AT201" s="139" t="n"/>
      <x:c r="AU201" s="139" t="n"/>
      <x:c r="AV201" s="139" t="n"/>
      <x:c r="AW201" s="139" t="n"/>
      <x:c r="AX201" s="139" t="n"/>
      <x:c r="AY201" s="139" t="n"/>
      <x:c r="AZ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c r="V202" s="139" t="n"/>
      <x:c r="W202" s="139" t="n"/>
      <x:c r="X202" s="139" t="n"/>
      <x:c r="Y202" s="139" t="n"/>
      <x:c r="Z202" s="139" t="n"/>
      <x:c r="AA202" s="139" t="n"/>
      <x:c r="AB202" s="139" t="n"/>
      <x:c r="AC202" s="139" t="n"/>
      <x:c r="AD202" s="139" t="n"/>
      <x:c r="AE202" s="139" t="n"/>
      <x:c r="AF202" s="139" t="n"/>
      <x:c r="AG202" s="139" t="n"/>
      <x:c r="AH202" s="139" t="n"/>
      <x:c r="AI202" s="139" t="n"/>
      <x:c r="AJ202" s="139" t="n"/>
      <x:c r="AK202" s="139" t="n"/>
      <x:c r="AL202" s="139" t="n"/>
      <x:c r="AM202" s="139" t="n"/>
      <x:c r="AN202" s="139" t="n"/>
      <x:c r="AO202" s="139" t="n"/>
      <x:c r="AP202" s="139" t="n"/>
      <x:c r="AQ202" s="139" t="n"/>
      <x:c r="AR202" s="139" t="n"/>
      <x:c r="AS202" s="139" t="n"/>
      <x:c r="AT202" s="139" t="n"/>
      <x:c r="AU202" s="139" t="n"/>
      <x:c r="AV202" s="139" t="n"/>
      <x:c r="AW202" s="139" t="n"/>
      <x:c r="AX202" s="139" t="n"/>
      <x:c r="AY202" s="139" t="n"/>
      <x:c r="AZ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c r="V203" s="139" t="n"/>
      <x:c r="W203" s="139" t="n"/>
      <x:c r="X203" s="139" t="n"/>
      <x:c r="Y203" s="139" t="n"/>
      <x:c r="Z203" s="139" t="n"/>
      <x:c r="AA203" s="139" t="n"/>
      <x:c r="AB203" s="139" t="n"/>
      <x:c r="AC203" s="139" t="n"/>
      <x:c r="AD203" s="139" t="n"/>
      <x:c r="AE203" s="139" t="n"/>
      <x:c r="AF203" s="139" t="n"/>
      <x:c r="AG203" s="139" t="n"/>
      <x:c r="AH203" s="139" t="n"/>
      <x:c r="AI203" s="139" t="n"/>
      <x:c r="AJ203" s="139" t="n"/>
      <x:c r="AK203" s="139" t="n"/>
      <x:c r="AL203" s="139" t="n"/>
      <x:c r="AM203" s="139" t="n"/>
      <x:c r="AN203" s="139" t="n"/>
      <x:c r="AO203" s="139" t="n"/>
      <x:c r="AP203" s="139" t="n"/>
      <x:c r="AQ203" s="139" t="n"/>
      <x:c r="AR203" s="139" t="n"/>
      <x:c r="AS203" s="139" t="n"/>
      <x:c r="AT203" s="139" t="n"/>
      <x:c r="AU203" s="139" t="n"/>
      <x:c r="AV203" s="139" t="n"/>
      <x:c r="AW203" s="139" t="n"/>
      <x:c r="AX203" s="139" t="n"/>
      <x:c r="AY203" s="139" t="n"/>
      <x:c r="AZ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c r="V204" s="139" t="n"/>
      <x:c r="W204" s="139" t="n"/>
      <x:c r="X204" s="139" t="n"/>
      <x:c r="Y204" s="139" t="n"/>
      <x:c r="Z204" s="139" t="n"/>
      <x:c r="AA204" s="139" t="n"/>
      <x:c r="AB204" s="139" t="n"/>
      <x:c r="AC204" s="139" t="n"/>
      <x:c r="AD204" s="139" t="n"/>
      <x:c r="AE204" s="139" t="n"/>
      <x:c r="AF204" s="139" t="n"/>
      <x:c r="AG204" s="139" t="n"/>
      <x:c r="AH204" s="139" t="n"/>
      <x:c r="AI204" s="139" t="n"/>
      <x:c r="AJ204" s="139" t="n"/>
      <x:c r="AK204" s="139" t="n"/>
      <x:c r="AL204" s="139" t="n"/>
      <x:c r="AM204" s="139" t="n"/>
      <x:c r="AN204" s="139" t="n"/>
      <x:c r="AO204" s="139" t="n"/>
      <x:c r="AP204" s="139" t="n"/>
      <x:c r="AQ204" s="139" t="n"/>
      <x:c r="AR204" s="139" t="n"/>
      <x:c r="AS204" s="139" t="n"/>
      <x:c r="AT204" s="139" t="n"/>
      <x:c r="AU204" s="139" t="n"/>
      <x:c r="AV204" s="139" t="n"/>
      <x:c r="AW204" s="139" t="n"/>
      <x:c r="AX204" s="139" t="n"/>
      <x:c r="AY204" s="139" t="n"/>
      <x:c r="AZ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c r="V205" s="139" t="n"/>
      <x:c r="W205" s="139" t="n"/>
      <x:c r="X205" s="139" t="n"/>
      <x:c r="Y205" s="139" t="n"/>
      <x:c r="Z205" s="139" t="n"/>
      <x:c r="AA205" s="139" t="n"/>
      <x:c r="AB205" s="139" t="n"/>
      <x:c r="AC205" s="139" t="n"/>
      <x:c r="AD205" s="139" t="n"/>
      <x:c r="AE205" s="139" t="n"/>
      <x:c r="AF205" s="139" t="n"/>
      <x:c r="AG205" s="139" t="n"/>
      <x:c r="AH205" s="139" t="n"/>
      <x:c r="AI205" s="139" t="n"/>
      <x:c r="AJ205" s="139" t="n"/>
      <x:c r="AK205" s="139" t="n"/>
      <x:c r="AL205" s="139" t="n"/>
      <x:c r="AM205" s="139" t="n"/>
      <x:c r="AN205" s="139" t="n"/>
      <x:c r="AO205" s="139" t="n"/>
      <x:c r="AP205" s="139" t="n"/>
      <x:c r="AQ205" s="139" t="n"/>
      <x:c r="AR205" s="139" t="n"/>
      <x:c r="AS205" s="139" t="n"/>
      <x:c r="AT205" s="139" t="n"/>
      <x:c r="AU205" s="139" t="n"/>
      <x:c r="AV205" s="139" t="n"/>
      <x:c r="AW205" s="139" t="n"/>
      <x:c r="AX205" s="139" t="n"/>
      <x:c r="AY205" s="139" t="n"/>
      <x:c r="AZ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c r="V206" s="139" t="n"/>
      <x:c r="W206" s="139" t="n"/>
      <x:c r="X206" s="139" t="n"/>
      <x:c r="Y206" s="139" t="n"/>
      <x:c r="Z206" s="139" t="n"/>
      <x:c r="AA206" s="139" t="n"/>
      <x:c r="AB206" s="139" t="n"/>
      <x:c r="AC206" s="139" t="n"/>
      <x:c r="AD206" s="139" t="n"/>
      <x:c r="AE206" s="139" t="n"/>
      <x:c r="AF206" s="139" t="n"/>
      <x:c r="AG206" s="139" t="n"/>
      <x:c r="AH206" s="139" t="n"/>
      <x:c r="AI206" s="139" t="n"/>
      <x:c r="AJ206" s="139" t="n"/>
      <x:c r="AK206" s="139" t="n"/>
      <x:c r="AL206" s="139" t="n"/>
      <x:c r="AM206" s="139" t="n"/>
      <x:c r="AN206" s="139" t="n"/>
      <x:c r="AO206" s="139" t="n"/>
      <x:c r="AP206" s="139" t="n"/>
      <x:c r="AQ206" s="139" t="n"/>
      <x:c r="AR206" s="139" t="n"/>
      <x:c r="AS206" s="139" t="n"/>
      <x:c r="AT206" s="139" t="n"/>
      <x:c r="AU206" s="139" t="n"/>
      <x:c r="AV206" s="139" t="n"/>
      <x:c r="AW206" s="139" t="n"/>
      <x:c r="AX206" s="139" t="n"/>
      <x:c r="AY206" s="139" t="n"/>
      <x:c r="AZ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c r="V207" s="139" t="n"/>
      <x:c r="W207" s="139" t="n"/>
      <x:c r="X207" s="139" t="n"/>
      <x:c r="Y207" s="139" t="n"/>
      <x:c r="Z207" s="139" t="n"/>
      <x:c r="AA207" s="139" t="n"/>
      <x:c r="AB207" s="139" t="n"/>
      <x:c r="AC207" s="139" t="n"/>
      <x:c r="AD207" s="139" t="n"/>
      <x:c r="AE207" s="139" t="n"/>
      <x:c r="AF207" s="139" t="n"/>
      <x:c r="AG207" s="139" t="n"/>
      <x:c r="AH207" s="139" t="n"/>
      <x:c r="AI207" s="139" t="n"/>
      <x:c r="AJ207" s="139" t="n"/>
      <x:c r="AK207" s="139" t="n"/>
      <x:c r="AL207" s="139" t="n"/>
      <x:c r="AM207" s="139" t="n"/>
      <x:c r="AN207" s="139" t="n"/>
      <x:c r="AO207" s="139" t="n"/>
      <x:c r="AP207" s="139" t="n"/>
      <x:c r="AQ207" s="139" t="n"/>
      <x:c r="AR207" s="139" t="n"/>
      <x:c r="AS207" s="139" t="n"/>
      <x:c r="AT207" s="139" t="n"/>
      <x:c r="AU207" s="139" t="n"/>
      <x:c r="AV207" s="139" t="n"/>
      <x:c r="AW207" s="139" t="n"/>
      <x:c r="AX207" s="139" t="n"/>
      <x:c r="AY207" s="139" t="n"/>
      <x:c r="AZ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c r="V208" s="139" t="n"/>
      <x:c r="W208" s="139" t="n"/>
      <x:c r="X208" s="139" t="n"/>
      <x:c r="Y208" s="139" t="n"/>
      <x:c r="Z208" s="139" t="n"/>
      <x:c r="AA208" s="139" t="n"/>
      <x:c r="AB208" s="139" t="n"/>
      <x:c r="AC208" s="139" t="n"/>
      <x:c r="AD208" s="139" t="n"/>
      <x:c r="AE208" s="139" t="n"/>
      <x:c r="AF208" s="139" t="n"/>
      <x:c r="AG208" s="139" t="n"/>
      <x:c r="AH208" s="139" t="n"/>
      <x:c r="AI208" s="139" t="n"/>
      <x:c r="AJ208" s="139" t="n"/>
      <x:c r="AK208" s="139" t="n"/>
      <x:c r="AL208" s="139" t="n"/>
      <x:c r="AM208" s="139" t="n"/>
      <x:c r="AN208" s="139" t="n"/>
      <x:c r="AO208" s="139" t="n"/>
      <x:c r="AP208" s="139" t="n"/>
      <x:c r="AQ208" s="139" t="n"/>
      <x:c r="AR208" s="139" t="n"/>
      <x:c r="AS208" s="139" t="n"/>
      <x:c r="AT208" s="139" t="n"/>
      <x:c r="AU208" s="139" t="n"/>
      <x:c r="AV208" s="139" t="n"/>
      <x:c r="AW208" s="139" t="n"/>
      <x:c r="AX208" s="139" t="n"/>
      <x:c r="AY208" s="139" t="n"/>
      <x:c r="AZ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c r="V209" s="139" t="n"/>
      <x:c r="W209" s="139" t="n"/>
      <x:c r="X209" s="139" t="n"/>
      <x:c r="Y209" s="139" t="n"/>
      <x:c r="Z209" s="139" t="n"/>
      <x:c r="AA209" s="139" t="n"/>
      <x:c r="AB209" s="139" t="n"/>
      <x:c r="AC209" s="139" t="n"/>
      <x:c r="AD209" s="139" t="n"/>
      <x:c r="AE209" s="139" t="n"/>
      <x:c r="AF209" s="139" t="n"/>
      <x:c r="AG209" s="139" t="n"/>
      <x:c r="AH209" s="139" t="n"/>
      <x:c r="AI209" s="139" t="n"/>
      <x:c r="AJ209" s="139" t="n"/>
      <x:c r="AK209" s="139" t="n"/>
      <x:c r="AL209" s="139" t="n"/>
      <x:c r="AM209" s="139" t="n"/>
      <x:c r="AN209" s="139" t="n"/>
      <x:c r="AO209" s="139" t="n"/>
      <x:c r="AP209" s="139" t="n"/>
      <x:c r="AQ209" s="139" t="n"/>
      <x:c r="AR209" s="139" t="n"/>
      <x:c r="AS209" s="139" t="n"/>
      <x:c r="AT209" s="139" t="n"/>
      <x:c r="AU209" s="139" t="n"/>
      <x:c r="AV209" s="139" t="n"/>
      <x:c r="AW209" s="139" t="n"/>
      <x:c r="AX209" s="139" t="n"/>
      <x:c r="AY209" s="139" t="n"/>
      <x:c r="AZ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c r="V210" s="139" t="n"/>
      <x:c r="W210" s="139" t="n"/>
      <x:c r="X210" s="139" t="n"/>
      <x:c r="Y210" s="139" t="n"/>
      <x:c r="Z210" s="139" t="n"/>
      <x:c r="AA210" s="139" t="n"/>
      <x:c r="AB210" s="139" t="n"/>
      <x:c r="AC210" s="139" t="n"/>
      <x:c r="AD210" s="139" t="n"/>
      <x:c r="AE210" s="139" t="n"/>
      <x:c r="AF210" s="139" t="n"/>
      <x:c r="AG210" s="139" t="n"/>
      <x:c r="AH210" s="139" t="n"/>
      <x:c r="AI210" s="139" t="n"/>
      <x:c r="AJ210" s="139" t="n"/>
      <x:c r="AK210" s="139" t="n"/>
      <x:c r="AL210" s="139" t="n"/>
      <x:c r="AM210" s="139" t="n"/>
      <x:c r="AN210" s="139" t="n"/>
      <x:c r="AO210" s="139" t="n"/>
      <x:c r="AP210" s="139" t="n"/>
      <x:c r="AQ210" s="139" t="n"/>
      <x:c r="AR210" s="139" t="n"/>
      <x:c r="AS210" s="139" t="n"/>
      <x:c r="AT210" s="139" t="n"/>
      <x:c r="AU210" s="139" t="n"/>
      <x:c r="AV210" s="139" t="n"/>
      <x:c r="AW210" s="139" t="n"/>
      <x:c r="AX210" s="139" t="n"/>
      <x:c r="AY210" s="139" t="n"/>
      <x:c r="AZ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c r="V211" s="139" t="n"/>
      <x:c r="W211" s="139" t="n"/>
      <x:c r="X211" s="139" t="n"/>
      <x:c r="Y211" s="139" t="n"/>
      <x:c r="Z211" s="139" t="n"/>
      <x:c r="AA211" s="139" t="n"/>
      <x:c r="AB211" s="139" t="n"/>
      <x:c r="AC211" s="139" t="n"/>
      <x:c r="AD211" s="139" t="n"/>
      <x:c r="AE211" s="139" t="n"/>
      <x:c r="AF211" s="139" t="n"/>
      <x:c r="AG211" s="139" t="n"/>
      <x:c r="AH211" s="139" t="n"/>
      <x:c r="AI211" s="139" t="n"/>
      <x:c r="AJ211" s="139" t="n"/>
      <x:c r="AK211" s="139" t="n"/>
      <x:c r="AL211" s="139" t="n"/>
      <x:c r="AM211" s="139" t="n"/>
      <x:c r="AN211" s="139" t="n"/>
      <x:c r="AO211" s="139" t="n"/>
      <x:c r="AP211" s="139" t="n"/>
      <x:c r="AQ211" s="139" t="n"/>
      <x:c r="AR211" s="139" t="n"/>
      <x:c r="AS211" s="139" t="n"/>
      <x:c r="AT211" s="139" t="n"/>
      <x:c r="AU211" s="139" t="n"/>
      <x:c r="AV211" s="139" t="n"/>
      <x:c r="AW211" s="139" t="n"/>
      <x:c r="AX211" s="139" t="n"/>
      <x:c r="AY211" s="139" t="n"/>
      <x:c r="AZ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c r="V212" s="139" t="n"/>
      <x:c r="W212" s="139" t="n"/>
      <x:c r="X212" s="139" t="n"/>
      <x:c r="Y212" s="139" t="n"/>
      <x:c r="Z212" s="139" t="n"/>
      <x:c r="AA212" s="139" t="n"/>
      <x:c r="AB212" s="139" t="n"/>
      <x:c r="AC212" s="139" t="n"/>
      <x:c r="AD212" s="139" t="n"/>
      <x:c r="AE212" s="139" t="n"/>
      <x:c r="AF212" s="139" t="n"/>
      <x:c r="AG212" s="139" t="n"/>
      <x:c r="AH212" s="139" t="n"/>
      <x:c r="AI212" s="139" t="n"/>
      <x:c r="AJ212" s="139" t="n"/>
      <x:c r="AK212" s="139" t="n"/>
      <x:c r="AL212" s="139" t="n"/>
      <x:c r="AM212" s="139" t="n"/>
      <x:c r="AN212" s="139" t="n"/>
      <x:c r="AO212" s="139" t="n"/>
      <x:c r="AP212" s="139" t="n"/>
      <x:c r="AQ212" s="139" t="n"/>
      <x:c r="AR212" s="139" t="n"/>
      <x:c r="AS212" s="139" t="n"/>
      <x:c r="AT212" s="139" t="n"/>
      <x:c r="AU212" s="139" t="n"/>
      <x:c r="AV212" s="139" t="n"/>
      <x:c r="AW212" s="139" t="n"/>
      <x:c r="AX212" s="139" t="n"/>
      <x:c r="AY212" s="139" t="n"/>
      <x:c r="AZ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c r="V213" s="139" t="n"/>
      <x:c r="W213" s="139" t="n"/>
      <x:c r="X213" s="139" t="n"/>
      <x:c r="Y213" s="139" t="n"/>
      <x:c r="Z213" s="139" t="n"/>
      <x:c r="AA213" s="139" t="n"/>
      <x:c r="AB213" s="139" t="n"/>
      <x:c r="AC213" s="139" t="n"/>
      <x:c r="AD213" s="139" t="n"/>
      <x:c r="AE213" s="139" t="n"/>
      <x:c r="AF213" s="139" t="n"/>
      <x:c r="AG213" s="139" t="n"/>
      <x:c r="AH213" s="139" t="n"/>
      <x:c r="AI213" s="139" t="n"/>
      <x:c r="AJ213" s="139" t="n"/>
      <x:c r="AK213" s="139" t="n"/>
      <x:c r="AL213" s="139" t="n"/>
      <x:c r="AM213" s="139" t="n"/>
      <x:c r="AN213" s="139" t="n"/>
      <x:c r="AO213" s="139" t="n"/>
      <x:c r="AP213" s="139" t="n"/>
      <x:c r="AQ213" s="139" t="n"/>
      <x:c r="AR213" s="139" t="n"/>
      <x:c r="AS213" s="139" t="n"/>
      <x:c r="AT213" s="139" t="n"/>
      <x:c r="AU213" s="139" t="n"/>
      <x:c r="AV213" s="139" t="n"/>
      <x:c r="AW213" s="139" t="n"/>
      <x:c r="AX213" s="139" t="n"/>
      <x:c r="AY213" s="139" t="n"/>
      <x:c r="AZ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c r="V214" s="139" t="n"/>
      <x:c r="W214" s="139" t="n"/>
      <x:c r="X214" s="139" t="n"/>
      <x:c r="Y214" s="139" t="n"/>
      <x:c r="Z214" s="139" t="n"/>
      <x:c r="AA214" s="139" t="n"/>
      <x:c r="AB214" s="139" t="n"/>
      <x:c r="AC214" s="139" t="n"/>
      <x:c r="AD214" s="139" t="n"/>
      <x:c r="AE214" s="139" t="n"/>
      <x:c r="AF214" s="139" t="n"/>
      <x:c r="AG214" s="139" t="n"/>
      <x:c r="AH214" s="139" t="n"/>
      <x:c r="AI214" s="139" t="n"/>
      <x:c r="AJ214" s="139" t="n"/>
      <x:c r="AK214" s="139" t="n"/>
      <x:c r="AL214" s="139" t="n"/>
      <x:c r="AM214" s="139" t="n"/>
      <x:c r="AN214" s="139" t="n"/>
      <x:c r="AO214" s="139" t="n"/>
      <x:c r="AP214" s="139" t="n"/>
      <x:c r="AQ214" s="139" t="n"/>
      <x:c r="AR214" s="139" t="n"/>
      <x:c r="AS214" s="139" t="n"/>
      <x:c r="AT214" s="139" t="n"/>
      <x:c r="AU214" s="139" t="n"/>
      <x:c r="AV214" s="139" t="n"/>
      <x:c r="AW214" s="139" t="n"/>
      <x:c r="AX214" s="139" t="n"/>
      <x:c r="AY214" s="139" t="n"/>
      <x:c r="AZ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c r="V215" s="139" t="n"/>
      <x:c r="W215" s="139" t="n"/>
      <x:c r="X215" s="139" t="n"/>
      <x:c r="Y215" s="139" t="n"/>
      <x:c r="Z215" s="139" t="n"/>
      <x:c r="AA215" s="139" t="n"/>
      <x:c r="AB215" s="139" t="n"/>
      <x:c r="AC215" s="139" t="n"/>
      <x:c r="AD215" s="139" t="n"/>
      <x:c r="AE215" s="139" t="n"/>
      <x:c r="AF215" s="139" t="n"/>
      <x:c r="AG215" s="139" t="n"/>
      <x:c r="AH215" s="139" t="n"/>
      <x:c r="AI215" s="139" t="n"/>
      <x:c r="AJ215" s="139" t="n"/>
      <x:c r="AK215" s="139" t="n"/>
      <x:c r="AL215" s="139" t="n"/>
      <x:c r="AM215" s="139" t="n"/>
      <x:c r="AN215" s="139" t="n"/>
      <x:c r="AO215" s="139" t="n"/>
      <x:c r="AP215" s="139" t="n"/>
      <x:c r="AQ215" s="139" t="n"/>
      <x:c r="AR215" s="139" t="n"/>
      <x:c r="AS215" s="139" t="n"/>
      <x:c r="AT215" s="139" t="n"/>
      <x:c r="AU215" s="139" t="n"/>
      <x:c r="AV215" s="139" t="n"/>
      <x:c r="AW215" s="139" t="n"/>
      <x:c r="AX215" s="139" t="n"/>
      <x:c r="AY215" s="139" t="n"/>
      <x:c r="AZ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c r="V216" s="139" t="n"/>
      <x:c r="W216" s="139" t="n"/>
      <x:c r="X216" s="139" t="n"/>
      <x:c r="Y216" s="139" t="n"/>
      <x:c r="Z216" s="139" t="n"/>
      <x:c r="AA216" s="139" t="n"/>
      <x:c r="AB216" s="139" t="n"/>
      <x:c r="AC216" s="139" t="n"/>
      <x:c r="AD216" s="139" t="n"/>
      <x:c r="AE216" s="139" t="n"/>
      <x:c r="AF216" s="139" t="n"/>
      <x:c r="AG216" s="139" t="n"/>
      <x:c r="AH216" s="139" t="n"/>
      <x:c r="AI216" s="139" t="n"/>
      <x:c r="AJ216" s="139" t="n"/>
      <x:c r="AK216" s="139" t="n"/>
      <x:c r="AL216" s="139" t="n"/>
      <x:c r="AM216" s="139" t="n"/>
      <x:c r="AN216" s="139" t="n"/>
      <x:c r="AO216" s="139" t="n"/>
      <x:c r="AP216" s="139" t="n"/>
      <x:c r="AQ216" s="139" t="n"/>
      <x:c r="AR216" s="139" t="n"/>
      <x:c r="AS216" s="139" t="n"/>
      <x:c r="AT216" s="139" t="n"/>
      <x:c r="AU216" s="139" t="n"/>
      <x:c r="AV216" s="139" t="n"/>
      <x:c r="AW216" s="139" t="n"/>
      <x:c r="AX216" s="139" t="n"/>
      <x:c r="AY216" s="139" t="n"/>
      <x:c r="AZ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c r="V217" s="139" t="n"/>
      <x:c r="W217" s="139" t="n"/>
      <x:c r="X217" s="139" t="n"/>
      <x:c r="Y217" s="139" t="n"/>
      <x:c r="Z217" s="139" t="n"/>
      <x:c r="AA217" s="139" t="n"/>
      <x:c r="AB217" s="139" t="n"/>
      <x:c r="AC217" s="139" t="n"/>
      <x:c r="AD217" s="139" t="n"/>
      <x:c r="AE217" s="139" t="n"/>
      <x:c r="AF217" s="139" t="n"/>
      <x:c r="AG217" s="139" t="n"/>
      <x:c r="AH217" s="139" t="n"/>
      <x:c r="AI217" s="139" t="n"/>
      <x:c r="AJ217" s="139" t="n"/>
      <x:c r="AK217" s="139" t="n"/>
      <x:c r="AL217" s="139" t="n"/>
      <x:c r="AM217" s="139" t="n"/>
      <x:c r="AN217" s="139" t="n"/>
      <x:c r="AO217" s="139" t="n"/>
      <x:c r="AP217" s="139" t="n"/>
      <x:c r="AQ217" s="139" t="n"/>
      <x:c r="AR217" s="139" t="n"/>
      <x:c r="AS217" s="139" t="n"/>
      <x:c r="AT217" s="139" t="n"/>
      <x:c r="AU217" s="139" t="n"/>
      <x:c r="AV217" s="139" t="n"/>
      <x:c r="AW217" s="139" t="n"/>
      <x:c r="AX217" s="139" t="n"/>
      <x:c r="AY217" s="139" t="n"/>
      <x:c r="AZ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c r="V218" s="139" t="n"/>
      <x:c r="W218" s="139" t="n"/>
      <x:c r="X218" s="139" t="n"/>
      <x:c r="Y218" s="139" t="n"/>
      <x:c r="Z218" s="139" t="n"/>
      <x:c r="AA218" s="139" t="n"/>
      <x:c r="AB218" s="139" t="n"/>
      <x:c r="AC218" s="139" t="n"/>
      <x:c r="AD218" s="139" t="n"/>
      <x:c r="AE218" s="139" t="n"/>
      <x:c r="AF218" s="139" t="n"/>
      <x:c r="AG218" s="139" t="n"/>
      <x:c r="AH218" s="139" t="n"/>
      <x:c r="AI218" s="139" t="n"/>
      <x:c r="AJ218" s="139" t="n"/>
      <x:c r="AK218" s="139" t="n"/>
      <x:c r="AL218" s="139" t="n"/>
      <x:c r="AM218" s="139" t="n"/>
      <x:c r="AN218" s="139" t="n"/>
      <x:c r="AO218" s="139" t="n"/>
      <x:c r="AP218" s="139" t="n"/>
      <x:c r="AQ218" s="139" t="n"/>
      <x:c r="AR218" s="139" t="n"/>
      <x:c r="AS218" s="139" t="n"/>
      <x:c r="AT218" s="139" t="n"/>
      <x:c r="AU218" s="139" t="n"/>
      <x:c r="AV218" s="139" t="n"/>
      <x:c r="AW218" s="139" t="n"/>
      <x:c r="AX218" s="139" t="n"/>
      <x:c r="AY218" s="139" t="n"/>
      <x:c r="AZ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c r="V219" s="139" t="n"/>
      <x:c r="W219" s="139" t="n"/>
      <x:c r="X219" s="139" t="n"/>
      <x:c r="Y219" s="139" t="n"/>
      <x:c r="Z219" s="139" t="n"/>
      <x:c r="AA219" s="139" t="n"/>
      <x:c r="AB219" s="139" t="n"/>
      <x:c r="AC219" s="139" t="n"/>
      <x:c r="AD219" s="139" t="n"/>
      <x:c r="AE219" s="139" t="n"/>
      <x:c r="AF219" s="139" t="n"/>
      <x:c r="AG219" s="139" t="n"/>
      <x:c r="AH219" s="139" t="n"/>
      <x:c r="AI219" s="139" t="n"/>
      <x:c r="AJ219" s="139" t="n"/>
      <x:c r="AK219" s="139" t="n"/>
      <x:c r="AL219" s="139" t="n"/>
      <x:c r="AM219" s="139" t="n"/>
      <x:c r="AN219" s="139" t="n"/>
      <x:c r="AO219" s="139" t="n"/>
      <x:c r="AP219" s="139" t="n"/>
      <x:c r="AQ219" s="139" t="n"/>
      <x:c r="AR219" s="139" t="n"/>
      <x:c r="AS219" s="139" t="n"/>
      <x:c r="AT219" s="139" t="n"/>
      <x:c r="AU219" s="139" t="n"/>
      <x:c r="AV219" s="139" t="n"/>
      <x:c r="AW219" s="139" t="n"/>
      <x:c r="AX219" s="139" t="n"/>
      <x:c r="AY219" s="139" t="n"/>
      <x:c r="AZ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c r="V220" s="139" t="n"/>
      <x:c r="W220" s="139" t="n"/>
      <x:c r="X220" s="139" t="n"/>
      <x:c r="Y220" s="139" t="n"/>
      <x:c r="Z220" s="139" t="n"/>
      <x:c r="AA220" s="139" t="n"/>
      <x:c r="AB220" s="139" t="n"/>
      <x:c r="AC220" s="139" t="n"/>
      <x:c r="AD220" s="139" t="n"/>
      <x:c r="AE220" s="139" t="n"/>
      <x:c r="AF220" s="139" t="n"/>
      <x:c r="AG220" s="139" t="n"/>
      <x:c r="AH220" s="139" t="n"/>
      <x:c r="AI220" s="139" t="n"/>
      <x:c r="AJ220" s="139" t="n"/>
      <x:c r="AK220" s="139" t="n"/>
      <x:c r="AL220" s="139" t="n"/>
      <x:c r="AM220" s="139" t="n"/>
      <x:c r="AN220" s="139" t="n"/>
      <x:c r="AO220" s="139" t="n"/>
      <x:c r="AP220" s="139" t="n"/>
      <x:c r="AQ220" s="139" t="n"/>
      <x:c r="AR220" s="139" t="n"/>
      <x:c r="AS220" s="139" t="n"/>
      <x:c r="AT220" s="139" t="n"/>
      <x:c r="AU220" s="139" t="n"/>
      <x:c r="AV220" s="139" t="n"/>
      <x:c r="AW220" s="139" t="n"/>
      <x:c r="AX220" s="139" t="n"/>
      <x:c r="AY220" s="139" t="n"/>
      <x:c r="AZ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c r="V221" s="139" t="n"/>
      <x:c r="W221" s="139" t="n"/>
      <x:c r="X221" s="139" t="n"/>
      <x:c r="Y221" s="139" t="n"/>
      <x:c r="Z221" s="139" t="n"/>
      <x:c r="AA221" s="139" t="n"/>
      <x:c r="AB221" s="139" t="n"/>
      <x:c r="AC221" s="139" t="n"/>
      <x:c r="AD221" s="139" t="n"/>
      <x:c r="AE221" s="139" t="n"/>
      <x:c r="AF221" s="139" t="n"/>
      <x:c r="AG221" s="139" t="n"/>
      <x:c r="AH221" s="139" t="n"/>
      <x:c r="AI221" s="139" t="n"/>
      <x:c r="AJ221" s="139" t="n"/>
      <x:c r="AK221" s="139" t="n"/>
      <x:c r="AL221" s="139" t="n"/>
      <x:c r="AM221" s="139" t="n"/>
      <x:c r="AN221" s="139" t="n"/>
      <x:c r="AO221" s="139" t="n"/>
      <x:c r="AP221" s="139" t="n"/>
      <x:c r="AQ221" s="139" t="n"/>
      <x:c r="AR221" s="139" t="n"/>
      <x:c r="AS221" s="139" t="n"/>
      <x:c r="AT221" s="139" t="n"/>
      <x:c r="AU221" s="139" t="n"/>
      <x:c r="AV221" s="139" t="n"/>
      <x:c r="AW221" s="139" t="n"/>
      <x:c r="AX221" s="139" t="n"/>
      <x:c r="AY221" s="139" t="n"/>
      <x:c r="AZ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c r="V222" s="139" t="n"/>
      <x:c r="W222" s="139" t="n"/>
      <x:c r="X222" s="139" t="n"/>
      <x:c r="Y222" s="139" t="n"/>
      <x:c r="Z222" s="139" t="n"/>
      <x:c r="AA222" s="139" t="n"/>
      <x:c r="AB222" s="139" t="n"/>
      <x:c r="AC222" s="139" t="n"/>
      <x:c r="AD222" s="139" t="n"/>
      <x:c r="AE222" s="139" t="n"/>
      <x:c r="AF222" s="139" t="n"/>
      <x:c r="AG222" s="139" t="n"/>
      <x:c r="AH222" s="139" t="n"/>
      <x:c r="AI222" s="139" t="n"/>
      <x:c r="AJ222" s="139" t="n"/>
      <x:c r="AK222" s="139" t="n"/>
      <x:c r="AL222" s="139" t="n"/>
      <x:c r="AM222" s="139" t="n"/>
      <x:c r="AN222" s="139" t="n"/>
      <x:c r="AO222" s="139" t="n"/>
      <x:c r="AP222" s="139" t="n"/>
      <x:c r="AQ222" s="139" t="n"/>
      <x:c r="AR222" s="139" t="n"/>
      <x:c r="AS222" s="139" t="n"/>
      <x:c r="AT222" s="139" t="n"/>
      <x:c r="AU222" s="139" t="n"/>
      <x:c r="AV222" s="139" t="n"/>
      <x:c r="AW222" s="139" t="n"/>
      <x:c r="AX222" s="139" t="n"/>
      <x:c r="AY222" s="139" t="n"/>
      <x:c r="AZ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c r="V223" s="139" t="n"/>
      <x:c r="W223" s="139" t="n"/>
      <x:c r="X223" s="139" t="n"/>
      <x:c r="Y223" s="139" t="n"/>
      <x:c r="Z223" s="139" t="n"/>
      <x:c r="AA223" s="139" t="n"/>
      <x:c r="AB223" s="139" t="n"/>
      <x:c r="AC223" s="139" t="n"/>
      <x:c r="AD223" s="139" t="n"/>
      <x:c r="AE223" s="139" t="n"/>
      <x:c r="AF223" s="139" t="n"/>
      <x:c r="AG223" s="139" t="n"/>
      <x:c r="AH223" s="139" t="n"/>
      <x:c r="AI223" s="139" t="n"/>
      <x:c r="AJ223" s="139" t="n"/>
      <x:c r="AK223" s="139" t="n"/>
      <x:c r="AL223" s="139" t="n"/>
      <x:c r="AM223" s="139" t="n"/>
      <x:c r="AN223" s="139" t="n"/>
      <x:c r="AO223" s="139" t="n"/>
      <x:c r="AP223" s="139" t="n"/>
      <x:c r="AQ223" s="139" t="n"/>
      <x:c r="AR223" s="139" t="n"/>
      <x:c r="AS223" s="139" t="n"/>
      <x:c r="AT223" s="139" t="n"/>
      <x:c r="AU223" s="139" t="n"/>
      <x:c r="AV223" s="139" t="n"/>
      <x:c r="AW223" s="139" t="n"/>
      <x:c r="AX223" s="139" t="n"/>
      <x:c r="AY223" s="139" t="n"/>
      <x:c r="AZ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c r="V224" s="139" t="n"/>
      <x:c r="W224" s="139" t="n"/>
      <x:c r="X224" s="139" t="n"/>
      <x:c r="Y224" s="139" t="n"/>
      <x:c r="Z224" s="139" t="n"/>
      <x:c r="AA224" s="139" t="n"/>
      <x:c r="AB224" s="139" t="n"/>
      <x:c r="AC224" s="139" t="n"/>
      <x:c r="AD224" s="139" t="n"/>
      <x:c r="AE224" s="139" t="n"/>
      <x:c r="AF224" s="139" t="n"/>
      <x:c r="AG224" s="139" t="n"/>
      <x:c r="AH224" s="139" t="n"/>
      <x:c r="AI224" s="139" t="n"/>
      <x:c r="AJ224" s="139" t="n"/>
      <x:c r="AK224" s="139" t="n"/>
      <x:c r="AL224" s="139" t="n"/>
      <x:c r="AM224" s="139" t="n"/>
      <x:c r="AN224" s="139" t="n"/>
      <x:c r="AO224" s="139" t="n"/>
      <x:c r="AP224" s="139" t="n"/>
      <x:c r="AQ224" s="139" t="n"/>
      <x:c r="AR224" s="139" t="n"/>
      <x:c r="AS224" s="139" t="n"/>
      <x:c r="AT224" s="139" t="n"/>
      <x:c r="AU224" s="139" t="n"/>
      <x:c r="AV224" s="139" t="n"/>
      <x:c r="AW224" s="139" t="n"/>
      <x:c r="AX224" s="139" t="n"/>
      <x:c r="AY224" s="139" t="n"/>
      <x:c r="AZ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c r="V225" s="139" t="n"/>
      <x:c r="W225" s="139" t="n"/>
      <x:c r="X225" s="139" t="n"/>
      <x:c r="Y225" s="139" t="n"/>
      <x:c r="Z225" s="139" t="n"/>
      <x:c r="AA225" s="139" t="n"/>
      <x:c r="AB225" s="139" t="n"/>
      <x:c r="AC225" s="139" t="n"/>
      <x:c r="AD225" s="139" t="n"/>
      <x:c r="AE225" s="139" t="n"/>
      <x:c r="AF225" s="139" t="n"/>
      <x:c r="AG225" s="139" t="n"/>
      <x:c r="AH225" s="139" t="n"/>
      <x:c r="AI225" s="139" t="n"/>
      <x:c r="AJ225" s="139" t="n"/>
      <x:c r="AK225" s="139" t="n"/>
      <x:c r="AL225" s="139" t="n"/>
      <x:c r="AM225" s="139" t="n"/>
      <x:c r="AN225" s="139" t="n"/>
      <x:c r="AO225" s="139" t="n"/>
      <x:c r="AP225" s="139" t="n"/>
      <x:c r="AQ225" s="139" t="n"/>
      <x:c r="AR225" s="139" t="n"/>
      <x:c r="AS225" s="139" t="n"/>
      <x:c r="AT225" s="139" t="n"/>
      <x:c r="AU225" s="139" t="n"/>
      <x:c r="AV225" s="139" t="n"/>
      <x:c r="AW225" s="139" t="n"/>
      <x:c r="AX225" s="139" t="n"/>
      <x:c r="AY225" s="139" t="n"/>
      <x:c r="AZ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c r="V226" s="139" t="n"/>
      <x:c r="W226" s="139" t="n"/>
      <x:c r="X226" s="139" t="n"/>
      <x:c r="Y226" s="139" t="n"/>
      <x:c r="Z226" s="139" t="n"/>
      <x:c r="AA226" s="139" t="n"/>
      <x:c r="AB226" s="139" t="n"/>
      <x:c r="AC226" s="139" t="n"/>
      <x:c r="AD226" s="139" t="n"/>
      <x:c r="AE226" s="139" t="n"/>
      <x:c r="AF226" s="139" t="n"/>
      <x:c r="AG226" s="139" t="n"/>
      <x:c r="AH226" s="139" t="n"/>
      <x:c r="AI226" s="139" t="n"/>
      <x:c r="AJ226" s="139" t="n"/>
      <x:c r="AK226" s="139" t="n"/>
      <x:c r="AL226" s="139" t="n"/>
      <x:c r="AM226" s="139" t="n"/>
      <x:c r="AN226" s="139" t="n"/>
      <x:c r="AO226" s="139" t="n"/>
      <x:c r="AP226" s="139" t="n"/>
      <x:c r="AQ226" s="139" t="n"/>
      <x:c r="AR226" s="139" t="n"/>
      <x:c r="AS226" s="139" t="n"/>
      <x:c r="AT226" s="139" t="n"/>
      <x:c r="AU226" s="139" t="n"/>
      <x:c r="AV226" s="139" t="n"/>
      <x:c r="AW226" s="139" t="n"/>
      <x:c r="AX226" s="139" t="n"/>
      <x:c r="AY226" s="139" t="n"/>
      <x:c r="AZ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c r="V227" s="139" t="n"/>
      <x:c r="W227" s="139" t="n"/>
      <x:c r="X227" s="139" t="n"/>
      <x:c r="Y227" s="139" t="n"/>
      <x:c r="Z227" s="139" t="n"/>
      <x:c r="AA227" s="139" t="n"/>
      <x:c r="AB227" s="139" t="n"/>
      <x:c r="AC227" s="139" t="n"/>
      <x:c r="AD227" s="139" t="n"/>
      <x:c r="AE227" s="139" t="n"/>
      <x:c r="AF227" s="139" t="n"/>
      <x:c r="AG227" s="139" t="n"/>
      <x:c r="AH227" s="139" t="n"/>
      <x:c r="AI227" s="139" t="n"/>
      <x:c r="AJ227" s="139" t="n"/>
      <x:c r="AK227" s="139" t="n"/>
      <x:c r="AL227" s="139" t="n"/>
      <x:c r="AM227" s="139" t="n"/>
      <x:c r="AN227" s="139" t="n"/>
      <x:c r="AO227" s="139" t="n"/>
      <x:c r="AP227" s="139" t="n"/>
      <x:c r="AQ227" s="139" t="n"/>
      <x:c r="AR227" s="139" t="n"/>
      <x:c r="AS227" s="139" t="n"/>
      <x:c r="AT227" s="139" t="n"/>
      <x:c r="AU227" s="139" t="n"/>
      <x:c r="AV227" s="139" t="n"/>
      <x:c r="AW227" s="139" t="n"/>
      <x:c r="AX227" s="139" t="n"/>
      <x:c r="AY227" s="139" t="n"/>
      <x:c r="AZ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c r="V228" s="139" t="n"/>
      <x:c r="W228" s="139" t="n"/>
      <x:c r="X228" s="139" t="n"/>
      <x:c r="Y228" s="139" t="n"/>
      <x:c r="Z228" s="139" t="n"/>
      <x:c r="AA228" s="139" t="n"/>
      <x:c r="AB228" s="139" t="n"/>
      <x:c r="AC228" s="139" t="n"/>
      <x:c r="AD228" s="139" t="n"/>
      <x:c r="AE228" s="139" t="n"/>
      <x:c r="AF228" s="139" t="n"/>
      <x:c r="AG228" s="139" t="n"/>
      <x:c r="AH228" s="139" t="n"/>
      <x:c r="AI228" s="139" t="n"/>
      <x:c r="AJ228" s="139" t="n"/>
      <x:c r="AK228" s="139" t="n"/>
      <x:c r="AL228" s="139" t="n"/>
      <x:c r="AM228" s="139" t="n"/>
      <x:c r="AN228" s="139" t="n"/>
      <x:c r="AO228" s="139" t="n"/>
      <x:c r="AP228" s="139" t="n"/>
      <x:c r="AQ228" s="139" t="n"/>
      <x:c r="AR228" s="139" t="n"/>
      <x:c r="AS228" s="139" t="n"/>
      <x:c r="AT228" s="139" t="n"/>
      <x:c r="AU228" s="139" t="n"/>
      <x:c r="AV228" s="139" t="n"/>
      <x:c r="AW228" s="139" t="n"/>
      <x:c r="AX228" s="139" t="n"/>
      <x:c r="AY228" s="139" t="n"/>
      <x:c r="AZ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c r="V229" s="139" t="n"/>
      <x:c r="W229" s="139" t="n"/>
      <x:c r="X229" s="139" t="n"/>
      <x:c r="Y229" s="139" t="n"/>
      <x:c r="Z229" s="139" t="n"/>
      <x:c r="AA229" s="139" t="n"/>
      <x:c r="AB229" s="139" t="n"/>
      <x:c r="AC229" s="139" t="n"/>
      <x:c r="AD229" s="139" t="n"/>
      <x:c r="AE229" s="139" t="n"/>
      <x:c r="AF229" s="139" t="n"/>
      <x:c r="AG229" s="139" t="n"/>
      <x:c r="AH229" s="139" t="n"/>
      <x:c r="AI229" s="139" t="n"/>
      <x:c r="AJ229" s="139" t="n"/>
      <x:c r="AK229" s="139" t="n"/>
      <x:c r="AL229" s="139" t="n"/>
      <x:c r="AM229" s="139" t="n"/>
      <x:c r="AN229" s="139" t="n"/>
      <x:c r="AO229" s="139" t="n"/>
      <x:c r="AP229" s="139" t="n"/>
      <x:c r="AQ229" s="139" t="n"/>
      <x:c r="AR229" s="139" t="n"/>
      <x:c r="AS229" s="139" t="n"/>
      <x:c r="AT229" s="139" t="n"/>
      <x:c r="AU229" s="139" t="n"/>
      <x:c r="AV229" s="139" t="n"/>
      <x:c r="AW229" s="139" t="n"/>
      <x:c r="AX229" s="139" t="n"/>
      <x:c r="AY229" s="139" t="n"/>
      <x:c r="AZ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c r="V230" s="139" t="n"/>
      <x:c r="W230" s="139" t="n"/>
      <x:c r="X230" s="139" t="n"/>
      <x:c r="Y230" s="139" t="n"/>
      <x:c r="Z230" s="139" t="n"/>
      <x:c r="AA230" s="139" t="n"/>
      <x:c r="AB230" s="139" t="n"/>
      <x:c r="AC230" s="139" t="n"/>
      <x:c r="AD230" s="139" t="n"/>
      <x:c r="AE230" s="139" t="n"/>
      <x:c r="AF230" s="139" t="n"/>
      <x:c r="AG230" s="139" t="n"/>
      <x:c r="AH230" s="139" t="n"/>
      <x:c r="AI230" s="139" t="n"/>
      <x:c r="AJ230" s="139" t="n"/>
      <x:c r="AK230" s="139" t="n"/>
      <x:c r="AL230" s="139" t="n"/>
      <x:c r="AM230" s="139" t="n"/>
      <x:c r="AN230" s="139" t="n"/>
      <x:c r="AO230" s="139" t="n"/>
      <x:c r="AP230" s="139" t="n"/>
      <x:c r="AQ230" s="139" t="n"/>
      <x:c r="AR230" s="139" t="n"/>
      <x:c r="AS230" s="139" t="n"/>
      <x:c r="AT230" s="139" t="n"/>
      <x:c r="AU230" s="139" t="n"/>
      <x:c r="AV230" s="139" t="n"/>
      <x:c r="AW230" s="139" t="n"/>
      <x:c r="AX230" s="139" t="n"/>
      <x:c r="AY230" s="139" t="n"/>
      <x:c r="AZ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c r="V231" s="139" t="n"/>
      <x:c r="W231" s="139" t="n"/>
      <x:c r="X231" s="139" t="n"/>
      <x:c r="Y231" s="139" t="n"/>
      <x:c r="Z231" s="139" t="n"/>
      <x:c r="AA231" s="139" t="n"/>
      <x:c r="AB231" s="139" t="n"/>
      <x:c r="AC231" s="139" t="n"/>
      <x:c r="AD231" s="139" t="n"/>
      <x:c r="AE231" s="139" t="n"/>
      <x:c r="AF231" s="139" t="n"/>
      <x:c r="AG231" s="139" t="n"/>
      <x:c r="AH231" s="139" t="n"/>
      <x:c r="AI231" s="139" t="n"/>
      <x:c r="AJ231" s="139" t="n"/>
      <x:c r="AK231" s="139" t="n"/>
      <x:c r="AL231" s="139" t="n"/>
      <x:c r="AM231" s="139" t="n"/>
      <x:c r="AN231" s="139" t="n"/>
      <x:c r="AO231" s="139" t="n"/>
      <x:c r="AP231" s="139" t="n"/>
      <x:c r="AQ231" s="139" t="n"/>
      <x:c r="AR231" s="139" t="n"/>
      <x:c r="AS231" s="139" t="n"/>
      <x:c r="AT231" s="139" t="n"/>
      <x:c r="AU231" s="139" t="n"/>
      <x:c r="AV231" s="139" t="n"/>
      <x:c r="AW231" s="139" t="n"/>
      <x:c r="AX231" s="139" t="n"/>
      <x:c r="AY231" s="139" t="n"/>
      <x:c r="AZ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c r="V232" s="139" t="n"/>
      <x:c r="W232" s="139" t="n"/>
      <x:c r="X232" s="139" t="n"/>
      <x:c r="Y232" s="139" t="n"/>
      <x:c r="Z232" s="139" t="n"/>
      <x:c r="AA232" s="139" t="n"/>
      <x:c r="AB232" s="139" t="n"/>
      <x:c r="AC232" s="139" t="n"/>
      <x:c r="AD232" s="139" t="n"/>
      <x:c r="AE232" s="139" t="n"/>
      <x:c r="AF232" s="139" t="n"/>
      <x:c r="AG232" s="139" t="n"/>
      <x:c r="AH232" s="139" t="n"/>
      <x:c r="AI232" s="139" t="n"/>
      <x:c r="AJ232" s="139" t="n"/>
      <x:c r="AK232" s="139" t="n"/>
      <x:c r="AL232" s="139" t="n"/>
      <x:c r="AM232" s="139" t="n"/>
      <x:c r="AN232" s="139" t="n"/>
      <x:c r="AO232" s="139" t="n"/>
      <x:c r="AP232" s="139" t="n"/>
      <x:c r="AQ232" s="139" t="n"/>
      <x:c r="AR232" s="139" t="n"/>
      <x:c r="AS232" s="139" t="n"/>
      <x:c r="AT232" s="139" t="n"/>
      <x:c r="AU232" s="139" t="n"/>
      <x:c r="AV232" s="139" t="n"/>
      <x:c r="AW232" s="139" t="n"/>
      <x:c r="AX232" s="139" t="n"/>
      <x:c r="AY232" s="139" t="n"/>
      <x:c r="AZ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c r="V233" s="139" t="n"/>
      <x:c r="W233" s="139" t="n"/>
      <x:c r="X233" s="139" t="n"/>
      <x:c r="Y233" s="139" t="n"/>
      <x:c r="Z233" s="139" t="n"/>
      <x:c r="AA233" s="139" t="n"/>
      <x:c r="AB233" s="139" t="n"/>
      <x:c r="AC233" s="139" t="n"/>
      <x:c r="AD233" s="139" t="n"/>
      <x:c r="AE233" s="139" t="n"/>
      <x:c r="AF233" s="139" t="n"/>
      <x:c r="AG233" s="139" t="n"/>
      <x:c r="AH233" s="139" t="n"/>
      <x:c r="AI233" s="139" t="n"/>
      <x:c r="AJ233" s="139" t="n"/>
      <x:c r="AK233" s="139" t="n"/>
      <x:c r="AL233" s="139" t="n"/>
      <x:c r="AM233" s="139" t="n"/>
      <x:c r="AN233" s="139" t="n"/>
      <x:c r="AO233" s="139" t="n"/>
      <x:c r="AP233" s="139" t="n"/>
      <x:c r="AQ233" s="139" t="n"/>
      <x:c r="AR233" s="139" t="n"/>
      <x:c r="AS233" s="139" t="n"/>
      <x:c r="AT233" s="139" t="n"/>
      <x:c r="AU233" s="139" t="n"/>
      <x:c r="AV233" s="139" t="n"/>
      <x:c r="AW233" s="139" t="n"/>
      <x:c r="AX233" s="139" t="n"/>
      <x:c r="AY233" s="139" t="n"/>
      <x:c r="AZ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c r="V234" s="139" t="n"/>
      <x:c r="W234" s="139" t="n"/>
      <x:c r="X234" s="139" t="n"/>
      <x:c r="Y234" s="139" t="n"/>
      <x:c r="Z234" s="139" t="n"/>
      <x:c r="AA234" s="139" t="n"/>
      <x:c r="AB234" s="139" t="n"/>
      <x:c r="AC234" s="139" t="n"/>
      <x:c r="AD234" s="139" t="n"/>
      <x:c r="AE234" s="139" t="n"/>
      <x:c r="AF234" s="139" t="n"/>
      <x:c r="AG234" s="139" t="n"/>
      <x:c r="AH234" s="139" t="n"/>
      <x:c r="AI234" s="139" t="n"/>
      <x:c r="AJ234" s="139" t="n"/>
      <x:c r="AK234" s="139" t="n"/>
      <x:c r="AL234" s="139" t="n"/>
      <x:c r="AM234" s="139" t="n"/>
      <x:c r="AN234" s="139" t="n"/>
      <x:c r="AO234" s="139" t="n"/>
      <x:c r="AP234" s="139" t="n"/>
      <x:c r="AQ234" s="139" t="n"/>
      <x:c r="AR234" s="139" t="n"/>
      <x:c r="AS234" s="139" t="n"/>
      <x:c r="AT234" s="139" t="n"/>
      <x:c r="AU234" s="139" t="n"/>
      <x:c r="AV234" s="139" t="n"/>
      <x:c r="AW234" s="139" t="n"/>
      <x:c r="AX234" s="139" t="n"/>
      <x:c r="AY234" s="139" t="n"/>
      <x:c r="AZ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c r="V235" s="139" t="n"/>
      <x:c r="W235" s="139" t="n"/>
      <x:c r="X235" s="139" t="n"/>
      <x:c r="Y235" s="139" t="n"/>
      <x:c r="Z235" s="139" t="n"/>
      <x:c r="AA235" s="139" t="n"/>
      <x:c r="AB235" s="139" t="n"/>
      <x:c r="AC235" s="139" t="n"/>
      <x:c r="AD235" s="139" t="n"/>
      <x:c r="AE235" s="139" t="n"/>
      <x:c r="AF235" s="139" t="n"/>
      <x:c r="AG235" s="139" t="n"/>
      <x:c r="AH235" s="139" t="n"/>
      <x:c r="AI235" s="139" t="n"/>
      <x:c r="AJ235" s="139" t="n"/>
      <x:c r="AK235" s="139" t="n"/>
      <x:c r="AL235" s="139" t="n"/>
      <x:c r="AM235" s="139" t="n"/>
      <x:c r="AN235" s="139" t="n"/>
      <x:c r="AO235" s="139" t="n"/>
      <x:c r="AP235" s="139" t="n"/>
      <x:c r="AQ235" s="139" t="n"/>
      <x:c r="AR235" s="139" t="n"/>
      <x:c r="AS235" s="139" t="n"/>
      <x:c r="AT235" s="139" t="n"/>
      <x:c r="AU235" s="139" t="n"/>
      <x:c r="AV235" s="139" t="n"/>
      <x:c r="AW235" s="139" t="n"/>
      <x:c r="AX235" s="139" t="n"/>
      <x:c r="AY235" s="139" t="n"/>
      <x:c r="AZ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c r="V236" s="139" t="n"/>
      <x:c r="W236" s="139" t="n"/>
      <x:c r="X236" s="139" t="n"/>
      <x:c r="Y236" s="139" t="n"/>
      <x:c r="Z236" s="139" t="n"/>
      <x:c r="AA236" s="139" t="n"/>
      <x:c r="AB236" s="139" t="n"/>
      <x:c r="AC236" s="139" t="n"/>
      <x:c r="AD236" s="139" t="n"/>
      <x:c r="AE236" s="139" t="n"/>
      <x:c r="AF236" s="139" t="n"/>
      <x:c r="AG236" s="139" t="n"/>
      <x:c r="AH236" s="139" t="n"/>
      <x:c r="AI236" s="139" t="n"/>
      <x:c r="AJ236" s="139" t="n"/>
      <x:c r="AK236" s="139" t="n"/>
      <x:c r="AL236" s="139" t="n"/>
      <x:c r="AM236" s="139" t="n"/>
      <x:c r="AN236" s="139" t="n"/>
      <x:c r="AO236" s="139" t="n"/>
      <x:c r="AP236" s="139" t="n"/>
      <x:c r="AQ236" s="139" t="n"/>
      <x:c r="AR236" s="139" t="n"/>
      <x:c r="AS236" s="139" t="n"/>
      <x:c r="AT236" s="139" t="n"/>
      <x:c r="AU236" s="139" t="n"/>
      <x:c r="AV236" s="139" t="n"/>
      <x:c r="AW236" s="139" t="n"/>
      <x:c r="AX236" s="139" t="n"/>
      <x:c r="AY236" s="139" t="n"/>
      <x:c r="AZ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c r="V237" s="139" t="n"/>
      <x:c r="W237" s="139" t="n"/>
      <x:c r="X237" s="139" t="n"/>
      <x:c r="Y237" s="139" t="n"/>
      <x:c r="Z237" s="139" t="n"/>
      <x:c r="AA237" s="139" t="n"/>
      <x:c r="AB237" s="139" t="n"/>
      <x:c r="AC237" s="139" t="n"/>
      <x:c r="AD237" s="139" t="n"/>
      <x:c r="AE237" s="139" t="n"/>
      <x:c r="AF237" s="139" t="n"/>
      <x:c r="AG237" s="139" t="n"/>
      <x:c r="AH237" s="139" t="n"/>
      <x:c r="AI237" s="139" t="n"/>
      <x:c r="AJ237" s="139" t="n"/>
      <x:c r="AK237" s="139" t="n"/>
      <x:c r="AL237" s="139" t="n"/>
      <x:c r="AM237" s="139" t="n"/>
      <x:c r="AN237" s="139" t="n"/>
      <x:c r="AO237" s="139" t="n"/>
      <x:c r="AP237" s="139" t="n"/>
      <x:c r="AQ237" s="139" t="n"/>
      <x:c r="AR237" s="139" t="n"/>
      <x:c r="AS237" s="139" t="n"/>
      <x:c r="AT237" s="139" t="n"/>
      <x:c r="AU237" s="139" t="n"/>
      <x:c r="AV237" s="139" t="n"/>
      <x:c r="AW237" s="139" t="n"/>
      <x:c r="AX237" s="139" t="n"/>
      <x:c r="AY237" s="139" t="n"/>
      <x:c r="AZ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c r="V238" s="139" t="n"/>
      <x:c r="W238" s="139" t="n"/>
      <x:c r="X238" s="139" t="n"/>
      <x:c r="Y238" s="139" t="n"/>
      <x:c r="Z238" s="139" t="n"/>
      <x:c r="AA238" s="139" t="n"/>
      <x:c r="AB238" s="139" t="n"/>
      <x:c r="AC238" s="139" t="n"/>
      <x:c r="AD238" s="139" t="n"/>
      <x:c r="AE238" s="139" t="n"/>
      <x:c r="AF238" s="139" t="n"/>
      <x:c r="AG238" s="139" t="n"/>
      <x:c r="AH238" s="139" t="n"/>
      <x:c r="AI238" s="139" t="n"/>
      <x:c r="AJ238" s="139" t="n"/>
      <x:c r="AK238" s="139" t="n"/>
      <x:c r="AL238" s="139" t="n"/>
      <x:c r="AM238" s="139" t="n"/>
      <x:c r="AN238" s="139" t="n"/>
      <x:c r="AO238" s="139" t="n"/>
      <x:c r="AP238" s="139" t="n"/>
      <x:c r="AQ238" s="139" t="n"/>
      <x:c r="AR238" s="139" t="n"/>
      <x:c r="AS238" s="139" t="n"/>
      <x:c r="AT238" s="139" t="n"/>
      <x:c r="AU238" s="139" t="n"/>
      <x:c r="AV238" s="139" t="n"/>
      <x:c r="AW238" s="139" t="n"/>
      <x:c r="AX238" s="139" t="n"/>
      <x:c r="AY238" s="139" t="n"/>
      <x:c r="AZ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c r="V239" s="139" t="n"/>
      <x:c r="W239" s="139" t="n"/>
      <x:c r="X239" s="139" t="n"/>
      <x:c r="Y239" s="139" t="n"/>
      <x:c r="Z239" s="139" t="n"/>
      <x:c r="AA239" s="139" t="n"/>
      <x:c r="AB239" s="139" t="n"/>
      <x:c r="AC239" s="139" t="n"/>
      <x:c r="AD239" s="139" t="n"/>
      <x:c r="AE239" s="139" t="n"/>
      <x:c r="AF239" s="139" t="n"/>
      <x:c r="AG239" s="139" t="n"/>
      <x:c r="AH239" s="139" t="n"/>
      <x:c r="AI239" s="139" t="n"/>
      <x:c r="AJ239" s="139" t="n"/>
      <x:c r="AK239" s="139" t="n"/>
      <x:c r="AL239" s="139" t="n"/>
      <x:c r="AM239" s="139" t="n"/>
      <x:c r="AN239" s="139" t="n"/>
      <x:c r="AO239" s="139" t="n"/>
      <x:c r="AP239" s="139" t="n"/>
      <x:c r="AQ239" s="139" t="n"/>
      <x:c r="AR239" s="139" t="n"/>
      <x:c r="AS239" s="139" t="n"/>
      <x:c r="AT239" s="139" t="n"/>
      <x:c r="AU239" s="139" t="n"/>
      <x:c r="AV239" s="139" t="n"/>
      <x:c r="AW239" s="139" t="n"/>
      <x:c r="AX239" s="139" t="n"/>
      <x:c r="AY239" s="139" t="n"/>
      <x:c r="AZ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c r="V240" s="139" t="n"/>
      <x:c r="W240" s="139" t="n"/>
      <x:c r="X240" s="139" t="n"/>
      <x:c r="Y240" s="139" t="n"/>
      <x:c r="Z240" s="139" t="n"/>
      <x:c r="AA240" s="139" t="n"/>
      <x:c r="AB240" s="139" t="n"/>
      <x:c r="AC240" s="139" t="n"/>
      <x:c r="AD240" s="139" t="n"/>
      <x:c r="AE240" s="139" t="n"/>
      <x:c r="AF240" s="139" t="n"/>
      <x:c r="AG240" s="139" t="n"/>
      <x:c r="AH240" s="139" t="n"/>
      <x:c r="AI240" s="139" t="n"/>
      <x:c r="AJ240" s="139" t="n"/>
      <x:c r="AK240" s="139" t="n"/>
      <x:c r="AL240" s="139" t="n"/>
      <x:c r="AM240" s="139" t="n"/>
      <x:c r="AN240" s="139" t="n"/>
      <x:c r="AO240" s="139" t="n"/>
      <x:c r="AP240" s="139" t="n"/>
      <x:c r="AQ240" s="139" t="n"/>
      <x:c r="AR240" s="139" t="n"/>
      <x:c r="AS240" s="139" t="n"/>
      <x:c r="AT240" s="139" t="n"/>
      <x:c r="AU240" s="139" t="n"/>
      <x:c r="AV240" s="139" t="n"/>
      <x:c r="AW240" s="139" t="n"/>
      <x:c r="AX240" s="139" t="n"/>
      <x:c r="AY240" s="139" t="n"/>
      <x:c r="AZ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c r="V241" s="139" t="n"/>
      <x:c r="W241" s="139" t="n"/>
      <x:c r="X241" s="139" t="n"/>
      <x:c r="Y241" s="139" t="n"/>
      <x:c r="Z241" s="139" t="n"/>
      <x:c r="AA241" s="139" t="n"/>
      <x:c r="AB241" s="139" t="n"/>
      <x:c r="AC241" s="139" t="n"/>
      <x:c r="AD241" s="139" t="n"/>
      <x:c r="AE241" s="139" t="n"/>
      <x:c r="AF241" s="139" t="n"/>
      <x:c r="AG241" s="139" t="n"/>
      <x:c r="AH241" s="139" t="n"/>
      <x:c r="AI241" s="139" t="n"/>
      <x:c r="AJ241" s="139" t="n"/>
      <x:c r="AK241" s="139" t="n"/>
      <x:c r="AL241" s="139" t="n"/>
      <x:c r="AM241" s="139" t="n"/>
      <x:c r="AN241" s="139" t="n"/>
      <x:c r="AO241" s="139" t="n"/>
      <x:c r="AP241" s="139" t="n"/>
      <x:c r="AQ241" s="139" t="n"/>
      <x:c r="AR241" s="139" t="n"/>
      <x:c r="AS241" s="139" t="n"/>
      <x:c r="AT241" s="139" t="n"/>
      <x:c r="AU241" s="139" t="n"/>
      <x:c r="AV241" s="139" t="n"/>
      <x:c r="AW241" s="139" t="n"/>
      <x:c r="AX241" s="139" t="n"/>
      <x:c r="AY241" s="139" t="n"/>
      <x:c r="AZ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c r="V242" s="139" t="n"/>
      <x:c r="W242" s="139" t="n"/>
      <x:c r="X242" s="139" t="n"/>
      <x:c r="Y242" s="139" t="n"/>
      <x:c r="Z242" s="139" t="n"/>
      <x:c r="AA242" s="139" t="n"/>
      <x:c r="AB242" s="139" t="n"/>
      <x:c r="AC242" s="139" t="n"/>
      <x:c r="AD242" s="139" t="n"/>
      <x:c r="AE242" s="139" t="n"/>
      <x:c r="AF242" s="139" t="n"/>
      <x:c r="AG242" s="139" t="n"/>
      <x:c r="AH242" s="139" t="n"/>
      <x:c r="AI242" s="139" t="n"/>
      <x:c r="AJ242" s="139" t="n"/>
      <x:c r="AK242" s="139" t="n"/>
      <x:c r="AL242" s="139" t="n"/>
      <x:c r="AM242" s="139" t="n"/>
      <x:c r="AN242" s="139" t="n"/>
      <x:c r="AO242" s="139" t="n"/>
      <x:c r="AP242" s="139" t="n"/>
      <x:c r="AQ242" s="139" t="n"/>
      <x:c r="AR242" s="139" t="n"/>
      <x:c r="AS242" s="139" t="n"/>
      <x:c r="AT242" s="139" t="n"/>
      <x:c r="AU242" s="139" t="n"/>
      <x:c r="AV242" s="139" t="n"/>
      <x:c r="AW242" s="139" t="n"/>
      <x:c r="AX242" s="139" t="n"/>
      <x:c r="AY242" s="139" t="n"/>
      <x:c r="AZ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c r="V243" s="139" t="n"/>
      <x:c r="W243" s="139" t="n"/>
      <x:c r="X243" s="139" t="n"/>
      <x:c r="Y243" s="139" t="n"/>
      <x:c r="Z243" s="139" t="n"/>
      <x:c r="AA243" s="139" t="n"/>
      <x:c r="AB243" s="139" t="n"/>
      <x:c r="AC243" s="139" t="n"/>
      <x:c r="AD243" s="139" t="n"/>
      <x:c r="AE243" s="139" t="n"/>
      <x:c r="AF243" s="139" t="n"/>
      <x:c r="AG243" s="139" t="n"/>
      <x:c r="AH243" s="139" t="n"/>
      <x:c r="AI243" s="139" t="n"/>
      <x:c r="AJ243" s="139" t="n"/>
      <x:c r="AK243" s="139" t="n"/>
      <x:c r="AL243" s="139" t="n"/>
      <x:c r="AM243" s="139" t="n"/>
      <x:c r="AN243" s="139" t="n"/>
      <x:c r="AO243" s="139" t="n"/>
      <x:c r="AP243" s="139" t="n"/>
      <x:c r="AQ243" s="139" t="n"/>
      <x:c r="AR243" s="139" t="n"/>
      <x:c r="AS243" s="139" t="n"/>
      <x:c r="AT243" s="139" t="n"/>
      <x:c r="AU243" s="139" t="n"/>
      <x:c r="AV243" s="139" t="n"/>
      <x:c r="AW243" s="139" t="n"/>
      <x:c r="AX243" s="139" t="n"/>
      <x:c r="AY243" s="139" t="n"/>
      <x:c r="AZ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c r="V244" s="139" t="n"/>
      <x:c r="W244" s="139" t="n"/>
      <x:c r="X244" s="139" t="n"/>
      <x:c r="Y244" s="139" t="n"/>
      <x:c r="Z244" s="139" t="n"/>
      <x:c r="AA244" s="139" t="n"/>
      <x:c r="AB244" s="139" t="n"/>
      <x:c r="AC244" s="139" t="n"/>
      <x:c r="AD244" s="139" t="n"/>
      <x:c r="AE244" s="139" t="n"/>
      <x:c r="AF244" s="139" t="n"/>
      <x:c r="AG244" s="139" t="n"/>
      <x:c r="AH244" s="139" t="n"/>
      <x:c r="AI244" s="139" t="n"/>
      <x:c r="AJ244" s="139" t="n"/>
      <x:c r="AK244" s="139" t="n"/>
      <x:c r="AL244" s="139" t="n"/>
      <x:c r="AM244" s="139" t="n"/>
      <x:c r="AN244" s="139" t="n"/>
      <x:c r="AO244" s="139" t="n"/>
      <x:c r="AP244" s="139" t="n"/>
      <x:c r="AQ244" s="139" t="n"/>
      <x:c r="AR244" s="139" t="n"/>
      <x:c r="AS244" s="139" t="n"/>
      <x:c r="AT244" s="139" t="n"/>
      <x:c r="AU244" s="139" t="n"/>
      <x:c r="AV244" s="139" t="n"/>
      <x:c r="AW244" s="139" t="n"/>
      <x:c r="AX244" s="139" t="n"/>
      <x:c r="AY244" s="139" t="n"/>
      <x:c r="AZ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c r="V245" s="139" t="n"/>
      <x:c r="W245" s="139" t="n"/>
      <x:c r="X245" s="139" t="n"/>
      <x:c r="Y245" s="139" t="n"/>
      <x:c r="Z245" s="139" t="n"/>
      <x:c r="AA245" s="139" t="n"/>
      <x:c r="AB245" s="139" t="n"/>
      <x:c r="AC245" s="139" t="n"/>
      <x:c r="AD245" s="139" t="n"/>
      <x:c r="AE245" s="139" t="n"/>
      <x:c r="AF245" s="139" t="n"/>
      <x:c r="AG245" s="139" t="n"/>
      <x:c r="AH245" s="139" t="n"/>
      <x:c r="AI245" s="139" t="n"/>
      <x:c r="AJ245" s="139" t="n"/>
      <x:c r="AK245" s="139" t="n"/>
      <x:c r="AL245" s="139" t="n"/>
      <x:c r="AM245" s="139" t="n"/>
      <x:c r="AN245" s="139" t="n"/>
      <x:c r="AO245" s="139" t="n"/>
      <x:c r="AP245" s="139" t="n"/>
      <x:c r="AQ245" s="139" t="n"/>
      <x:c r="AR245" s="139" t="n"/>
      <x:c r="AS245" s="139" t="n"/>
      <x:c r="AT245" s="139" t="n"/>
      <x:c r="AU245" s="139" t="n"/>
      <x:c r="AV245" s="139" t="n"/>
      <x:c r="AW245" s="139" t="n"/>
      <x:c r="AX245" s="139" t="n"/>
      <x:c r="AY245" s="139" t="n"/>
      <x:c r="AZ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c r="V246" s="139" t="n"/>
      <x:c r="W246" s="139" t="n"/>
      <x:c r="X246" s="139" t="n"/>
      <x:c r="Y246" s="139" t="n"/>
      <x:c r="Z246" s="139" t="n"/>
      <x:c r="AA246" s="139" t="n"/>
      <x:c r="AB246" s="139" t="n"/>
      <x:c r="AC246" s="139" t="n"/>
      <x:c r="AD246" s="139" t="n"/>
      <x:c r="AE246" s="139" t="n"/>
      <x:c r="AF246" s="139" t="n"/>
      <x:c r="AG246" s="139" t="n"/>
      <x:c r="AH246" s="139" t="n"/>
      <x:c r="AI246" s="139" t="n"/>
      <x:c r="AJ246" s="139" t="n"/>
      <x:c r="AK246" s="139" t="n"/>
      <x:c r="AL246" s="139" t="n"/>
      <x:c r="AM246" s="139" t="n"/>
      <x:c r="AN246" s="139" t="n"/>
      <x:c r="AO246" s="139" t="n"/>
      <x:c r="AP246" s="139" t="n"/>
      <x:c r="AQ246" s="139" t="n"/>
      <x:c r="AR246" s="139" t="n"/>
      <x:c r="AS246" s="139" t="n"/>
      <x:c r="AT246" s="139" t="n"/>
      <x:c r="AU246" s="139" t="n"/>
      <x:c r="AV246" s="139" t="n"/>
      <x:c r="AW246" s="139" t="n"/>
      <x:c r="AX246" s="139" t="n"/>
      <x:c r="AY246" s="139" t="n"/>
      <x:c r="AZ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c r="V247" s="139" t="n"/>
      <x:c r="W247" s="139" t="n"/>
      <x:c r="X247" s="139" t="n"/>
      <x:c r="Y247" s="139" t="n"/>
      <x:c r="Z247" s="139" t="n"/>
      <x:c r="AA247" s="139" t="n"/>
      <x:c r="AB247" s="139" t="n"/>
      <x:c r="AC247" s="139" t="n"/>
      <x:c r="AD247" s="139" t="n"/>
      <x:c r="AE247" s="139" t="n"/>
      <x:c r="AF247" s="139" t="n"/>
      <x:c r="AG247" s="139" t="n"/>
      <x:c r="AH247" s="139" t="n"/>
      <x:c r="AI247" s="139" t="n"/>
      <x:c r="AJ247" s="139" t="n"/>
      <x:c r="AK247" s="139" t="n"/>
      <x:c r="AL247" s="139" t="n"/>
      <x:c r="AM247" s="139" t="n"/>
      <x:c r="AN247" s="139" t="n"/>
      <x:c r="AO247" s="139" t="n"/>
      <x:c r="AP247" s="139" t="n"/>
      <x:c r="AQ247" s="139" t="n"/>
      <x:c r="AR247" s="139" t="n"/>
      <x:c r="AS247" s="139" t="n"/>
      <x:c r="AT247" s="139" t="n"/>
      <x:c r="AU247" s="139" t="n"/>
      <x:c r="AV247" s="139" t="n"/>
      <x:c r="AW247" s="139" t="n"/>
      <x:c r="AX247" s="139" t="n"/>
      <x:c r="AY247" s="139" t="n"/>
      <x:c r="AZ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c r="V248" s="139" t="n"/>
      <x:c r="W248" s="139" t="n"/>
      <x:c r="X248" s="139" t="n"/>
      <x:c r="Y248" s="139" t="n"/>
      <x:c r="Z248" s="139" t="n"/>
      <x:c r="AA248" s="139" t="n"/>
      <x:c r="AB248" s="139" t="n"/>
      <x:c r="AC248" s="139" t="n"/>
      <x:c r="AD248" s="139" t="n"/>
      <x:c r="AE248" s="139" t="n"/>
      <x:c r="AF248" s="139" t="n"/>
      <x:c r="AG248" s="139" t="n"/>
      <x:c r="AH248" s="139" t="n"/>
      <x:c r="AI248" s="139" t="n"/>
      <x:c r="AJ248" s="139" t="n"/>
      <x:c r="AK248" s="139" t="n"/>
      <x:c r="AL248" s="139" t="n"/>
      <x:c r="AM248" s="139" t="n"/>
      <x:c r="AN248" s="139" t="n"/>
      <x:c r="AO248" s="139" t="n"/>
      <x:c r="AP248" s="139" t="n"/>
      <x:c r="AQ248" s="139" t="n"/>
      <x:c r="AR248" s="139" t="n"/>
      <x:c r="AS248" s="139" t="n"/>
      <x:c r="AT248" s="139" t="n"/>
      <x:c r="AU248" s="139" t="n"/>
      <x:c r="AV248" s="139" t="n"/>
      <x:c r="AW248" s="139" t="n"/>
      <x:c r="AX248" s="139" t="n"/>
      <x:c r="AY248" s="139" t="n"/>
      <x:c r="AZ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c r="V249" s="139" t="n"/>
      <x:c r="W249" s="139" t="n"/>
      <x:c r="X249" s="139" t="n"/>
      <x:c r="Y249" s="139" t="n"/>
      <x:c r="Z249" s="139" t="n"/>
      <x:c r="AA249" s="139" t="n"/>
      <x:c r="AB249" s="139" t="n"/>
      <x:c r="AC249" s="139" t="n"/>
      <x:c r="AD249" s="139" t="n"/>
      <x:c r="AE249" s="139" t="n"/>
      <x:c r="AF249" s="139" t="n"/>
      <x:c r="AG249" s="139" t="n"/>
      <x:c r="AH249" s="139" t="n"/>
      <x:c r="AI249" s="139" t="n"/>
      <x:c r="AJ249" s="139" t="n"/>
      <x:c r="AK249" s="139" t="n"/>
      <x:c r="AL249" s="139" t="n"/>
      <x:c r="AM249" s="139" t="n"/>
      <x:c r="AN249" s="139" t="n"/>
      <x:c r="AO249" s="139" t="n"/>
      <x:c r="AP249" s="139" t="n"/>
      <x:c r="AQ249" s="139" t="n"/>
      <x:c r="AR249" s="139" t="n"/>
      <x:c r="AS249" s="139" t="n"/>
      <x:c r="AT249" s="139" t="n"/>
      <x:c r="AU249" s="139" t="n"/>
      <x:c r="AV249" s="139" t="n"/>
      <x:c r="AW249" s="139" t="n"/>
      <x:c r="AX249" s="139" t="n"/>
      <x:c r="AY249" s="139" t="n"/>
      <x:c r="AZ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c r="V250" s="139" t="n"/>
      <x:c r="W250" s="139" t="n"/>
      <x:c r="X250" s="139" t="n"/>
      <x:c r="Y250" s="139" t="n"/>
      <x:c r="Z250" s="139" t="n"/>
      <x:c r="AA250" s="139" t="n"/>
      <x:c r="AB250" s="139" t="n"/>
      <x:c r="AC250" s="139" t="n"/>
      <x:c r="AD250" s="139" t="n"/>
      <x:c r="AE250" s="139" t="n"/>
      <x:c r="AF250" s="139" t="n"/>
      <x:c r="AG250" s="139" t="n"/>
      <x:c r="AH250" s="139" t="n"/>
      <x:c r="AI250" s="139" t="n"/>
      <x:c r="AJ250" s="139" t="n"/>
      <x:c r="AK250" s="139" t="n"/>
      <x:c r="AL250" s="139" t="n"/>
      <x:c r="AM250" s="139" t="n"/>
      <x:c r="AN250" s="139" t="n"/>
      <x:c r="AO250" s="139" t="n"/>
      <x:c r="AP250" s="139" t="n"/>
      <x:c r="AQ250" s="139" t="n"/>
      <x:c r="AR250" s="139" t="n"/>
      <x:c r="AS250" s="139" t="n"/>
      <x:c r="AT250" s="139" t="n"/>
      <x:c r="AU250" s="139" t="n"/>
      <x:c r="AV250" s="139" t="n"/>
      <x:c r="AW250" s="139" t="n"/>
      <x:c r="AX250" s="139" t="n"/>
      <x:c r="AY250" s="139" t="n"/>
      <x:c r="AZ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c r="V251" s="139" t="n"/>
      <x:c r="W251" s="139" t="n"/>
      <x:c r="X251" s="139" t="n"/>
      <x:c r="Y251" s="139" t="n"/>
      <x:c r="Z251" s="139" t="n"/>
      <x:c r="AA251" s="139" t="n"/>
      <x:c r="AB251" s="139" t="n"/>
      <x:c r="AC251" s="139" t="n"/>
      <x:c r="AD251" s="139" t="n"/>
      <x:c r="AE251" s="139" t="n"/>
      <x:c r="AF251" s="139" t="n"/>
      <x:c r="AG251" s="139" t="n"/>
      <x:c r="AH251" s="139" t="n"/>
      <x:c r="AI251" s="139" t="n"/>
      <x:c r="AJ251" s="139" t="n"/>
      <x:c r="AK251" s="139" t="n"/>
      <x:c r="AL251" s="139" t="n"/>
      <x:c r="AM251" s="139" t="n"/>
      <x:c r="AN251" s="139" t="n"/>
      <x:c r="AO251" s="139" t="n"/>
      <x:c r="AP251" s="139" t="n"/>
      <x:c r="AQ251" s="139" t="n"/>
      <x:c r="AR251" s="139" t="n"/>
      <x:c r="AS251" s="139" t="n"/>
      <x:c r="AT251" s="139" t="n"/>
      <x:c r="AU251" s="139" t="n"/>
      <x:c r="AV251" s="139" t="n"/>
      <x:c r="AW251" s="139" t="n"/>
      <x:c r="AX251" s="139" t="n"/>
      <x:c r="AY251" s="139" t="n"/>
      <x:c r="AZ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c r="V252" s="139" t="n"/>
      <x:c r="W252" s="139" t="n"/>
      <x:c r="X252" s="139" t="n"/>
      <x:c r="Y252" s="139" t="n"/>
      <x:c r="Z252" s="139" t="n"/>
      <x:c r="AA252" s="139" t="n"/>
      <x:c r="AB252" s="139" t="n"/>
      <x:c r="AC252" s="139" t="n"/>
      <x:c r="AD252" s="139" t="n"/>
      <x:c r="AE252" s="139" t="n"/>
      <x:c r="AF252" s="139" t="n"/>
      <x:c r="AG252" s="139" t="n"/>
      <x:c r="AH252" s="139" t="n"/>
      <x:c r="AI252" s="139" t="n"/>
      <x:c r="AJ252" s="139" t="n"/>
      <x:c r="AK252" s="139" t="n"/>
      <x:c r="AL252" s="139" t="n"/>
      <x:c r="AM252" s="139" t="n"/>
      <x:c r="AN252" s="139" t="n"/>
      <x:c r="AO252" s="139" t="n"/>
      <x:c r="AP252" s="139" t="n"/>
      <x:c r="AQ252" s="139" t="n"/>
      <x:c r="AR252" s="139" t="n"/>
      <x:c r="AS252" s="139" t="n"/>
      <x:c r="AT252" s="139" t="n"/>
      <x:c r="AU252" s="139" t="n"/>
      <x:c r="AV252" s="139" t="n"/>
      <x:c r="AW252" s="139" t="n"/>
      <x:c r="AX252" s="139" t="n"/>
      <x:c r="AY252" s="139" t="n"/>
      <x:c r="AZ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c r="V253" s="139" t="n"/>
      <x:c r="W253" s="139" t="n"/>
      <x:c r="X253" s="139" t="n"/>
      <x:c r="Y253" s="139" t="n"/>
      <x:c r="Z253" s="139" t="n"/>
      <x:c r="AA253" s="139" t="n"/>
      <x:c r="AB253" s="139" t="n"/>
      <x:c r="AC253" s="139" t="n"/>
      <x:c r="AD253" s="139" t="n"/>
      <x:c r="AE253" s="139" t="n"/>
      <x:c r="AF253" s="139" t="n"/>
      <x:c r="AG253" s="139" t="n"/>
      <x:c r="AH253" s="139" t="n"/>
      <x:c r="AI253" s="139" t="n"/>
      <x:c r="AJ253" s="139" t="n"/>
      <x:c r="AK253" s="139" t="n"/>
      <x:c r="AL253" s="139" t="n"/>
      <x:c r="AM253" s="139" t="n"/>
      <x:c r="AN253" s="139" t="n"/>
      <x:c r="AO253" s="139" t="n"/>
      <x:c r="AP253" s="139" t="n"/>
      <x:c r="AQ253" s="139" t="n"/>
      <x:c r="AR253" s="139" t="n"/>
      <x:c r="AS253" s="139" t="n"/>
      <x:c r="AT253" s="139" t="n"/>
      <x:c r="AU253" s="139" t="n"/>
      <x:c r="AV253" s="139" t="n"/>
      <x:c r="AW253" s="139" t="n"/>
      <x:c r="AX253" s="139" t="n"/>
      <x:c r="AY253" s="139" t="n"/>
      <x:c r="AZ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c r="V254" s="139" t="n"/>
      <x:c r="W254" s="139" t="n"/>
      <x:c r="X254" s="139" t="n"/>
      <x:c r="Y254" s="139" t="n"/>
      <x:c r="Z254" s="139" t="n"/>
      <x:c r="AA254" s="139" t="n"/>
      <x:c r="AB254" s="139" t="n"/>
      <x:c r="AC254" s="139" t="n"/>
      <x:c r="AD254" s="139" t="n"/>
      <x:c r="AE254" s="139" t="n"/>
      <x:c r="AF254" s="139" t="n"/>
      <x:c r="AG254" s="139" t="n"/>
      <x:c r="AH254" s="139" t="n"/>
      <x:c r="AI254" s="139" t="n"/>
      <x:c r="AJ254" s="139" t="n"/>
      <x:c r="AK254" s="139" t="n"/>
      <x:c r="AL254" s="139" t="n"/>
      <x:c r="AM254" s="139" t="n"/>
      <x:c r="AN254" s="139" t="n"/>
      <x:c r="AO254" s="139" t="n"/>
      <x:c r="AP254" s="139" t="n"/>
      <x:c r="AQ254" s="139" t="n"/>
      <x:c r="AR254" s="139" t="n"/>
      <x:c r="AS254" s="139" t="n"/>
      <x:c r="AT254" s="139" t="n"/>
      <x:c r="AU254" s="139" t="n"/>
      <x:c r="AV254" s="139" t="n"/>
      <x:c r="AW254" s="139" t="n"/>
      <x:c r="AX254" s="139" t="n"/>
      <x:c r="AY254" s="139" t="n"/>
      <x:c r="AZ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c r="V255" s="139" t="n"/>
      <x:c r="W255" s="139" t="n"/>
      <x:c r="X255" s="139" t="n"/>
      <x:c r="Y255" s="139" t="n"/>
      <x:c r="Z255" s="139" t="n"/>
      <x:c r="AA255" s="139" t="n"/>
      <x:c r="AB255" s="139" t="n"/>
      <x:c r="AC255" s="139" t="n"/>
      <x:c r="AD255" s="139" t="n"/>
      <x:c r="AE255" s="139" t="n"/>
      <x:c r="AF255" s="139" t="n"/>
      <x:c r="AG255" s="139" t="n"/>
      <x:c r="AH255" s="139" t="n"/>
      <x:c r="AI255" s="139" t="n"/>
      <x:c r="AJ255" s="139" t="n"/>
      <x:c r="AK255" s="139" t="n"/>
      <x:c r="AL255" s="139" t="n"/>
      <x:c r="AM255" s="139" t="n"/>
      <x:c r="AN255" s="139" t="n"/>
      <x:c r="AO255" s="139" t="n"/>
      <x:c r="AP255" s="139" t="n"/>
      <x:c r="AQ255" s="139" t="n"/>
      <x:c r="AR255" s="139" t="n"/>
      <x:c r="AS255" s="139" t="n"/>
      <x:c r="AT255" s="139" t="n"/>
      <x:c r="AU255" s="139" t="n"/>
      <x:c r="AV255" s="139" t="n"/>
      <x:c r="AW255" s="139" t="n"/>
      <x:c r="AX255" s="139" t="n"/>
      <x:c r="AY255" s="139" t="n"/>
      <x:c r="AZ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c r="V256" s="139" t="n"/>
      <x:c r="W256" s="139" t="n"/>
      <x:c r="X256" s="139" t="n"/>
      <x:c r="Y256" s="139" t="n"/>
      <x:c r="Z256" s="139" t="n"/>
      <x:c r="AA256" s="139" t="n"/>
      <x:c r="AB256" s="139" t="n"/>
      <x:c r="AC256" s="139" t="n"/>
      <x:c r="AD256" s="139" t="n"/>
      <x:c r="AE256" s="139" t="n"/>
      <x:c r="AF256" s="139" t="n"/>
      <x:c r="AG256" s="139" t="n"/>
      <x:c r="AH256" s="139" t="n"/>
      <x:c r="AI256" s="139" t="n"/>
      <x:c r="AJ256" s="139" t="n"/>
      <x:c r="AK256" s="139" t="n"/>
      <x:c r="AL256" s="139" t="n"/>
      <x:c r="AM256" s="139" t="n"/>
      <x:c r="AN256" s="139" t="n"/>
      <x:c r="AO256" s="139" t="n"/>
      <x:c r="AP256" s="139" t="n"/>
      <x:c r="AQ256" s="139" t="n"/>
      <x:c r="AR256" s="139" t="n"/>
      <x:c r="AS256" s="139" t="n"/>
      <x:c r="AT256" s="139" t="n"/>
      <x:c r="AU256" s="139" t="n"/>
      <x:c r="AV256" s="139" t="n"/>
      <x:c r="AW256" s="139" t="n"/>
      <x:c r="AX256" s="139" t="n"/>
      <x:c r="AY256" s="139" t="n"/>
      <x:c r="AZ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c r="V257" s="139" t="n"/>
      <x:c r="W257" s="139" t="n"/>
      <x:c r="X257" s="139" t="n"/>
      <x:c r="Y257" s="139" t="n"/>
      <x:c r="Z257" s="139" t="n"/>
      <x:c r="AA257" s="139" t="n"/>
      <x:c r="AB257" s="139" t="n"/>
      <x:c r="AC257" s="139" t="n"/>
      <x:c r="AD257" s="139" t="n"/>
      <x:c r="AE257" s="139" t="n"/>
      <x:c r="AF257" s="139" t="n"/>
      <x:c r="AG257" s="139" t="n"/>
      <x:c r="AH257" s="139" t="n"/>
      <x:c r="AI257" s="139" t="n"/>
      <x:c r="AJ257" s="139" t="n"/>
      <x:c r="AK257" s="139" t="n"/>
      <x:c r="AL257" s="139" t="n"/>
      <x:c r="AM257" s="139" t="n"/>
      <x:c r="AN257" s="139" t="n"/>
      <x:c r="AO257" s="139" t="n"/>
      <x:c r="AP257" s="139" t="n"/>
      <x:c r="AQ257" s="139" t="n"/>
      <x:c r="AR257" s="139" t="n"/>
      <x:c r="AS257" s="139" t="n"/>
      <x:c r="AT257" s="139" t="n"/>
      <x:c r="AU257" s="139" t="n"/>
      <x:c r="AV257" s="139" t="n"/>
      <x:c r="AW257" s="139" t="n"/>
      <x:c r="AX257" s="139" t="n"/>
      <x:c r="AY257" s="139" t="n"/>
      <x:c r="AZ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c r="V258" s="139" t="n"/>
      <x:c r="W258" s="139" t="n"/>
      <x:c r="X258" s="139" t="n"/>
      <x:c r="Y258" s="139" t="n"/>
      <x:c r="Z258" s="139" t="n"/>
      <x:c r="AA258" s="139" t="n"/>
      <x:c r="AB258" s="139" t="n"/>
      <x:c r="AC258" s="139" t="n"/>
      <x:c r="AD258" s="139" t="n"/>
      <x:c r="AE258" s="139" t="n"/>
      <x:c r="AF258" s="139" t="n"/>
      <x:c r="AG258" s="139" t="n"/>
      <x:c r="AH258" s="139" t="n"/>
      <x:c r="AI258" s="139" t="n"/>
      <x:c r="AJ258" s="139" t="n"/>
      <x:c r="AK258" s="139" t="n"/>
      <x:c r="AL258" s="139" t="n"/>
      <x:c r="AM258" s="139" t="n"/>
      <x:c r="AN258" s="139" t="n"/>
      <x:c r="AO258" s="139" t="n"/>
      <x:c r="AP258" s="139" t="n"/>
      <x:c r="AQ258" s="139" t="n"/>
      <x:c r="AR258" s="139" t="n"/>
      <x:c r="AS258" s="139" t="n"/>
      <x:c r="AT258" s="139" t="n"/>
      <x:c r="AU258" s="139" t="n"/>
      <x:c r="AV258" s="139" t="n"/>
      <x:c r="AW258" s="139" t="n"/>
      <x:c r="AX258" s="139" t="n"/>
      <x:c r="AY258" s="139" t="n"/>
      <x:c r="AZ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c r="V259" s="139" t="n"/>
      <x:c r="W259" s="139" t="n"/>
      <x:c r="X259" s="139" t="n"/>
      <x:c r="Y259" s="139" t="n"/>
      <x:c r="Z259" s="139" t="n"/>
      <x:c r="AA259" s="139" t="n"/>
      <x:c r="AB259" s="139" t="n"/>
      <x:c r="AC259" s="139" t="n"/>
      <x:c r="AD259" s="139" t="n"/>
      <x:c r="AE259" s="139" t="n"/>
      <x:c r="AF259" s="139" t="n"/>
      <x:c r="AG259" s="139" t="n"/>
      <x:c r="AH259" s="139" t="n"/>
      <x:c r="AI259" s="139" t="n"/>
      <x:c r="AJ259" s="139" t="n"/>
      <x:c r="AK259" s="139" t="n"/>
      <x:c r="AL259" s="139" t="n"/>
      <x:c r="AM259" s="139" t="n"/>
      <x:c r="AN259" s="139" t="n"/>
      <x:c r="AO259" s="139" t="n"/>
      <x:c r="AP259" s="139" t="n"/>
      <x:c r="AQ259" s="139" t="n"/>
      <x:c r="AR259" s="139" t="n"/>
      <x:c r="AS259" s="139" t="n"/>
      <x:c r="AT259" s="139" t="n"/>
      <x:c r="AU259" s="139" t="n"/>
      <x:c r="AV259" s="139" t="n"/>
      <x:c r="AW259" s="139" t="n"/>
      <x:c r="AX259" s="139" t="n"/>
      <x:c r="AY259" s="139" t="n"/>
      <x:c r="AZ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c r="V260" s="139" t="n"/>
      <x:c r="W260" s="139" t="n"/>
      <x:c r="X260" s="139" t="n"/>
      <x:c r="Y260" s="139" t="n"/>
      <x:c r="Z260" s="139" t="n"/>
      <x:c r="AA260" s="139" t="n"/>
      <x:c r="AB260" s="139" t="n"/>
      <x:c r="AC260" s="139" t="n"/>
      <x:c r="AD260" s="139" t="n"/>
      <x:c r="AE260" s="139" t="n"/>
      <x:c r="AF260" s="139" t="n"/>
      <x:c r="AG260" s="139" t="n"/>
      <x:c r="AH260" s="139" t="n"/>
      <x:c r="AI260" s="139" t="n"/>
      <x:c r="AJ260" s="139" t="n"/>
      <x:c r="AK260" s="139" t="n"/>
      <x:c r="AL260" s="139" t="n"/>
      <x:c r="AM260" s="139" t="n"/>
      <x:c r="AN260" s="139" t="n"/>
      <x:c r="AO260" s="139" t="n"/>
      <x:c r="AP260" s="139" t="n"/>
      <x:c r="AQ260" s="139" t="n"/>
      <x:c r="AR260" s="139" t="n"/>
      <x:c r="AS260" s="139" t="n"/>
      <x:c r="AT260" s="139" t="n"/>
      <x:c r="AU260" s="139" t="n"/>
      <x:c r="AV260" s="139" t="n"/>
      <x:c r="AW260" s="139" t="n"/>
      <x:c r="AX260" s="139" t="n"/>
      <x:c r="AY260" s="139" t="n"/>
      <x:c r="AZ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c r="V261" s="139" t="n"/>
      <x:c r="W261" s="139" t="n"/>
      <x:c r="X261" s="139" t="n"/>
      <x:c r="Y261" s="139" t="n"/>
      <x:c r="Z261" s="139" t="n"/>
      <x:c r="AA261" s="139" t="n"/>
      <x:c r="AB261" s="139" t="n"/>
      <x:c r="AC261" s="139" t="n"/>
      <x:c r="AD261" s="139" t="n"/>
      <x:c r="AE261" s="139" t="n"/>
      <x:c r="AF261" s="139" t="n"/>
      <x:c r="AG261" s="139" t="n"/>
      <x:c r="AH261" s="139" t="n"/>
      <x:c r="AI261" s="139" t="n"/>
      <x:c r="AJ261" s="139" t="n"/>
      <x:c r="AK261" s="139" t="n"/>
      <x:c r="AL261" s="139" t="n"/>
      <x:c r="AM261" s="139" t="n"/>
      <x:c r="AN261" s="139" t="n"/>
      <x:c r="AO261" s="139" t="n"/>
      <x:c r="AP261" s="139" t="n"/>
      <x:c r="AQ261" s="139" t="n"/>
      <x:c r="AR261" s="139" t="n"/>
      <x:c r="AS261" s="139" t="n"/>
      <x:c r="AT261" s="139" t="n"/>
      <x:c r="AU261" s="139" t="n"/>
      <x:c r="AV261" s="139" t="n"/>
      <x:c r="AW261" s="139" t="n"/>
      <x:c r="AX261" s="139" t="n"/>
      <x:c r="AY261" s="139" t="n"/>
      <x:c r="AZ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c r="V262" s="139" t="n"/>
      <x:c r="W262" s="139" t="n"/>
      <x:c r="X262" s="139" t="n"/>
      <x:c r="Y262" s="139" t="n"/>
      <x:c r="Z262" s="139" t="n"/>
      <x:c r="AA262" s="139" t="n"/>
      <x:c r="AB262" s="139" t="n"/>
      <x:c r="AC262" s="139" t="n"/>
      <x:c r="AD262" s="139" t="n"/>
      <x:c r="AE262" s="139" t="n"/>
      <x:c r="AF262" s="139" t="n"/>
      <x:c r="AG262" s="139" t="n"/>
      <x:c r="AH262" s="139" t="n"/>
      <x:c r="AI262" s="139" t="n"/>
      <x:c r="AJ262" s="139" t="n"/>
      <x:c r="AK262" s="139" t="n"/>
      <x:c r="AL262" s="139" t="n"/>
      <x:c r="AM262" s="139" t="n"/>
      <x:c r="AN262" s="139" t="n"/>
      <x:c r="AO262" s="139" t="n"/>
      <x:c r="AP262" s="139" t="n"/>
      <x:c r="AQ262" s="139" t="n"/>
      <x:c r="AR262" s="139" t="n"/>
      <x:c r="AS262" s="139" t="n"/>
      <x:c r="AT262" s="139" t="n"/>
      <x:c r="AU262" s="139" t="n"/>
      <x:c r="AV262" s="139" t="n"/>
      <x:c r="AW262" s="139" t="n"/>
      <x:c r="AX262" s="139" t="n"/>
      <x:c r="AY262" s="139" t="n"/>
      <x:c r="AZ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c r="V263" s="139" t="n"/>
      <x:c r="W263" s="139" t="n"/>
      <x:c r="X263" s="139" t="n"/>
      <x:c r="Y263" s="139" t="n"/>
      <x:c r="Z263" s="139" t="n"/>
      <x:c r="AA263" s="139" t="n"/>
      <x:c r="AB263" s="139" t="n"/>
      <x:c r="AC263" s="139" t="n"/>
      <x:c r="AD263" s="139" t="n"/>
      <x:c r="AE263" s="139" t="n"/>
      <x:c r="AF263" s="139" t="n"/>
      <x:c r="AG263" s="139" t="n"/>
      <x:c r="AH263" s="139" t="n"/>
      <x:c r="AI263" s="139" t="n"/>
      <x:c r="AJ263" s="139" t="n"/>
      <x:c r="AK263" s="139" t="n"/>
      <x:c r="AL263" s="139" t="n"/>
      <x:c r="AM263" s="139" t="n"/>
      <x:c r="AN263" s="139" t="n"/>
      <x:c r="AO263" s="139" t="n"/>
      <x:c r="AP263" s="139" t="n"/>
      <x:c r="AQ263" s="139" t="n"/>
      <x:c r="AR263" s="139" t="n"/>
      <x:c r="AS263" s="139" t="n"/>
      <x:c r="AT263" s="139" t="n"/>
      <x:c r="AU263" s="139" t="n"/>
      <x:c r="AV263" s="139" t="n"/>
      <x:c r="AW263" s="139" t="n"/>
      <x:c r="AX263" s="139" t="n"/>
      <x:c r="AY263" s="139" t="n"/>
      <x:c r="AZ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c r="V264" s="139" t="n"/>
      <x:c r="W264" s="139" t="n"/>
      <x:c r="X264" s="139" t="n"/>
      <x:c r="Y264" s="139" t="n"/>
      <x:c r="Z264" s="139" t="n"/>
      <x:c r="AA264" s="139" t="n"/>
      <x:c r="AB264" s="139" t="n"/>
      <x:c r="AC264" s="139" t="n"/>
      <x:c r="AD264" s="139" t="n"/>
      <x:c r="AE264" s="139" t="n"/>
      <x:c r="AF264" s="139" t="n"/>
      <x:c r="AG264" s="139" t="n"/>
      <x:c r="AH264" s="139" t="n"/>
      <x:c r="AI264" s="139" t="n"/>
      <x:c r="AJ264" s="139" t="n"/>
      <x:c r="AK264" s="139" t="n"/>
      <x:c r="AL264" s="139" t="n"/>
      <x:c r="AM264" s="139" t="n"/>
      <x:c r="AN264" s="139" t="n"/>
      <x:c r="AO264" s="139" t="n"/>
      <x:c r="AP264" s="139" t="n"/>
      <x:c r="AQ264" s="139" t="n"/>
      <x:c r="AR264" s="139" t="n"/>
      <x:c r="AS264" s="139" t="n"/>
      <x:c r="AT264" s="139" t="n"/>
      <x:c r="AU264" s="139" t="n"/>
      <x:c r="AV264" s="139" t="n"/>
      <x:c r="AW264" s="139" t="n"/>
      <x:c r="AX264" s="139" t="n"/>
      <x:c r="AY264" s="139" t="n"/>
      <x:c r="AZ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c r="V265" s="139" t="n"/>
      <x:c r="W265" s="139" t="n"/>
      <x:c r="X265" s="139" t="n"/>
      <x:c r="Y265" s="139" t="n"/>
      <x:c r="Z265" s="139" t="n"/>
      <x:c r="AA265" s="139" t="n"/>
      <x:c r="AB265" s="139" t="n"/>
      <x:c r="AC265" s="139" t="n"/>
      <x:c r="AD265" s="139" t="n"/>
      <x:c r="AE265" s="139" t="n"/>
      <x:c r="AF265" s="139" t="n"/>
      <x:c r="AG265" s="139" t="n"/>
      <x:c r="AH265" s="139" t="n"/>
      <x:c r="AI265" s="139" t="n"/>
      <x:c r="AJ265" s="139" t="n"/>
      <x:c r="AK265" s="139" t="n"/>
      <x:c r="AL265" s="139" t="n"/>
      <x:c r="AM265" s="139" t="n"/>
      <x:c r="AN265" s="139" t="n"/>
      <x:c r="AO265" s="139" t="n"/>
      <x:c r="AP265" s="139" t="n"/>
      <x:c r="AQ265" s="139" t="n"/>
      <x:c r="AR265" s="139" t="n"/>
      <x:c r="AS265" s="139" t="n"/>
      <x:c r="AT265" s="139" t="n"/>
      <x:c r="AU265" s="139" t="n"/>
      <x:c r="AV265" s="139" t="n"/>
      <x:c r="AW265" s="139" t="n"/>
      <x:c r="AX265" s="139" t="n"/>
      <x:c r="AY265" s="139" t="n"/>
      <x:c r="AZ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c r="V266" s="139" t="n"/>
      <x:c r="W266" s="139" t="n"/>
      <x:c r="X266" s="139" t="n"/>
      <x:c r="Y266" s="139" t="n"/>
      <x:c r="Z266" s="139" t="n"/>
      <x:c r="AA266" s="139" t="n"/>
      <x:c r="AB266" s="139" t="n"/>
      <x:c r="AC266" s="139" t="n"/>
      <x:c r="AD266" s="139" t="n"/>
      <x:c r="AE266" s="139" t="n"/>
      <x:c r="AF266" s="139" t="n"/>
      <x:c r="AG266" s="139" t="n"/>
      <x:c r="AH266" s="139" t="n"/>
      <x:c r="AI266" s="139" t="n"/>
      <x:c r="AJ266" s="139" t="n"/>
      <x:c r="AK266" s="139" t="n"/>
      <x:c r="AL266" s="139" t="n"/>
      <x:c r="AM266" s="139" t="n"/>
      <x:c r="AN266" s="139" t="n"/>
      <x:c r="AO266" s="139" t="n"/>
      <x:c r="AP266" s="139" t="n"/>
      <x:c r="AQ266" s="139" t="n"/>
      <x:c r="AR266" s="139" t="n"/>
      <x:c r="AS266" s="139" t="n"/>
      <x:c r="AT266" s="139" t="n"/>
      <x:c r="AU266" s="139" t="n"/>
      <x:c r="AV266" s="139" t="n"/>
      <x:c r="AW266" s="139" t="n"/>
      <x:c r="AX266" s="139" t="n"/>
      <x:c r="AY266" s="139" t="n"/>
      <x:c r="AZ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c r="V267" s="139" t="n"/>
      <x:c r="W267" s="139" t="n"/>
      <x:c r="X267" s="139" t="n"/>
      <x:c r="Y267" s="139" t="n"/>
      <x:c r="Z267" s="139" t="n"/>
      <x:c r="AA267" s="139" t="n"/>
      <x:c r="AB267" s="139" t="n"/>
      <x:c r="AC267" s="139" t="n"/>
      <x:c r="AD267" s="139" t="n"/>
      <x:c r="AE267" s="139" t="n"/>
      <x:c r="AF267" s="139" t="n"/>
      <x:c r="AG267" s="139" t="n"/>
      <x:c r="AH267" s="139" t="n"/>
      <x:c r="AI267" s="139" t="n"/>
      <x:c r="AJ267" s="139" t="n"/>
      <x:c r="AK267" s="139" t="n"/>
      <x:c r="AL267" s="139" t="n"/>
      <x:c r="AM267" s="139" t="n"/>
      <x:c r="AN267" s="139" t="n"/>
      <x:c r="AO267" s="139" t="n"/>
      <x:c r="AP267" s="139" t="n"/>
      <x:c r="AQ267" s="139" t="n"/>
      <x:c r="AR267" s="139" t="n"/>
      <x:c r="AS267" s="139" t="n"/>
      <x:c r="AT267" s="139" t="n"/>
      <x:c r="AU267" s="139" t="n"/>
      <x:c r="AV267" s="139" t="n"/>
      <x:c r="AW267" s="139" t="n"/>
      <x:c r="AX267" s="139" t="n"/>
      <x:c r="AY267" s="139" t="n"/>
      <x:c r="AZ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c r="V268" s="139" t="n"/>
      <x:c r="W268" s="139" t="n"/>
      <x:c r="X268" s="139" t="n"/>
      <x:c r="Y268" s="139" t="n"/>
      <x:c r="Z268" s="139" t="n"/>
      <x:c r="AA268" s="139" t="n"/>
      <x:c r="AB268" s="139" t="n"/>
      <x:c r="AC268" s="139" t="n"/>
      <x:c r="AD268" s="139" t="n"/>
      <x:c r="AE268" s="139" t="n"/>
      <x:c r="AF268" s="139" t="n"/>
      <x:c r="AG268" s="139" t="n"/>
      <x:c r="AH268" s="139" t="n"/>
      <x:c r="AI268" s="139" t="n"/>
      <x:c r="AJ268" s="139" t="n"/>
      <x:c r="AK268" s="139" t="n"/>
      <x:c r="AL268" s="139" t="n"/>
      <x:c r="AM268" s="139" t="n"/>
      <x:c r="AN268" s="139" t="n"/>
      <x:c r="AO268" s="139" t="n"/>
      <x:c r="AP268" s="139" t="n"/>
      <x:c r="AQ268" s="139" t="n"/>
      <x:c r="AR268" s="139" t="n"/>
      <x:c r="AS268" s="139" t="n"/>
      <x:c r="AT268" s="139" t="n"/>
      <x:c r="AU268" s="139" t="n"/>
      <x:c r="AV268" s="139" t="n"/>
      <x:c r="AW268" s="139" t="n"/>
      <x:c r="AX268" s="139" t="n"/>
      <x:c r="AY268" s="139" t="n"/>
      <x:c r="AZ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c r="V269" s="139" t="n"/>
      <x:c r="W269" s="139" t="n"/>
      <x:c r="X269" s="139" t="n"/>
      <x:c r="Y269" s="139" t="n"/>
      <x:c r="Z269" s="139" t="n"/>
      <x:c r="AA269" s="139" t="n"/>
      <x:c r="AB269" s="139" t="n"/>
      <x:c r="AC269" s="139" t="n"/>
      <x:c r="AD269" s="139" t="n"/>
      <x:c r="AE269" s="139" t="n"/>
      <x:c r="AF269" s="139" t="n"/>
      <x:c r="AG269" s="139" t="n"/>
      <x:c r="AH269" s="139" t="n"/>
      <x:c r="AI269" s="139" t="n"/>
      <x:c r="AJ269" s="139" t="n"/>
      <x:c r="AK269" s="139" t="n"/>
      <x:c r="AL269" s="139" t="n"/>
      <x:c r="AM269" s="139" t="n"/>
      <x:c r="AN269" s="139" t="n"/>
      <x:c r="AO269" s="139" t="n"/>
      <x:c r="AP269" s="139" t="n"/>
      <x:c r="AQ269" s="139" t="n"/>
      <x:c r="AR269" s="139" t="n"/>
      <x:c r="AS269" s="139" t="n"/>
      <x:c r="AT269" s="139" t="n"/>
      <x:c r="AU269" s="139" t="n"/>
      <x:c r="AV269" s="139" t="n"/>
      <x:c r="AW269" s="139" t="n"/>
      <x:c r="AX269" s="139" t="n"/>
      <x:c r="AY269" s="139" t="n"/>
      <x:c r="AZ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c r="V270" s="139" t="n"/>
      <x:c r="W270" s="139" t="n"/>
      <x:c r="X270" s="139" t="n"/>
      <x:c r="Y270" s="139" t="n"/>
      <x:c r="Z270" s="139" t="n"/>
      <x:c r="AA270" s="139" t="n"/>
      <x:c r="AB270" s="139" t="n"/>
      <x:c r="AC270" s="139" t="n"/>
      <x:c r="AD270" s="139" t="n"/>
      <x:c r="AE270" s="139" t="n"/>
      <x:c r="AF270" s="139" t="n"/>
      <x:c r="AG270" s="139" t="n"/>
      <x:c r="AH270" s="139" t="n"/>
      <x:c r="AI270" s="139" t="n"/>
      <x:c r="AJ270" s="139" t="n"/>
      <x:c r="AK270" s="139" t="n"/>
      <x:c r="AL270" s="139" t="n"/>
      <x:c r="AM270" s="139" t="n"/>
      <x:c r="AN270" s="139" t="n"/>
      <x:c r="AO270" s="139" t="n"/>
      <x:c r="AP270" s="139" t="n"/>
      <x:c r="AQ270" s="139" t="n"/>
      <x:c r="AR270" s="139" t="n"/>
      <x:c r="AS270" s="139" t="n"/>
      <x:c r="AT270" s="139" t="n"/>
      <x:c r="AU270" s="139" t="n"/>
      <x:c r="AV270" s="139" t="n"/>
      <x:c r="AW270" s="139" t="n"/>
      <x:c r="AX270" s="139" t="n"/>
      <x:c r="AY270" s="139" t="n"/>
      <x:c r="AZ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c r="V271" s="139" t="n"/>
      <x:c r="W271" s="139" t="n"/>
      <x:c r="X271" s="139" t="n"/>
      <x:c r="Y271" s="139" t="n"/>
      <x:c r="Z271" s="139" t="n"/>
      <x:c r="AA271" s="139" t="n"/>
      <x:c r="AB271" s="139" t="n"/>
      <x:c r="AC271" s="139" t="n"/>
      <x:c r="AD271" s="139" t="n"/>
      <x:c r="AE271" s="139" t="n"/>
      <x:c r="AF271" s="139" t="n"/>
      <x:c r="AG271" s="139" t="n"/>
      <x:c r="AH271" s="139" t="n"/>
      <x:c r="AI271" s="139" t="n"/>
      <x:c r="AJ271" s="139" t="n"/>
      <x:c r="AK271" s="139" t="n"/>
      <x:c r="AL271" s="139" t="n"/>
      <x:c r="AM271" s="139" t="n"/>
      <x:c r="AN271" s="139" t="n"/>
      <x:c r="AO271" s="139" t="n"/>
      <x:c r="AP271" s="139" t="n"/>
      <x:c r="AQ271" s="139" t="n"/>
      <x:c r="AR271" s="139" t="n"/>
      <x:c r="AS271" s="139" t="n"/>
      <x:c r="AT271" s="139" t="n"/>
      <x:c r="AU271" s="139" t="n"/>
      <x:c r="AV271" s="139" t="n"/>
      <x:c r="AW271" s="139" t="n"/>
      <x:c r="AX271" s="139" t="n"/>
      <x:c r="AY271" s="139" t="n"/>
      <x:c r="AZ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c r="V272" s="139" t="n"/>
      <x:c r="W272" s="139" t="n"/>
      <x:c r="X272" s="139" t="n"/>
      <x:c r="Y272" s="139" t="n"/>
      <x:c r="Z272" s="139" t="n"/>
      <x:c r="AA272" s="139" t="n"/>
      <x:c r="AB272" s="139" t="n"/>
      <x:c r="AC272" s="139" t="n"/>
      <x:c r="AD272" s="139" t="n"/>
      <x:c r="AE272" s="139" t="n"/>
      <x:c r="AF272" s="139" t="n"/>
      <x:c r="AG272" s="139" t="n"/>
      <x:c r="AH272" s="139" t="n"/>
      <x:c r="AI272" s="139" t="n"/>
      <x:c r="AJ272" s="139" t="n"/>
      <x:c r="AK272" s="139" t="n"/>
      <x:c r="AL272" s="139" t="n"/>
      <x:c r="AM272" s="139" t="n"/>
      <x:c r="AN272" s="139" t="n"/>
      <x:c r="AO272" s="139" t="n"/>
      <x:c r="AP272" s="139" t="n"/>
      <x:c r="AQ272" s="139" t="n"/>
      <x:c r="AR272" s="139" t="n"/>
      <x:c r="AS272" s="139" t="n"/>
      <x:c r="AT272" s="139" t="n"/>
      <x:c r="AU272" s="139" t="n"/>
      <x:c r="AV272" s="139" t="n"/>
      <x:c r="AW272" s="139" t="n"/>
      <x:c r="AX272" s="139" t="n"/>
      <x:c r="AY272" s="139" t="n"/>
      <x:c r="AZ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c r="V273" s="139" t="n"/>
      <x:c r="W273" s="139" t="n"/>
      <x:c r="X273" s="139" t="n"/>
      <x:c r="Y273" s="139" t="n"/>
      <x:c r="Z273" s="139" t="n"/>
      <x:c r="AA273" s="139" t="n"/>
      <x:c r="AB273" s="139" t="n"/>
      <x:c r="AC273" s="139" t="n"/>
      <x:c r="AD273" s="139" t="n"/>
      <x:c r="AE273" s="139" t="n"/>
      <x:c r="AF273" s="139" t="n"/>
      <x:c r="AG273" s="139" t="n"/>
      <x:c r="AH273" s="139" t="n"/>
      <x:c r="AI273" s="139" t="n"/>
      <x:c r="AJ273" s="139" t="n"/>
      <x:c r="AK273" s="139" t="n"/>
      <x:c r="AL273" s="139" t="n"/>
      <x:c r="AM273" s="139" t="n"/>
      <x:c r="AN273" s="139" t="n"/>
      <x:c r="AO273" s="139" t="n"/>
      <x:c r="AP273" s="139" t="n"/>
      <x:c r="AQ273" s="139" t="n"/>
      <x:c r="AR273" s="139" t="n"/>
      <x:c r="AS273" s="139" t="n"/>
      <x:c r="AT273" s="139" t="n"/>
      <x:c r="AU273" s="139" t="n"/>
      <x:c r="AV273" s="139" t="n"/>
      <x:c r="AW273" s="139" t="n"/>
      <x:c r="AX273" s="139" t="n"/>
      <x:c r="AY273" s="139" t="n"/>
      <x:c r="AZ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c r="V274" s="139" t="n"/>
      <x:c r="W274" s="139" t="n"/>
      <x:c r="X274" s="139" t="n"/>
      <x:c r="Y274" s="139" t="n"/>
      <x:c r="Z274" s="139" t="n"/>
      <x:c r="AA274" s="139" t="n"/>
      <x:c r="AB274" s="139" t="n"/>
      <x:c r="AC274" s="139" t="n"/>
      <x:c r="AD274" s="139" t="n"/>
      <x:c r="AE274" s="139" t="n"/>
      <x:c r="AF274" s="139" t="n"/>
      <x:c r="AG274" s="139" t="n"/>
      <x:c r="AH274" s="139" t="n"/>
      <x:c r="AI274" s="139" t="n"/>
      <x:c r="AJ274" s="139" t="n"/>
      <x:c r="AK274" s="139" t="n"/>
      <x:c r="AL274" s="139" t="n"/>
      <x:c r="AM274" s="139" t="n"/>
      <x:c r="AN274" s="139" t="n"/>
      <x:c r="AO274" s="139" t="n"/>
      <x:c r="AP274" s="139" t="n"/>
      <x:c r="AQ274" s="139" t="n"/>
      <x:c r="AR274" s="139" t="n"/>
      <x:c r="AS274" s="139" t="n"/>
      <x:c r="AT274" s="139" t="n"/>
      <x:c r="AU274" s="139" t="n"/>
      <x:c r="AV274" s="139" t="n"/>
      <x:c r="AW274" s="139" t="n"/>
      <x:c r="AX274" s="139" t="n"/>
      <x:c r="AY274" s="139" t="n"/>
      <x:c r="AZ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c r="V275" s="139" t="n"/>
      <x:c r="W275" s="139" t="n"/>
      <x:c r="X275" s="139" t="n"/>
      <x:c r="Y275" s="139" t="n"/>
      <x:c r="Z275" s="139" t="n"/>
      <x:c r="AA275" s="139" t="n"/>
      <x:c r="AB275" s="139" t="n"/>
      <x:c r="AC275" s="139" t="n"/>
      <x:c r="AD275" s="139" t="n"/>
      <x:c r="AE275" s="139" t="n"/>
      <x:c r="AF275" s="139" t="n"/>
      <x:c r="AG275" s="139" t="n"/>
      <x:c r="AH275" s="139" t="n"/>
      <x:c r="AI275" s="139" t="n"/>
      <x:c r="AJ275" s="139" t="n"/>
      <x:c r="AK275" s="139" t="n"/>
      <x:c r="AL275" s="139" t="n"/>
      <x:c r="AM275" s="139" t="n"/>
      <x:c r="AN275" s="139" t="n"/>
      <x:c r="AO275" s="139" t="n"/>
      <x:c r="AP275" s="139" t="n"/>
      <x:c r="AQ275" s="139" t="n"/>
      <x:c r="AR275" s="139" t="n"/>
      <x:c r="AS275" s="139" t="n"/>
      <x:c r="AT275" s="139" t="n"/>
      <x:c r="AU275" s="139" t="n"/>
      <x:c r="AV275" s="139" t="n"/>
      <x:c r="AW275" s="139" t="n"/>
      <x:c r="AX275" s="139" t="n"/>
      <x:c r="AY275" s="139" t="n"/>
      <x:c r="AZ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c r="V276" s="139" t="n"/>
      <x:c r="W276" s="139" t="n"/>
      <x:c r="X276" s="139" t="n"/>
      <x:c r="Y276" s="139" t="n"/>
      <x:c r="Z276" s="139" t="n"/>
      <x:c r="AA276" s="139" t="n"/>
      <x:c r="AB276" s="139" t="n"/>
      <x:c r="AC276" s="139" t="n"/>
      <x:c r="AD276" s="139" t="n"/>
      <x:c r="AE276" s="139" t="n"/>
      <x:c r="AF276" s="139" t="n"/>
      <x:c r="AG276" s="139" t="n"/>
      <x:c r="AH276" s="139" t="n"/>
      <x:c r="AI276" s="139" t="n"/>
      <x:c r="AJ276" s="139" t="n"/>
      <x:c r="AK276" s="139" t="n"/>
      <x:c r="AL276" s="139" t="n"/>
      <x:c r="AM276" s="139" t="n"/>
      <x:c r="AN276" s="139" t="n"/>
      <x:c r="AO276" s="139" t="n"/>
      <x:c r="AP276" s="139" t="n"/>
      <x:c r="AQ276" s="139" t="n"/>
      <x:c r="AR276" s="139" t="n"/>
      <x:c r="AS276" s="139" t="n"/>
      <x:c r="AT276" s="139" t="n"/>
      <x:c r="AU276" s="139" t="n"/>
      <x:c r="AV276" s="139" t="n"/>
      <x:c r="AW276" s="139" t="n"/>
      <x:c r="AX276" s="139" t="n"/>
      <x:c r="AY276" s="139" t="n"/>
      <x:c r="AZ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c r="V277" s="139" t="n"/>
      <x:c r="W277" s="139" t="n"/>
      <x:c r="X277" s="139" t="n"/>
      <x:c r="Y277" s="139" t="n"/>
      <x:c r="Z277" s="139" t="n"/>
      <x:c r="AA277" s="139" t="n"/>
      <x:c r="AB277" s="139" t="n"/>
      <x:c r="AC277" s="139" t="n"/>
      <x:c r="AD277" s="139" t="n"/>
      <x:c r="AE277" s="139" t="n"/>
      <x:c r="AF277" s="139" t="n"/>
      <x:c r="AG277" s="139" t="n"/>
      <x:c r="AH277" s="139" t="n"/>
      <x:c r="AI277" s="139" t="n"/>
      <x:c r="AJ277" s="139" t="n"/>
      <x:c r="AK277" s="139" t="n"/>
      <x:c r="AL277" s="139" t="n"/>
      <x:c r="AM277" s="139" t="n"/>
      <x:c r="AN277" s="139" t="n"/>
      <x:c r="AO277" s="139" t="n"/>
      <x:c r="AP277" s="139" t="n"/>
      <x:c r="AQ277" s="139" t="n"/>
      <x:c r="AR277" s="139" t="n"/>
      <x:c r="AS277" s="139" t="n"/>
      <x:c r="AT277" s="139" t="n"/>
      <x:c r="AU277" s="139" t="n"/>
      <x:c r="AV277" s="139" t="n"/>
      <x:c r="AW277" s="139" t="n"/>
      <x:c r="AX277" s="139" t="n"/>
      <x:c r="AY277" s="139" t="n"/>
      <x:c r="AZ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c r="V278" s="139" t="n"/>
      <x:c r="W278" s="139" t="n"/>
      <x:c r="X278" s="139" t="n"/>
      <x:c r="Y278" s="139" t="n"/>
      <x:c r="Z278" s="139" t="n"/>
      <x:c r="AA278" s="139" t="n"/>
      <x:c r="AB278" s="139" t="n"/>
      <x:c r="AC278" s="139" t="n"/>
      <x:c r="AD278" s="139" t="n"/>
      <x:c r="AE278" s="139" t="n"/>
      <x:c r="AF278" s="139" t="n"/>
      <x:c r="AG278" s="139" t="n"/>
      <x:c r="AH278" s="139" t="n"/>
      <x:c r="AI278" s="139" t="n"/>
      <x:c r="AJ278" s="139" t="n"/>
      <x:c r="AK278" s="139" t="n"/>
      <x:c r="AL278" s="139" t="n"/>
      <x:c r="AM278" s="139" t="n"/>
      <x:c r="AN278" s="139" t="n"/>
      <x:c r="AO278" s="139" t="n"/>
      <x:c r="AP278" s="139" t="n"/>
      <x:c r="AQ278" s="139" t="n"/>
      <x:c r="AR278" s="139" t="n"/>
      <x:c r="AS278" s="139" t="n"/>
      <x:c r="AT278" s="139" t="n"/>
      <x:c r="AU278" s="139" t="n"/>
      <x:c r="AV278" s="139" t="n"/>
      <x:c r="AW278" s="139" t="n"/>
      <x:c r="AX278" s="139" t="n"/>
      <x:c r="AY278" s="139" t="n"/>
      <x:c r="AZ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c r="V279" s="139" t="n"/>
      <x:c r="W279" s="139" t="n"/>
      <x:c r="X279" s="139" t="n"/>
      <x:c r="Y279" s="139" t="n"/>
      <x:c r="Z279" s="139" t="n"/>
      <x:c r="AA279" s="139" t="n"/>
      <x:c r="AB279" s="139" t="n"/>
      <x:c r="AC279" s="139" t="n"/>
      <x:c r="AD279" s="139" t="n"/>
      <x:c r="AE279" s="139" t="n"/>
      <x:c r="AF279" s="139" t="n"/>
      <x:c r="AG279" s="139" t="n"/>
      <x:c r="AH279" s="139" t="n"/>
      <x:c r="AI279" s="139" t="n"/>
      <x:c r="AJ279" s="139" t="n"/>
      <x:c r="AK279" s="139" t="n"/>
      <x:c r="AL279" s="139" t="n"/>
      <x:c r="AM279" s="139" t="n"/>
      <x:c r="AN279" s="139" t="n"/>
      <x:c r="AO279" s="139" t="n"/>
      <x:c r="AP279" s="139" t="n"/>
      <x:c r="AQ279" s="139" t="n"/>
      <x:c r="AR279" s="139" t="n"/>
      <x:c r="AS279" s="139" t="n"/>
      <x:c r="AT279" s="139" t="n"/>
      <x:c r="AU279" s="139" t="n"/>
      <x:c r="AV279" s="139" t="n"/>
      <x:c r="AW279" s="139" t="n"/>
      <x:c r="AX279" s="139" t="n"/>
      <x:c r="AY279" s="139" t="n"/>
      <x:c r="AZ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c r="V280" s="139" t="n"/>
      <x:c r="W280" s="139" t="n"/>
      <x:c r="X280" s="139" t="n"/>
      <x:c r="Y280" s="139" t="n"/>
      <x:c r="Z280" s="139" t="n"/>
      <x:c r="AA280" s="139" t="n"/>
      <x:c r="AB280" s="139" t="n"/>
      <x:c r="AC280" s="139" t="n"/>
      <x:c r="AD280" s="139" t="n"/>
      <x:c r="AE280" s="139" t="n"/>
      <x:c r="AF280" s="139" t="n"/>
      <x:c r="AG280" s="139" t="n"/>
      <x:c r="AH280" s="139" t="n"/>
      <x:c r="AI280" s="139" t="n"/>
      <x:c r="AJ280" s="139" t="n"/>
      <x:c r="AK280" s="139" t="n"/>
      <x:c r="AL280" s="139" t="n"/>
      <x:c r="AM280" s="139" t="n"/>
      <x:c r="AN280" s="139" t="n"/>
      <x:c r="AO280" s="139" t="n"/>
      <x:c r="AP280" s="139" t="n"/>
      <x:c r="AQ280" s="139" t="n"/>
      <x:c r="AR280" s="139" t="n"/>
      <x:c r="AS280" s="139" t="n"/>
      <x:c r="AT280" s="139" t="n"/>
      <x:c r="AU280" s="139" t="n"/>
      <x:c r="AV280" s="139" t="n"/>
      <x:c r="AW280" s="139" t="n"/>
      <x:c r="AX280" s="139" t="n"/>
      <x:c r="AY280" s="139" t="n"/>
      <x:c r="AZ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c r="V281" s="139" t="n"/>
      <x:c r="W281" s="139" t="n"/>
      <x:c r="X281" s="139" t="n"/>
      <x:c r="Y281" s="139" t="n"/>
      <x:c r="Z281" s="139" t="n"/>
      <x:c r="AA281" s="139" t="n"/>
      <x:c r="AB281" s="139" t="n"/>
      <x:c r="AC281" s="139" t="n"/>
      <x:c r="AD281" s="139" t="n"/>
      <x:c r="AE281" s="139" t="n"/>
      <x:c r="AF281" s="139" t="n"/>
      <x:c r="AG281" s="139" t="n"/>
      <x:c r="AH281" s="139" t="n"/>
      <x:c r="AI281" s="139" t="n"/>
      <x:c r="AJ281" s="139" t="n"/>
      <x:c r="AK281" s="139" t="n"/>
      <x:c r="AL281" s="139" t="n"/>
      <x:c r="AM281" s="139" t="n"/>
      <x:c r="AN281" s="139" t="n"/>
      <x:c r="AO281" s="139" t="n"/>
      <x:c r="AP281" s="139" t="n"/>
      <x:c r="AQ281" s="139" t="n"/>
      <x:c r="AR281" s="139" t="n"/>
      <x:c r="AS281" s="139" t="n"/>
      <x:c r="AT281" s="139" t="n"/>
      <x:c r="AU281" s="139" t="n"/>
      <x:c r="AV281" s="139" t="n"/>
      <x:c r="AW281" s="139" t="n"/>
      <x:c r="AX281" s="139" t="n"/>
      <x:c r="AY281" s="139" t="n"/>
      <x:c r="AZ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c r="V282" s="139" t="n"/>
      <x:c r="W282" s="139" t="n"/>
      <x:c r="X282" s="139" t="n"/>
      <x:c r="Y282" s="139" t="n"/>
      <x:c r="Z282" s="139" t="n"/>
      <x:c r="AA282" s="139" t="n"/>
      <x:c r="AB282" s="139" t="n"/>
      <x:c r="AC282" s="139" t="n"/>
      <x:c r="AD282" s="139" t="n"/>
      <x:c r="AE282" s="139" t="n"/>
      <x:c r="AF282" s="139" t="n"/>
      <x:c r="AG282" s="139" t="n"/>
      <x:c r="AH282" s="139" t="n"/>
      <x:c r="AI282" s="139" t="n"/>
      <x:c r="AJ282" s="139" t="n"/>
      <x:c r="AK282" s="139" t="n"/>
      <x:c r="AL282" s="139" t="n"/>
      <x:c r="AM282" s="139" t="n"/>
      <x:c r="AN282" s="139" t="n"/>
      <x:c r="AO282" s="139" t="n"/>
      <x:c r="AP282" s="139" t="n"/>
      <x:c r="AQ282" s="139" t="n"/>
      <x:c r="AR282" s="139" t="n"/>
      <x:c r="AS282" s="139" t="n"/>
      <x:c r="AT282" s="139" t="n"/>
      <x:c r="AU282" s="139" t="n"/>
      <x:c r="AV282" s="139" t="n"/>
      <x:c r="AW282" s="139" t="n"/>
      <x:c r="AX282" s="139" t="n"/>
      <x:c r="AY282" s="139" t="n"/>
      <x:c r="AZ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c r="V283" s="139" t="n"/>
      <x:c r="W283" s="139" t="n"/>
      <x:c r="X283" s="139" t="n"/>
      <x:c r="Y283" s="139" t="n"/>
      <x:c r="Z283" s="139" t="n"/>
      <x:c r="AA283" s="139" t="n"/>
      <x:c r="AB283" s="139" t="n"/>
      <x:c r="AC283" s="139" t="n"/>
      <x:c r="AD283" s="139" t="n"/>
      <x:c r="AE283" s="139" t="n"/>
      <x:c r="AF283" s="139" t="n"/>
      <x:c r="AG283" s="139" t="n"/>
      <x:c r="AH283" s="139" t="n"/>
      <x:c r="AI283" s="139" t="n"/>
      <x:c r="AJ283" s="139" t="n"/>
      <x:c r="AK283" s="139" t="n"/>
      <x:c r="AL283" s="139" t="n"/>
      <x:c r="AM283" s="139" t="n"/>
      <x:c r="AN283" s="139" t="n"/>
      <x:c r="AO283" s="139" t="n"/>
      <x:c r="AP283" s="139" t="n"/>
      <x:c r="AQ283" s="139" t="n"/>
      <x:c r="AR283" s="139" t="n"/>
      <x:c r="AS283" s="139" t="n"/>
      <x:c r="AT283" s="139" t="n"/>
      <x:c r="AU283" s="139" t="n"/>
      <x:c r="AV283" s="139" t="n"/>
      <x:c r="AW283" s="139" t="n"/>
      <x:c r="AX283" s="139" t="n"/>
      <x:c r="AY283" s="139" t="n"/>
      <x:c r="AZ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c r="V284" s="139" t="n"/>
      <x:c r="W284" s="139" t="n"/>
      <x:c r="X284" s="139" t="n"/>
      <x:c r="Y284" s="139" t="n"/>
      <x:c r="Z284" s="139" t="n"/>
      <x:c r="AA284" s="139" t="n"/>
      <x:c r="AB284" s="139" t="n"/>
      <x:c r="AC284" s="139" t="n"/>
      <x:c r="AD284" s="139" t="n"/>
      <x:c r="AE284" s="139" t="n"/>
      <x:c r="AF284" s="139" t="n"/>
      <x:c r="AG284" s="139" t="n"/>
      <x:c r="AH284" s="139" t="n"/>
      <x:c r="AI284" s="139" t="n"/>
      <x:c r="AJ284" s="139" t="n"/>
      <x:c r="AK284" s="139" t="n"/>
      <x:c r="AL284" s="139" t="n"/>
      <x:c r="AM284" s="139" t="n"/>
      <x:c r="AN284" s="139" t="n"/>
      <x:c r="AO284" s="139" t="n"/>
      <x:c r="AP284" s="139" t="n"/>
      <x:c r="AQ284" s="139" t="n"/>
      <x:c r="AR284" s="139" t="n"/>
      <x:c r="AS284" s="139" t="n"/>
      <x:c r="AT284" s="139" t="n"/>
      <x:c r="AU284" s="139" t="n"/>
      <x:c r="AV284" s="139" t="n"/>
      <x:c r="AW284" s="139" t="n"/>
      <x:c r="AX284" s="139" t="n"/>
      <x:c r="AY284" s="139" t="n"/>
      <x:c r="AZ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c r="V285" s="139" t="n"/>
      <x:c r="W285" s="139" t="n"/>
      <x:c r="X285" s="139" t="n"/>
      <x:c r="Y285" s="139" t="n"/>
      <x:c r="Z285" s="139" t="n"/>
      <x:c r="AA285" s="139" t="n"/>
      <x:c r="AB285" s="139" t="n"/>
      <x:c r="AC285" s="139" t="n"/>
      <x:c r="AD285" s="139" t="n"/>
      <x:c r="AE285" s="139" t="n"/>
      <x:c r="AF285" s="139" t="n"/>
      <x:c r="AG285" s="139" t="n"/>
      <x:c r="AH285" s="139" t="n"/>
      <x:c r="AI285" s="139" t="n"/>
      <x:c r="AJ285" s="139" t="n"/>
      <x:c r="AK285" s="139" t="n"/>
      <x:c r="AL285" s="139" t="n"/>
      <x:c r="AM285" s="139" t="n"/>
      <x:c r="AN285" s="139" t="n"/>
      <x:c r="AO285" s="139" t="n"/>
      <x:c r="AP285" s="139" t="n"/>
      <x:c r="AQ285" s="139" t="n"/>
      <x:c r="AR285" s="139" t="n"/>
      <x:c r="AS285" s="139" t="n"/>
      <x:c r="AT285" s="139" t="n"/>
      <x:c r="AU285" s="139" t="n"/>
      <x:c r="AV285" s="139" t="n"/>
      <x:c r="AW285" s="139" t="n"/>
      <x:c r="AX285" s="139" t="n"/>
      <x:c r="AY285" s="139" t="n"/>
      <x:c r="AZ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c r="V286" s="139" t="n"/>
      <x:c r="W286" s="139" t="n"/>
      <x:c r="X286" s="139" t="n"/>
      <x:c r="Y286" s="139" t="n"/>
      <x:c r="Z286" s="139" t="n"/>
      <x:c r="AA286" s="139" t="n"/>
      <x:c r="AB286" s="139" t="n"/>
      <x:c r="AC286" s="139" t="n"/>
      <x:c r="AD286" s="139" t="n"/>
      <x:c r="AE286" s="139" t="n"/>
      <x:c r="AF286" s="139" t="n"/>
      <x:c r="AG286" s="139" t="n"/>
      <x:c r="AH286" s="139" t="n"/>
      <x:c r="AI286" s="139" t="n"/>
      <x:c r="AJ286" s="139" t="n"/>
      <x:c r="AK286" s="139" t="n"/>
      <x:c r="AL286" s="139" t="n"/>
      <x:c r="AM286" s="139" t="n"/>
      <x:c r="AN286" s="139" t="n"/>
      <x:c r="AO286" s="139" t="n"/>
      <x:c r="AP286" s="139" t="n"/>
      <x:c r="AQ286" s="139" t="n"/>
      <x:c r="AR286" s="139" t="n"/>
      <x:c r="AS286" s="139" t="n"/>
      <x:c r="AT286" s="139" t="n"/>
      <x:c r="AU286" s="139" t="n"/>
      <x:c r="AV286" s="139" t="n"/>
      <x:c r="AW286" s="139" t="n"/>
      <x:c r="AX286" s="139" t="n"/>
      <x:c r="AY286" s="139" t="n"/>
      <x:c r="AZ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c r="V287" s="139" t="n"/>
      <x:c r="W287" s="139" t="n"/>
      <x:c r="X287" s="139" t="n"/>
      <x:c r="Y287" s="139" t="n"/>
      <x:c r="Z287" s="139" t="n"/>
      <x:c r="AA287" s="139" t="n"/>
      <x:c r="AB287" s="139" t="n"/>
      <x:c r="AC287" s="139" t="n"/>
      <x:c r="AD287" s="139" t="n"/>
      <x:c r="AE287" s="139" t="n"/>
      <x:c r="AF287" s="139" t="n"/>
      <x:c r="AG287" s="139" t="n"/>
      <x:c r="AH287" s="139" t="n"/>
      <x:c r="AI287" s="139" t="n"/>
      <x:c r="AJ287" s="139" t="n"/>
      <x:c r="AK287" s="139" t="n"/>
      <x:c r="AL287" s="139" t="n"/>
      <x:c r="AM287" s="139" t="n"/>
      <x:c r="AN287" s="139" t="n"/>
      <x:c r="AO287" s="139" t="n"/>
      <x:c r="AP287" s="139" t="n"/>
      <x:c r="AQ287" s="139" t="n"/>
      <x:c r="AR287" s="139" t="n"/>
      <x:c r="AS287" s="139" t="n"/>
      <x:c r="AT287" s="139" t="n"/>
      <x:c r="AU287" s="139" t="n"/>
      <x:c r="AV287" s="139" t="n"/>
      <x:c r="AW287" s="139" t="n"/>
      <x:c r="AX287" s="139" t="n"/>
      <x:c r="AY287" s="139" t="n"/>
      <x:c r="AZ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c r="V288" s="139" t="n"/>
      <x:c r="W288" s="139" t="n"/>
      <x:c r="X288" s="139" t="n"/>
      <x:c r="Y288" s="139" t="n"/>
      <x:c r="Z288" s="139" t="n"/>
      <x:c r="AA288" s="139" t="n"/>
      <x:c r="AB288" s="139" t="n"/>
      <x:c r="AC288" s="139" t="n"/>
      <x:c r="AD288" s="139" t="n"/>
      <x:c r="AE288" s="139" t="n"/>
      <x:c r="AF288" s="139" t="n"/>
      <x:c r="AG288" s="139" t="n"/>
      <x:c r="AH288" s="139" t="n"/>
      <x:c r="AI288" s="139" t="n"/>
      <x:c r="AJ288" s="139" t="n"/>
      <x:c r="AK288" s="139" t="n"/>
      <x:c r="AL288" s="139" t="n"/>
      <x:c r="AM288" s="139" t="n"/>
      <x:c r="AN288" s="139" t="n"/>
      <x:c r="AO288" s="139" t="n"/>
      <x:c r="AP288" s="139" t="n"/>
      <x:c r="AQ288" s="139" t="n"/>
      <x:c r="AR288" s="139" t="n"/>
      <x:c r="AS288" s="139" t="n"/>
      <x:c r="AT288" s="139" t="n"/>
      <x:c r="AU288" s="139" t="n"/>
      <x:c r="AV288" s="139" t="n"/>
      <x:c r="AW288" s="139" t="n"/>
      <x:c r="AX288" s="139" t="n"/>
      <x:c r="AY288" s="139" t="n"/>
      <x:c r="AZ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c r="V289" s="139" t="n"/>
      <x:c r="W289" s="139" t="n"/>
      <x:c r="X289" s="139" t="n"/>
      <x:c r="Y289" s="139" t="n"/>
      <x:c r="Z289" s="139" t="n"/>
      <x:c r="AA289" s="139" t="n"/>
      <x:c r="AB289" s="139" t="n"/>
      <x:c r="AC289" s="139" t="n"/>
      <x:c r="AD289" s="139" t="n"/>
      <x:c r="AE289" s="139" t="n"/>
      <x:c r="AF289" s="139" t="n"/>
      <x:c r="AG289" s="139" t="n"/>
      <x:c r="AH289" s="139" t="n"/>
      <x:c r="AI289" s="139" t="n"/>
      <x:c r="AJ289" s="139" t="n"/>
      <x:c r="AK289" s="139" t="n"/>
      <x:c r="AL289" s="139" t="n"/>
      <x:c r="AM289" s="139" t="n"/>
      <x:c r="AN289" s="139" t="n"/>
      <x:c r="AO289" s="139" t="n"/>
      <x:c r="AP289" s="139" t="n"/>
      <x:c r="AQ289" s="139" t="n"/>
      <x:c r="AR289" s="139" t="n"/>
      <x:c r="AS289" s="139" t="n"/>
      <x:c r="AT289" s="139" t="n"/>
      <x:c r="AU289" s="139" t="n"/>
      <x:c r="AV289" s="139" t="n"/>
      <x:c r="AW289" s="139" t="n"/>
      <x:c r="AX289" s="139" t="n"/>
      <x:c r="AY289" s="139" t="n"/>
      <x:c r="AZ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c r="V290" s="139" t="n"/>
      <x:c r="W290" s="139" t="n"/>
      <x:c r="X290" s="139" t="n"/>
      <x:c r="Y290" s="139" t="n"/>
      <x:c r="Z290" s="139" t="n"/>
      <x:c r="AA290" s="139" t="n"/>
      <x:c r="AB290" s="139" t="n"/>
      <x:c r="AC290" s="139" t="n"/>
      <x:c r="AD290" s="139" t="n"/>
      <x:c r="AE290" s="139" t="n"/>
      <x:c r="AF290" s="139" t="n"/>
      <x:c r="AG290" s="139" t="n"/>
      <x:c r="AH290" s="139" t="n"/>
      <x:c r="AI290" s="139" t="n"/>
      <x:c r="AJ290" s="139" t="n"/>
      <x:c r="AK290" s="139" t="n"/>
      <x:c r="AL290" s="139" t="n"/>
      <x:c r="AM290" s="139" t="n"/>
      <x:c r="AN290" s="139" t="n"/>
      <x:c r="AO290" s="139" t="n"/>
      <x:c r="AP290" s="139" t="n"/>
      <x:c r="AQ290" s="139" t="n"/>
      <x:c r="AR290" s="139" t="n"/>
      <x:c r="AS290" s="139" t="n"/>
      <x:c r="AT290" s="139" t="n"/>
      <x:c r="AU290" s="139" t="n"/>
      <x:c r="AV290" s="139" t="n"/>
      <x:c r="AW290" s="139" t="n"/>
      <x:c r="AX290" s="139" t="n"/>
      <x:c r="AY290" s="139" t="n"/>
      <x:c r="AZ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c r="V291" s="139" t="n"/>
      <x:c r="W291" s="139" t="n"/>
      <x:c r="X291" s="139" t="n"/>
      <x:c r="Y291" s="139" t="n"/>
      <x:c r="Z291" s="139" t="n"/>
      <x:c r="AA291" s="139" t="n"/>
      <x:c r="AB291" s="139" t="n"/>
      <x:c r="AC291" s="139" t="n"/>
      <x:c r="AD291" s="139" t="n"/>
      <x:c r="AE291" s="139" t="n"/>
      <x:c r="AF291" s="139" t="n"/>
      <x:c r="AG291" s="139" t="n"/>
      <x:c r="AH291" s="139" t="n"/>
      <x:c r="AI291" s="139" t="n"/>
      <x:c r="AJ291" s="139" t="n"/>
      <x:c r="AK291" s="139" t="n"/>
      <x:c r="AL291" s="139" t="n"/>
      <x:c r="AM291" s="139" t="n"/>
      <x:c r="AN291" s="139" t="n"/>
      <x:c r="AO291" s="139" t="n"/>
      <x:c r="AP291" s="139" t="n"/>
      <x:c r="AQ291" s="139" t="n"/>
      <x:c r="AR291" s="139" t="n"/>
      <x:c r="AS291" s="139" t="n"/>
      <x:c r="AT291" s="139" t="n"/>
      <x:c r="AU291" s="139" t="n"/>
      <x:c r="AV291" s="139" t="n"/>
      <x:c r="AW291" s="139" t="n"/>
      <x:c r="AX291" s="139" t="n"/>
      <x:c r="AY291" s="139" t="n"/>
      <x:c r="AZ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c r="V292" s="139" t="n"/>
      <x:c r="W292" s="139" t="n"/>
      <x:c r="X292" s="139" t="n"/>
      <x:c r="Y292" s="139" t="n"/>
      <x:c r="Z292" s="139" t="n"/>
      <x:c r="AA292" s="139" t="n"/>
      <x:c r="AB292" s="139" t="n"/>
      <x:c r="AC292" s="139" t="n"/>
      <x:c r="AD292" s="139" t="n"/>
      <x:c r="AE292" s="139" t="n"/>
      <x:c r="AF292" s="139" t="n"/>
      <x:c r="AG292" s="139" t="n"/>
      <x:c r="AH292" s="139" t="n"/>
      <x:c r="AI292" s="139" t="n"/>
      <x:c r="AJ292" s="139" t="n"/>
      <x:c r="AK292" s="139" t="n"/>
      <x:c r="AL292" s="139" t="n"/>
      <x:c r="AM292" s="139" t="n"/>
      <x:c r="AN292" s="139" t="n"/>
      <x:c r="AO292" s="139" t="n"/>
      <x:c r="AP292" s="139" t="n"/>
      <x:c r="AQ292" s="139" t="n"/>
      <x:c r="AR292" s="139" t="n"/>
      <x:c r="AS292" s="139" t="n"/>
      <x:c r="AT292" s="139" t="n"/>
      <x:c r="AU292" s="139" t="n"/>
      <x:c r="AV292" s="139" t="n"/>
      <x:c r="AW292" s="139" t="n"/>
      <x:c r="AX292" s="139" t="n"/>
      <x:c r="AY292" s="139" t="n"/>
      <x:c r="AZ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c r="V293" s="139" t="n"/>
      <x:c r="W293" s="139" t="n"/>
      <x:c r="X293" s="139" t="n"/>
      <x:c r="Y293" s="139" t="n"/>
      <x:c r="Z293" s="139" t="n"/>
      <x:c r="AA293" s="139" t="n"/>
      <x:c r="AB293" s="139" t="n"/>
      <x:c r="AC293" s="139" t="n"/>
      <x:c r="AD293" s="139" t="n"/>
      <x:c r="AE293" s="139" t="n"/>
      <x:c r="AF293" s="139" t="n"/>
      <x:c r="AG293" s="139" t="n"/>
      <x:c r="AH293" s="139" t="n"/>
      <x:c r="AI293" s="139" t="n"/>
      <x:c r="AJ293" s="139" t="n"/>
      <x:c r="AK293" s="139" t="n"/>
      <x:c r="AL293" s="139" t="n"/>
      <x:c r="AM293" s="139" t="n"/>
      <x:c r="AN293" s="139" t="n"/>
      <x:c r="AO293" s="139" t="n"/>
      <x:c r="AP293" s="139" t="n"/>
      <x:c r="AQ293" s="139" t="n"/>
      <x:c r="AR293" s="139" t="n"/>
      <x:c r="AS293" s="139" t="n"/>
      <x:c r="AT293" s="139" t="n"/>
      <x:c r="AU293" s="139" t="n"/>
      <x:c r="AV293" s="139" t="n"/>
      <x:c r="AW293" s="139" t="n"/>
      <x:c r="AX293" s="139" t="n"/>
      <x:c r="AY293" s="139" t="n"/>
      <x:c r="AZ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c r="V294" s="139" t="n"/>
      <x:c r="W294" s="139" t="n"/>
      <x:c r="X294" s="139" t="n"/>
      <x:c r="Y294" s="139" t="n"/>
      <x:c r="Z294" s="139" t="n"/>
      <x:c r="AA294" s="139" t="n"/>
      <x:c r="AB294" s="139" t="n"/>
      <x:c r="AC294" s="139" t="n"/>
      <x:c r="AD294" s="139" t="n"/>
      <x:c r="AE294" s="139" t="n"/>
      <x:c r="AF294" s="139" t="n"/>
      <x:c r="AG294" s="139" t="n"/>
      <x:c r="AH294" s="139" t="n"/>
      <x:c r="AI294" s="139" t="n"/>
      <x:c r="AJ294" s="139" t="n"/>
      <x:c r="AK294" s="139" t="n"/>
      <x:c r="AL294" s="139" t="n"/>
      <x:c r="AM294" s="139" t="n"/>
      <x:c r="AN294" s="139" t="n"/>
      <x:c r="AO294" s="139" t="n"/>
      <x:c r="AP294" s="139" t="n"/>
      <x:c r="AQ294" s="139" t="n"/>
      <x:c r="AR294" s="139" t="n"/>
      <x:c r="AS294" s="139" t="n"/>
      <x:c r="AT294" s="139" t="n"/>
      <x:c r="AU294" s="139" t="n"/>
      <x:c r="AV294" s="139" t="n"/>
      <x:c r="AW294" s="139" t="n"/>
      <x:c r="AX294" s="139" t="n"/>
      <x:c r="AY294" s="139" t="n"/>
      <x:c r="AZ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c r="V295" s="139" t="n"/>
      <x:c r="W295" s="139" t="n"/>
      <x:c r="X295" s="139" t="n"/>
      <x:c r="Y295" s="139" t="n"/>
      <x:c r="Z295" s="139" t="n"/>
      <x:c r="AA295" s="139" t="n"/>
      <x:c r="AB295" s="139" t="n"/>
      <x:c r="AC295" s="139" t="n"/>
      <x:c r="AD295" s="139" t="n"/>
      <x:c r="AE295" s="139" t="n"/>
      <x:c r="AF295" s="139" t="n"/>
      <x:c r="AG295" s="139" t="n"/>
      <x:c r="AH295" s="139" t="n"/>
      <x:c r="AI295" s="139" t="n"/>
      <x:c r="AJ295" s="139" t="n"/>
      <x:c r="AK295" s="139" t="n"/>
      <x:c r="AL295" s="139" t="n"/>
      <x:c r="AM295" s="139" t="n"/>
      <x:c r="AN295" s="139" t="n"/>
      <x:c r="AO295" s="139" t="n"/>
      <x:c r="AP295" s="139" t="n"/>
      <x:c r="AQ295" s="139" t="n"/>
      <x:c r="AR295" s="139" t="n"/>
      <x:c r="AS295" s="139" t="n"/>
      <x:c r="AT295" s="139" t="n"/>
      <x:c r="AU295" s="139" t="n"/>
      <x:c r="AV295" s="139" t="n"/>
      <x:c r="AW295" s="139" t="n"/>
      <x:c r="AX295" s="139" t="n"/>
      <x:c r="AY295" s="139" t="n"/>
      <x:c r="AZ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c r="V296" s="139" t="n"/>
      <x:c r="W296" s="139" t="n"/>
      <x:c r="X296" s="139" t="n"/>
      <x:c r="Y296" s="139" t="n"/>
      <x:c r="Z296" s="139" t="n"/>
      <x:c r="AA296" s="139" t="n"/>
      <x:c r="AB296" s="139" t="n"/>
      <x:c r="AC296" s="139" t="n"/>
      <x:c r="AD296" s="139" t="n"/>
      <x:c r="AE296" s="139" t="n"/>
      <x:c r="AF296" s="139" t="n"/>
      <x:c r="AG296" s="139" t="n"/>
      <x:c r="AH296" s="139" t="n"/>
      <x:c r="AI296" s="139" t="n"/>
      <x:c r="AJ296" s="139" t="n"/>
      <x:c r="AK296" s="139" t="n"/>
      <x:c r="AL296" s="139" t="n"/>
      <x:c r="AM296" s="139" t="n"/>
      <x:c r="AN296" s="139" t="n"/>
      <x:c r="AO296" s="139" t="n"/>
      <x:c r="AP296" s="139" t="n"/>
      <x:c r="AQ296" s="139" t="n"/>
      <x:c r="AR296" s="139" t="n"/>
      <x:c r="AS296" s="139" t="n"/>
      <x:c r="AT296" s="139" t="n"/>
      <x:c r="AU296" s="139" t="n"/>
      <x:c r="AV296" s="139" t="n"/>
      <x:c r="AW296" s="139" t="n"/>
      <x:c r="AX296" s="139" t="n"/>
      <x:c r="AY296" s="139" t="n"/>
      <x:c r="AZ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c r="V297" s="139" t="n"/>
      <x:c r="W297" s="139" t="n"/>
      <x:c r="X297" s="139" t="n"/>
      <x:c r="Y297" s="139" t="n"/>
      <x:c r="Z297" s="139" t="n"/>
      <x:c r="AA297" s="139" t="n"/>
      <x:c r="AB297" s="139" t="n"/>
      <x:c r="AC297" s="139" t="n"/>
      <x:c r="AD297" s="139" t="n"/>
      <x:c r="AE297" s="139" t="n"/>
      <x:c r="AF297" s="139" t="n"/>
      <x:c r="AG297" s="139" t="n"/>
      <x:c r="AH297" s="139" t="n"/>
      <x:c r="AI297" s="139" t="n"/>
      <x:c r="AJ297" s="139" t="n"/>
      <x:c r="AK297" s="139" t="n"/>
      <x:c r="AL297" s="139" t="n"/>
      <x:c r="AM297" s="139" t="n"/>
      <x:c r="AN297" s="139" t="n"/>
      <x:c r="AO297" s="139" t="n"/>
      <x:c r="AP297" s="139" t="n"/>
      <x:c r="AQ297" s="139" t="n"/>
      <x:c r="AR297" s="139" t="n"/>
      <x:c r="AS297" s="139" t="n"/>
      <x:c r="AT297" s="139" t="n"/>
      <x:c r="AU297" s="139" t="n"/>
      <x:c r="AV297" s="139" t="n"/>
      <x:c r="AW297" s="139" t="n"/>
      <x:c r="AX297" s="139" t="n"/>
      <x:c r="AY297" s="139" t="n"/>
      <x:c r="AZ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c r="V298" s="139" t="n"/>
      <x:c r="W298" s="139" t="n"/>
      <x:c r="X298" s="139" t="n"/>
      <x:c r="Y298" s="139" t="n"/>
      <x:c r="Z298" s="139" t="n"/>
      <x:c r="AA298" s="139" t="n"/>
      <x:c r="AB298" s="139" t="n"/>
      <x:c r="AC298" s="139" t="n"/>
      <x:c r="AD298" s="139" t="n"/>
      <x:c r="AE298" s="139" t="n"/>
      <x:c r="AF298" s="139" t="n"/>
      <x:c r="AG298" s="139" t="n"/>
      <x:c r="AH298" s="139" t="n"/>
      <x:c r="AI298" s="139" t="n"/>
      <x:c r="AJ298" s="139" t="n"/>
      <x:c r="AK298" s="139" t="n"/>
      <x:c r="AL298" s="139" t="n"/>
      <x:c r="AM298" s="139" t="n"/>
      <x:c r="AN298" s="139" t="n"/>
      <x:c r="AO298" s="139" t="n"/>
      <x:c r="AP298" s="139" t="n"/>
      <x:c r="AQ298" s="139" t="n"/>
      <x:c r="AR298" s="139" t="n"/>
      <x:c r="AS298" s="139" t="n"/>
      <x:c r="AT298" s="139" t="n"/>
      <x:c r="AU298" s="139" t="n"/>
      <x:c r="AV298" s="139" t="n"/>
      <x:c r="AW298" s="139" t="n"/>
      <x:c r="AX298" s="139" t="n"/>
      <x:c r="AY298" s="139" t="n"/>
      <x:c r="AZ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c r="V299" s="139" t="n"/>
      <x:c r="W299" s="139" t="n"/>
      <x:c r="X299" s="139" t="n"/>
      <x:c r="Y299" s="139" t="n"/>
      <x:c r="Z299" s="139" t="n"/>
      <x:c r="AA299" s="139" t="n"/>
      <x:c r="AB299" s="139" t="n"/>
      <x:c r="AC299" s="139" t="n"/>
      <x:c r="AD299" s="139" t="n"/>
      <x:c r="AE299" s="139" t="n"/>
      <x:c r="AF299" s="139" t="n"/>
      <x:c r="AG299" s="139" t="n"/>
      <x:c r="AH299" s="139" t="n"/>
      <x:c r="AI299" s="139" t="n"/>
      <x:c r="AJ299" s="139" t="n"/>
      <x:c r="AK299" s="139" t="n"/>
      <x:c r="AL299" s="139" t="n"/>
      <x:c r="AM299" s="139" t="n"/>
      <x:c r="AN299" s="139" t="n"/>
      <x:c r="AO299" s="139" t="n"/>
      <x:c r="AP299" s="139" t="n"/>
      <x:c r="AQ299" s="139" t="n"/>
      <x:c r="AR299" s="139" t="n"/>
      <x:c r="AS299" s="139" t="n"/>
      <x:c r="AT299" s="139" t="n"/>
      <x:c r="AU299" s="139" t="n"/>
      <x:c r="AV299" s="139" t="n"/>
      <x:c r="AW299" s="139" t="n"/>
      <x:c r="AX299" s="139" t="n"/>
      <x:c r="AY299" s="139" t="n"/>
      <x:c r="AZ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c r="V300" s="139" t="n"/>
      <x:c r="W300" s="139" t="n"/>
      <x:c r="X300" s="139" t="n"/>
      <x:c r="Y300" s="139" t="n"/>
      <x:c r="Z300" s="139" t="n"/>
      <x:c r="AA300" s="139" t="n"/>
      <x:c r="AB300" s="139" t="n"/>
      <x:c r="AC300" s="139" t="n"/>
      <x:c r="AD300" s="139" t="n"/>
      <x:c r="AE300" s="139" t="n"/>
      <x:c r="AF300" s="139" t="n"/>
      <x:c r="AG300" s="139" t="n"/>
      <x:c r="AH300" s="139" t="n"/>
      <x:c r="AI300" s="139" t="n"/>
      <x:c r="AJ300" s="139" t="n"/>
      <x:c r="AK300" s="139" t="n"/>
      <x:c r="AL300" s="139" t="n"/>
      <x:c r="AM300" s="139" t="n"/>
      <x:c r="AN300" s="139" t="n"/>
      <x:c r="AO300" s="139" t="n"/>
      <x:c r="AP300" s="139" t="n"/>
      <x:c r="AQ300" s="139" t="n"/>
      <x:c r="AR300" s="139" t="n"/>
      <x:c r="AS300" s="139" t="n"/>
      <x:c r="AT300" s="139" t="n"/>
      <x:c r="AU300" s="139" t="n"/>
      <x:c r="AV300" s="139" t="n"/>
      <x:c r="AW300" s="139" t="n"/>
      <x:c r="AX300" s="139" t="n"/>
      <x:c r="AY300" s="139" t="n"/>
      <x:c r="AZ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c r="V301" s="139" t="n"/>
      <x:c r="W301" s="139" t="n"/>
      <x:c r="X301" s="139" t="n"/>
      <x:c r="Y301" s="139" t="n"/>
      <x:c r="Z301" s="139" t="n"/>
      <x:c r="AA301" s="139" t="n"/>
      <x:c r="AB301" s="139" t="n"/>
      <x:c r="AC301" s="139" t="n"/>
      <x:c r="AD301" s="139" t="n"/>
      <x:c r="AE301" s="139" t="n"/>
      <x:c r="AF301" s="139" t="n"/>
      <x:c r="AG301" s="139" t="n"/>
      <x:c r="AH301" s="139" t="n"/>
      <x:c r="AI301" s="139" t="n"/>
      <x:c r="AJ301" s="139" t="n"/>
      <x:c r="AK301" s="139" t="n"/>
      <x:c r="AL301" s="139" t="n"/>
      <x:c r="AM301" s="139" t="n"/>
      <x:c r="AN301" s="139" t="n"/>
      <x:c r="AO301" s="139" t="n"/>
      <x:c r="AP301" s="139" t="n"/>
      <x:c r="AQ301" s="139" t="n"/>
      <x:c r="AR301" s="139" t="n"/>
      <x:c r="AS301" s="139" t="n"/>
      <x:c r="AT301" s="139" t="n"/>
      <x:c r="AU301" s="139" t="n"/>
      <x:c r="AV301" s="139" t="n"/>
      <x:c r="AW301" s="139" t="n"/>
      <x:c r="AX301" s="139" t="n"/>
      <x:c r="AY301" s="139" t="n"/>
      <x:c r="AZ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c r="V302" s="139" t="n"/>
      <x:c r="W302" s="139" t="n"/>
      <x:c r="X302" s="139" t="n"/>
      <x:c r="Y302" s="139" t="n"/>
      <x:c r="Z302" s="139" t="n"/>
      <x:c r="AA302" s="139" t="n"/>
      <x:c r="AB302" s="139" t="n"/>
      <x:c r="AC302" s="139" t="n"/>
      <x:c r="AD302" s="139" t="n"/>
      <x:c r="AE302" s="139" t="n"/>
      <x:c r="AF302" s="139" t="n"/>
      <x:c r="AG302" s="139" t="n"/>
      <x:c r="AH302" s="139" t="n"/>
      <x:c r="AI302" s="139" t="n"/>
      <x:c r="AJ302" s="139" t="n"/>
      <x:c r="AK302" s="139" t="n"/>
      <x:c r="AL302" s="139" t="n"/>
      <x:c r="AM302" s="139" t="n"/>
      <x:c r="AN302" s="139" t="n"/>
      <x:c r="AO302" s="139" t="n"/>
      <x:c r="AP302" s="139" t="n"/>
      <x:c r="AQ302" s="139" t="n"/>
      <x:c r="AR302" s="139" t="n"/>
      <x:c r="AS302" s="139" t="n"/>
      <x:c r="AT302" s="139" t="n"/>
      <x:c r="AU302" s="139" t="n"/>
      <x:c r="AV302" s="139" t="n"/>
      <x:c r="AW302" s="139" t="n"/>
      <x:c r="AX302" s="139" t="n"/>
      <x:c r="AY302" s="139" t="n"/>
      <x:c r="AZ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c r="V303" s="139" t="n"/>
      <x:c r="W303" s="139" t="n"/>
      <x:c r="X303" s="139" t="n"/>
      <x:c r="Y303" s="139" t="n"/>
      <x:c r="Z303" s="139" t="n"/>
      <x:c r="AA303" s="139" t="n"/>
      <x:c r="AB303" s="139" t="n"/>
      <x:c r="AC303" s="139" t="n"/>
      <x:c r="AD303" s="139" t="n"/>
      <x:c r="AE303" s="139" t="n"/>
      <x:c r="AF303" s="139" t="n"/>
      <x:c r="AG303" s="139" t="n"/>
      <x:c r="AH303" s="139" t="n"/>
      <x:c r="AI303" s="139" t="n"/>
      <x:c r="AJ303" s="139" t="n"/>
      <x:c r="AK303" s="139" t="n"/>
      <x:c r="AL303" s="139" t="n"/>
      <x:c r="AM303" s="139" t="n"/>
      <x:c r="AN303" s="139" t="n"/>
      <x:c r="AO303" s="139" t="n"/>
      <x:c r="AP303" s="139" t="n"/>
      <x:c r="AQ303" s="139" t="n"/>
      <x:c r="AR303" s="139" t="n"/>
      <x:c r="AS303" s="139" t="n"/>
      <x:c r="AT303" s="139" t="n"/>
      <x:c r="AU303" s="139" t="n"/>
      <x:c r="AV303" s="139" t="n"/>
      <x:c r="AW303" s="139" t="n"/>
      <x:c r="AX303" s="139" t="n"/>
      <x:c r="AY303" s="139" t="n"/>
      <x:c r="AZ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c r="V304" s="139" t="n"/>
      <x:c r="W304" s="139" t="n"/>
      <x:c r="X304" s="139" t="n"/>
      <x:c r="Y304" s="139" t="n"/>
      <x:c r="Z304" s="139" t="n"/>
      <x:c r="AA304" s="139" t="n"/>
      <x:c r="AB304" s="139" t="n"/>
      <x:c r="AC304" s="139" t="n"/>
      <x:c r="AD304" s="139" t="n"/>
      <x:c r="AE304" s="139" t="n"/>
      <x:c r="AF304" s="139" t="n"/>
      <x:c r="AG304" s="139" t="n"/>
      <x:c r="AH304" s="139" t="n"/>
      <x:c r="AI304" s="139" t="n"/>
      <x:c r="AJ304" s="139" t="n"/>
      <x:c r="AK304" s="139" t="n"/>
      <x:c r="AL304" s="139" t="n"/>
      <x:c r="AM304" s="139" t="n"/>
      <x:c r="AN304" s="139" t="n"/>
      <x:c r="AO304" s="139" t="n"/>
      <x:c r="AP304" s="139" t="n"/>
      <x:c r="AQ304" s="139" t="n"/>
      <x:c r="AR304" s="139" t="n"/>
      <x:c r="AS304" s="139" t="n"/>
      <x:c r="AT304" s="139" t="n"/>
      <x:c r="AU304" s="139" t="n"/>
      <x:c r="AV304" s="139" t="n"/>
      <x:c r="AW304" s="139" t="n"/>
      <x:c r="AX304" s="139" t="n"/>
      <x:c r="AY304" s="139" t="n"/>
      <x:c r="AZ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c r="V305" s="139" t="n"/>
      <x:c r="W305" s="139" t="n"/>
      <x:c r="X305" s="139" t="n"/>
      <x:c r="Y305" s="139" t="n"/>
      <x:c r="Z305" s="139" t="n"/>
      <x:c r="AA305" s="139" t="n"/>
      <x:c r="AB305" s="139" t="n"/>
      <x:c r="AC305" s="139" t="n"/>
      <x:c r="AD305" s="139" t="n"/>
      <x:c r="AE305" s="139" t="n"/>
      <x:c r="AF305" s="139" t="n"/>
      <x:c r="AG305" s="139" t="n"/>
      <x:c r="AH305" s="139" t="n"/>
      <x:c r="AI305" s="139" t="n"/>
      <x:c r="AJ305" s="139" t="n"/>
      <x:c r="AK305" s="139" t="n"/>
      <x:c r="AL305" s="139" t="n"/>
      <x:c r="AM305" s="139" t="n"/>
      <x:c r="AN305" s="139" t="n"/>
      <x:c r="AO305" s="139" t="n"/>
      <x:c r="AP305" s="139" t="n"/>
      <x:c r="AQ305" s="139" t="n"/>
      <x:c r="AR305" s="139" t="n"/>
      <x:c r="AS305" s="139" t="n"/>
      <x:c r="AT305" s="139" t="n"/>
      <x:c r="AU305" s="139" t="n"/>
      <x:c r="AV305" s="139" t="n"/>
      <x:c r="AW305" s="139" t="n"/>
      <x:c r="AX305" s="139" t="n"/>
      <x:c r="AY305" s="139" t="n"/>
      <x:c r="AZ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c r="V306" s="139" t="n"/>
      <x:c r="W306" s="139" t="n"/>
      <x:c r="X306" s="139" t="n"/>
      <x:c r="Y306" s="139" t="n"/>
      <x:c r="Z306" s="139" t="n"/>
      <x:c r="AA306" s="139" t="n"/>
      <x:c r="AB306" s="139" t="n"/>
      <x:c r="AC306" s="139" t="n"/>
      <x:c r="AD306" s="139" t="n"/>
      <x:c r="AE306" s="139" t="n"/>
      <x:c r="AF306" s="139" t="n"/>
      <x:c r="AG306" s="139" t="n"/>
      <x:c r="AH306" s="139" t="n"/>
      <x:c r="AI306" s="139" t="n"/>
      <x:c r="AJ306" s="139" t="n"/>
      <x:c r="AK306" s="139" t="n"/>
      <x:c r="AL306" s="139" t="n"/>
      <x:c r="AM306" s="139" t="n"/>
      <x:c r="AN306" s="139" t="n"/>
      <x:c r="AO306" s="139" t="n"/>
      <x:c r="AP306" s="139" t="n"/>
      <x:c r="AQ306" s="139" t="n"/>
      <x:c r="AR306" s="139" t="n"/>
      <x:c r="AS306" s="139" t="n"/>
      <x:c r="AT306" s="139" t="n"/>
      <x:c r="AU306" s="139" t="n"/>
      <x:c r="AV306" s="139" t="n"/>
      <x:c r="AW306" s="139" t="n"/>
      <x:c r="AX306" s="139" t="n"/>
      <x:c r="AY306" s="139" t="n"/>
      <x:c r="AZ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c r="V307" s="139" t="n"/>
      <x:c r="W307" s="139" t="n"/>
      <x:c r="X307" s="139" t="n"/>
      <x:c r="Y307" s="139" t="n"/>
      <x:c r="Z307" s="139" t="n"/>
      <x:c r="AA307" s="139" t="n"/>
      <x:c r="AB307" s="139" t="n"/>
      <x:c r="AC307" s="139" t="n"/>
      <x:c r="AD307" s="139" t="n"/>
      <x:c r="AE307" s="139" t="n"/>
      <x:c r="AF307" s="139" t="n"/>
      <x:c r="AG307" s="139" t="n"/>
      <x:c r="AH307" s="139" t="n"/>
      <x:c r="AI307" s="139" t="n"/>
      <x:c r="AJ307" s="139" t="n"/>
      <x:c r="AK307" s="139" t="n"/>
      <x:c r="AL307" s="139" t="n"/>
      <x:c r="AM307" s="139" t="n"/>
      <x:c r="AN307" s="139" t="n"/>
      <x:c r="AO307" s="139" t="n"/>
      <x:c r="AP307" s="139" t="n"/>
      <x:c r="AQ307" s="139" t="n"/>
      <x:c r="AR307" s="139" t="n"/>
      <x:c r="AS307" s="139" t="n"/>
      <x:c r="AT307" s="139" t="n"/>
      <x:c r="AU307" s="139" t="n"/>
      <x:c r="AV307" s="139" t="n"/>
      <x:c r="AW307" s="139" t="n"/>
      <x:c r="AX307" s="139" t="n"/>
      <x:c r="AY307" s="139" t="n"/>
      <x:c r="AZ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c r="V308" s="139" t="n"/>
      <x:c r="W308" s="139" t="n"/>
      <x:c r="X308" s="139" t="n"/>
      <x:c r="Y308" s="139" t="n"/>
      <x:c r="Z308" s="139" t="n"/>
      <x:c r="AA308" s="139" t="n"/>
      <x:c r="AB308" s="139" t="n"/>
      <x:c r="AC308" s="139" t="n"/>
      <x:c r="AD308" s="139" t="n"/>
      <x:c r="AE308" s="139" t="n"/>
      <x:c r="AF308" s="139" t="n"/>
      <x:c r="AG308" s="139" t="n"/>
      <x:c r="AH308" s="139" t="n"/>
      <x:c r="AI308" s="139" t="n"/>
      <x:c r="AJ308" s="139" t="n"/>
      <x:c r="AK308" s="139" t="n"/>
      <x:c r="AL308" s="139" t="n"/>
      <x:c r="AM308" s="139" t="n"/>
      <x:c r="AN308" s="139" t="n"/>
      <x:c r="AO308" s="139" t="n"/>
      <x:c r="AP308" s="139" t="n"/>
      <x:c r="AQ308" s="139" t="n"/>
      <x:c r="AR308" s="139" t="n"/>
      <x:c r="AS308" s="139" t="n"/>
      <x:c r="AT308" s="139" t="n"/>
      <x:c r="AU308" s="139" t="n"/>
      <x:c r="AV308" s="139" t="n"/>
      <x:c r="AW308" s="139" t="n"/>
      <x:c r="AX308" s="139" t="n"/>
      <x:c r="AY308" s="139" t="n"/>
      <x:c r="AZ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c r="V309" s="139" t="n"/>
      <x:c r="W309" s="139" t="n"/>
      <x:c r="X309" s="139" t="n"/>
      <x:c r="Y309" s="139" t="n"/>
      <x:c r="Z309" s="139" t="n"/>
      <x:c r="AA309" s="139" t="n"/>
      <x:c r="AB309" s="139" t="n"/>
      <x:c r="AC309" s="139" t="n"/>
      <x:c r="AD309" s="139" t="n"/>
      <x:c r="AE309" s="139" t="n"/>
      <x:c r="AF309" s="139" t="n"/>
      <x:c r="AG309" s="139" t="n"/>
      <x:c r="AH309" s="139" t="n"/>
      <x:c r="AI309" s="139" t="n"/>
      <x:c r="AJ309" s="139" t="n"/>
      <x:c r="AK309" s="139" t="n"/>
      <x:c r="AL309" s="139" t="n"/>
      <x:c r="AM309" s="139" t="n"/>
      <x:c r="AN309" s="139" t="n"/>
      <x:c r="AO309" s="139" t="n"/>
      <x:c r="AP309" s="139" t="n"/>
      <x:c r="AQ309" s="139" t="n"/>
      <x:c r="AR309" s="139" t="n"/>
      <x:c r="AS309" s="139" t="n"/>
      <x:c r="AT309" s="139" t="n"/>
      <x:c r="AU309" s="139" t="n"/>
      <x:c r="AV309" s="139" t="n"/>
      <x:c r="AW309" s="139" t="n"/>
      <x:c r="AX309" s="139" t="n"/>
      <x:c r="AY309" s="139" t="n"/>
      <x:c r="AZ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c r="V310" s="139" t="n"/>
      <x:c r="W310" s="139" t="n"/>
      <x:c r="X310" s="139" t="n"/>
      <x:c r="Y310" s="139" t="n"/>
      <x:c r="Z310" s="139" t="n"/>
      <x:c r="AA310" s="139" t="n"/>
      <x:c r="AB310" s="139" t="n"/>
      <x:c r="AC310" s="139" t="n"/>
      <x:c r="AD310" s="139" t="n"/>
      <x:c r="AE310" s="139" t="n"/>
      <x:c r="AF310" s="139" t="n"/>
      <x:c r="AG310" s="139" t="n"/>
      <x:c r="AH310" s="139" t="n"/>
      <x:c r="AI310" s="139" t="n"/>
      <x:c r="AJ310" s="139" t="n"/>
      <x:c r="AK310" s="139" t="n"/>
      <x:c r="AL310" s="139" t="n"/>
      <x:c r="AM310" s="139" t="n"/>
      <x:c r="AN310" s="139" t="n"/>
      <x:c r="AO310" s="139" t="n"/>
      <x:c r="AP310" s="139" t="n"/>
      <x:c r="AQ310" s="139" t="n"/>
      <x:c r="AR310" s="139" t="n"/>
      <x:c r="AS310" s="139" t="n"/>
      <x:c r="AT310" s="139" t="n"/>
      <x:c r="AU310" s="139" t="n"/>
      <x:c r="AV310" s="139" t="n"/>
      <x:c r="AW310" s="139" t="n"/>
      <x:c r="AX310" s="139" t="n"/>
      <x:c r="AY310" s="139" t="n"/>
      <x:c r="AZ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c r="V311" s="139" t="n"/>
      <x:c r="W311" s="139" t="n"/>
      <x:c r="X311" s="139" t="n"/>
      <x:c r="Y311" s="139" t="n"/>
      <x:c r="Z311" s="139" t="n"/>
      <x:c r="AA311" s="139" t="n"/>
      <x:c r="AB311" s="139" t="n"/>
      <x:c r="AC311" s="139" t="n"/>
      <x:c r="AD311" s="139" t="n"/>
      <x:c r="AE311" s="139" t="n"/>
      <x:c r="AF311" s="139" t="n"/>
      <x:c r="AG311" s="139" t="n"/>
      <x:c r="AH311" s="139" t="n"/>
      <x:c r="AI311" s="139" t="n"/>
      <x:c r="AJ311" s="139" t="n"/>
      <x:c r="AK311" s="139" t="n"/>
      <x:c r="AL311" s="139" t="n"/>
      <x:c r="AM311" s="139" t="n"/>
      <x:c r="AN311" s="139" t="n"/>
      <x:c r="AO311" s="139" t="n"/>
      <x:c r="AP311" s="139" t="n"/>
      <x:c r="AQ311" s="139" t="n"/>
      <x:c r="AR311" s="139" t="n"/>
      <x:c r="AS311" s="139" t="n"/>
      <x:c r="AT311" s="139" t="n"/>
      <x:c r="AU311" s="139" t="n"/>
      <x:c r="AV311" s="139" t="n"/>
      <x:c r="AW311" s="139" t="n"/>
      <x:c r="AX311" s="139" t="n"/>
      <x:c r="AY311" s="139" t="n"/>
      <x:c r="AZ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c r="V312" s="139" t="n"/>
      <x:c r="W312" s="139" t="n"/>
      <x:c r="X312" s="139" t="n"/>
      <x:c r="Y312" s="139" t="n"/>
      <x:c r="Z312" s="139" t="n"/>
      <x:c r="AA312" s="139" t="n"/>
      <x:c r="AB312" s="139" t="n"/>
      <x:c r="AC312" s="139" t="n"/>
      <x:c r="AD312" s="139" t="n"/>
      <x:c r="AE312" s="139" t="n"/>
      <x:c r="AF312" s="139" t="n"/>
      <x:c r="AG312" s="139" t="n"/>
      <x:c r="AH312" s="139" t="n"/>
      <x:c r="AI312" s="139" t="n"/>
      <x:c r="AJ312" s="139" t="n"/>
      <x:c r="AK312" s="139" t="n"/>
      <x:c r="AL312" s="139" t="n"/>
      <x:c r="AM312" s="139" t="n"/>
      <x:c r="AN312" s="139" t="n"/>
      <x:c r="AO312" s="139" t="n"/>
      <x:c r="AP312" s="139" t="n"/>
      <x:c r="AQ312" s="139" t="n"/>
      <x:c r="AR312" s="139" t="n"/>
      <x:c r="AS312" s="139" t="n"/>
      <x:c r="AT312" s="139" t="n"/>
      <x:c r="AU312" s="139" t="n"/>
      <x:c r="AV312" s="139" t="n"/>
      <x:c r="AW312" s="139" t="n"/>
      <x:c r="AX312" s="139" t="n"/>
      <x:c r="AY312" s="139" t="n"/>
      <x:c r="AZ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c r="V313" s="139" t="n"/>
      <x:c r="W313" s="139" t="n"/>
      <x:c r="X313" s="139" t="n"/>
      <x:c r="Y313" s="139" t="n"/>
      <x:c r="Z313" s="139" t="n"/>
      <x:c r="AA313" s="139" t="n"/>
      <x:c r="AB313" s="139" t="n"/>
      <x:c r="AC313" s="139" t="n"/>
      <x:c r="AD313" s="139" t="n"/>
      <x:c r="AE313" s="139" t="n"/>
      <x:c r="AF313" s="139" t="n"/>
      <x:c r="AG313" s="139" t="n"/>
      <x:c r="AH313" s="139" t="n"/>
      <x:c r="AI313" s="139" t="n"/>
      <x:c r="AJ313" s="139" t="n"/>
      <x:c r="AK313" s="139" t="n"/>
      <x:c r="AL313" s="139" t="n"/>
      <x:c r="AM313" s="139" t="n"/>
      <x:c r="AN313" s="139" t="n"/>
      <x:c r="AO313" s="139" t="n"/>
      <x:c r="AP313" s="139" t="n"/>
      <x:c r="AQ313" s="139" t="n"/>
      <x:c r="AR313" s="139" t="n"/>
      <x:c r="AS313" s="139" t="n"/>
      <x:c r="AT313" s="139" t="n"/>
      <x:c r="AU313" s="139" t="n"/>
      <x:c r="AV313" s="139" t="n"/>
      <x:c r="AW313" s="139" t="n"/>
      <x:c r="AX313" s="139" t="n"/>
      <x:c r="AY313" s="139" t="n"/>
      <x:c r="AZ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c r="V314" s="139" t="n"/>
      <x:c r="W314" s="139" t="n"/>
      <x:c r="X314" s="139" t="n"/>
      <x:c r="Y314" s="139" t="n"/>
      <x:c r="Z314" s="139" t="n"/>
      <x:c r="AA314" s="139" t="n"/>
      <x:c r="AB314" s="139" t="n"/>
      <x:c r="AC314" s="139" t="n"/>
      <x:c r="AD314" s="139" t="n"/>
      <x:c r="AE314" s="139" t="n"/>
      <x:c r="AF314" s="139" t="n"/>
      <x:c r="AG314" s="139" t="n"/>
      <x:c r="AH314" s="139" t="n"/>
      <x:c r="AI314" s="139" t="n"/>
      <x:c r="AJ314" s="139" t="n"/>
      <x:c r="AK314" s="139" t="n"/>
      <x:c r="AL314" s="139" t="n"/>
      <x:c r="AM314" s="139" t="n"/>
      <x:c r="AN314" s="139" t="n"/>
      <x:c r="AO314" s="139" t="n"/>
      <x:c r="AP314" s="139" t="n"/>
      <x:c r="AQ314" s="139" t="n"/>
      <x:c r="AR314" s="139" t="n"/>
      <x:c r="AS314" s="139" t="n"/>
      <x:c r="AT314" s="139" t="n"/>
      <x:c r="AU314" s="139" t="n"/>
      <x:c r="AV314" s="139" t="n"/>
      <x:c r="AW314" s="139" t="n"/>
      <x:c r="AX314" s="139" t="n"/>
      <x:c r="AY314" s="139" t="n"/>
      <x:c r="AZ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c r="V315" s="139" t="n"/>
      <x:c r="W315" s="139" t="n"/>
      <x:c r="X315" s="139" t="n"/>
      <x:c r="Y315" s="139" t="n"/>
      <x:c r="Z315" s="139" t="n"/>
      <x:c r="AA315" s="139" t="n"/>
      <x:c r="AB315" s="139" t="n"/>
      <x:c r="AC315" s="139" t="n"/>
      <x:c r="AD315" s="139" t="n"/>
      <x:c r="AE315" s="139" t="n"/>
      <x:c r="AF315" s="139" t="n"/>
      <x:c r="AG315" s="139" t="n"/>
      <x:c r="AH315" s="139" t="n"/>
      <x:c r="AI315" s="139" t="n"/>
      <x:c r="AJ315" s="139" t="n"/>
      <x:c r="AK315" s="139" t="n"/>
      <x:c r="AL315" s="139" t="n"/>
      <x:c r="AM315" s="139" t="n"/>
      <x:c r="AN315" s="139" t="n"/>
      <x:c r="AO315" s="139" t="n"/>
      <x:c r="AP315" s="139" t="n"/>
      <x:c r="AQ315" s="139" t="n"/>
      <x:c r="AR315" s="139" t="n"/>
      <x:c r="AS315" s="139" t="n"/>
      <x:c r="AT315" s="139" t="n"/>
      <x:c r="AU315" s="139" t="n"/>
      <x:c r="AV315" s="139" t="n"/>
      <x:c r="AW315" s="139" t="n"/>
      <x:c r="AX315" s="139" t="n"/>
      <x:c r="AY315" s="139" t="n"/>
      <x:c r="AZ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c r="V316" s="139" t="n"/>
      <x:c r="W316" s="139" t="n"/>
      <x:c r="X316" s="139" t="n"/>
      <x:c r="Y316" s="139" t="n"/>
      <x:c r="Z316" s="139" t="n"/>
      <x:c r="AA316" s="139" t="n"/>
      <x:c r="AB316" s="139" t="n"/>
      <x:c r="AC316" s="139" t="n"/>
      <x:c r="AD316" s="139" t="n"/>
      <x:c r="AE316" s="139" t="n"/>
      <x:c r="AF316" s="139" t="n"/>
      <x:c r="AG316" s="139" t="n"/>
      <x:c r="AH316" s="139" t="n"/>
      <x:c r="AI316" s="139" t="n"/>
      <x:c r="AJ316" s="139" t="n"/>
      <x:c r="AK316" s="139" t="n"/>
      <x:c r="AL316" s="139" t="n"/>
      <x:c r="AM316" s="139" t="n"/>
      <x:c r="AN316" s="139" t="n"/>
      <x:c r="AO316" s="139" t="n"/>
      <x:c r="AP316" s="139" t="n"/>
      <x:c r="AQ316" s="139" t="n"/>
      <x:c r="AR316" s="139" t="n"/>
      <x:c r="AS316" s="139" t="n"/>
      <x:c r="AT316" s="139" t="n"/>
      <x:c r="AU316" s="139" t="n"/>
      <x:c r="AV316" s="139" t="n"/>
      <x:c r="AW316" s="139" t="n"/>
      <x:c r="AX316" s="139" t="n"/>
      <x:c r="AY316" s="139" t="n"/>
      <x:c r="AZ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c r="V317" s="139" t="n"/>
      <x:c r="W317" s="139" t="n"/>
      <x:c r="X317" s="139" t="n"/>
      <x:c r="Y317" s="139" t="n"/>
      <x:c r="Z317" s="139" t="n"/>
      <x:c r="AA317" s="139" t="n"/>
      <x:c r="AB317" s="139" t="n"/>
      <x:c r="AC317" s="139" t="n"/>
      <x:c r="AD317" s="139" t="n"/>
      <x:c r="AE317" s="139" t="n"/>
      <x:c r="AF317" s="139" t="n"/>
      <x:c r="AG317" s="139" t="n"/>
      <x:c r="AH317" s="139" t="n"/>
      <x:c r="AI317" s="139" t="n"/>
      <x:c r="AJ317" s="139" t="n"/>
      <x:c r="AK317" s="139" t="n"/>
      <x:c r="AL317" s="139" t="n"/>
      <x:c r="AM317" s="139" t="n"/>
      <x:c r="AN317" s="139" t="n"/>
      <x:c r="AO317" s="139" t="n"/>
      <x:c r="AP317" s="139" t="n"/>
      <x:c r="AQ317" s="139" t="n"/>
      <x:c r="AR317" s="139" t="n"/>
      <x:c r="AS317" s="139" t="n"/>
      <x:c r="AT317" s="139" t="n"/>
      <x:c r="AU317" s="139" t="n"/>
      <x:c r="AV317" s="139" t="n"/>
      <x:c r="AW317" s="139" t="n"/>
      <x:c r="AX317" s="139" t="n"/>
      <x:c r="AY317" s="139" t="n"/>
      <x:c r="AZ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c r="V318" s="139" t="n"/>
      <x:c r="W318" s="139" t="n"/>
      <x:c r="X318" s="139" t="n"/>
      <x:c r="Y318" s="139" t="n"/>
      <x:c r="Z318" s="139" t="n"/>
      <x:c r="AA318" s="139" t="n"/>
      <x:c r="AB318" s="139" t="n"/>
      <x:c r="AC318" s="139" t="n"/>
      <x:c r="AD318" s="139" t="n"/>
      <x:c r="AE318" s="139" t="n"/>
      <x:c r="AF318" s="139" t="n"/>
      <x:c r="AG318" s="139" t="n"/>
      <x:c r="AH318" s="139" t="n"/>
      <x:c r="AI318" s="139" t="n"/>
      <x:c r="AJ318" s="139" t="n"/>
      <x:c r="AK318" s="139" t="n"/>
      <x:c r="AL318" s="139" t="n"/>
      <x:c r="AM318" s="139" t="n"/>
      <x:c r="AN318" s="139" t="n"/>
      <x:c r="AO318" s="139" t="n"/>
      <x:c r="AP318" s="139" t="n"/>
      <x:c r="AQ318" s="139" t="n"/>
      <x:c r="AR318" s="139" t="n"/>
      <x:c r="AS318" s="139" t="n"/>
      <x:c r="AT318" s="139" t="n"/>
      <x:c r="AU318" s="139" t="n"/>
      <x:c r="AV318" s="139" t="n"/>
      <x:c r="AW318" s="139" t="n"/>
      <x:c r="AX318" s="139" t="n"/>
      <x:c r="AY318" s="139" t="n"/>
      <x:c r="AZ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c r="V319" s="139" t="n"/>
      <x:c r="W319" s="139" t="n"/>
      <x:c r="X319" s="139" t="n"/>
      <x:c r="Y319" s="139" t="n"/>
      <x:c r="Z319" s="139" t="n"/>
      <x:c r="AA319" s="139" t="n"/>
      <x:c r="AB319" s="139" t="n"/>
      <x:c r="AC319" s="139" t="n"/>
      <x:c r="AD319" s="139" t="n"/>
      <x:c r="AE319" s="139" t="n"/>
      <x:c r="AF319" s="139" t="n"/>
      <x:c r="AG319" s="139" t="n"/>
      <x:c r="AH319" s="139" t="n"/>
      <x:c r="AI319" s="139" t="n"/>
      <x:c r="AJ319" s="139" t="n"/>
      <x:c r="AK319" s="139" t="n"/>
      <x:c r="AL319" s="139" t="n"/>
      <x:c r="AM319" s="139" t="n"/>
      <x:c r="AN319" s="139" t="n"/>
      <x:c r="AO319" s="139" t="n"/>
      <x:c r="AP319" s="139" t="n"/>
      <x:c r="AQ319" s="139" t="n"/>
      <x:c r="AR319" s="139" t="n"/>
      <x:c r="AS319" s="139" t="n"/>
      <x:c r="AT319" s="139" t="n"/>
      <x:c r="AU319" s="139" t="n"/>
      <x:c r="AV319" s="139" t="n"/>
      <x:c r="AW319" s="139" t="n"/>
      <x:c r="AX319" s="139" t="n"/>
      <x:c r="AY319" s="139" t="n"/>
      <x:c r="AZ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c r="V320" s="139" t="n"/>
      <x:c r="W320" s="139" t="n"/>
      <x:c r="X320" s="139" t="n"/>
      <x:c r="Y320" s="139" t="n"/>
      <x:c r="Z320" s="139" t="n"/>
      <x:c r="AA320" s="139" t="n"/>
      <x:c r="AB320" s="139" t="n"/>
      <x:c r="AC320" s="139" t="n"/>
      <x:c r="AD320" s="139" t="n"/>
      <x:c r="AE320" s="139" t="n"/>
      <x:c r="AF320" s="139" t="n"/>
      <x:c r="AG320" s="139" t="n"/>
      <x:c r="AH320" s="139" t="n"/>
      <x:c r="AI320" s="139" t="n"/>
      <x:c r="AJ320" s="139" t="n"/>
      <x:c r="AK320" s="139" t="n"/>
      <x:c r="AL320" s="139" t="n"/>
      <x:c r="AM320" s="139" t="n"/>
      <x:c r="AN320" s="139" t="n"/>
      <x:c r="AO320" s="139" t="n"/>
      <x:c r="AP320" s="139" t="n"/>
      <x:c r="AQ320" s="139" t="n"/>
      <x:c r="AR320" s="139" t="n"/>
      <x:c r="AS320" s="139" t="n"/>
      <x:c r="AT320" s="139" t="n"/>
      <x:c r="AU320" s="139" t="n"/>
      <x:c r="AV320" s="139" t="n"/>
      <x:c r="AW320" s="139" t="n"/>
      <x:c r="AX320" s="139" t="n"/>
      <x:c r="AY320" s="139" t="n"/>
      <x:c r="AZ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c r="V321" s="139" t="n"/>
      <x:c r="W321" s="139" t="n"/>
      <x:c r="X321" s="139" t="n"/>
      <x:c r="Y321" s="139" t="n"/>
      <x:c r="Z321" s="139" t="n"/>
      <x:c r="AA321" s="139" t="n"/>
      <x:c r="AB321" s="139" t="n"/>
      <x:c r="AC321" s="139" t="n"/>
      <x:c r="AD321" s="139" t="n"/>
      <x:c r="AE321" s="139" t="n"/>
      <x:c r="AF321" s="139" t="n"/>
      <x:c r="AG321" s="139" t="n"/>
      <x:c r="AH321" s="139" t="n"/>
      <x:c r="AI321" s="139" t="n"/>
      <x:c r="AJ321" s="139" t="n"/>
      <x:c r="AK321" s="139" t="n"/>
      <x:c r="AL321" s="139" t="n"/>
      <x:c r="AM321" s="139" t="n"/>
      <x:c r="AN321" s="139" t="n"/>
      <x:c r="AO321" s="139" t="n"/>
      <x:c r="AP321" s="139" t="n"/>
      <x:c r="AQ321" s="139" t="n"/>
      <x:c r="AR321" s="139" t="n"/>
      <x:c r="AS321" s="139" t="n"/>
      <x:c r="AT321" s="139" t="n"/>
      <x:c r="AU321" s="139" t="n"/>
      <x:c r="AV321" s="139" t="n"/>
      <x:c r="AW321" s="139" t="n"/>
      <x:c r="AX321" s="139" t="n"/>
      <x:c r="AY321" s="139" t="n"/>
      <x:c r="AZ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c r="V322" s="139" t="n"/>
      <x:c r="W322" s="139" t="n"/>
      <x:c r="X322" s="139" t="n"/>
      <x:c r="Y322" s="139" t="n"/>
      <x:c r="Z322" s="139" t="n"/>
      <x:c r="AA322" s="139" t="n"/>
      <x:c r="AB322" s="139" t="n"/>
      <x:c r="AC322" s="139" t="n"/>
      <x:c r="AD322" s="139" t="n"/>
      <x:c r="AE322" s="139" t="n"/>
      <x:c r="AF322" s="139" t="n"/>
      <x:c r="AG322" s="139" t="n"/>
      <x:c r="AH322" s="139" t="n"/>
      <x:c r="AI322" s="139" t="n"/>
      <x:c r="AJ322" s="139" t="n"/>
      <x:c r="AK322" s="139" t="n"/>
      <x:c r="AL322" s="139" t="n"/>
      <x:c r="AM322" s="139" t="n"/>
      <x:c r="AN322" s="139" t="n"/>
      <x:c r="AO322" s="139" t="n"/>
      <x:c r="AP322" s="139" t="n"/>
      <x:c r="AQ322" s="139" t="n"/>
      <x:c r="AR322" s="139" t="n"/>
      <x:c r="AS322" s="139" t="n"/>
      <x:c r="AT322" s="139" t="n"/>
      <x:c r="AU322" s="139" t="n"/>
      <x:c r="AV322" s="139" t="n"/>
      <x:c r="AW322" s="139" t="n"/>
      <x:c r="AX322" s="139" t="n"/>
      <x:c r="AY322" s="139" t="n"/>
      <x:c r="AZ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c r="V323" s="139" t="n"/>
      <x:c r="W323" s="139" t="n"/>
      <x:c r="X323" s="139" t="n"/>
      <x:c r="Y323" s="139" t="n"/>
      <x:c r="Z323" s="139" t="n"/>
      <x:c r="AA323" s="139" t="n"/>
      <x:c r="AB323" s="139" t="n"/>
      <x:c r="AC323" s="139" t="n"/>
      <x:c r="AD323" s="139" t="n"/>
      <x:c r="AE323" s="139" t="n"/>
      <x:c r="AF323" s="139" t="n"/>
      <x:c r="AG323" s="139" t="n"/>
      <x:c r="AH323" s="139" t="n"/>
      <x:c r="AI323" s="139" t="n"/>
      <x:c r="AJ323" s="139" t="n"/>
      <x:c r="AK323" s="139" t="n"/>
      <x:c r="AL323" s="139" t="n"/>
      <x:c r="AM323" s="139" t="n"/>
      <x:c r="AN323" s="139" t="n"/>
      <x:c r="AO323" s="139" t="n"/>
      <x:c r="AP323" s="139" t="n"/>
      <x:c r="AQ323" s="139" t="n"/>
      <x:c r="AR323" s="139" t="n"/>
      <x:c r="AS323" s="139" t="n"/>
      <x:c r="AT323" s="139" t="n"/>
      <x:c r="AU323" s="139" t="n"/>
      <x:c r="AV323" s="139" t="n"/>
      <x:c r="AW323" s="139" t="n"/>
      <x:c r="AX323" s="139" t="n"/>
      <x:c r="AY323" s="139" t="n"/>
      <x:c r="AZ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c r="V324" s="139" t="n"/>
      <x:c r="W324" s="139" t="n"/>
      <x:c r="X324" s="139" t="n"/>
      <x:c r="Y324" s="139" t="n"/>
      <x:c r="Z324" s="139" t="n"/>
      <x:c r="AA324" s="139" t="n"/>
      <x:c r="AB324" s="139" t="n"/>
      <x:c r="AC324" s="139" t="n"/>
      <x:c r="AD324" s="139" t="n"/>
      <x:c r="AE324" s="139" t="n"/>
      <x:c r="AF324" s="139" t="n"/>
      <x:c r="AG324" s="139" t="n"/>
      <x:c r="AH324" s="139" t="n"/>
      <x:c r="AI324" s="139" t="n"/>
      <x:c r="AJ324" s="139" t="n"/>
      <x:c r="AK324" s="139" t="n"/>
      <x:c r="AL324" s="139" t="n"/>
      <x:c r="AM324" s="139" t="n"/>
      <x:c r="AN324" s="139" t="n"/>
      <x:c r="AO324" s="139" t="n"/>
      <x:c r="AP324" s="139" t="n"/>
      <x:c r="AQ324" s="139" t="n"/>
      <x:c r="AR324" s="139" t="n"/>
      <x:c r="AS324" s="139" t="n"/>
      <x:c r="AT324" s="139" t="n"/>
      <x:c r="AU324" s="139" t="n"/>
      <x:c r="AV324" s="139" t="n"/>
      <x:c r="AW324" s="139" t="n"/>
      <x:c r="AX324" s="139" t="n"/>
      <x:c r="AY324" s="139" t="n"/>
      <x:c r="AZ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c r="V325" s="139" t="n"/>
      <x:c r="W325" s="139" t="n"/>
      <x:c r="X325" s="139" t="n"/>
      <x:c r="Y325" s="139" t="n"/>
      <x:c r="Z325" s="139" t="n"/>
      <x:c r="AA325" s="139" t="n"/>
      <x:c r="AB325" s="139" t="n"/>
      <x:c r="AC325" s="139" t="n"/>
      <x:c r="AD325" s="139" t="n"/>
      <x:c r="AE325" s="139" t="n"/>
      <x:c r="AF325" s="139" t="n"/>
      <x:c r="AG325" s="139" t="n"/>
      <x:c r="AH325" s="139" t="n"/>
      <x:c r="AI325" s="139" t="n"/>
      <x:c r="AJ325" s="139" t="n"/>
      <x:c r="AK325" s="139" t="n"/>
      <x:c r="AL325" s="139" t="n"/>
      <x:c r="AM325" s="139" t="n"/>
      <x:c r="AN325" s="139" t="n"/>
      <x:c r="AO325" s="139" t="n"/>
      <x:c r="AP325" s="139" t="n"/>
      <x:c r="AQ325" s="139" t="n"/>
      <x:c r="AR325" s="139" t="n"/>
      <x:c r="AS325" s="139" t="n"/>
      <x:c r="AT325" s="139" t="n"/>
      <x:c r="AU325" s="139" t="n"/>
      <x:c r="AV325" s="139" t="n"/>
      <x:c r="AW325" s="139" t="n"/>
      <x:c r="AX325" s="139" t="n"/>
      <x:c r="AY325" s="139" t="n"/>
      <x:c r="AZ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c r="V326" s="139" t="n"/>
      <x:c r="W326" s="139" t="n"/>
      <x:c r="X326" s="139" t="n"/>
      <x:c r="Y326" s="139" t="n"/>
      <x:c r="Z326" s="139" t="n"/>
      <x:c r="AA326" s="139" t="n"/>
      <x:c r="AB326" s="139" t="n"/>
      <x:c r="AC326" s="139" t="n"/>
      <x:c r="AD326" s="139" t="n"/>
      <x:c r="AE326" s="139" t="n"/>
      <x:c r="AF326" s="139" t="n"/>
      <x:c r="AG326" s="139" t="n"/>
      <x:c r="AH326" s="139" t="n"/>
      <x:c r="AI326" s="139" t="n"/>
      <x:c r="AJ326" s="139" t="n"/>
      <x:c r="AK326" s="139" t="n"/>
      <x:c r="AL326" s="139" t="n"/>
      <x:c r="AM326" s="139" t="n"/>
      <x:c r="AN326" s="139" t="n"/>
      <x:c r="AO326" s="139" t="n"/>
      <x:c r="AP326" s="139" t="n"/>
      <x:c r="AQ326" s="139" t="n"/>
      <x:c r="AR326" s="139" t="n"/>
      <x:c r="AS326" s="139" t="n"/>
      <x:c r="AT326" s="139" t="n"/>
      <x:c r="AU326" s="139" t="n"/>
      <x:c r="AV326" s="139" t="n"/>
      <x:c r="AW326" s="139" t="n"/>
      <x:c r="AX326" s="139" t="n"/>
      <x:c r="AY326" s="139" t="n"/>
      <x:c r="AZ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c r="V327" s="139" t="n"/>
      <x:c r="W327" s="139" t="n"/>
      <x:c r="X327" s="139" t="n"/>
      <x:c r="Y327" s="139" t="n"/>
      <x:c r="Z327" s="139" t="n"/>
      <x:c r="AA327" s="139" t="n"/>
      <x:c r="AB327" s="139" t="n"/>
      <x:c r="AC327" s="139" t="n"/>
      <x:c r="AD327" s="139" t="n"/>
      <x:c r="AE327" s="139" t="n"/>
      <x:c r="AF327" s="139" t="n"/>
      <x:c r="AG327" s="139" t="n"/>
      <x:c r="AH327" s="139" t="n"/>
      <x:c r="AI327" s="139" t="n"/>
      <x:c r="AJ327" s="139" t="n"/>
      <x:c r="AK327" s="139" t="n"/>
      <x:c r="AL327" s="139" t="n"/>
      <x:c r="AM327" s="139" t="n"/>
      <x:c r="AN327" s="139" t="n"/>
      <x:c r="AO327" s="139" t="n"/>
      <x:c r="AP327" s="139" t="n"/>
      <x:c r="AQ327" s="139" t="n"/>
      <x:c r="AR327" s="139" t="n"/>
      <x:c r="AS327" s="139" t="n"/>
      <x:c r="AT327" s="139" t="n"/>
      <x:c r="AU327" s="139" t="n"/>
      <x:c r="AV327" s="139" t="n"/>
      <x:c r="AW327" s="139" t="n"/>
      <x:c r="AX327" s="139" t="n"/>
      <x:c r="AY327" s="139" t="n"/>
      <x:c r="AZ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c r="V328" s="139" t="n"/>
      <x:c r="W328" s="139" t="n"/>
      <x:c r="X328" s="139" t="n"/>
      <x:c r="Y328" s="139" t="n"/>
      <x:c r="Z328" s="139" t="n"/>
      <x:c r="AA328" s="139" t="n"/>
      <x:c r="AB328" s="139" t="n"/>
      <x:c r="AC328" s="139" t="n"/>
      <x:c r="AD328" s="139" t="n"/>
      <x:c r="AE328" s="139" t="n"/>
      <x:c r="AF328" s="139" t="n"/>
      <x:c r="AG328" s="139" t="n"/>
      <x:c r="AH328" s="139" t="n"/>
      <x:c r="AI328" s="139" t="n"/>
      <x:c r="AJ328" s="139" t="n"/>
      <x:c r="AK328" s="139" t="n"/>
      <x:c r="AL328" s="139" t="n"/>
      <x:c r="AM328" s="139" t="n"/>
      <x:c r="AN328" s="139" t="n"/>
      <x:c r="AO328" s="139" t="n"/>
      <x:c r="AP328" s="139" t="n"/>
      <x:c r="AQ328" s="139" t="n"/>
      <x:c r="AR328" s="139" t="n"/>
      <x:c r="AS328" s="139" t="n"/>
      <x:c r="AT328" s="139" t="n"/>
      <x:c r="AU328" s="139" t="n"/>
      <x:c r="AV328" s="139" t="n"/>
      <x:c r="AW328" s="139" t="n"/>
      <x:c r="AX328" s="139" t="n"/>
      <x:c r="AY328" s="139" t="n"/>
      <x:c r="AZ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c r="V329" s="139" t="n"/>
      <x:c r="W329" s="139" t="n"/>
      <x:c r="X329" s="139" t="n"/>
      <x:c r="Y329" s="139" t="n"/>
      <x:c r="Z329" s="139" t="n"/>
      <x:c r="AA329" s="139" t="n"/>
      <x:c r="AB329" s="139" t="n"/>
      <x:c r="AC329" s="139" t="n"/>
      <x:c r="AD329" s="139" t="n"/>
      <x:c r="AE329" s="139" t="n"/>
      <x:c r="AF329" s="139" t="n"/>
      <x:c r="AG329" s="139" t="n"/>
      <x:c r="AH329" s="139" t="n"/>
      <x:c r="AI329" s="139" t="n"/>
      <x:c r="AJ329" s="139" t="n"/>
      <x:c r="AK329" s="139" t="n"/>
      <x:c r="AL329" s="139" t="n"/>
      <x:c r="AM329" s="139" t="n"/>
      <x:c r="AN329" s="139" t="n"/>
      <x:c r="AO329" s="139" t="n"/>
      <x:c r="AP329" s="139" t="n"/>
      <x:c r="AQ329" s="139" t="n"/>
      <x:c r="AR329" s="139" t="n"/>
      <x:c r="AS329" s="139" t="n"/>
      <x:c r="AT329" s="139" t="n"/>
      <x:c r="AU329" s="139" t="n"/>
      <x:c r="AV329" s="139" t="n"/>
      <x:c r="AW329" s="139" t="n"/>
      <x:c r="AX329" s="139" t="n"/>
      <x:c r="AY329" s="139" t="n"/>
      <x:c r="AZ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c r="V330" s="139" t="n"/>
      <x:c r="W330" s="139" t="n"/>
      <x:c r="X330" s="139" t="n"/>
      <x:c r="Y330" s="139" t="n"/>
      <x:c r="Z330" s="139" t="n"/>
      <x:c r="AA330" s="139" t="n"/>
      <x:c r="AB330" s="139" t="n"/>
      <x:c r="AC330" s="139" t="n"/>
      <x:c r="AD330" s="139" t="n"/>
      <x:c r="AE330" s="139" t="n"/>
      <x:c r="AF330" s="139" t="n"/>
      <x:c r="AG330" s="139" t="n"/>
      <x:c r="AH330" s="139" t="n"/>
      <x:c r="AI330" s="139" t="n"/>
      <x:c r="AJ330" s="139" t="n"/>
      <x:c r="AK330" s="139" t="n"/>
      <x:c r="AL330" s="139" t="n"/>
      <x:c r="AM330" s="139" t="n"/>
      <x:c r="AN330" s="139" t="n"/>
      <x:c r="AO330" s="139" t="n"/>
      <x:c r="AP330" s="139" t="n"/>
      <x:c r="AQ330" s="139" t="n"/>
      <x:c r="AR330" s="139" t="n"/>
      <x:c r="AS330" s="139" t="n"/>
      <x:c r="AT330" s="139" t="n"/>
      <x:c r="AU330" s="139" t="n"/>
      <x:c r="AV330" s="139" t="n"/>
      <x:c r="AW330" s="139" t="n"/>
      <x:c r="AX330" s="139" t="n"/>
      <x:c r="AY330" s="139" t="n"/>
      <x:c r="AZ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c r="V331" s="139" t="n"/>
      <x:c r="W331" s="139" t="n"/>
      <x:c r="X331" s="139" t="n"/>
      <x:c r="Y331" s="139" t="n"/>
      <x:c r="Z331" s="139" t="n"/>
      <x:c r="AA331" s="139" t="n"/>
      <x:c r="AB331" s="139" t="n"/>
      <x:c r="AC331" s="139" t="n"/>
      <x:c r="AD331" s="139" t="n"/>
      <x:c r="AE331" s="139" t="n"/>
      <x:c r="AF331" s="139" t="n"/>
      <x:c r="AG331" s="139" t="n"/>
      <x:c r="AH331" s="139" t="n"/>
      <x:c r="AI331" s="139" t="n"/>
      <x:c r="AJ331" s="139" t="n"/>
      <x:c r="AK331" s="139" t="n"/>
      <x:c r="AL331" s="139" t="n"/>
      <x:c r="AM331" s="139" t="n"/>
      <x:c r="AN331" s="139" t="n"/>
      <x:c r="AO331" s="139" t="n"/>
      <x:c r="AP331" s="139" t="n"/>
      <x:c r="AQ331" s="139" t="n"/>
      <x:c r="AR331" s="139" t="n"/>
      <x:c r="AS331" s="139" t="n"/>
      <x:c r="AT331" s="139" t="n"/>
      <x:c r="AU331" s="139" t="n"/>
      <x:c r="AV331" s="139" t="n"/>
      <x:c r="AW331" s="139" t="n"/>
      <x:c r="AX331" s="139" t="n"/>
      <x:c r="AY331" s="139" t="n"/>
      <x:c r="AZ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c r="V332" s="139" t="n"/>
      <x:c r="W332" s="139" t="n"/>
      <x:c r="X332" s="139" t="n"/>
      <x:c r="Y332" s="139" t="n"/>
      <x:c r="Z332" s="139" t="n"/>
      <x:c r="AA332" s="139" t="n"/>
      <x:c r="AB332" s="139" t="n"/>
      <x:c r="AC332" s="139" t="n"/>
      <x:c r="AD332" s="139" t="n"/>
      <x:c r="AE332" s="139" t="n"/>
      <x:c r="AF332" s="139" t="n"/>
      <x:c r="AG332" s="139" t="n"/>
      <x:c r="AH332" s="139" t="n"/>
      <x:c r="AI332" s="139" t="n"/>
      <x:c r="AJ332" s="139" t="n"/>
      <x:c r="AK332" s="139" t="n"/>
      <x:c r="AL332" s="139" t="n"/>
      <x:c r="AM332" s="139" t="n"/>
      <x:c r="AN332" s="139" t="n"/>
      <x:c r="AO332" s="139" t="n"/>
      <x:c r="AP332" s="139" t="n"/>
      <x:c r="AQ332" s="139" t="n"/>
      <x:c r="AR332" s="139" t="n"/>
      <x:c r="AS332" s="139" t="n"/>
      <x:c r="AT332" s="139" t="n"/>
      <x:c r="AU332" s="139" t="n"/>
      <x:c r="AV332" s="139" t="n"/>
      <x:c r="AW332" s="139" t="n"/>
      <x:c r="AX332" s="139" t="n"/>
      <x:c r="AY332" s="139" t="n"/>
      <x:c r="AZ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c r="V333" s="139" t="n"/>
      <x:c r="W333" s="139" t="n"/>
      <x:c r="X333" s="139" t="n"/>
      <x:c r="Y333" s="139" t="n"/>
      <x:c r="Z333" s="139" t="n"/>
      <x:c r="AA333" s="139" t="n"/>
      <x:c r="AB333" s="139" t="n"/>
      <x:c r="AC333" s="139" t="n"/>
      <x:c r="AD333" s="139" t="n"/>
      <x:c r="AE333" s="139" t="n"/>
      <x:c r="AF333" s="139" t="n"/>
      <x:c r="AG333" s="139" t="n"/>
      <x:c r="AH333" s="139" t="n"/>
      <x:c r="AI333" s="139" t="n"/>
      <x:c r="AJ333" s="139" t="n"/>
      <x:c r="AK333" s="139" t="n"/>
      <x:c r="AL333" s="139" t="n"/>
      <x:c r="AM333" s="139" t="n"/>
      <x:c r="AN333" s="139" t="n"/>
      <x:c r="AO333" s="139" t="n"/>
      <x:c r="AP333" s="139" t="n"/>
      <x:c r="AQ333" s="139" t="n"/>
      <x:c r="AR333" s="139" t="n"/>
      <x:c r="AS333" s="139" t="n"/>
      <x:c r="AT333" s="139" t="n"/>
      <x:c r="AU333" s="139" t="n"/>
      <x:c r="AV333" s="139" t="n"/>
      <x:c r="AW333" s="139" t="n"/>
      <x:c r="AX333" s="139" t="n"/>
      <x:c r="AY333" s="139" t="n"/>
      <x:c r="AZ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c r="V334" s="139" t="n"/>
      <x:c r="W334" s="139" t="n"/>
      <x:c r="X334" s="139" t="n"/>
      <x:c r="Y334" s="139" t="n"/>
      <x:c r="Z334" s="139" t="n"/>
      <x:c r="AA334" s="139" t="n"/>
      <x:c r="AB334" s="139" t="n"/>
      <x:c r="AC334" s="139" t="n"/>
      <x:c r="AD334" s="139" t="n"/>
      <x:c r="AE334" s="139" t="n"/>
      <x:c r="AF334" s="139" t="n"/>
      <x:c r="AG334" s="139" t="n"/>
      <x:c r="AH334" s="139" t="n"/>
      <x:c r="AI334" s="139" t="n"/>
      <x:c r="AJ334" s="139" t="n"/>
      <x:c r="AK334" s="139" t="n"/>
      <x:c r="AL334" s="139" t="n"/>
      <x:c r="AM334" s="139" t="n"/>
      <x:c r="AN334" s="139" t="n"/>
      <x:c r="AO334" s="139" t="n"/>
      <x:c r="AP334" s="139" t="n"/>
      <x:c r="AQ334" s="139" t="n"/>
      <x:c r="AR334" s="139" t="n"/>
      <x:c r="AS334" s="139" t="n"/>
      <x:c r="AT334" s="139" t="n"/>
      <x:c r="AU334" s="139" t="n"/>
      <x:c r="AV334" s="139" t="n"/>
      <x:c r="AW334" s="139" t="n"/>
      <x:c r="AX334" s="139" t="n"/>
      <x:c r="AY334" s="139" t="n"/>
      <x:c r="AZ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c r="V335" s="139" t="n"/>
      <x:c r="W335" s="139" t="n"/>
      <x:c r="X335" s="139" t="n"/>
      <x:c r="Y335" s="139" t="n"/>
      <x:c r="Z335" s="139" t="n"/>
      <x:c r="AA335" s="139" t="n"/>
      <x:c r="AB335" s="139" t="n"/>
      <x:c r="AC335" s="139" t="n"/>
      <x:c r="AD335" s="139" t="n"/>
      <x:c r="AE335" s="139" t="n"/>
      <x:c r="AF335" s="139" t="n"/>
      <x:c r="AG335" s="139" t="n"/>
      <x:c r="AH335" s="139" t="n"/>
      <x:c r="AI335" s="139" t="n"/>
      <x:c r="AJ335" s="139" t="n"/>
      <x:c r="AK335" s="139" t="n"/>
      <x:c r="AL335" s="139" t="n"/>
      <x:c r="AM335" s="139" t="n"/>
      <x:c r="AN335" s="139" t="n"/>
      <x:c r="AO335" s="139" t="n"/>
      <x:c r="AP335" s="139" t="n"/>
      <x:c r="AQ335" s="139" t="n"/>
      <x:c r="AR335" s="139" t="n"/>
      <x:c r="AS335" s="139" t="n"/>
      <x:c r="AT335" s="139" t="n"/>
      <x:c r="AU335" s="139" t="n"/>
      <x:c r="AV335" s="139" t="n"/>
      <x:c r="AW335" s="139" t="n"/>
      <x:c r="AX335" s="139" t="n"/>
      <x:c r="AY335" s="139" t="n"/>
      <x:c r="AZ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c r="V336" s="139" t="n"/>
      <x:c r="W336" s="139" t="n"/>
      <x:c r="X336" s="139" t="n"/>
      <x:c r="Y336" s="139" t="n"/>
      <x:c r="Z336" s="139" t="n"/>
      <x:c r="AA336" s="139" t="n"/>
      <x:c r="AB336" s="139" t="n"/>
      <x:c r="AC336" s="139" t="n"/>
      <x:c r="AD336" s="139" t="n"/>
      <x:c r="AE336" s="139" t="n"/>
      <x:c r="AF336" s="139" t="n"/>
      <x:c r="AG336" s="139" t="n"/>
      <x:c r="AH336" s="139" t="n"/>
      <x:c r="AI336" s="139" t="n"/>
      <x:c r="AJ336" s="139" t="n"/>
      <x:c r="AK336" s="139" t="n"/>
      <x:c r="AL336" s="139" t="n"/>
      <x:c r="AM336" s="139" t="n"/>
      <x:c r="AN336" s="139" t="n"/>
      <x:c r="AO336" s="139" t="n"/>
      <x:c r="AP336" s="139" t="n"/>
      <x:c r="AQ336" s="139" t="n"/>
      <x:c r="AR336" s="139" t="n"/>
      <x:c r="AS336" s="139" t="n"/>
      <x:c r="AT336" s="139" t="n"/>
      <x:c r="AU336" s="139" t="n"/>
      <x:c r="AV336" s="139" t="n"/>
      <x:c r="AW336" s="139" t="n"/>
      <x:c r="AX336" s="139" t="n"/>
      <x:c r="AY336" s="139" t="n"/>
      <x:c r="AZ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c r="V337" s="139" t="n"/>
      <x:c r="W337" s="139" t="n"/>
      <x:c r="X337" s="139" t="n"/>
      <x:c r="Y337" s="139" t="n"/>
      <x:c r="Z337" s="139" t="n"/>
      <x:c r="AA337" s="139" t="n"/>
      <x:c r="AB337" s="139" t="n"/>
      <x:c r="AC337" s="139" t="n"/>
      <x:c r="AD337" s="139" t="n"/>
      <x:c r="AE337" s="139" t="n"/>
      <x:c r="AF337" s="139" t="n"/>
      <x:c r="AG337" s="139" t="n"/>
      <x:c r="AH337" s="139" t="n"/>
      <x:c r="AI337" s="139" t="n"/>
      <x:c r="AJ337" s="139" t="n"/>
      <x:c r="AK337" s="139" t="n"/>
      <x:c r="AL337" s="139" t="n"/>
      <x:c r="AM337" s="139" t="n"/>
      <x:c r="AN337" s="139" t="n"/>
      <x:c r="AO337" s="139" t="n"/>
      <x:c r="AP337" s="139" t="n"/>
      <x:c r="AQ337" s="139" t="n"/>
      <x:c r="AR337" s="139" t="n"/>
      <x:c r="AS337" s="139" t="n"/>
      <x:c r="AT337" s="139" t="n"/>
      <x:c r="AU337" s="139" t="n"/>
      <x:c r="AV337" s="139" t="n"/>
      <x:c r="AW337" s="139" t="n"/>
      <x:c r="AX337" s="139" t="n"/>
      <x:c r="AY337" s="139" t="n"/>
      <x:c r="AZ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c r="V338" s="139" t="n"/>
      <x:c r="W338" s="139" t="n"/>
      <x:c r="X338" s="139" t="n"/>
      <x:c r="Y338" s="139" t="n"/>
      <x:c r="Z338" s="139" t="n"/>
      <x:c r="AA338" s="139" t="n"/>
      <x:c r="AB338" s="139" t="n"/>
      <x:c r="AC338" s="139" t="n"/>
      <x:c r="AD338" s="139" t="n"/>
      <x:c r="AE338" s="139" t="n"/>
      <x:c r="AF338" s="139" t="n"/>
      <x:c r="AG338" s="139" t="n"/>
      <x:c r="AH338" s="139" t="n"/>
      <x:c r="AI338" s="139" t="n"/>
      <x:c r="AJ338" s="139" t="n"/>
      <x:c r="AK338" s="139" t="n"/>
      <x:c r="AL338" s="139" t="n"/>
      <x:c r="AM338" s="139" t="n"/>
      <x:c r="AN338" s="139" t="n"/>
      <x:c r="AO338" s="139" t="n"/>
      <x:c r="AP338" s="139" t="n"/>
      <x:c r="AQ338" s="139" t="n"/>
      <x:c r="AR338" s="139" t="n"/>
      <x:c r="AS338" s="139" t="n"/>
      <x:c r="AT338" s="139" t="n"/>
      <x:c r="AU338" s="139" t="n"/>
      <x:c r="AV338" s="139" t="n"/>
      <x:c r="AW338" s="139" t="n"/>
      <x:c r="AX338" s="139" t="n"/>
      <x:c r="AY338" s="139" t="n"/>
      <x:c r="AZ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c r="V339" s="139" t="n"/>
      <x:c r="W339" s="139" t="n"/>
      <x:c r="X339" s="139" t="n"/>
      <x:c r="Y339" s="139" t="n"/>
      <x:c r="Z339" s="139" t="n"/>
      <x:c r="AA339" s="139" t="n"/>
      <x:c r="AB339" s="139" t="n"/>
      <x:c r="AC339" s="139" t="n"/>
      <x:c r="AD339" s="139" t="n"/>
      <x:c r="AE339" s="139" t="n"/>
      <x:c r="AF339" s="139" t="n"/>
      <x:c r="AG339" s="139" t="n"/>
      <x:c r="AH339" s="139" t="n"/>
      <x:c r="AI339" s="139" t="n"/>
      <x:c r="AJ339" s="139" t="n"/>
      <x:c r="AK339" s="139" t="n"/>
      <x:c r="AL339" s="139" t="n"/>
      <x:c r="AM339" s="139" t="n"/>
      <x:c r="AN339" s="139" t="n"/>
      <x:c r="AO339" s="139" t="n"/>
      <x:c r="AP339" s="139" t="n"/>
      <x:c r="AQ339" s="139" t="n"/>
      <x:c r="AR339" s="139" t="n"/>
      <x:c r="AS339" s="139" t="n"/>
      <x:c r="AT339" s="139" t="n"/>
      <x:c r="AU339" s="139" t="n"/>
      <x:c r="AV339" s="139" t="n"/>
      <x:c r="AW339" s="139" t="n"/>
      <x:c r="AX339" s="139" t="n"/>
      <x:c r="AY339" s="139" t="n"/>
      <x:c r="AZ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c r="V340" s="139" t="n"/>
      <x:c r="W340" s="139" t="n"/>
      <x:c r="X340" s="139" t="n"/>
      <x:c r="Y340" s="139" t="n"/>
      <x:c r="Z340" s="139" t="n"/>
      <x:c r="AA340" s="139" t="n"/>
      <x:c r="AB340" s="139" t="n"/>
      <x:c r="AC340" s="139" t="n"/>
      <x:c r="AD340" s="139" t="n"/>
      <x:c r="AE340" s="139" t="n"/>
      <x:c r="AF340" s="139" t="n"/>
      <x:c r="AG340" s="139" t="n"/>
      <x:c r="AH340" s="139" t="n"/>
      <x:c r="AI340" s="139" t="n"/>
      <x:c r="AJ340" s="139" t="n"/>
      <x:c r="AK340" s="139" t="n"/>
      <x:c r="AL340" s="139" t="n"/>
      <x:c r="AM340" s="139" t="n"/>
      <x:c r="AN340" s="139" t="n"/>
      <x:c r="AO340" s="139" t="n"/>
      <x:c r="AP340" s="139" t="n"/>
      <x:c r="AQ340" s="139" t="n"/>
      <x:c r="AR340" s="139" t="n"/>
      <x:c r="AS340" s="139" t="n"/>
      <x:c r="AT340" s="139" t="n"/>
      <x:c r="AU340" s="139" t="n"/>
      <x:c r="AV340" s="139" t="n"/>
      <x:c r="AW340" s="139" t="n"/>
      <x:c r="AX340" s="139" t="n"/>
      <x:c r="AY340" s="139" t="n"/>
      <x:c r="AZ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c r="V341" s="139" t="n"/>
      <x:c r="W341" s="139" t="n"/>
      <x:c r="X341" s="139" t="n"/>
      <x:c r="Y341" s="139" t="n"/>
      <x:c r="Z341" s="139" t="n"/>
      <x:c r="AA341" s="139" t="n"/>
      <x:c r="AB341" s="139" t="n"/>
      <x:c r="AC341" s="139" t="n"/>
      <x:c r="AD341" s="139" t="n"/>
      <x:c r="AE341" s="139" t="n"/>
      <x:c r="AF341" s="139" t="n"/>
      <x:c r="AG341" s="139" t="n"/>
      <x:c r="AH341" s="139" t="n"/>
      <x:c r="AI341" s="139" t="n"/>
      <x:c r="AJ341" s="139" t="n"/>
      <x:c r="AK341" s="139" t="n"/>
      <x:c r="AL341" s="139" t="n"/>
      <x:c r="AM341" s="139" t="n"/>
      <x:c r="AN341" s="139" t="n"/>
      <x:c r="AO341" s="139" t="n"/>
      <x:c r="AP341" s="139" t="n"/>
      <x:c r="AQ341" s="139" t="n"/>
      <x:c r="AR341" s="139" t="n"/>
      <x:c r="AS341" s="139" t="n"/>
      <x:c r="AT341" s="139" t="n"/>
      <x:c r="AU341" s="139" t="n"/>
      <x:c r="AV341" s="139" t="n"/>
      <x:c r="AW341" s="139" t="n"/>
      <x:c r="AX341" s="139" t="n"/>
      <x:c r="AY341" s="139" t="n"/>
      <x:c r="AZ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c r="V342" s="139" t="n"/>
      <x:c r="W342" s="139" t="n"/>
      <x:c r="X342" s="139" t="n"/>
      <x:c r="Y342" s="139" t="n"/>
      <x:c r="Z342" s="139" t="n"/>
      <x:c r="AA342" s="139" t="n"/>
      <x:c r="AB342" s="139" t="n"/>
      <x:c r="AC342" s="139" t="n"/>
      <x:c r="AD342" s="139" t="n"/>
      <x:c r="AE342" s="139" t="n"/>
      <x:c r="AF342" s="139" t="n"/>
      <x:c r="AG342" s="139" t="n"/>
      <x:c r="AH342" s="139" t="n"/>
      <x:c r="AI342" s="139" t="n"/>
      <x:c r="AJ342" s="139" t="n"/>
      <x:c r="AK342" s="139" t="n"/>
      <x:c r="AL342" s="139" t="n"/>
      <x:c r="AM342" s="139" t="n"/>
      <x:c r="AN342" s="139" t="n"/>
      <x:c r="AO342" s="139" t="n"/>
      <x:c r="AP342" s="139" t="n"/>
      <x:c r="AQ342" s="139" t="n"/>
      <x:c r="AR342" s="139" t="n"/>
      <x:c r="AS342" s="139" t="n"/>
      <x:c r="AT342" s="139" t="n"/>
      <x:c r="AU342" s="139" t="n"/>
      <x:c r="AV342" s="139" t="n"/>
      <x:c r="AW342" s="139" t="n"/>
      <x:c r="AX342" s="139" t="n"/>
      <x:c r="AY342" s="139" t="n"/>
      <x:c r="AZ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c r="V343" s="139" t="n"/>
      <x:c r="W343" s="139" t="n"/>
      <x:c r="X343" s="139" t="n"/>
      <x:c r="Y343" s="139" t="n"/>
      <x:c r="Z343" s="139" t="n"/>
      <x:c r="AA343" s="139" t="n"/>
      <x:c r="AB343" s="139" t="n"/>
      <x:c r="AC343" s="139" t="n"/>
      <x:c r="AD343" s="139" t="n"/>
      <x:c r="AE343" s="139" t="n"/>
      <x:c r="AF343" s="139" t="n"/>
      <x:c r="AG343" s="139" t="n"/>
      <x:c r="AH343" s="139" t="n"/>
      <x:c r="AI343" s="139" t="n"/>
      <x:c r="AJ343" s="139" t="n"/>
      <x:c r="AK343" s="139" t="n"/>
      <x:c r="AL343" s="139" t="n"/>
      <x:c r="AM343" s="139" t="n"/>
      <x:c r="AN343" s="139" t="n"/>
      <x:c r="AO343" s="139" t="n"/>
      <x:c r="AP343" s="139" t="n"/>
      <x:c r="AQ343" s="139" t="n"/>
      <x:c r="AR343" s="139" t="n"/>
      <x:c r="AS343" s="139" t="n"/>
      <x:c r="AT343" s="139" t="n"/>
      <x:c r="AU343" s="139" t="n"/>
      <x:c r="AV343" s="139" t="n"/>
      <x:c r="AW343" s="139" t="n"/>
      <x:c r="AX343" s="139" t="n"/>
      <x:c r="AY343" s="139" t="n"/>
      <x:c r="AZ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c r="V344" s="139" t="n"/>
      <x:c r="W344" s="139" t="n"/>
      <x:c r="X344" s="139" t="n"/>
      <x:c r="Y344" s="139" t="n"/>
      <x:c r="Z344" s="139" t="n"/>
      <x:c r="AA344" s="139" t="n"/>
      <x:c r="AB344" s="139" t="n"/>
      <x:c r="AC344" s="139" t="n"/>
      <x:c r="AD344" s="139" t="n"/>
      <x:c r="AE344" s="139" t="n"/>
      <x:c r="AF344" s="139" t="n"/>
      <x:c r="AG344" s="139" t="n"/>
      <x:c r="AH344" s="139" t="n"/>
      <x:c r="AI344" s="139" t="n"/>
      <x:c r="AJ344" s="139" t="n"/>
      <x:c r="AK344" s="139" t="n"/>
      <x:c r="AL344" s="139" t="n"/>
      <x:c r="AM344" s="139" t="n"/>
      <x:c r="AN344" s="139" t="n"/>
      <x:c r="AO344" s="139" t="n"/>
      <x:c r="AP344" s="139" t="n"/>
      <x:c r="AQ344" s="139" t="n"/>
      <x:c r="AR344" s="139" t="n"/>
      <x:c r="AS344" s="139" t="n"/>
      <x:c r="AT344" s="139" t="n"/>
      <x:c r="AU344" s="139" t="n"/>
      <x:c r="AV344" s="139" t="n"/>
      <x:c r="AW344" s="139" t="n"/>
      <x:c r="AX344" s="139" t="n"/>
      <x:c r="AY344" s="139" t="n"/>
      <x:c r="AZ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c r="V345" s="139" t="n"/>
      <x:c r="W345" s="139" t="n"/>
      <x:c r="X345" s="139" t="n"/>
      <x:c r="Y345" s="139" t="n"/>
      <x:c r="Z345" s="139" t="n"/>
      <x:c r="AA345" s="139" t="n"/>
      <x:c r="AB345" s="139" t="n"/>
      <x:c r="AC345" s="139" t="n"/>
      <x:c r="AD345" s="139" t="n"/>
      <x:c r="AE345" s="139" t="n"/>
      <x:c r="AF345" s="139" t="n"/>
      <x:c r="AG345" s="139" t="n"/>
      <x:c r="AH345" s="139" t="n"/>
      <x:c r="AI345" s="139" t="n"/>
      <x:c r="AJ345" s="139" t="n"/>
      <x:c r="AK345" s="139" t="n"/>
      <x:c r="AL345" s="139" t="n"/>
      <x:c r="AM345" s="139" t="n"/>
      <x:c r="AN345" s="139" t="n"/>
      <x:c r="AO345" s="139" t="n"/>
      <x:c r="AP345" s="139" t="n"/>
      <x:c r="AQ345" s="139" t="n"/>
      <x:c r="AR345" s="139" t="n"/>
      <x:c r="AS345" s="139" t="n"/>
      <x:c r="AT345" s="139" t="n"/>
      <x:c r="AU345" s="139" t="n"/>
      <x:c r="AV345" s="139" t="n"/>
      <x:c r="AW345" s="139" t="n"/>
      <x:c r="AX345" s="139" t="n"/>
      <x:c r="AY345" s="139" t="n"/>
      <x:c r="AZ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c r="V346" s="139" t="n"/>
      <x:c r="W346" s="139" t="n"/>
      <x:c r="X346" s="139" t="n"/>
      <x:c r="Y346" s="139" t="n"/>
      <x:c r="Z346" s="139" t="n"/>
      <x:c r="AA346" s="139" t="n"/>
      <x:c r="AB346" s="139" t="n"/>
      <x:c r="AC346" s="139" t="n"/>
      <x:c r="AD346" s="139" t="n"/>
      <x:c r="AE346" s="139" t="n"/>
      <x:c r="AF346" s="139" t="n"/>
      <x:c r="AG346" s="139" t="n"/>
      <x:c r="AH346" s="139" t="n"/>
      <x:c r="AI346" s="139" t="n"/>
      <x:c r="AJ346" s="139" t="n"/>
      <x:c r="AK346" s="139" t="n"/>
      <x:c r="AL346" s="139" t="n"/>
      <x:c r="AM346" s="139" t="n"/>
      <x:c r="AN346" s="139" t="n"/>
      <x:c r="AO346" s="139" t="n"/>
      <x:c r="AP346" s="139" t="n"/>
      <x:c r="AQ346" s="139" t="n"/>
      <x:c r="AR346" s="139" t="n"/>
      <x:c r="AS346" s="139" t="n"/>
      <x:c r="AT346" s="139" t="n"/>
      <x:c r="AU346" s="139" t="n"/>
      <x:c r="AV346" s="139" t="n"/>
      <x:c r="AW346" s="139" t="n"/>
      <x:c r="AX346" s="139" t="n"/>
      <x:c r="AY346" s="139" t="n"/>
      <x:c r="AZ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c r="V347" s="139" t="n"/>
      <x:c r="W347" s="139" t="n"/>
      <x:c r="X347" s="139" t="n"/>
      <x:c r="Y347" s="139" t="n"/>
      <x:c r="Z347" s="139" t="n"/>
      <x:c r="AA347" s="139" t="n"/>
      <x:c r="AB347" s="139" t="n"/>
      <x:c r="AC347" s="139" t="n"/>
      <x:c r="AD347" s="139" t="n"/>
      <x:c r="AE347" s="139" t="n"/>
      <x:c r="AF347" s="139" t="n"/>
      <x:c r="AG347" s="139" t="n"/>
      <x:c r="AH347" s="139" t="n"/>
      <x:c r="AI347" s="139" t="n"/>
      <x:c r="AJ347" s="139" t="n"/>
      <x:c r="AK347" s="139" t="n"/>
      <x:c r="AL347" s="139" t="n"/>
      <x:c r="AM347" s="139" t="n"/>
      <x:c r="AN347" s="139" t="n"/>
      <x:c r="AO347" s="139" t="n"/>
      <x:c r="AP347" s="139" t="n"/>
      <x:c r="AQ347" s="139" t="n"/>
      <x:c r="AR347" s="139" t="n"/>
      <x:c r="AS347" s="139" t="n"/>
      <x:c r="AT347" s="139" t="n"/>
      <x:c r="AU347" s="139" t="n"/>
      <x:c r="AV347" s="139" t="n"/>
      <x:c r="AW347" s="139" t="n"/>
      <x:c r="AX347" s="139" t="n"/>
      <x:c r="AY347" s="139" t="n"/>
      <x:c r="AZ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c r="V348" s="139" t="n"/>
      <x:c r="W348" s="139" t="n"/>
      <x:c r="X348" s="139" t="n"/>
      <x:c r="Y348" s="139" t="n"/>
      <x:c r="Z348" s="139" t="n"/>
      <x:c r="AA348" s="139" t="n"/>
      <x:c r="AB348" s="139" t="n"/>
      <x:c r="AC348" s="139" t="n"/>
      <x:c r="AD348" s="139" t="n"/>
      <x:c r="AE348" s="139" t="n"/>
      <x:c r="AF348" s="139" t="n"/>
      <x:c r="AG348" s="139" t="n"/>
      <x:c r="AH348" s="139" t="n"/>
      <x:c r="AI348" s="139" t="n"/>
      <x:c r="AJ348" s="139" t="n"/>
      <x:c r="AK348" s="139" t="n"/>
      <x:c r="AL348" s="139" t="n"/>
      <x:c r="AM348" s="139" t="n"/>
      <x:c r="AN348" s="139" t="n"/>
      <x:c r="AO348" s="139" t="n"/>
      <x:c r="AP348" s="139" t="n"/>
      <x:c r="AQ348" s="139" t="n"/>
      <x:c r="AR348" s="139" t="n"/>
      <x:c r="AS348" s="139" t="n"/>
      <x:c r="AT348" s="139" t="n"/>
      <x:c r="AU348" s="139" t="n"/>
      <x:c r="AV348" s="139" t="n"/>
      <x:c r="AW348" s="139" t="n"/>
      <x:c r="AX348" s="139" t="n"/>
      <x:c r="AY348" s="139" t="n"/>
      <x:c r="AZ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c r="V349" s="139" t="n"/>
      <x:c r="W349" s="139" t="n"/>
      <x:c r="X349" s="139" t="n"/>
      <x:c r="Y349" s="139" t="n"/>
      <x:c r="Z349" s="139" t="n"/>
      <x:c r="AA349" s="139" t="n"/>
      <x:c r="AB349" s="139" t="n"/>
      <x:c r="AC349" s="139" t="n"/>
      <x:c r="AD349" s="139" t="n"/>
      <x:c r="AE349" s="139" t="n"/>
      <x:c r="AF349" s="139" t="n"/>
      <x:c r="AG349" s="139" t="n"/>
      <x:c r="AH349" s="139" t="n"/>
      <x:c r="AI349" s="139" t="n"/>
      <x:c r="AJ349" s="139" t="n"/>
      <x:c r="AK349" s="139" t="n"/>
      <x:c r="AL349" s="139" t="n"/>
      <x:c r="AM349" s="139" t="n"/>
      <x:c r="AN349" s="139" t="n"/>
      <x:c r="AO349" s="139" t="n"/>
      <x:c r="AP349" s="139" t="n"/>
      <x:c r="AQ349" s="139" t="n"/>
      <x:c r="AR349" s="139" t="n"/>
      <x:c r="AS349" s="139" t="n"/>
      <x:c r="AT349" s="139" t="n"/>
      <x:c r="AU349" s="139" t="n"/>
      <x:c r="AV349" s="139" t="n"/>
      <x:c r="AW349" s="139" t="n"/>
      <x:c r="AX349" s="139" t="n"/>
      <x:c r="AY349" s="139" t="n"/>
      <x:c r="AZ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c r="V350" s="139" t="n"/>
      <x:c r="W350" s="139" t="n"/>
      <x:c r="X350" s="139" t="n"/>
      <x:c r="Y350" s="139" t="n"/>
      <x:c r="Z350" s="139" t="n"/>
      <x:c r="AA350" s="139" t="n"/>
      <x:c r="AB350" s="139" t="n"/>
      <x:c r="AC350" s="139" t="n"/>
      <x:c r="AD350" s="139" t="n"/>
      <x:c r="AE350" s="139" t="n"/>
      <x:c r="AF350" s="139" t="n"/>
      <x:c r="AG350" s="139" t="n"/>
      <x:c r="AH350" s="139" t="n"/>
      <x:c r="AI350" s="139" t="n"/>
      <x:c r="AJ350" s="139" t="n"/>
      <x:c r="AK350" s="139" t="n"/>
      <x:c r="AL350" s="139" t="n"/>
      <x:c r="AM350" s="139" t="n"/>
      <x:c r="AN350" s="139" t="n"/>
      <x:c r="AO350" s="139" t="n"/>
      <x:c r="AP350" s="139" t="n"/>
      <x:c r="AQ350" s="139" t="n"/>
      <x:c r="AR350" s="139" t="n"/>
      <x:c r="AS350" s="139" t="n"/>
      <x:c r="AT350" s="139" t="n"/>
      <x:c r="AU350" s="139" t="n"/>
      <x:c r="AV350" s="139" t="n"/>
      <x:c r="AW350" s="139" t="n"/>
      <x:c r="AX350" s="139" t="n"/>
      <x:c r="AY350" s="139" t="n"/>
      <x:c r="AZ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c r="V351" s="139" t="n"/>
      <x:c r="W351" s="139" t="n"/>
      <x:c r="X351" s="139" t="n"/>
      <x:c r="Y351" s="139" t="n"/>
      <x:c r="Z351" s="139" t="n"/>
      <x:c r="AA351" s="139" t="n"/>
      <x:c r="AB351" s="139" t="n"/>
      <x:c r="AC351" s="139" t="n"/>
      <x:c r="AD351" s="139" t="n"/>
      <x:c r="AE351" s="139" t="n"/>
      <x:c r="AF351" s="139" t="n"/>
      <x:c r="AG351" s="139" t="n"/>
      <x:c r="AH351" s="139" t="n"/>
      <x:c r="AI351" s="139" t="n"/>
      <x:c r="AJ351" s="139" t="n"/>
      <x:c r="AK351" s="139" t="n"/>
      <x:c r="AL351" s="139" t="n"/>
      <x:c r="AM351" s="139" t="n"/>
      <x:c r="AN351" s="139" t="n"/>
      <x:c r="AO351" s="139" t="n"/>
      <x:c r="AP351" s="139" t="n"/>
      <x:c r="AQ351" s="139" t="n"/>
      <x:c r="AR351" s="139" t="n"/>
      <x:c r="AS351" s="139" t="n"/>
      <x:c r="AT351" s="139" t="n"/>
      <x:c r="AU351" s="139" t="n"/>
      <x:c r="AV351" s="139" t="n"/>
      <x:c r="AW351" s="139" t="n"/>
      <x:c r="AX351" s="139" t="n"/>
      <x:c r="AY351" s="139" t="n"/>
      <x:c r="AZ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c r="V352" s="139" t="n"/>
      <x:c r="W352" s="139" t="n"/>
      <x:c r="X352" s="139" t="n"/>
      <x:c r="Y352" s="139" t="n"/>
      <x:c r="Z352" s="139" t="n"/>
      <x:c r="AA352" s="139" t="n"/>
      <x:c r="AB352" s="139" t="n"/>
      <x:c r="AC352" s="139" t="n"/>
      <x:c r="AD352" s="139" t="n"/>
      <x:c r="AE352" s="139" t="n"/>
      <x:c r="AF352" s="139" t="n"/>
      <x:c r="AG352" s="139" t="n"/>
      <x:c r="AH352" s="139" t="n"/>
      <x:c r="AI352" s="139" t="n"/>
      <x:c r="AJ352" s="139" t="n"/>
      <x:c r="AK352" s="139" t="n"/>
      <x:c r="AL352" s="139" t="n"/>
      <x:c r="AM352" s="139" t="n"/>
      <x:c r="AN352" s="139" t="n"/>
      <x:c r="AO352" s="139" t="n"/>
      <x:c r="AP352" s="139" t="n"/>
      <x:c r="AQ352" s="139" t="n"/>
      <x:c r="AR352" s="139" t="n"/>
      <x:c r="AS352" s="139" t="n"/>
      <x:c r="AT352" s="139" t="n"/>
      <x:c r="AU352" s="139" t="n"/>
      <x:c r="AV352" s="139" t="n"/>
      <x:c r="AW352" s="139" t="n"/>
      <x:c r="AX352" s="139" t="n"/>
      <x:c r="AY352" s="139" t="n"/>
      <x:c r="AZ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c r="V353" s="139" t="n"/>
      <x:c r="W353" s="139" t="n"/>
      <x:c r="X353" s="139" t="n"/>
      <x:c r="Y353" s="139" t="n"/>
      <x:c r="Z353" s="139" t="n"/>
      <x:c r="AA353" s="139" t="n"/>
      <x:c r="AB353" s="139" t="n"/>
      <x:c r="AC353" s="139" t="n"/>
      <x:c r="AD353" s="139" t="n"/>
      <x:c r="AE353" s="139" t="n"/>
      <x:c r="AF353" s="139" t="n"/>
      <x:c r="AG353" s="139" t="n"/>
      <x:c r="AH353" s="139" t="n"/>
      <x:c r="AI353" s="139" t="n"/>
      <x:c r="AJ353" s="139" t="n"/>
      <x:c r="AK353" s="139" t="n"/>
      <x:c r="AL353" s="139" t="n"/>
      <x:c r="AM353" s="139" t="n"/>
      <x:c r="AN353" s="139" t="n"/>
      <x:c r="AO353" s="139" t="n"/>
      <x:c r="AP353" s="139" t="n"/>
      <x:c r="AQ353" s="139" t="n"/>
      <x:c r="AR353" s="139" t="n"/>
      <x:c r="AS353" s="139" t="n"/>
      <x:c r="AT353" s="139" t="n"/>
      <x:c r="AU353" s="139" t="n"/>
      <x:c r="AV353" s="139" t="n"/>
      <x:c r="AW353" s="139" t="n"/>
      <x:c r="AX353" s="139" t="n"/>
      <x:c r="AY353" s="139" t="n"/>
      <x:c r="AZ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c r="V354" s="139" t="n"/>
      <x:c r="W354" s="139" t="n"/>
      <x:c r="X354" s="139" t="n"/>
      <x:c r="Y354" s="139" t="n"/>
      <x:c r="Z354" s="139" t="n"/>
      <x:c r="AA354" s="139" t="n"/>
      <x:c r="AB354" s="139" t="n"/>
      <x:c r="AC354" s="139" t="n"/>
      <x:c r="AD354" s="139" t="n"/>
      <x:c r="AE354" s="139" t="n"/>
      <x:c r="AF354" s="139" t="n"/>
      <x:c r="AG354" s="139" t="n"/>
      <x:c r="AH354" s="139" t="n"/>
      <x:c r="AI354" s="139" t="n"/>
      <x:c r="AJ354" s="139" t="n"/>
      <x:c r="AK354" s="139" t="n"/>
      <x:c r="AL354" s="139" t="n"/>
      <x:c r="AM354" s="139" t="n"/>
      <x:c r="AN354" s="139" t="n"/>
      <x:c r="AO354" s="139" t="n"/>
      <x:c r="AP354" s="139" t="n"/>
      <x:c r="AQ354" s="139" t="n"/>
      <x:c r="AR354" s="139" t="n"/>
      <x:c r="AS354" s="139" t="n"/>
      <x:c r="AT354" s="139" t="n"/>
      <x:c r="AU354" s="139" t="n"/>
      <x:c r="AV354" s="139" t="n"/>
      <x:c r="AW354" s="139" t="n"/>
      <x:c r="AX354" s="139" t="n"/>
      <x:c r="AY354" s="139" t="n"/>
      <x:c r="AZ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c r="V355" s="139" t="n"/>
      <x:c r="W355" s="139" t="n"/>
      <x:c r="X355" s="139" t="n"/>
      <x:c r="Y355" s="139" t="n"/>
      <x:c r="Z355" s="139" t="n"/>
      <x:c r="AA355" s="139" t="n"/>
      <x:c r="AB355" s="139" t="n"/>
      <x:c r="AC355" s="139" t="n"/>
      <x:c r="AD355" s="139" t="n"/>
      <x:c r="AE355" s="139" t="n"/>
      <x:c r="AF355" s="139" t="n"/>
      <x:c r="AG355" s="139" t="n"/>
      <x:c r="AH355" s="139" t="n"/>
      <x:c r="AI355" s="139" t="n"/>
      <x:c r="AJ355" s="139" t="n"/>
      <x:c r="AK355" s="139" t="n"/>
      <x:c r="AL355" s="139" t="n"/>
      <x:c r="AM355" s="139" t="n"/>
      <x:c r="AN355" s="139" t="n"/>
      <x:c r="AO355" s="139" t="n"/>
      <x:c r="AP355" s="139" t="n"/>
      <x:c r="AQ355" s="139" t="n"/>
      <x:c r="AR355" s="139" t="n"/>
      <x:c r="AS355" s="139" t="n"/>
      <x:c r="AT355" s="139" t="n"/>
      <x:c r="AU355" s="139" t="n"/>
      <x:c r="AV355" s="139" t="n"/>
      <x:c r="AW355" s="139" t="n"/>
      <x:c r="AX355" s="139" t="n"/>
      <x:c r="AY355" s="139" t="n"/>
      <x:c r="AZ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c r="V356" s="139" t="n"/>
      <x:c r="W356" s="139" t="n"/>
      <x:c r="X356" s="139" t="n"/>
      <x:c r="Y356" s="139" t="n"/>
      <x:c r="Z356" s="139" t="n"/>
      <x:c r="AA356" s="139" t="n"/>
      <x:c r="AB356" s="139" t="n"/>
      <x:c r="AC356" s="139" t="n"/>
      <x:c r="AD356" s="139" t="n"/>
      <x:c r="AE356" s="139" t="n"/>
      <x:c r="AF356" s="139" t="n"/>
      <x:c r="AG356" s="139" t="n"/>
      <x:c r="AH356" s="139" t="n"/>
      <x:c r="AI356" s="139" t="n"/>
      <x:c r="AJ356" s="139" t="n"/>
      <x:c r="AK356" s="139" t="n"/>
      <x:c r="AL356" s="139" t="n"/>
      <x:c r="AM356" s="139" t="n"/>
      <x:c r="AN356" s="139" t="n"/>
      <x:c r="AO356" s="139" t="n"/>
      <x:c r="AP356" s="139" t="n"/>
      <x:c r="AQ356" s="139" t="n"/>
      <x:c r="AR356" s="139" t="n"/>
      <x:c r="AS356" s="139" t="n"/>
      <x:c r="AT356" s="139" t="n"/>
      <x:c r="AU356" s="139" t="n"/>
      <x:c r="AV356" s="139" t="n"/>
      <x:c r="AW356" s="139" t="n"/>
      <x:c r="AX356" s="139" t="n"/>
      <x:c r="AY356" s="139" t="n"/>
      <x:c r="AZ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c r="V357" s="139" t="n"/>
      <x:c r="W357" s="139" t="n"/>
      <x:c r="X357" s="139" t="n"/>
      <x:c r="Y357" s="139" t="n"/>
      <x:c r="Z357" s="139" t="n"/>
      <x:c r="AA357" s="139" t="n"/>
      <x:c r="AB357" s="139" t="n"/>
      <x:c r="AC357" s="139" t="n"/>
      <x:c r="AD357" s="139" t="n"/>
      <x:c r="AE357" s="139" t="n"/>
      <x:c r="AF357" s="139" t="n"/>
      <x:c r="AG357" s="139" t="n"/>
      <x:c r="AH357" s="139" t="n"/>
      <x:c r="AI357" s="139" t="n"/>
      <x:c r="AJ357" s="139" t="n"/>
      <x:c r="AK357" s="139" t="n"/>
      <x:c r="AL357" s="139" t="n"/>
      <x:c r="AM357" s="139" t="n"/>
      <x:c r="AN357" s="139" t="n"/>
      <x:c r="AO357" s="139" t="n"/>
      <x:c r="AP357" s="139" t="n"/>
      <x:c r="AQ357" s="139" t="n"/>
      <x:c r="AR357" s="139" t="n"/>
      <x:c r="AS357" s="139" t="n"/>
      <x:c r="AT357" s="139" t="n"/>
      <x:c r="AU357" s="139" t="n"/>
      <x:c r="AV357" s="139" t="n"/>
      <x:c r="AW357" s="139" t="n"/>
      <x:c r="AX357" s="139" t="n"/>
      <x:c r="AY357" s="139" t="n"/>
      <x:c r="AZ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c r="V358" s="139" t="n"/>
      <x:c r="W358" s="139" t="n"/>
      <x:c r="X358" s="139" t="n"/>
      <x:c r="Y358" s="139" t="n"/>
      <x:c r="Z358" s="139" t="n"/>
      <x:c r="AA358" s="139" t="n"/>
      <x:c r="AB358" s="139" t="n"/>
      <x:c r="AC358" s="139" t="n"/>
      <x:c r="AD358" s="139" t="n"/>
      <x:c r="AE358" s="139" t="n"/>
      <x:c r="AF358" s="139" t="n"/>
      <x:c r="AG358" s="139" t="n"/>
      <x:c r="AH358" s="139" t="n"/>
      <x:c r="AI358" s="139" t="n"/>
      <x:c r="AJ358" s="139" t="n"/>
      <x:c r="AK358" s="139" t="n"/>
      <x:c r="AL358" s="139" t="n"/>
      <x:c r="AM358" s="139" t="n"/>
      <x:c r="AN358" s="139" t="n"/>
      <x:c r="AO358" s="139" t="n"/>
      <x:c r="AP358" s="139" t="n"/>
      <x:c r="AQ358" s="139" t="n"/>
      <x:c r="AR358" s="139" t="n"/>
      <x:c r="AS358" s="139" t="n"/>
      <x:c r="AT358" s="139" t="n"/>
      <x:c r="AU358" s="139" t="n"/>
      <x:c r="AV358" s="139" t="n"/>
      <x:c r="AW358" s="139" t="n"/>
      <x:c r="AX358" s="139" t="n"/>
      <x:c r="AY358" s="139" t="n"/>
      <x:c r="AZ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c r="V359" s="139" t="n"/>
      <x:c r="W359" s="139" t="n"/>
      <x:c r="X359" s="139" t="n"/>
      <x:c r="Y359" s="139" t="n"/>
      <x:c r="Z359" s="139" t="n"/>
      <x:c r="AA359" s="139" t="n"/>
      <x:c r="AB359" s="139" t="n"/>
      <x:c r="AC359" s="139" t="n"/>
      <x:c r="AD359" s="139" t="n"/>
      <x:c r="AE359" s="139" t="n"/>
      <x:c r="AF359" s="139" t="n"/>
      <x:c r="AG359" s="139" t="n"/>
      <x:c r="AH359" s="139" t="n"/>
      <x:c r="AI359" s="139" t="n"/>
      <x:c r="AJ359" s="139" t="n"/>
      <x:c r="AK359" s="139" t="n"/>
      <x:c r="AL359" s="139" t="n"/>
      <x:c r="AM359" s="139" t="n"/>
      <x:c r="AN359" s="139" t="n"/>
      <x:c r="AO359" s="139" t="n"/>
      <x:c r="AP359" s="139" t="n"/>
      <x:c r="AQ359" s="139" t="n"/>
      <x:c r="AR359" s="139" t="n"/>
      <x:c r="AS359" s="139" t="n"/>
      <x:c r="AT359" s="139" t="n"/>
      <x:c r="AU359" s="139" t="n"/>
      <x:c r="AV359" s="139" t="n"/>
      <x:c r="AW359" s="139" t="n"/>
      <x:c r="AX359" s="139" t="n"/>
      <x:c r="AY359" s="139" t="n"/>
      <x:c r="AZ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c r="V360" s="139" t="n"/>
      <x:c r="W360" s="139" t="n"/>
      <x:c r="X360" s="139" t="n"/>
      <x:c r="Y360" s="139" t="n"/>
      <x:c r="Z360" s="139" t="n"/>
      <x:c r="AA360" s="139" t="n"/>
      <x:c r="AB360" s="139" t="n"/>
      <x:c r="AC360" s="139" t="n"/>
      <x:c r="AD360" s="139" t="n"/>
      <x:c r="AE360" s="139" t="n"/>
      <x:c r="AF360" s="139" t="n"/>
      <x:c r="AG360" s="139" t="n"/>
      <x:c r="AH360" s="139" t="n"/>
      <x:c r="AI360" s="139" t="n"/>
      <x:c r="AJ360" s="139" t="n"/>
      <x:c r="AK360" s="139" t="n"/>
      <x:c r="AL360" s="139" t="n"/>
      <x:c r="AM360" s="139" t="n"/>
      <x:c r="AN360" s="139" t="n"/>
      <x:c r="AO360" s="139" t="n"/>
      <x:c r="AP360" s="139" t="n"/>
      <x:c r="AQ360" s="139" t="n"/>
      <x:c r="AR360" s="139" t="n"/>
      <x:c r="AS360" s="139" t="n"/>
      <x:c r="AT360" s="139" t="n"/>
      <x:c r="AU360" s="139" t="n"/>
      <x:c r="AV360" s="139" t="n"/>
      <x:c r="AW360" s="139" t="n"/>
      <x:c r="AX360" s="139" t="n"/>
      <x:c r="AY360" s="139" t="n"/>
      <x:c r="AZ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c r="V361" s="139" t="n"/>
      <x:c r="W361" s="139" t="n"/>
      <x:c r="X361" s="139" t="n"/>
      <x:c r="Y361" s="139" t="n"/>
      <x:c r="Z361" s="139" t="n"/>
      <x:c r="AA361" s="139" t="n"/>
      <x:c r="AB361" s="139" t="n"/>
      <x:c r="AC361" s="139" t="n"/>
      <x:c r="AD361" s="139" t="n"/>
      <x:c r="AE361" s="139" t="n"/>
      <x:c r="AF361" s="139" t="n"/>
      <x:c r="AG361" s="139" t="n"/>
      <x:c r="AH361" s="139" t="n"/>
      <x:c r="AI361" s="139" t="n"/>
      <x:c r="AJ361" s="139" t="n"/>
      <x:c r="AK361" s="139" t="n"/>
      <x:c r="AL361" s="139" t="n"/>
      <x:c r="AM361" s="139" t="n"/>
      <x:c r="AN361" s="139" t="n"/>
      <x:c r="AO361" s="139" t="n"/>
      <x:c r="AP361" s="139" t="n"/>
      <x:c r="AQ361" s="139" t="n"/>
      <x:c r="AR361" s="139" t="n"/>
      <x:c r="AS361" s="139" t="n"/>
      <x:c r="AT361" s="139" t="n"/>
      <x:c r="AU361" s="139" t="n"/>
      <x:c r="AV361" s="139" t="n"/>
      <x:c r="AW361" s="139" t="n"/>
      <x:c r="AX361" s="139" t="n"/>
      <x:c r="AY361" s="139" t="n"/>
      <x:c r="AZ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c r="V362" s="139" t="n"/>
      <x:c r="W362" s="139" t="n"/>
      <x:c r="X362" s="139" t="n"/>
      <x:c r="Y362" s="139" t="n"/>
      <x:c r="Z362" s="139" t="n"/>
      <x:c r="AA362" s="139" t="n"/>
      <x:c r="AB362" s="139" t="n"/>
      <x:c r="AC362" s="139" t="n"/>
      <x:c r="AD362" s="139" t="n"/>
      <x:c r="AE362" s="139" t="n"/>
      <x:c r="AF362" s="139" t="n"/>
      <x:c r="AG362" s="139" t="n"/>
      <x:c r="AH362" s="139" t="n"/>
      <x:c r="AI362" s="139" t="n"/>
      <x:c r="AJ362" s="139" t="n"/>
      <x:c r="AK362" s="139" t="n"/>
      <x:c r="AL362" s="139" t="n"/>
      <x:c r="AM362" s="139" t="n"/>
      <x:c r="AN362" s="139" t="n"/>
      <x:c r="AO362" s="139" t="n"/>
      <x:c r="AP362" s="139" t="n"/>
      <x:c r="AQ362" s="139" t="n"/>
      <x:c r="AR362" s="139" t="n"/>
      <x:c r="AS362" s="139" t="n"/>
      <x:c r="AT362" s="139" t="n"/>
      <x:c r="AU362" s="139" t="n"/>
      <x:c r="AV362" s="139" t="n"/>
      <x:c r="AW362" s="139" t="n"/>
      <x:c r="AX362" s="139" t="n"/>
      <x:c r="AY362" s="139" t="n"/>
      <x:c r="AZ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c r="V363" s="139" t="n"/>
      <x:c r="W363" s="139" t="n"/>
      <x:c r="X363" s="139" t="n"/>
      <x:c r="Y363" s="139" t="n"/>
      <x:c r="Z363" s="139" t="n"/>
      <x:c r="AA363" s="139" t="n"/>
      <x:c r="AB363" s="139" t="n"/>
      <x:c r="AC363" s="139" t="n"/>
      <x:c r="AD363" s="139" t="n"/>
      <x:c r="AE363" s="139" t="n"/>
      <x:c r="AF363" s="139" t="n"/>
      <x:c r="AG363" s="139" t="n"/>
      <x:c r="AH363" s="139" t="n"/>
      <x:c r="AI363" s="139" t="n"/>
      <x:c r="AJ363" s="139" t="n"/>
      <x:c r="AK363" s="139" t="n"/>
      <x:c r="AL363" s="139" t="n"/>
      <x:c r="AM363" s="139" t="n"/>
      <x:c r="AN363" s="139" t="n"/>
      <x:c r="AO363" s="139" t="n"/>
      <x:c r="AP363" s="139" t="n"/>
      <x:c r="AQ363" s="139" t="n"/>
      <x:c r="AR363" s="139" t="n"/>
      <x:c r="AS363" s="139" t="n"/>
      <x:c r="AT363" s="139" t="n"/>
      <x:c r="AU363" s="139" t="n"/>
      <x:c r="AV363" s="139" t="n"/>
      <x:c r="AW363" s="139" t="n"/>
      <x:c r="AX363" s="139" t="n"/>
      <x:c r="AY363" s="139" t="n"/>
      <x:c r="AZ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c r="V364" s="139" t="n"/>
      <x:c r="W364" s="139" t="n"/>
      <x:c r="X364" s="139" t="n"/>
      <x:c r="Y364" s="139" t="n"/>
      <x:c r="Z364" s="139" t="n"/>
      <x:c r="AA364" s="139" t="n"/>
      <x:c r="AB364" s="139" t="n"/>
      <x:c r="AC364" s="139" t="n"/>
      <x:c r="AD364" s="139" t="n"/>
      <x:c r="AE364" s="139" t="n"/>
      <x:c r="AF364" s="139" t="n"/>
      <x:c r="AG364" s="139" t="n"/>
      <x:c r="AH364" s="139" t="n"/>
      <x:c r="AI364" s="139" t="n"/>
      <x:c r="AJ364" s="139" t="n"/>
      <x:c r="AK364" s="139" t="n"/>
      <x:c r="AL364" s="139" t="n"/>
      <x:c r="AM364" s="139" t="n"/>
      <x:c r="AN364" s="139" t="n"/>
      <x:c r="AO364" s="139" t="n"/>
      <x:c r="AP364" s="139" t="n"/>
      <x:c r="AQ364" s="139" t="n"/>
      <x:c r="AR364" s="139" t="n"/>
      <x:c r="AS364" s="139" t="n"/>
      <x:c r="AT364" s="139" t="n"/>
      <x:c r="AU364" s="139" t="n"/>
      <x:c r="AV364" s="139" t="n"/>
      <x:c r="AW364" s="139" t="n"/>
      <x:c r="AX364" s="139" t="n"/>
      <x:c r="AY364" s="139" t="n"/>
      <x:c r="AZ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c r="V365" s="139" t="n"/>
      <x:c r="W365" s="139" t="n"/>
      <x:c r="X365" s="139" t="n"/>
      <x:c r="Y365" s="139" t="n"/>
      <x:c r="Z365" s="139" t="n"/>
      <x:c r="AA365" s="139" t="n"/>
      <x:c r="AB365" s="139" t="n"/>
      <x:c r="AC365" s="139" t="n"/>
      <x:c r="AD365" s="139" t="n"/>
      <x:c r="AE365" s="139" t="n"/>
      <x:c r="AF365" s="139" t="n"/>
      <x:c r="AG365" s="139" t="n"/>
      <x:c r="AH365" s="139" t="n"/>
      <x:c r="AI365" s="139" t="n"/>
      <x:c r="AJ365" s="139" t="n"/>
      <x:c r="AK365" s="139" t="n"/>
      <x:c r="AL365" s="139" t="n"/>
      <x:c r="AM365" s="139" t="n"/>
      <x:c r="AN365" s="139" t="n"/>
      <x:c r="AO365" s="139" t="n"/>
      <x:c r="AP365" s="139" t="n"/>
      <x:c r="AQ365" s="139" t="n"/>
      <x:c r="AR365" s="139" t="n"/>
      <x:c r="AS365" s="139" t="n"/>
      <x:c r="AT365" s="139" t="n"/>
      <x:c r="AU365" s="139" t="n"/>
      <x:c r="AV365" s="139" t="n"/>
      <x:c r="AW365" s="139" t="n"/>
      <x:c r="AX365" s="139" t="n"/>
      <x:c r="AY365" s="139" t="n"/>
      <x:c r="AZ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c r="V366" s="139" t="n"/>
      <x:c r="W366" s="139" t="n"/>
      <x:c r="X366" s="139" t="n"/>
      <x:c r="Y366" s="139" t="n"/>
      <x:c r="Z366" s="139" t="n"/>
      <x:c r="AA366" s="139" t="n"/>
      <x:c r="AB366" s="139" t="n"/>
      <x:c r="AC366" s="139" t="n"/>
      <x:c r="AD366" s="139" t="n"/>
      <x:c r="AE366" s="139" t="n"/>
      <x:c r="AF366" s="139" t="n"/>
      <x:c r="AG366" s="139" t="n"/>
      <x:c r="AH366" s="139" t="n"/>
      <x:c r="AI366" s="139" t="n"/>
      <x:c r="AJ366" s="139" t="n"/>
      <x:c r="AK366" s="139" t="n"/>
      <x:c r="AL366" s="139" t="n"/>
      <x:c r="AM366" s="139" t="n"/>
      <x:c r="AN366" s="139" t="n"/>
      <x:c r="AO366" s="139" t="n"/>
      <x:c r="AP366" s="139" t="n"/>
      <x:c r="AQ366" s="139" t="n"/>
      <x:c r="AR366" s="139" t="n"/>
      <x:c r="AS366" s="139" t="n"/>
      <x:c r="AT366" s="139" t="n"/>
      <x:c r="AU366" s="139" t="n"/>
      <x:c r="AV366" s="139" t="n"/>
      <x:c r="AW366" s="139" t="n"/>
      <x:c r="AX366" s="139" t="n"/>
      <x:c r="AY366" s="139" t="n"/>
      <x:c r="AZ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c r="V367" s="139" t="n"/>
      <x:c r="W367" s="139" t="n"/>
      <x:c r="X367" s="139" t="n"/>
      <x:c r="Y367" s="139" t="n"/>
      <x:c r="Z367" s="139" t="n"/>
      <x:c r="AA367" s="139" t="n"/>
      <x:c r="AB367" s="139" t="n"/>
      <x:c r="AC367" s="139" t="n"/>
      <x:c r="AD367" s="139" t="n"/>
      <x:c r="AE367" s="139" t="n"/>
      <x:c r="AF367" s="139" t="n"/>
      <x:c r="AG367" s="139" t="n"/>
      <x:c r="AH367" s="139" t="n"/>
      <x:c r="AI367" s="139" t="n"/>
      <x:c r="AJ367" s="139" t="n"/>
      <x:c r="AK367" s="139" t="n"/>
      <x:c r="AL367" s="139" t="n"/>
      <x:c r="AM367" s="139" t="n"/>
      <x:c r="AN367" s="139" t="n"/>
      <x:c r="AO367" s="139" t="n"/>
      <x:c r="AP367" s="139" t="n"/>
      <x:c r="AQ367" s="139" t="n"/>
      <x:c r="AR367" s="139" t="n"/>
      <x:c r="AS367" s="139" t="n"/>
      <x:c r="AT367" s="139" t="n"/>
      <x:c r="AU367" s="139" t="n"/>
      <x:c r="AV367" s="139" t="n"/>
      <x:c r="AW367" s="139" t="n"/>
      <x:c r="AX367" s="139" t="n"/>
      <x:c r="AY367" s="139" t="n"/>
      <x:c r="AZ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c r="V368" s="139" t="n"/>
      <x:c r="W368" s="139" t="n"/>
      <x:c r="X368" s="139" t="n"/>
      <x:c r="Y368" s="139" t="n"/>
      <x:c r="Z368" s="139" t="n"/>
      <x:c r="AA368" s="139" t="n"/>
      <x:c r="AB368" s="139" t="n"/>
      <x:c r="AC368" s="139" t="n"/>
      <x:c r="AD368" s="139" t="n"/>
      <x:c r="AE368" s="139" t="n"/>
      <x:c r="AF368" s="139" t="n"/>
      <x:c r="AG368" s="139" t="n"/>
      <x:c r="AH368" s="139" t="n"/>
      <x:c r="AI368" s="139" t="n"/>
      <x:c r="AJ368" s="139" t="n"/>
      <x:c r="AK368" s="139" t="n"/>
      <x:c r="AL368" s="139" t="n"/>
      <x:c r="AM368" s="139" t="n"/>
      <x:c r="AN368" s="139" t="n"/>
      <x:c r="AO368" s="139" t="n"/>
      <x:c r="AP368" s="139" t="n"/>
      <x:c r="AQ368" s="139" t="n"/>
      <x:c r="AR368" s="139" t="n"/>
      <x:c r="AS368" s="139" t="n"/>
      <x:c r="AT368" s="139" t="n"/>
      <x:c r="AU368" s="139" t="n"/>
      <x:c r="AV368" s="139" t="n"/>
      <x:c r="AW368" s="139" t="n"/>
      <x:c r="AX368" s="139" t="n"/>
      <x:c r="AY368" s="139" t="n"/>
      <x:c r="AZ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c r="V369" s="139" t="n"/>
      <x:c r="W369" s="139" t="n"/>
      <x:c r="X369" s="139" t="n"/>
      <x:c r="Y369" s="139" t="n"/>
      <x:c r="Z369" s="139" t="n"/>
      <x:c r="AA369" s="139" t="n"/>
      <x:c r="AB369" s="139" t="n"/>
      <x:c r="AC369" s="139" t="n"/>
      <x:c r="AD369" s="139" t="n"/>
      <x:c r="AE369" s="139" t="n"/>
      <x:c r="AF369" s="139" t="n"/>
      <x:c r="AG369" s="139" t="n"/>
      <x:c r="AH369" s="139" t="n"/>
      <x:c r="AI369" s="139" t="n"/>
      <x:c r="AJ369" s="139" t="n"/>
      <x:c r="AK369" s="139" t="n"/>
      <x:c r="AL369" s="139" t="n"/>
      <x:c r="AM369" s="139" t="n"/>
      <x:c r="AN369" s="139" t="n"/>
      <x:c r="AO369" s="139" t="n"/>
      <x:c r="AP369" s="139" t="n"/>
      <x:c r="AQ369" s="139" t="n"/>
      <x:c r="AR369" s="139" t="n"/>
      <x:c r="AS369" s="139" t="n"/>
      <x:c r="AT369" s="139" t="n"/>
      <x:c r="AU369" s="139" t="n"/>
      <x:c r="AV369" s="139" t="n"/>
      <x:c r="AW369" s="139" t="n"/>
      <x:c r="AX369" s="139" t="n"/>
      <x:c r="AY369" s="139" t="n"/>
      <x:c r="AZ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c r="V370" s="139" t="n"/>
      <x:c r="W370" s="139" t="n"/>
      <x:c r="X370" s="139" t="n"/>
      <x:c r="Y370" s="139" t="n"/>
      <x:c r="Z370" s="139" t="n"/>
      <x:c r="AA370" s="139" t="n"/>
      <x:c r="AB370" s="139" t="n"/>
      <x:c r="AC370" s="139" t="n"/>
      <x:c r="AD370" s="139" t="n"/>
      <x:c r="AE370" s="139" t="n"/>
      <x:c r="AF370" s="139" t="n"/>
      <x:c r="AG370" s="139" t="n"/>
      <x:c r="AH370" s="139" t="n"/>
      <x:c r="AI370" s="139" t="n"/>
      <x:c r="AJ370" s="139" t="n"/>
      <x:c r="AK370" s="139" t="n"/>
      <x:c r="AL370" s="139" t="n"/>
      <x:c r="AM370" s="139" t="n"/>
      <x:c r="AN370" s="139" t="n"/>
      <x:c r="AO370" s="139" t="n"/>
      <x:c r="AP370" s="139" t="n"/>
      <x:c r="AQ370" s="139" t="n"/>
      <x:c r="AR370" s="139" t="n"/>
      <x:c r="AS370" s="139" t="n"/>
      <x:c r="AT370" s="139" t="n"/>
      <x:c r="AU370" s="139" t="n"/>
      <x:c r="AV370" s="139" t="n"/>
      <x:c r="AW370" s="139" t="n"/>
      <x:c r="AX370" s="139" t="n"/>
      <x:c r="AY370" s="139" t="n"/>
      <x:c r="AZ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c r="V371" s="139" t="n"/>
      <x:c r="W371" s="139" t="n"/>
      <x:c r="X371" s="139" t="n"/>
      <x:c r="Y371" s="139" t="n"/>
      <x:c r="Z371" s="139" t="n"/>
      <x:c r="AA371" s="139" t="n"/>
      <x:c r="AB371" s="139" t="n"/>
      <x:c r="AC371" s="139" t="n"/>
      <x:c r="AD371" s="139" t="n"/>
      <x:c r="AE371" s="139" t="n"/>
      <x:c r="AF371" s="139" t="n"/>
      <x:c r="AG371" s="139" t="n"/>
      <x:c r="AH371" s="139" t="n"/>
      <x:c r="AI371" s="139" t="n"/>
      <x:c r="AJ371" s="139" t="n"/>
      <x:c r="AK371" s="139" t="n"/>
      <x:c r="AL371" s="139" t="n"/>
      <x:c r="AM371" s="139" t="n"/>
      <x:c r="AN371" s="139" t="n"/>
      <x:c r="AO371" s="139" t="n"/>
      <x:c r="AP371" s="139" t="n"/>
      <x:c r="AQ371" s="139" t="n"/>
      <x:c r="AR371" s="139" t="n"/>
      <x:c r="AS371" s="139" t="n"/>
      <x:c r="AT371" s="139" t="n"/>
      <x:c r="AU371" s="139" t="n"/>
      <x:c r="AV371" s="139" t="n"/>
      <x:c r="AW371" s="139" t="n"/>
      <x:c r="AX371" s="139" t="n"/>
      <x:c r="AY371" s="139" t="n"/>
      <x:c r="AZ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c r="V372" s="139" t="n"/>
      <x:c r="W372" s="139" t="n"/>
      <x:c r="X372" s="139" t="n"/>
      <x:c r="Y372" s="139" t="n"/>
      <x:c r="Z372" s="139" t="n"/>
      <x:c r="AA372" s="139" t="n"/>
      <x:c r="AB372" s="139" t="n"/>
      <x:c r="AC372" s="139" t="n"/>
      <x:c r="AD372" s="139" t="n"/>
      <x:c r="AE372" s="139" t="n"/>
      <x:c r="AF372" s="139" t="n"/>
      <x:c r="AG372" s="139" t="n"/>
      <x:c r="AH372" s="139" t="n"/>
      <x:c r="AI372" s="139" t="n"/>
      <x:c r="AJ372" s="139" t="n"/>
      <x:c r="AK372" s="139" t="n"/>
      <x:c r="AL372" s="139" t="n"/>
      <x:c r="AM372" s="139" t="n"/>
      <x:c r="AN372" s="139" t="n"/>
      <x:c r="AO372" s="139" t="n"/>
      <x:c r="AP372" s="139" t="n"/>
      <x:c r="AQ372" s="139" t="n"/>
      <x:c r="AR372" s="139" t="n"/>
      <x:c r="AS372" s="139" t="n"/>
      <x:c r="AT372" s="139" t="n"/>
      <x:c r="AU372" s="139" t="n"/>
      <x:c r="AV372" s="139" t="n"/>
      <x:c r="AW372" s="139" t="n"/>
      <x:c r="AX372" s="139" t="n"/>
      <x:c r="AY372" s="139" t="n"/>
      <x:c r="AZ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c r="V373" s="139" t="n"/>
      <x:c r="W373" s="139" t="n"/>
      <x:c r="X373" s="139" t="n"/>
      <x:c r="Y373" s="139" t="n"/>
      <x:c r="Z373" s="139" t="n"/>
      <x:c r="AA373" s="139" t="n"/>
      <x:c r="AB373" s="139" t="n"/>
      <x:c r="AC373" s="139" t="n"/>
      <x:c r="AD373" s="139" t="n"/>
      <x:c r="AE373" s="139" t="n"/>
      <x:c r="AF373" s="139" t="n"/>
      <x:c r="AG373" s="139" t="n"/>
      <x:c r="AH373" s="139" t="n"/>
      <x:c r="AI373" s="139" t="n"/>
      <x:c r="AJ373" s="139" t="n"/>
      <x:c r="AK373" s="139" t="n"/>
      <x:c r="AL373" s="139" t="n"/>
      <x:c r="AM373" s="139" t="n"/>
      <x:c r="AN373" s="139" t="n"/>
      <x:c r="AO373" s="139" t="n"/>
      <x:c r="AP373" s="139" t="n"/>
      <x:c r="AQ373" s="139" t="n"/>
      <x:c r="AR373" s="139" t="n"/>
      <x:c r="AS373" s="139" t="n"/>
      <x:c r="AT373" s="139" t="n"/>
      <x:c r="AU373" s="139" t="n"/>
      <x:c r="AV373" s="139" t="n"/>
      <x:c r="AW373" s="139" t="n"/>
      <x:c r="AX373" s="139" t="n"/>
      <x:c r="AY373" s="139" t="n"/>
      <x:c r="AZ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c r="V374" s="139" t="n"/>
      <x:c r="W374" s="139" t="n"/>
      <x:c r="X374" s="139" t="n"/>
      <x:c r="Y374" s="139" t="n"/>
      <x:c r="Z374" s="139" t="n"/>
      <x:c r="AA374" s="139" t="n"/>
      <x:c r="AB374" s="139" t="n"/>
      <x:c r="AC374" s="139" t="n"/>
      <x:c r="AD374" s="139" t="n"/>
      <x:c r="AE374" s="139" t="n"/>
      <x:c r="AF374" s="139" t="n"/>
      <x:c r="AG374" s="139" t="n"/>
      <x:c r="AH374" s="139" t="n"/>
      <x:c r="AI374" s="139" t="n"/>
      <x:c r="AJ374" s="139" t="n"/>
      <x:c r="AK374" s="139" t="n"/>
      <x:c r="AL374" s="139" t="n"/>
      <x:c r="AM374" s="139" t="n"/>
      <x:c r="AN374" s="139" t="n"/>
      <x:c r="AO374" s="139" t="n"/>
      <x:c r="AP374" s="139" t="n"/>
      <x:c r="AQ374" s="139" t="n"/>
      <x:c r="AR374" s="139" t="n"/>
      <x:c r="AS374" s="139" t="n"/>
      <x:c r="AT374" s="139" t="n"/>
      <x:c r="AU374" s="139" t="n"/>
      <x:c r="AV374" s="139" t="n"/>
      <x:c r="AW374" s="139" t="n"/>
      <x:c r="AX374" s="139" t="n"/>
      <x:c r="AY374" s="139" t="n"/>
      <x:c r="AZ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c r="V375" s="139" t="n"/>
      <x:c r="W375" s="139" t="n"/>
      <x:c r="X375" s="139" t="n"/>
      <x:c r="Y375" s="139" t="n"/>
      <x:c r="Z375" s="139" t="n"/>
      <x:c r="AA375" s="139" t="n"/>
      <x:c r="AB375" s="139" t="n"/>
      <x:c r="AC375" s="139" t="n"/>
      <x:c r="AD375" s="139" t="n"/>
      <x:c r="AE375" s="139" t="n"/>
      <x:c r="AF375" s="139" t="n"/>
      <x:c r="AG375" s="139" t="n"/>
      <x:c r="AH375" s="139" t="n"/>
      <x:c r="AI375" s="139" t="n"/>
      <x:c r="AJ375" s="139" t="n"/>
      <x:c r="AK375" s="139" t="n"/>
      <x:c r="AL375" s="139" t="n"/>
      <x:c r="AM375" s="139" t="n"/>
      <x:c r="AN375" s="139" t="n"/>
      <x:c r="AO375" s="139" t="n"/>
      <x:c r="AP375" s="139" t="n"/>
      <x:c r="AQ375" s="139" t="n"/>
      <x:c r="AR375" s="139" t="n"/>
      <x:c r="AS375" s="139" t="n"/>
      <x:c r="AT375" s="139" t="n"/>
      <x:c r="AU375" s="139" t="n"/>
      <x:c r="AV375" s="139" t="n"/>
      <x:c r="AW375" s="139" t="n"/>
      <x:c r="AX375" s="139" t="n"/>
      <x:c r="AY375" s="139" t="n"/>
      <x:c r="AZ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c r="V376" s="139" t="n"/>
      <x:c r="W376" s="139" t="n"/>
      <x:c r="X376" s="139" t="n"/>
      <x:c r="Y376" s="139" t="n"/>
      <x:c r="Z376" s="139" t="n"/>
      <x:c r="AA376" s="139" t="n"/>
      <x:c r="AB376" s="139" t="n"/>
      <x:c r="AC376" s="139" t="n"/>
      <x:c r="AD376" s="139" t="n"/>
      <x:c r="AE376" s="139" t="n"/>
      <x:c r="AF376" s="139" t="n"/>
      <x:c r="AG376" s="139" t="n"/>
      <x:c r="AH376" s="139" t="n"/>
      <x:c r="AI376" s="139" t="n"/>
      <x:c r="AJ376" s="139" t="n"/>
      <x:c r="AK376" s="139" t="n"/>
      <x:c r="AL376" s="139" t="n"/>
      <x:c r="AM376" s="139" t="n"/>
      <x:c r="AN376" s="139" t="n"/>
      <x:c r="AO376" s="139" t="n"/>
      <x:c r="AP376" s="139" t="n"/>
      <x:c r="AQ376" s="139" t="n"/>
      <x:c r="AR376" s="139" t="n"/>
      <x:c r="AS376" s="139" t="n"/>
      <x:c r="AT376" s="139" t="n"/>
      <x:c r="AU376" s="139" t="n"/>
      <x:c r="AV376" s="139" t="n"/>
      <x:c r="AW376" s="139" t="n"/>
      <x:c r="AX376" s="139" t="n"/>
      <x:c r="AY376" s="139" t="n"/>
      <x:c r="AZ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c r="V377" s="139" t="n"/>
      <x:c r="W377" s="139" t="n"/>
      <x:c r="X377" s="139" t="n"/>
      <x:c r="Y377" s="139" t="n"/>
      <x:c r="Z377" s="139" t="n"/>
      <x:c r="AA377" s="139" t="n"/>
      <x:c r="AB377" s="139" t="n"/>
      <x:c r="AC377" s="139" t="n"/>
      <x:c r="AD377" s="139" t="n"/>
      <x:c r="AE377" s="139" t="n"/>
      <x:c r="AF377" s="139" t="n"/>
      <x:c r="AG377" s="139" t="n"/>
      <x:c r="AH377" s="139" t="n"/>
      <x:c r="AI377" s="139" t="n"/>
      <x:c r="AJ377" s="139" t="n"/>
      <x:c r="AK377" s="139" t="n"/>
      <x:c r="AL377" s="139" t="n"/>
      <x:c r="AM377" s="139" t="n"/>
      <x:c r="AN377" s="139" t="n"/>
      <x:c r="AO377" s="139" t="n"/>
      <x:c r="AP377" s="139" t="n"/>
      <x:c r="AQ377" s="139" t="n"/>
      <x:c r="AR377" s="139" t="n"/>
      <x:c r="AS377" s="139" t="n"/>
      <x:c r="AT377" s="139" t="n"/>
      <x:c r="AU377" s="139" t="n"/>
      <x:c r="AV377" s="139" t="n"/>
      <x:c r="AW377" s="139" t="n"/>
      <x:c r="AX377" s="139" t="n"/>
      <x:c r="AY377" s="139" t="n"/>
      <x:c r="AZ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c r="V378" s="139" t="n"/>
      <x:c r="W378" s="139" t="n"/>
      <x:c r="X378" s="139" t="n"/>
      <x:c r="Y378" s="139" t="n"/>
      <x:c r="Z378" s="139" t="n"/>
      <x:c r="AA378" s="139" t="n"/>
      <x:c r="AB378" s="139" t="n"/>
      <x:c r="AC378" s="139" t="n"/>
      <x:c r="AD378" s="139" t="n"/>
      <x:c r="AE378" s="139" t="n"/>
      <x:c r="AF378" s="139" t="n"/>
      <x:c r="AG378" s="139" t="n"/>
      <x:c r="AH378" s="139" t="n"/>
      <x:c r="AI378" s="139" t="n"/>
      <x:c r="AJ378" s="139" t="n"/>
      <x:c r="AK378" s="139" t="n"/>
      <x:c r="AL378" s="139" t="n"/>
      <x:c r="AM378" s="139" t="n"/>
      <x:c r="AN378" s="139" t="n"/>
      <x:c r="AO378" s="139" t="n"/>
      <x:c r="AP378" s="139" t="n"/>
      <x:c r="AQ378" s="139" t="n"/>
      <x:c r="AR378" s="139" t="n"/>
      <x:c r="AS378" s="139" t="n"/>
      <x:c r="AT378" s="139" t="n"/>
      <x:c r="AU378" s="139" t="n"/>
      <x:c r="AV378" s="139" t="n"/>
      <x:c r="AW378" s="139" t="n"/>
      <x:c r="AX378" s="139" t="n"/>
      <x:c r="AY378" s="139" t="n"/>
      <x:c r="AZ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c r="V379" s="139" t="n"/>
      <x:c r="W379" s="139" t="n"/>
      <x:c r="X379" s="139" t="n"/>
      <x:c r="Y379" s="139" t="n"/>
      <x:c r="Z379" s="139" t="n"/>
      <x:c r="AA379" s="139" t="n"/>
      <x:c r="AB379" s="139" t="n"/>
      <x:c r="AC379" s="139" t="n"/>
      <x:c r="AD379" s="139" t="n"/>
      <x:c r="AE379" s="139" t="n"/>
      <x:c r="AF379" s="139" t="n"/>
      <x:c r="AG379" s="139" t="n"/>
      <x:c r="AH379" s="139" t="n"/>
      <x:c r="AI379" s="139" t="n"/>
      <x:c r="AJ379" s="139" t="n"/>
      <x:c r="AK379" s="139" t="n"/>
      <x:c r="AL379" s="139" t="n"/>
      <x:c r="AM379" s="139" t="n"/>
      <x:c r="AN379" s="139" t="n"/>
      <x:c r="AO379" s="139" t="n"/>
      <x:c r="AP379" s="139" t="n"/>
      <x:c r="AQ379" s="139" t="n"/>
      <x:c r="AR379" s="139" t="n"/>
      <x:c r="AS379" s="139" t="n"/>
      <x:c r="AT379" s="139" t="n"/>
      <x:c r="AU379" s="139" t="n"/>
      <x:c r="AV379" s="139" t="n"/>
      <x:c r="AW379" s="139" t="n"/>
      <x:c r="AX379" s="139" t="n"/>
      <x:c r="AY379" s="139" t="n"/>
      <x:c r="AZ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c r="V380" s="139" t="n"/>
      <x:c r="W380" s="139" t="n"/>
      <x:c r="X380" s="139" t="n"/>
      <x:c r="Y380" s="139" t="n"/>
      <x:c r="Z380" s="139" t="n"/>
      <x:c r="AA380" s="139" t="n"/>
      <x:c r="AB380" s="139" t="n"/>
      <x:c r="AC380" s="139" t="n"/>
      <x:c r="AD380" s="139" t="n"/>
      <x:c r="AE380" s="139" t="n"/>
      <x:c r="AF380" s="139" t="n"/>
      <x:c r="AG380" s="139" t="n"/>
      <x:c r="AH380" s="139" t="n"/>
      <x:c r="AI380" s="139" t="n"/>
      <x:c r="AJ380" s="139" t="n"/>
      <x:c r="AK380" s="139" t="n"/>
      <x:c r="AL380" s="139" t="n"/>
      <x:c r="AM380" s="139" t="n"/>
      <x:c r="AN380" s="139" t="n"/>
      <x:c r="AO380" s="139" t="n"/>
      <x:c r="AP380" s="139" t="n"/>
      <x:c r="AQ380" s="139" t="n"/>
      <x:c r="AR380" s="139" t="n"/>
      <x:c r="AS380" s="139" t="n"/>
      <x:c r="AT380" s="139" t="n"/>
      <x:c r="AU380" s="139" t="n"/>
      <x:c r="AV380" s="139" t="n"/>
      <x:c r="AW380" s="139" t="n"/>
      <x:c r="AX380" s="139" t="n"/>
      <x:c r="AY380" s="139" t="n"/>
      <x:c r="AZ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c r="V381" s="139" t="n"/>
      <x:c r="W381" s="139" t="n"/>
      <x:c r="X381" s="139" t="n"/>
      <x:c r="Y381" s="139" t="n"/>
      <x:c r="Z381" s="139" t="n"/>
      <x:c r="AA381" s="139" t="n"/>
      <x:c r="AB381" s="139" t="n"/>
      <x:c r="AC381" s="139" t="n"/>
      <x:c r="AD381" s="139" t="n"/>
      <x:c r="AE381" s="139" t="n"/>
      <x:c r="AF381" s="139" t="n"/>
      <x:c r="AG381" s="139" t="n"/>
      <x:c r="AH381" s="139" t="n"/>
      <x:c r="AI381" s="139" t="n"/>
      <x:c r="AJ381" s="139" t="n"/>
      <x:c r="AK381" s="139" t="n"/>
      <x:c r="AL381" s="139" t="n"/>
      <x:c r="AM381" s="139" t="n"/>
      <x:c r="AN381" s="139" t="n"/>
      <x:c r="AO381" s="139" t="n"/>
      <x:c r="AP381" s="139" t="n"/>
      <x:c r="AQ381" s="139" t="n"/>
      <x:c r="AR381" s="139" t="n"/>
      <x:c r="AS381" s="139" t="n"/>
      <x:c r="AT381" s="139" t="n"/>
      <x:c r="AU381" s="139" t="n"/>
      <x:c r="AV381" s="139" t="n"/>
      <x:c r="AW381" s="139" t="n"/>
      <x:c r="AX381" s="139" t="n"/>
      <x:c r="AY381" s="139" t="n"/>
      <x:c r="AZ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c r="V382" s="139" t="n"/>
      <x:c r="W382" s="139" t="n"/>
      <x:c r="X382" s="139" t="n"/>
      <x:c r="Y382" s="139" t="n"/>
      <x:c r="Z382" s="139" t="n"/>
      <x:c r="AA382" s="139" t="n"/>
      <x:c r="AB382" s="139" t="n"/>
      <x:c r="AC382" s="139" t="n"/>
      <x:c r="AD382" s="139" t="n"/>
      <x:c r="AE382" s="139" t="n"/>
      <x:c r="AF382" s="139" t="n"/>
      <x:c r="AG382" s="139" t="n"/>
      <x:c r="AH382" s="139" t="n"/>
      <x:c r="AI382" s="139" t="n"/>
      <x:c r="AJ382" s="139" t="n"/>
      <x:c r="AK382" s="139" t="n"/>
      <x:c r="AL382" s="139" t="n"/>
      <x:c r="AM382" s="139" t="n"/>
      <x:c r="AN382" s="139" t="n"/>
      <x:c r="AO382" s="139" t="n"/>
      <x:c r="AP382" s="139" t="n"/>
      <x:c r="AQ382" s="139" t="n"/>
      <x:c r="AR382" s="139" t="n"/>
      <x:c r="AS382" s="139" t="n"/>
      <x:c r="AT382" s="139" t="n"/>
      <x:c r="AU382" s="139" t="n"/>
      <x:c r="AV382" s="139" t="n"/>
      <x:c r="AW382" s="139" t="n"/>
      <x:c r="AX382" s="139" t="n"/>
      <x:c r="AY382" s="139" t="n"/>
      <x:c r="AZ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c r="V383" s="139" t="n"/>
      <x:c r="W383" s="139" t="n"/>
      <x:c r="X383" s="139" t="n"/>
      <x:c r="Y383" s="139" t="n"/>
      <x:c r="Z383" s="139" t="n"/>
      <x:c r="AA383" s="139" t="n"/>
      <x:c r="AB383" s="139" t="n"/>
      <x:c r="AC383" s="139" t="n"/>
      <x:c r="AD383" s="139" t="n"/>
      <x:c r="AE383" s="139" t="n"/>
      <x:c r="AF383" s="139" t="n"/>
      <x:c r="AG383" s="139" t="n"/>
      <x:c r="AH383" s="139" t="n"/>
      <x:c r="AI383" s="139" t="n"/>
      <x:c r="AJ383" s="139" t="n"/>
      <x:c r="AK383" s="139" t="n"/>
      <x:c r="AL383" s="139" t="n"/>
      <x:c r="AM383" s="139" t="n"/>
      <x:c r="AN383" s="139" t="n"/>
      <x:c r="AO383" s="139" t="n"/>
      <x:c r="AP383" s="139" t="n"/>
      <x:c r="AQ383" s="139" t="n"/>
      <x:c r="AR383" s="139" t="n"/>
      <x:c r="AS383" s="139" t="n"/>
      <x:c r="AT383" s="139" t="n"/>
      <x:c r="AU383" s="139" t="n"/>
      <x:c r="AV383" s="139" t="n"/>
      <x:c r="AW383" s="139" t="n"/>
      <x:c r="AX383" s="139" t="n"/>
      <x:c r="AY383" s="139" t="n"/>
      <x:c r="AZ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c r="V384" s="139" t="n"/>
      <x:c r="W384" s="139" t="n"/>
      <x:c r="X384" s="139" t="n"/>
      <x:c r="Y384" s="139" t="n"/>
      <x:c r="Z384" s="139" t="n"/>
      <x:c r="AA384" s="139" t="n"/>
      <x:c r="AB384" s="139" t="n"/>
      <x:c r="AC384" s="139" t="n"/>
      <x:c r="AD384" s="139" t="n"/>
      <x:c r="AE384" s="139" t="n"/>
      <x:c r="AF384" s="139" t="n"/>
      <x:c r="AG384" s="139" t="n"/>
      <x:c r="AH384" s="139" t="n"/>
      <x:c r="AI384" s="139" t="n"/>
      <x:c r="AJ384" s="139" t="n"/>
      <x:c r="AK384" s="139" t="n"/>
      <x:c r="AL384" s="139" t="n"/>
      <x:c r="AM384" s="139" t="n"/>
      <x:c r="AN384" s="139" t="n"/>
      <x:c r="AO384" s="139" t="n"/>
      <x:c r="AP384" s="139" t="n"/>
      <x:c r="AQ384" s="139" t="n"/>
      <x:c r="AR384" s="139" t="n"/>
      <x:c r="AS384" s="139" t="n"/>
      <x:c r="AT384" s="139" t="n"/>
      <x:c r="AU384" s="139" t="n"/>
      <x:c r="AV384" s="139" t="n"/>
      <x:c r="AW384" s="139" t="n"/>
      <x:c r="AX384" s="139" t="n"/>
      <x:c r="AY384" s="139" t="n"/>
      <x:c r="AZ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c r="V385" s="139" t="n"/>
      <x:c r="W385" s="139" t="n"/>
      <x:c r="X385" s="139" t="n"/>
      <x:c r="Y385" s="139" t="n"/>
      <x:c r="Z385" s="139" t="n"/>
      <x:c r="AA385" s="139" t="n"/>
      <x:c r="AB385" s="139" t="n"/>
      <x:c r="AC385" s="139" t="n"/>
      <x:c r="AD385" s="139" t="n"/>
      <x:c r="AE385" s="139" t="n"/>
      <x:c r="AF385" s="139" t="n"/>
      <x:c r="AG385" s="139" t="n"/>
      <x:c r="AH385" s="139" t="n"/>
      <x:c r="AI385" s="139" t="n"/>
      <x:c r="AJ385" s="139" t="n"/>
      <x:c r="AK385" s="139" t="n"/>
      <x:c r="AL385" s="139" t="n"/>
      <x:c r="AM385" s="139" t="n"/>
      <x:c r="AN385" s="139" t="n"/>
      <x:c r="AO385" s="139" t="n"/>
      <x:c r="AP385" s="139" t="n"/>
      <x:c r="AQ385" s="139" t="n"/>
      <x:c r="AR385" s="139" t="n"/>
      <x:c r="AS385" s="139" t="n"/>
      <x:c r="AT385" s="139" t="n"/>
      <x:c r="AU385" s="139" t="n"/>
      <x:c r="AV385" s="139" t="n"/>
      <x:c r="AW385" s="139" t="n"/>
      <x:c r="AX385" s="139" t="n"/>
      <x:c r="AY385" s="139" t="n"/>
      <x:c r="AZ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c r="V386" s="139" t="n"/>
      <x:c r="W386" s="139" t="n"/>
      <x:c r="X386" s="139" t="n"/>
      <x:c r="Y386" s="139" t="n"/>
      <x:c r="Z386" s="139" t="n"/>
      <x:c r="AA386" s="139" t="n"/>
      <x:c r="AB386" s="139" t="n"/>
      <x:c r="AC386" s="139" t="n"/>
      <x:c r="AD386" s="139" t="n"/>
      <x:c r="AE386" s="139" t="n"/>
      <x:c r="AF386" s="139" t="n"/>
      <x:c r="AG386" s="139" t="n"/>
      <x:c r="AH386" s="139" t="n"/>
      <x:c r="AI386" s="139" t="n"/>
      <x:c r="AJ386" s="139" t="n"/>
      <x:c r="AK386" s="139" t="n"/>
      <x:c r="AL386" s="139" t="n"/>
      <x:c r="AM386" s="139" t="n"/>
      <x:c r="AN386" s="139" t="n"/>
      <x:c r="AO386" s="139" t="n"/>
      <x:c r="AP386" s="139" t="n"/>
      <x:c r="AQ386" s="139" t="n"/>
      <x:c r="AR386" s="139" t="n"/>
      <x:c r="AS386" s="139" t="n"/>
      <x:c r="AT386" s="139" t="n"/>
      <x:c r="AU386" s="139" t="n"/>
      <x:c r="AV386" s="139" t="n"/>
      <x:c r="AW386" s="139" t="n"/>
      <x:c r="AX386" s="139" t="n"/>
      <x:c r="AY386" s="139" t="n"/>
      <x:c r="AZ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c r="V387" s="139" t="n"/>
      <x:c r="W387" s="139" t="n"/>
      <x:c r="X387" s="139" t="n"/>
      <x:c r="Y387" s="139" t="n"/>
      <x:c r="Z387" s="139" t="n"/>
      <x:c r="AA387" s="139" t="n"/>
      <x:c r="AB387" s="139" t="n"/>
      <x:c r="AC387" s="139" t="n"/>
      <x:c r="AD387" s="139" t="n"/>
      <x:c r="AE387" s="139" t="n"/>
      <x:c r="AF387" s="139" t="n"/>
      <x:c r="AG387" s="139" t="n"/>
      <x:c r="AH387" s="139" t="n"/>
      <x:c r="AI387" s="139" t="n"/>
      <x:c r="AJ387" s="139" t="n"/>
      <x:c r="AK387" s="139" t="n"/>
      <x:c r="AL387" s="139" t="n"/>
      <x:c r="AM387" s="139" t="n"/>
      <x:c r="AN387" s="139" t="n"/>
      <x:c r="AO387" s="139" t="n"/>
      <x:c r="AP387" s="139" t="n"/>
      <x:c r="AQ387" s="139" t="n"/>
      <x:c r="AR387" s="139" t="n"/>
      <x:c r="AS387" s="139" t="n"/>
      <x:c r="AT387" s="139" t="n"/>
      <x:c r="AU387" s="139" t="n"/>
      <x:c r="AV387" s="139" t="n"/>
      <x:c r="AW387" s="139" t="n"/>
      <x:c r="AX387" s="139" t="n"/>
      <x:c r="AY387" s="139" t="n"/>
      <x:c r="AZ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c r="V388" s="139" t="n"/>
      <x:c r="W388" s="139" t="n"/>
      <x:c r="X388" s="139" t="n"/>
      <x:c r="Y388" s="139" t="n"/>
      <x:c r="Z388" s="139" t="n"/>
      <x:c r="AA388" s="139" t="n"/>
      <x:c r="AB388" s="139" t="n"/>
      <x:c r="AC388" s="139" t="n"/>
      <x:c r="AD388" s="139" t="n"/>
      <x:c r="AE388" s="139" t="n"/>
      <x:c r="AF388" s="139" t="n"/>
      <x:c r="AG388" s="139" t="n"/>
      <x:c r="AH388" s="139" t="n"/>
      <x:c r="AI388" s="139" t="n"/>
      <x:c r="AJ388" s="139" t="n"/>
      <x:c r="AK388" s="139" t="n"/>
      <x:c r="AL388" s="139" t="n"/>
      <x:c r="AM388" s="139" t="n"/>
      <x:c r="AN388" s="139" t="n"/>
      <x:c r="AO388" s="139" t="n"/>
      <x:c r="AP388" s="139" t="n"/>
      <x:c r="AQ388" s="139" t="n"/>
      <x:c r="AR388" s="139" t="n"/>
      <x:c r="AS388" s="139" t="n"/>
      <x:c r="AT388" s="139" t="n"/>
      <x:c r="AU388" s="139" t="n"/>
      <x:c r="AV388" s="139" t="n"/>
      <x:c r="AW388" s="139" t="n"/>
      <x:c r="AX388" s="139" t="n"/>
      <x:c r="AY388" s="139" t="n"/>
      <x:c r="AZ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c r="V389" s="139" t="n"/>
      <x:c r="W389" s="139" t="n"/>
      <x:c r="X389" s="139" t="n"/>
      <x:c r="Y389" s="139" t="n"/>
      <x:c r="Z389" s="139" t="n"/>
      <x:c r="AA389" s="139" t="n"/>
      <x:c r="AB389" s="139" t="n"/>
      <x:c r="AC389" s="139" t="n"/>
      <x:c r="AD389" s="139" t="n"/>
      <x:c r="AE389" s="139" t="n"/>
      <x:c r="AF389" s="139" t="n"/>
      <x:c r="AG389" s="139" t="n"/>
      <x:c r="AH389" s="139" t="n"/>
      <x:c r="AI389" s="139" t="n"/>
      <x:c r="AJ389" s="139" t="n"/>
      <x:c r="AK389" s="139" t="n"/>
      <x:c r="AL389" s="139" t="n"/>
      <x:c r="AM389" s="139" t="n"/>
      <x:c r="AN389" s="139" t="n"/>
      <x:c r="AO389" s="139" t="n"/>
      <x:c r="AP389" s="139" t="n"/>
      <x:c r="AQ389" s="139" t="n"/>
      <x:c r="AR389" s="139" t="n"/>
      <x:c r="AS389" s="139" t="n"/>
      <x:c r="AT389" s="139" t="n"/>
      <x:c r="AU389" s="139" t="n"/>
      <x:c r="AV389" s="139" t="n"/>
      <x:c r="AW389" s="139" t="n"/>
      <x:c r="AX389" s="139" t="n"/>
      <x:c r="AY389" s="139" t="n"/>
      <x:c r="AZ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c r="V390" s="139" t="n"/>
      <x:c r="W390" s="139" t="n"/>
      <x:c r="X390" s="139" t="n"/>
      <x:c r="Y390" s="139" t="n"/>
      <x:c r="Z390" s="139" t="n"/>
      <x:c r="AA390" s="139" t="n"/>
      <x:c r="AB390" s="139" t="n"/>
      <x:c r="AC390" s="139" t="n"/>
      <x:c r="AD390" s="139" t="n"/>
      <x:c r="AE390" s="139" t="n"/>
      <x:c r="AF390" s="139" t="n"/>
      <x:c r="AG390" s="139" t="n"/>
      <x:c r="AH390" s="139" t="n"/>
      <x:c r="AI390" s="139" t="n"/>
      <x:c r="AJ390" s="139" t="n"/>
      <x:c r="AK390" s="139" t="n"/>
      <x:c r="AL390" s="139" t="n"/>
      <x:c r="AM390" s="139" t="n"/>
      <x:c r="AN390" s="139" t="n"/>
      <x:c r="AO390" s="139" t="n"/>
      <x:c r="AP390" s="139" t="n"/>
      <x:c r="AQ390" s="139" t="n"/>
      <x:c r="AR390" s="139" t="n"/>
      <x:c r="AS390" s="139" t="n"/>
      <x:c r="AT390" s="139" t="n"/>
      <x:c r="AU390" s="139" t="n"/>
      <x:c r="AV390" s="139" t="n"/>
      <x:c r="AW390" s="139" t="n"/>
      <x:c r="AX390" s="139" t="n"/>
      <x:c r="AY390" s="139" t="n"/>
      <x:c r="AZ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c r="V391" s="139" t="n"/>
      <x:c r="W391" s="139" t="n"/>
      <x:c r="X391" s="139" t="n"/>
      <x:c r="Y391" s="139" t="n"/>
      <x:c r="Z391" s="139" t="n"/>
      <x:c r="AA391" s="139" t="n"/>
      <x:c r="AB391" s="139" t="n"/>
      <x:c r="AC391" s="139" t="n"/>
      <x:c r="AD391" s="139" t="n"/>
      <x:c r="AE391" s="139" t="n"/>
      <x:c r="AF391" s="139" t="n"/>
      <x:c r="AG391" s="139" t="n"/>
      <x:c r="AH391" s="139" t="n"/>
      <x:c r="AI391" s="139" t="n"/>
      <x:c r="AJ391" s="139" t="n"/>
      <x:c r="AK391" s="139" t="n"/>
      <x:c r="AL391" s="139" t="n"/>
      <x:c r="AM391" s="139" t="n"/>
      <x:c r="AN391" s="139" t="n"/>
      <x:c r="AO391" s="139" t="n"/>
      <x:c r="AP391" s="139" t="n"/>
      <x:c r="AQ391" s="139" t="n"/>
      <x:c r="AR391" s="139" t="n"/>
      <x:c r="AS391" s="139" t="n"/>
      <x:c r="AT391" s="139" t="n"/>
      <x:c r="AU391" s="139" t="n"/>
      <x:c r="AV391" s="139" t="n"/>
      <x:c r="AW391" s="139" t="n"/>
      <x:c r="AX391" s="139" t="n"/>
      <x:c r="AY391" s="139" t="n"/>
      <x:c r="AZ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c r="V392" s="139" t="n"/>
      <x:c r="W392" s="139" t="n"/>
      <x:c r="X392" s="139" t="n"/>
      <x:c r="Y392" s="139" t="n"/>
      <x:c r="Z392" s="139" t="n"/>
      <x:c r="AA392" s="139" t="n"/>
      <x:c r="AB392" s="139" t="n"/>
      <x:c r="AC392" s="139" t="n"/>
      <x:c r="AD392" s="139" t="n"/>
      <x:c r="AE392" s="139" t="n"/>
      <x:c r="AF392" s="139" t="n"/>
      <x:c r="AG392" s="139" t="n"/>
      <x:c r="AH392" s="139" t="n"/>
      <x:c r="AI392" s="139" t="n"/>
      <x:c r="AJ392" s="139" t="n"/>
      <x:c r="AK392" s="139" t="n"/>
      <x:c r="AL392" s="139" t="n"/>
      <x:c r="AM392" s="139" t="n"/>
      <x:c r="AN392" s="139" t="n"/>
      <x:c r="AO392" s="139" t="n"/>
      <x:c r="AP392" s="139" t="n"/>
      <x:c r="AQ392" s="139" t="n"/>
      <x:c r="AR392" s="139" t="n"/>
      <x:c r="AS392" s="139" t="n"/>
      <x:c r="AT392" s="139" t="n"/>
      <x:c r="AU392" s="139" t="n"/>
      <x:c r="AV392" s="139" t="n"/>
      <x:c r="AW392" s="139" t="n"/>
      <x:c r="AX392" s="139" t="n"/>
      <x:c r="AY392" s="139" t="n"/>
      <x:c r="AZ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c r="V393" s="139" t="n"/>
      <x:c r="W393" s="139" t="n"/>
      <x:c r="X393" s="139" t="n"/>
      <x:c r="Y393" s="139" t="n"/>
      <x:c r="Z393" s="139" t="n"/>
      <x:c r="AA393" s="139" t="n"/>
      <x:c r="AB393" s="139" t="n"/>
      <x:c r="AC393" s="139" t="n"/>
      <x:c r="AD393" s="139" t="n"/>
      <x:c r="AE393" s="139" t="n"/>
      <x:c r="AF393" s="139" t="n"/>
      <x:c r="AG393" s="139" t="n"/>
      <x:c r="AH393" s="139" t="n"/>
      <x:c r="AI393" s="139" t="n"/>
      <x:c r="AJ393" s="139" t="n"/>
      <x:c r="AK393" s="139" t="n"/>
      <x:c r="AL393" s="139" t="n"/>
      <x:c r="AM393" s="139" t="n"/>
      <x:c r="AN393" s="139" t="n"/>
      <x:c r="AO393" s="139" t="n"/>
      <x:c r="AP393" s="139" t="n"/>
      <x:c r="AQ393" s="139" t="n"/>
      <x:c r="AR393" s="139" t="n"/>
      <x:c r="AS393" s="139" t="n"/>
      <x:c r="AT393" s="139" t="n"/>
      <x:c r="AU393" s="139" t="n"/>
      <x:c r="AV393" s="139" t="n"/>
      <x:c r="AW393" s="139" t="n"/>
      <x:c r="AX393" s="139" t="n"/>
      <x:c r="AY393" s="139" t="n"/>
      <x:c r="AZ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c r="V394" s="139" t="n"/>
      <x:c r="W394" s="139" t="n"/>
      <x:c r="X394" s="139" t="n"/>
      <x:c r="Y394" s="139" t="n"/>
      <x:c r="Z394" s="139" t="n"/>
      <x:c r="AA394" s="139" t="n"/>
      <x:c r="AB394" s="139" t="n"/>
      <x:c r="AC394" s="139" t="n"/>
      <x:c r="AD394" s="139" t="n"/>
      <x:c r="AE394" s="139" t="n"/>
      <x:c r="AF394" s="139" t="n"/>
      <x:c r="AG394" s="139" t="n"/>
      <x:c r="AH394" s="139" t="n"/>
      <x:c r="AI394" s="139" t="n"/>
      <x:c r="AJ394" s="139" t="n"/>
      <x:c r="AK394" s="139" t="n"/>
      <x:c r="AL394" s="139" t="n"/>
      <x:c r="AM394" s="139" t="n"/>
      <x:c r="AN394" s="139" t="n"/>
      <x:c r="AO394" s="139" t="n"/>
      <x:c r="AP394" s="139" t="n"/>
      <x:c r="AQ394" s="139" t="n"/>
      <x:c r="AR394" s="139" t="n"/>
      <x:c r="AS394" s="139" t="n"/>
      <x:c r="AT394" s="139" t="n"/>
      <x:c r="AU394" s="139" t="n"/>
      <x:c r="AV394" s="139" t="n"/>
      <x:c r="AW394" s="139" t="n"/>
      <x:c r="AX394" s="139" t="n"/>
      <x:c r="AY394" s="139" t="n"/>
      <x:c r="AZ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c r="V395" s="139" t="n"/>
      <x:c r="W395" s="139" t="n"/>
      <x:c r="X395" s="139" t="n"/>
      <x:c r="Y395" s="139" t="n"/>
      <x:c r="Z395" s="139" t="n"/>
      <x:c r="AA395" s="139" t="n"/>
      <x:c r="AB395" s="139" t="n"/>
      <x:c r="AC395" s="139" t="n"/>
      <x:c r="AD395" s="139" t="n"/>
      <x:c r="AE395" s="139" t="n"/>
      <x:c r="AF395" s="139" t="n"/>
      <x:c r="AG395" s="139" t="n"/>
      <x:c r="AH395" s="139" t="n"/>
      <x:c r="AI395" s="139" t="n"/>
      <x:c r="AJ395" s="139" t="n"/>
      <x:c r="AK395" s="139" t="n"/>
      <x:c r="AL395" s="139" t="n"/>
      <x:c r="AM395" s="139" t="n"/>
      <x:c r="AN395" s="139" t="n"/>
      <x:c r="AO395" s="139" t="n"/>
      <x:c r="AP395" s="139" t="n"/>
      <x:c r="AQ395" s="139" t="n"/>
      <x:c r="AR395" s="139" t="n"/>
      <x:c r="AS395" s="139" t="n"/>
      <x:c r="AT395" s="139" t="n"/>
      <x:c r="AU395" s="139" t="n"/>
      <x:c r="AV395" s="139" t="n"/>
      <x:c r="AW395" s="139" t="n"/>
      <x:c r="AX395" s="139" t="n"/>
      <x:c r="AY395" s="139" t="n"/>
      <x:c r="AZ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c r="V396" s="139" t="n"/>
      <x:c r="W396" s="139" t="n"/>
      <x:c r="X396" s="139" t="n"/>
      <x:c r="Y396" s="139" t="n"/>
      <x:c r="Z396" s="139" t="n"/>
      <x:c r="AA396" s="139" t="n"/>
      <x:c r="AB396" s="139" t="n"/>
      <x:c r="AC396" s="139" t="n"/>
      <x:c r="AD396" s="139" t="n"/>
      <x:c r="AE396" s="139" t="n"/>
      <x:c r="AF396" s="139" t="n"/>
      <x:c r="AG396" s="139" t="n"/>
      <x:c r="AH396" s="139" t="n"/>
      <x:c r="AI396" s="139" t="n"/>
      <x:c r="AJ396" s="139" t="n"/>
      <x:c r="AK396" s="139" t="n"/>
      <x:c r="AL396" s="139" t="n"/>
      <x:c r="AM396" s="139" t="n"/>
      <x:c r="AN396" s="139" t="n"/>
      <x:c r="AO396" s="139" t="n"/>
      <x:c r="AP396" s="139" t="n"/>
      <x:c r="AQ396" s="139" t="n"/>
      <x:c r="AR396" s="139" t="n"/>
      <x:c r="AS396" s="139" t="n"/>
      <x:c r="AT396" s="139" t="n"/>
      <x:c r="AU396" s="139" t="n"/>
      <x:c r="AV396" s="139" t="n"/>
      <x:c r="AW396" s="139" t="n"/>
      <x:c r="AX396" s="139" t="n"/>
      <x:c r="AY396" s="139" t="n"/>
      <x:c r="AZ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c r="V397" s="139" t="n"/>
      <x:c r="W397" s="139" t="n"/>
      <x:c r="X397" s="139" t="n"/>
      <x:c r="Y397" s="139" t="n"/>
      <x:c r="Z397" s="139" t="n"/>
      <x:c r="AA397" s="139" t="n"/>
      <x:c r="AB397" s="139" t="n"/>
      <x:c r="AC397" s="139" t="n"/>
      <x:c r="AD397" s="139" t="n"/>
      <x:c r="AE397" s="139" t="n"/>
      <x:c r="AF397" s="139" t="n"/>
      <x:c r="AG397" s="139" t="n"/>
      <x:c r="AH397" s="139" t="n"/>
      <x:c r="AI397" s="139" t="n"/>
      <x:c r="AJ397" s="139" t="n"/>
      <x:c r="AK397" s="139" t="n"/>
      <x:c r="AL397" s="139" t="n"/>
      <x:c r="AM397" s="139" t="n"/>
      <x:c r="AN397" s="139" t="n"/>
      <x:c r="AO397" s="139" t="n"/>
      <x:c r="AP397" s="139" t="n"/>
      <x:c r="AQ397" s="139" t="n"/>
      <x:c r="AR397" s="139" t="n"/>
      <x:c r="AS397" s="139" t="n"/>
      <x:c r="AT397" s="139" t="n"/>
      <x:c r="AU397" s="139" t="n"/>
      <x:c r="AV397" s="139" t="n"/>
      <x:c r="AW397" s="139" t="n"/>
      <x:c r="AX397" s="139" t="n"/>
      <x:c r="AY397" s="139" t="n"/>
      <x:c r="AZ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c r="V398" s="139" t="n"/>
      <x:c r="W398" s="139" t="n"/>
      <x:c r="X398" s="139" t="n"/>
      <x:c r="Y398" s="139" t="n"/>
      <x:c r="Z398" s="139" t="n"/>
      <x:c r="AA398" s="139" t="n"/>
      <x:c r="AB398" s="139" t="n"/>
      <x:c r="AC398" s="139" t="n"/>
      <x:c r="AD398" s="139" t="n"/>
      <x:c r="AE398" s="139" t="n"/>
      <x:c r="AF398" s="139" t="n"/>
      <x:c r="AG398" s="139" t="n"/>
      <x:c r="AH398" s="139" t="n"/>
      <x:c r="AI398" s="139" t="n"/>
      <x:c r="AJ398" s="139" t="n"/>
      <x:c r="AK398" s="139" t="n"/>
      <x:c r="AL398" s="139" t="n"/>
      <x:c r="AM398" s="139" t="n"/>
      <x:c r="AN398" s="139" t="n"/>
      <x:c r="AO398" s="139" t="n"/>
      <x:c r="AP398" s="139" t="n"/>
      <x:c r="AQ398" s="139" t="n"/>
      <x:c r="AR398" s="139" t="n"/>
      <x:c r="AS398" s="139" t="n"/>
      <x:c r="AT398" s="139" t="n"/>
      <x:c r="AU398" s="139" t="n"/>
      <x:c r="AV398" s="139" t="n"/>
      <x:c r="AW398" s="139" t="n"/>
      <x:c r="AX398" s="139" t="n"/>
      <x:c r="AY398" s="139" t="n"/>
      <x:c r="AZ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c r="V399" s="139" t="n"/>
      <x:c r="W399" s="139" t="n"/>
      <x:c r="X399" s="139" t="n"/>
      <x:c r="Y399" s="139" t="n"/>
      <x:c r="Z399" s="139" t="n"/>
      <x:c r="AA399" s="139" t="n"/>
      <x:c r="AB399" s="139" t="n"/>
      <x:c r="AC399" s="139" t="n"/>
      <x:c r="AD399" s="139" t="n"/>
      <x:c r="AE399" s="139" t="n"/>
      <x:c r="AF399" s="139" t="n"/>
      <x:c r="AG399" s="139" t="n"/>
      <x:c r="AH399" s="139" t="n"/>
      <x:c r="AI399" s="139" t="n"/>
      <x:c r="AJ399" s="139" t="n"/>
      <x:c r="AK399" s="139" t="n"/>
      <x:c r="AL399" s="139" t="n"/>
      <x:c r="AM399" s="139" t="n"/>
      <x:c r="AN399" s="139" t="n"/>
      <x:c r="AO399" s="139" t="n"/>
      <x:c r="AP399" s="139" t="n"/>
      <x:c r="AQ399" s="139" t="n"/>
      <x:c r="AR399" s="139" t="n"/>
      <x:c r="AS399" s="139" t="n"/>
      <x:c r="AT399" s="139" t="n"/>
      <x:c r="AU399" s="139" t="n"/>
      <x:c r="AV399" s="139" t="n"/>
      <x:c r="AW399" s="139" t="n"/>
      <x:c r="AX399" s="139" t="n"/>
      <x:c r="AY399" s="139" t="n"/>
      <x:c r="AZ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c r="V400" s="139" t="n"/>
      <x:c r="W400" s="139" t="n"/>
      <x:c r="X400" s="139" t="n"/>
      <x:c r="Y400" s="139" t="n"/>
      <x:c r="Z400" s="139" t="n"/>
      <x:c r="AA400" s="139" t="n"/>
      <x:c r="AB400" s="139" t="n"/>
      <x:c r="AC400" s="139" t="n"/>
      <x:c r="AD400" s="139" t="n"/>
      <x:c r="AE400" s="139" t="n"/>
      <x:c r="AF400" s="139" t="n"/>
      <x:c r="AG400" s="139" t="n"/>
      <x:c r="AH400" s="139" t="n"/>
      <x:c r="AI400" s="139" t="n"/>
      <x:c r="AJ400" s="139" t="n"/>
      <x:c r="AK400" s="139" t="n"/>
      <x:c r="AL400" s="139" t="n"/>
      <x:c r="AM400" s="139" t="n"/>
      <x:c r="AN400" s="139" t="n"/>
      <x:c r="AO400" s="139" t="n"/>
      <x:c r="AP400" s="139" t="n"/>
      <x:c r="AQ400" s="139" t="n"/>
      <x:c r="AR400" s="139" t="n"/>
      <x:c r="AS400" s="139" t="n"/>
      <x:c r="AT400" s="139" t="n"/>
      <x:c r="AU400" s="139" t="n"/>
      <x:c r="AV400" s="139" t="n"/>
      <x:c r="AW400" s="139" t="n"/>
      <x:c r="AX400" s="139" t="n"/>
      <x:c r="AY400" s="139" t="n"/>
      <x:c r="AZ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c r="V401" s="139" t="n"/>
      <x:c r="W401" s="139" t="n"/>
      <x:c r="X401" s="139" t="n"/>
      <x:c r="Y401" s="139" t="n"/>
      <x:c r="Z401" s="139" t="n"/>
      <x:c r="AA401" s="139" t="n"/>
      <x:c r="AB401" s="139" t="n"/>
      <x:c r="AC401" s="139" t="n"/>
      <x:c r="AD401" s="139" t="n"/>
      <x:c r="AE401" s="139" t="n"/>
      <x:c r="AF401" s="139" t="n"/>
      <x:c r="AG401" s="139" t="n"/>
      <x:c r="AH401" s="139" t="n"/>
      <x:c r="AI401" s="139" t="n"/>
      <x:c r="AJ401" s="139" t="n"/>
      <x:c r="AK401" s="139" t="n"/>
      <x:c r="AL401" s="139" t="n"/>
      <x:c r="AM401" s="139" t="n"/>
      <x:c r="AN401" s="139" t="n"/>
      <x:c r="AO401" s="139" t="n"/>
      <x:c r="AP401" s="139" t="n"/>
      <x:c r="AQ401" s="139" t="n"/>
      <x:c r="AR401" s="139" t="n"/>
      <x:c r="AS401" s="139" t="n"/>
      <x:c r="AT401" s="139" t="n"/>
      <x:c r="AU401" s="139" t="n"/>
      <x:c r="AV401" s="139" t="n"/>
      <x:c r="AW401" s="139" t="n"/>
      <x:c r="AX401" s="139" t="n"/>
      <x:c r="AY401" s="139" t="n"/>
      <x:c r="AZ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c r="V402" s="139" t="n"/>
      <x:c r="W402" s="139" t="n"/>
      <x:c r="X402" s="139" t="n"/>
      <x:c r="Y402" s="139" t="n"/>
      <x:c r="Z402" s="139" t="n"/>
      <x:c r="AA402" s="139" t="n"/>
      <x:c r="AB402" s="139" t="n"/>
      <x:c r="AC402" s="139" t="n"/>
      <x:c r="AD402" s="139" t="n"/>
      <x:c r="AE402" s="139" t="n"/>
      <x:c r="AF402" s="139" t="n"/>
      <x:c r="AG402" s="139" t="n"/>
      <x:c r="AH402" s="139" t="n"/>
      <x:c r="AI402" s="139" t="n"/>
      <x:c r="AJ402" s="139" t="n"/>
      <x:c r="AK402" s="139" t="n"/>
      <x:c r="AL402" s="139" t="n"/>
      <x:c r="AM402" s="139" t="n"/>
      <x:c r="AN402" s="139" t="n"/>
      <x:c r="AO402" s="139" t="n"/>
      <x:c r="AP402" s="139" t="n"/>
      <x:c r="AQ402" s="139" t="n"/>
      <x:c r="AR402" s="139" t="n"/>
      <x:c r="AS402" s="139" t="n"/>
      <x:c r="AT402" s="139" t="n"/>
      <x:c r="AU402" s="139" t="n"/>
      <x:c r="AV402" s="139" t="n"/>
      <x:c r="AW402" s="139" t="n"/>
      <x:c r="AX402" s="139" t="n"/>
      <x:c r="AY402" s="139" t="n"/>
      <x:c r="AZ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c r="V403" s="139" t="n"/>
      <x:c r="W403" s="139" t="n"/>
      <x:c r="X403" s="139" t="n"/>
      <x:c r="Y403" s="139" t="n"/>
      <x:c r="Z403" s="139" t="n"/>
      <x:c r="AA403" s="139" t="n"/>
      <x:c r="AB403" s="139" t="n"/>
      <x:c r="AC403" s="139" t="n"/>
      <x:c r="AD403" s="139" t="n"/>
      <x:c r="AE403" s="139" t="n"/>
      <x:c r="AF403" s="139" t="n"/>
      <x:c r="AG403" s="139" t="n"/>
      <x:c r="AH403" s="139" t="n"/>
      <x:c r="AI403" s="139" t="n"/>
      <x:c r="AJ403" s="139" t="n"/>
      <x:c r="AK403" s="139" t="n"/>
      <x:c r="AL403" s="139" t="n"/>
      <x:c r="AM403" s="139" t="n"/>
      <x:c r="AN403" s="139" t="n"/>
      <x:c r="AO403" s="139" t="n"/>
      <x:c r="AP403" s="139" t="n"/>
      <x:c r="AQ403" s="139" t="n"/>
      <x:c r="AR403" s="139" t="n"/>
      <x:c r="AS403" s="139" t="n"/>
      <x:c r="AT403" s="139" t="n"/>
      <x:c r="AU403" s="139" t="n"/>
      <x:c r="AV403" s="139" t="n"/>
      <x:c r="AW403" s="139" t="n"/>
      <x:c r="AX403" s="139" t="n"/>
      <x:c r="AY403" s="139" t="n"/>
      <x:c r="AZ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c r="V404" s="139" t="n"/>
      <x:c r="W404" s="139" t="n"/>
      <x:c r="X404" s="139" t="n"/>
      <x:c r="Y404" s="139" t="n"/>
      <x:c r="Z404" s="139" t="n"/>
      <x:c r="AA404" s="139" t="n"/>
      <x:c r="AB404" s="139" t="n"/>
      <x:c r="AC404" s="139" t="n"/>
      <x:c r="AD404" s="139" t="n"/>
      <x:c r="AE404" s="139" t="n"/>
      <x:c r="AF404" s="139" t="n"/>
      <x:c r="AG404" s="139" t="n"/>
      <x:c r="AH404" s="139" t="n"/>
      <x:c r="AI404" s="139" t="n"/>
      <x:c r="AJ404" s="139" t="n"/>
      <x:c r="AK404" s="139" t="n"/>
      <x:c r="AL404" s="139" t="n"/>
      <x:c r="AM404" s="139" t="n"/>
      <x:c r="AN404" s="139" t="n"/>
      <x:c r="AO404" s="139" t="n"/>
      <x:c r="AP404" s="139" t="n"/>
      <x:c r="AQ404" s="139" t="n"/>
      <x:c r="AR404" s="139" t="n"/>
      <x:c r="AS404" s="139" t="n"/>
      <x:c r="AT404" s="139" t="n"/>
      <x:c r="AU404" s="139" t="n"/>
      <x:c r="AV404" s="139" t="n"/>
      <x:c r="AW404" s="139" t="n"/>
      <x:c r="AX404" s="139" t="n"/>
      <x:c r="AY404" s="139" t="n"/>
      <x:c r="AZ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c r="V405" s="139" t="n"/>
      <x:c r="W405" s="139" t="n"/>
      <x:c r="X405" s="139" t="n"/>
      <x:c r="Y405" s="139" t="n"/>
      <x:c r="Z405" s="139" t="n"/>
      <x:c r="AA405" s="139" t="n"/>
      <x:c r="AB405" s="139" t="n"/>
      <x:c r="AC405" s="139" t="n"/>
      <x:c r="AD405" s="139" t="n"/>
      <x:c r="AE405" s="139" t="n"/>
      <x:c r="AF405" s="139" t="n"/>
      <x:c r="AG405" s="139" t="n"/>
      <x:c r="AH405" s="139" t="n"/>
      <x:c r="AI405" s="139" t="n"/>
      <x:c r="AJ405" s="139" t="n"/>
      <x:c r="AK405" s="139" t="n"/>
      <x:c r="AL405" s="139" t="n"/>
      <x:c r="AM405" s="139" t="n"/>
      <x:c r="AN405" s="139" t="n"/>
      <x:c r="AO405" s="139" t="n"/>
      <x:c r="AP405" s="139" t="n"/>
      <x:c r="AQ405" s="139" t="n"/>
      <x:c r="AR405" s="139" t="n"/>
      <x:c r="AS405" s="139" t="n"/>
      <x:c r="AT405" s="139" t="n"/>
      <x:c r="AU405" s="139" t="n"/>
      <x:c r="AV405" s="139" t="n"/>
      <x:c r="AW405" s="139" t="n"/>
      <x:c r="AX405" s="139" t="n"/>
      <x:c r="AY405" s="139" t="n"/>
      <x:c r="AZ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c r="V406" s="139" t="n"/>
      <x:c r="W406" s="139" t="n"/>
      <x:c r="X406" s="139" t="n"/>
      <x:c r="Y406" s="139" t="n"/>
      <x:c r="Z406" s="139" t="n"/>
      <x:c r="AA406" s="139" t="n"/>
      <x:c r="AB406" s="139" t="n"/>
      <x:c r="AC406" s="139" t="n"/>
      <x:c r="AD406" s="139" t="n"/>
      <x:c r="AE406" s="139" t="n"/>
      <x:c r="AF406" s="139" t="n"/>
      <x:c r="AG406" s="139" t="n"/>
      <x:c r="AH406" s="139" t="n"/>
      <x:c r="AI406" s="139" t="n"/>
      <x:c r="AJ406" s="139" t="n"/>
      <x:c r="AK406" s="139" t="n"/>
      <x:c r="AL406" s="139" t="n"/>
      <x:c r="AM406" s="139" t="n"/>
      <x:c r="AN406" s="139" t="n"/>
      <x:c r="AO406" s="139" t="n"/>
      <x:c r="AP406" s="139" t="n"/>
      <x:c r="AQ406" s="139" t="n"/>
      <x:c r="AR406" s="139" t="n"/>
      <x:c r="AS406" s="139" t="n"/>
      <x:c r="AT406" s="139" t="n"/>
      <x:c r="AU406" s="139" t="n"/>
      <x:c r="AV406" s="139" t="n"/>
      <x:c r="AW406" s="139" t="n"/>
      <x:c r="AX406" s="139" t="n"/>
      <x:c r="AY406" s="139" t="n"/>
      <x:c r="AZ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c r="V407" s="139" t="n"/>
      <x:c r="W407" s="139" t="n"/>
      <x:c r="X407" s="139" t="n"/>
      <x:c r="Y407" s="139" t="n"/>
      <x:c r="Z407" s="139" t="n"/>
      <x:c r="AA407" s="139" t="n"/>
      <x:c r="AB407" s="139" t="n"/>
      <x:c r="AC407" s="139" t="n"/>
      <x:c r="AD407" s="139" t="n"/>
      <x:c r="AE407" s="139" t="n"/>
      <x:c r="AF407" s="139" t="n"/>
      <x:c r="AG407" s="139" t="n"/>
      <x:c r="AH407" s="139" t="n"/>
      <x:c r="AI407" s="139" t="n"/>
      <x:c r="AJ407" s="139" t="n"/>
      <x:c r="AK407" s="139" t="n"/>
      <x:c r="AL407" s="139" t="n"/>
      <x:c r="AM407" s="139" t="n"/>
      <x:c r="AN407" s="139" t="n"/>
      <x:c r="AO407" s="139" t="n"/>
      <x:c r="AP407" s="139" t="n"/>
      <x:c r="AQ407" s="139" t="n"/>
      <x:c r="AR407" s="139" t="n"/>
      <x:c r="AS407" s="139" t="n"/>
      <x:c r="AT407" s="139" t="n"/>
      <x:c r="AU407" s="139" t="n"/>
      <x:c r="AV407" s="139" t="n"/>
      <x:c r="AW407" s="139" t="n"/>
      <x:c r="AX407" s="139" t="n"/>
      <x:c r="AY407" s="139" t="n"/>
      <x:c r="AZ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c r="V408" s="139" t="n"/>
      <x:c r="W408" s="139" t="n"/>
      <x:c r="X408" s="139" t="n"/>
      <x:c r="Y408" s="139" t="n"/>
      <x:c r="Z408" s="139" t="n"/>
      <x:c r="AA408" s="139" t="n"/>
      <x:c r="AB408" s="139" t="n"/>
      <x:c r="AC408" s="139" t="n"/>
      <x:c r="AD408" s="139" t="n"/>
      <x:c r="AE408" s="139" t="n"/>
      <x:c r="AF408" s="139" t="n"/>
      <x:c r="AG408" s="139" t="n"/>
      <x:c r="AH408" s="139" t="n"/>
      <x:c r="AI408" s="139" t="n"/>
      <x:c r="AJ408" s="139" t="n"/>
      <x:c r="AK408" s="139" t="n"/>
      <x:c r="AL408" s="139" t="n"/>
      <x:c r="AM408" s="139" t="n"/>
      <x:c r="AN408" s="139" t="n"/>
      <x:c r="AO408" s="139" t="n"/>
      <x:c r="AP408" s="139" t="n"/>
      <x:c r="AQ408" s="139" t="n"/>
      <x:c r="AR408" s="139" t="n"/>
      <x:c r="AS408" s="139" t="n"/>
      <x:c r="AT408" s="139" t="n"/>
      <x:c r="AU408" s="139" t="n"/>
      <x:c r="AV408" s="139" t="n"/>
      <x:c r="AW408" s="139" t="n"/>
      <x:c r="AX408" s="139" t="n"/>
      <x:c r="AY408" s="139" t="n"/>
      <x:c r="AZ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c r="V409" s="139" t="n"/>
      <x:c r="W409" s="139" t="n"/>
      <x:c r="X409" s="139" t="n"/>
      <x:c r="Y409" s="139" t="n"/>
      <x:c r="Z409" s="139" t="n"/>
      <x:c r="AA409" s="139" t="n"/>
      <x:c r="AB409" s="139" t="n"/>
      <x:c r="AC409" s="139" t="n"/>
      <x:c r="AD409" s="139" t="n"/>
      <x:c r="AE409" s="139" t="n"/>
      <x:c r="AF409" s="139" t="n"/>
      <x:c r="AG409" s="139" t="n"/>
      <x:c r="AH409" s="139" t="n"/>
      <x:c r="AI409" s="139" t="n"/>
      <x:c r="AJ409" s="139" t="n"/>
      <x:c r="AK409" s="139" t="n"/>
      <x:c r="AL409" s="139" t="n"/>
      <x:c r="AM409" s="139" t="n"/>
      <x:c r="AN409" s="139" t="n"/>
      <x:c r="AO409" s="139" t="n"/>
      <x:c r="AP409" s="139" t="n"/>
      <x:c r="AQ409" s="139" t="n"/>
      <x:c r="AR409" s="139" t="n"/>
      <x:c r="AS409" s="139" t="n"/>
      <x:c r="AT409" s="139" t="n"/>
      <x:c r="AU409" s="139" t="n"/>
      <x:c r="AV409" s="139" t="n"/>
      <x:c r="AW409" s="139" t="n"/>
      <x:c r="AX409" s="139" t="n"/>
      <x:c r="AY409" s="139" t="n"/>
      <x:c r="AZ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c r="V410" s="139" t="n"/>
      <x:c r="W410" s="139" t="n"/>
      <x:c r="X410" s="139" t="n"/>
      <x:c r="Y410" s="139" t="n"/>
      <x:c r="Z410" s="139" t="n"/>
      <x:c r="AA410" s="139" t="n"/>
      <x:c r="AB410" s="139" t="n"/>
      <x:c r="AC410" s="139" t="n"/>
      <x:c r="AD410" s="139" t="n"/>
      <x:c r="AE410" s="139" t="n"/>
      <x:c r="AF410" s="139" t="n"/>
      <x:c r="AG410" s="139" t="n"/>
      <x:c r="AH410" s="139" t="n"/>
      <x:c r="AI410" s="139" t="n"/>
      <x:c r="AJ410" s="139" t="n"/>
      <x:c r="AK410" s="139" t="n"/>
      <x:c r="AL410" s="139" t="n"/>
      <x:c r="AM410" s="139" t="n"/>
      <x:c r="AN410" s="139" t="n"/>
      <x:c r="AO410" s="139" t="n"/>
      <x:c r="AP410" s="139" t="n"/>
      <x:c r="AQ410" s="139" t="n"/>
      <x:c r="AR410" s="139" t="n"/>
      <x:c r="AS410" s="139" t="n"/>
      <x:c r="AT410" s="139" t="n"/>
      <x:c r="AU410" s="139" t="n"/>
      <x:c r="AV410" s="139" t="n"/>
      <x:c r="AW410" s="139" t="n"/>
      <x:c r="AX410" s="139" t="n"/>
      <x:c r="AY410" s="139" t="n"/>
      <x:c r="AZ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c r="V411" s="139" t="n"/>
      <x:c r="W411" s="139" t="n"/>
      <x:c r="X411" s="139" t="n"/>
      <x:c r="Y411" s="139" t="n"/>
      <x:c r="Z411" s="139" t="n"/>
      <x:c r="AA411" s="139" t="n"/>
      <x:c r="AB411" s="139" t="n"/>
      <x:c r="AC411" s="139" t="n"/>
      <x:c r="AD411" s="139" t="n"/>
      <x:c r="AE411" s="139" t="n"/>
      <x:c r="AF411" s="139" t="n"/>
      <x:c r="AG411" s="139" t="n"/>
      <x:c r="AH411" s="139" t="n"/>
      <x:c r="AI411" s="139" t="n"/>
      <x:c r="AJ411" s="139" t="n"/>
      <x:c r="AK411" s="139" t="n"/>
      <x:c r="AL411" s="139" t="n"/>
      <x:c r="AM411" s="139" t="n"/>
      <x:c r="AN411" s="139" t="n"/>
      <x:c r="AO411" s="139" t="n"/>
      <x:c r="AP411" s="139" t="n"/>
      <x:c r="AQ411" s="139" t="n"/>
      <x:c r="AR411" s="139" t="n"/>
      <x:c r="AS411" s="139" t="n"/>
      <x:c r="AT411" s="139" t="n"/>
      <x:c r="AU411" s="139" t="n"/>
      <x:c r="AV411" s="139" t="n"/>
      <x:c r="AW411" s="139" t="n"/>
      <x:c r="AX411" s="139" t="n"/>
      <x:c r="AY411" s="139" t="n"/>
      <x:c r="AZ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c r="V412" s="139" t="n"/>
      <x:c r="W412" s="139" t="n"/>
      <x:c r="X412" s="139" t="n"/>
      <x:c r="Y412" s="139" t="n"/>
      <x:c r="Z412" s="139" t="n"/>
      <x:c r="AA412" s="139" t="n"/>
      <x:c r="AB412" s="139" t="n"/>
      <x:c r="AC412" s="139" t="n"/>
      <x:c r="AD412" s="139" t="n"/>
      <x:c r="AE412" s="139" t="n"/>
      <x:c r="AF412" s="139" t="n"/>
      <x:c r="AG412" s="139" t="n"/>
      <x:c r="AH412" s="139" t="n"/>
      <x:c r="AI412" s="139" t="n"/>
      <x:c r="AJ412" s="139" t="n"/>
      <x:c r="AK412" s="139" t="n"/>
      <x:c r="AL412" s="139" t="n"/>
      <x:c r="AM412" s="139" t="n"/>
      <x:c r="AN412" s="139" t="n"/>
      <x:c r="AO412" s="139" t="n"/>
      <x:c r="AP412" s="139" t="n"/>
      <x:c r="AQ412" s="139" t="n"/>
      <x:c r="AR412" s="139" t="n"/>
      <x:c r="AS412" s="139" t="n"/>
      <x:c r="AT412" s="139" t="n"/>
      <x:c r="AU412" s="139" t="n"/>
      <x:c r="AV412" s="139" t="n"/>
      <x:c r="AW412" s="139" t="n"/>
      <x:c r="AX412" s="139" t="n"/>
      <x:c r="AY412" s="139" t="n"/>
      <x:c r="AZ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c r="V413" s="139" t="n"/>
      <x:c r="W413" s="139" t="n"/>
      <x:c r="X413" s="139" t="n"/>
      <x:c r="Y413" s="139" t="n"/>
      <x:c r="Z413" s="139" t="n"/>
      <x:c r="AA413" s="139" t="n"/>
      <x:c r="AB413" s="139" t="n"/>
      <x:c r="AC413" s="139" t="n"/>
      <x:c r="AD413" s="139" t="n"/>
      <x:c r="AE413" s="139" t="n"/>
      <x:c r="AF413" s="139" t="n"/>
      <x:c r="AG413" s="139" t="n"/>
      <x:c r="AH413" s="139" t="n"/>
      <x:c r="AI413" s="139" t="n"/>
      <x:c r="AJ413" s="139" t="n"/>
      <x:c r="AK413" s="139" t="n"/>
      <x:c r="AL413" s="139" t="n"/>
      <x:c r="AM413" s="139" t="n"/>
      <x:c r="AN413" s="139" t="n"/>
      <x:c r="AO413" s="139" t="n"/>
      <x:c r="AP413" s="139" t="n"/>
      <x:c r="AQ413" s="139" t="n"/>
      <x:c r="AR413" s="139" t="n"/>
      <x:c r="AS413" s="139" t="n"/>
      <x:c r="AT413" s="139" t="n"/>
      <x:c r="AU413" s="139" t="n"/>
      <x:c r="AV413" s="139" t="n"/>
      <x:c r="AW413" s="139" t="n"/>
      <x:c r="AX413" s="139" t="n"/>
      <x:c r="AY413" s="139" t="n"/>
      <x:c r="AZ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c r="V414" s="139" t="n"/>
      <x:c r="W414" s="139" t="n"/>
      <x:c r="X414" s="139" t="n"/>
      <x:c r="Y414" s="139" t="n"/>
      <x:c r="Z414" s="139" t="n"/>
      <x:c r="AA414" s="139" t="n"/>
      <x:c r="AB414" s="139" t="n"/>
      <x:c r="AC414" s="139" t="n"/>
      <x:c r="AD414" s="139" t="n"/>
      <x:c r="AE414" s="139" t="n"/>
      <x:c r="AF414" s="139" t="n"/>
      <x:c r="AG414" s="139" t="n"/>
      <x:c r="AH414" s="139" t="n"/>
      <x:c r="AI414" s="139" t="n"/>
      <x:c r="AJ414" s="139" t="n"/>
      <x:c r="AK414" s="139" t="n"/>
      <x:c r="AL414" s="139" t="n"/>
      <x:c r="AM414" s="139" t="n"/>
      <x:c r="AN414" s="139" t="n"/>
      <x:c r="AO414" s="139" t="n"/>
      <x:c r="AP414" s="139" t="n"/>
      <x:c r="AQ414" s="139" t="n"/>
      <x:c r="AR414" s="139" t="n"/>
      <x:c r="AS414" s="139" t="n"/>
      <x:c r="AT414" s="139" t="n"/>
      <x:c r="AU414" s="139" t="n"/>
      <x:c r="AV414" s="139" t="n"/>
      <x:c r="AW414" s="139" t="n"/>
      <x:c r="AX414" s="139" t="n"/>
      <x:c r="AY414" s="139" t="n"/>
      <x:c r="AZ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c r="V415" s="139" t="n"/>
      <x:c r="W415" s="139" t="n"/>
      <x:c r="X415" s="139" t="n"/>
      <x:c r="Y415" s="139" t="n"/>
      <x:c r="Z415" s="139" t="n"/>
      <x:c r="AA415" s="139" t="n"/>
      <x:c r="AB415" s="139" t="n"/>
      <x:c r="AC415" s="139" t="n"/>
      <x:c r="AD415" s="139" t="n"/>
      <x:c r="AE415" s="139" t="n"/>
      <x:c r="AF415" s="139" t="n"/>
      <x:c r="AG415" s="139" t="n"/>
      <x:c r="AH415" s="139" t="n"/>
      <x:c r="AI415" s="139" t="n"/>
      <x:c r="AJ415" s="139" t="n"/>
      <x:c r="AK415" s="139" t="n"/>
      <x:c r="AL415" s="139" t="n"/>
      <x:c r="AM415" s="139" t="n"/>
      <x:c r="AN415" s="139" t="n"/>
      <x:c r="AO415" s="139" t="n"/>
      <x:c r="AP415" s="139" t="n"/>
      <x:c r="AQ415" s="139" t="n"/>
      <x:c r="AR415" s="139" t="n"/>
      <x:c r="AS415" s="139" t="n"/>
      <x:c r="AT415" s="139" t="n"/>
      <x:c r="AU415" s="139" t="n"/>
      <x:c r="AV415" s="139" t="n"/>
      <x:c r="AW415" s="139" t="n"/>
      <x:c r="AX415" s="139" t="n"/>
      <x:c r="AY415" s="139" t="n"/>
      <x:c r="AZ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c r="V416" s="139" t="n"/>
      <x:c r="W416" s="139" t="n"/>
      <x:c r="X416" s="139" t="n"/>
      <x:c r="Y416" s="139" t="n"/>
      <x:c r="Z416" s="139" t="n"/>
      <x:c r="AA416" s="139" t="n"/>
      <x:c r="AB416" s="139" t="n"/>
      <x:c r="AC416" s="139" t="n"/>
      <x:c r="AD416" s="139" t="n"/>
      <x:c r="AE416" s="139" t="n"/>
      <x:c r="AF416" s="139" t="n"/>
      <x:c r="AG416" s="139" t="n"/>
      <x:c r="AH416" s="139" t="n"/>
      <x:c r="AI416" s="139" t="n"/>
      <x:c r="AJ416" s="139" t="n"/>
      <x:c r="AK416" s="139" t="n"/>
      <x:c r="AL416" s="139" t="n"/>
      <x:c r="AM416" s="139" t="n"/>
      <x:c r="AN416" s="139" t="n"/>
      <x:c r="AO416" s="139" t="n"/>
      <x:c r="AP416" s="139" t="n"/>
      <x:c r="AQ416" s="139" t="n"/>
      <x:c r="AR416" s="139" t="n"/>
      <x:c r="AS416" s="139" t="n"/>
      <x:c r="AT416" s="139" t="n"/>
      <x:c r="AU416" s="139" t="n"/>
      <x:c r="AV416" s="139" t="n"/>
      <x:c r="AW416" s="139" t="n"/>
      <x:c r="AX416" s="139" t="n"/>
      <x:c r="AY416" s="139" t="n"/>
      <x:c r="AZ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c r="V417" s="139" t="n"/>
      <x:c r="W417" s="139" t="n"/>
      <x:c r="X417" s="139" t="n"/>
      <x:c r="Y417" s="139" t="n"/>
      <x:c r="Z417" s="139" t="n"/>
      <x:c r="AA417" s="139" t="n"/>
      <x:c r="AB417" s="139" t="n"/>
      <x:c r="AC417" s="139" t="n"/>
      <x:c r="AD417" s="139" t="n"/>
      <x:c r="AE417" s="139" t="n"/>
      <x:c r="AF417" s="139" t="n"/>
      <x:c r="AG417" s="139" t="n"/>
      <x:c r="AH417" s="139" t="n"/>
      <x:c r="AI417" s="139" t="n"/>
      <x:c r="AJ417" s="139" t="n"/>
      <x:c r="AK417" s="139" t="n"/>
      <x:c r="AL417" s="139" t="n"/>
      <x:c r="AM417" s="139" t="n"/>
      <x:c r="AN417" s="139" t="n"/>
      <x:c r="AO417" s="139" t="n"/>
      <x:c r="AP417" s="139" t="n"/>
      <x:c r="AQ417" s="139" t="n"/>
      <x:c r="AR417" s="139" t="n"/>
      <x:c r="AS417" s="139" t="n"/>
      <x:c r="AT417" s="139" t="n"/>
      <x:c r="AU417" s="139" t="n"/>
      <x:c r="AV417" s="139" t="n"/>
      <x:c r="AW417" s="139" t="n"/>
      <x:c r="AX417" s="139" t="n"/>
      <x:c r="AY417" s="139" t="n"/>
      <x:c r="AZ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c r="V418" s="139" t="n"/>
      <x:c r="W418" s="139" t="n"/>
      <x:c r="X418" s="139" t="n"/>
      <x:c r="Y418" s="139" t="n"/>
      <x:c r="Z418" s="139" t="n"/>
      <x:c r="AA418" s="139" t="n"/>
      <x:c r="AB418" s="139" t="n"/>
      <x:c r="AC418" s="139" t="n"/>
      <x:c r="AD418" s="139" t="n"/>
      <x:c r="AE418" s="139" t="n"/>
      <x:c r="AF418" s="139" t="n"/>
      <x:c r="AG418" s="139" t="n"/>
      <x:c r="AH418" s="139" t="n"/>
      <x:c r="AI418" s="139" t="n"/>
      <x:c r="AJ418" s="139" t="n"/>
      <x:c r="AK418" s="139" t="n"/>
      <x:c r="AL418" s="139" t="n"/>
      <x:c r="AM418" s="139" t="n"/>
      <x:c r="AN418" s="139" t="n"/>
      <x:c r="AO418" s="139" t="n"/>
      <x:c r="AP418" s="139" t="n"/>
      <x:c r="AQ418" s="139" t="n"/>
      <x:c r="AR418" s="139" t="n"/>
      <x:c r="AS418" s="139" t="n"/>
      <x:c r="AT418" s="139" t="n"/>
      <x:c r="AU418" s="139" t="n"/>
      <x:c r="AV418" s="139" t="n"/>
      <x:c r="AW418" s="139" t="n"/>
      <x:c r="AX418" s="139" t="n"/>
      <x:c r="AY418" s="139" t="n"/>
      <x:c r="AZ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c r="V419" s="139" t="n"/>
      <x:c r="W419" s="139" t="n"/>
      <x:c r="X419" s="139" t="n"/>
      <x:c r="Y419" s="139" t="n"/>
      <x:c r="Z419" s="139" t="n"/>
      <x:c r="AA419" s="139" t="n"/>
      <x:c r="AB419" s="139" t="n"/>
      <x:c r="AC419" s="139" t="n"/>
      <x:c r="AD419" s="139" t="n"/>
      <x:c r="AE419" s="139" t="n"/>
      <x:c r="AF419" s="139" t="n"/>
      <x:c r="AG419" s="139" t="n"/>
      <x:c r="AH419" s="139" t="n"/>
      <x:c r="AI419" s="139" t="n"/>
      <x:c r="AJ419" s="139" t="n"/>
      <x:c r="AK419" s="139" t="n"/>
      <x:c r="AL419" s="139" t="n"/>
      <x:c r="AM419" s="139" t="n"/>
      <x:c r="AN419" s="139" t="n"/>
      <x:c r="AO419" s="139" t="n"/>
      <x:c r="AP419" s="139" t="n"/>
      <x:c r="AQ419" s="139" t="n"/>
      <x:c r="AR419" s="139" t="n"/>
      <x:c r="AS419" s="139" t="n"/>
      <x:c r="AT419" s="139" t="n"/>
      <x:c r="AU419" s="139" t="n"/>
      <x:c r="AV419" s="139" t="n"/>
      <x:c r="AW419" s="139" t="n"/>
      <x:c r="AX419" s="139" t="n"/>
      <x:c r="AY419" s="139" t="n"/>
      <x:c r="AZ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c r="V420" s="139" t="n"/>
      <x:c r="W420" s="139" t="n"/>
      <x:c r="X420" s="139" t="n"/>
      <x:c r="Y420" s="139" t="n"/>
      <x:c r="Z420" s="139" t="n"/>
      <x:c r="AA420" s="139" t="n"/>
      <x:c r="AB420" s="139" t="n"/>
      <x:c r="AC420" s="139" t="n"/>
      <x:c r="AD420" s="139" t="n"/>
      <x:c r="AE420" s="139" t="n"/>
      <x:c r="AF420" s="139" t="n"/>
      <x:c r="AG420" s="139" t="n"/>
      <x:c r="AH420" s="139" t="n"/>
      <x:c r="AI420" s="139" t="n"/>
      <x:c r="AJ420" s="139" t="n"/>
      <x:c r="AK420" s="139" t="n"/>
      <x:c r="AL420" s="139" t="n"/>
      <x:c r="AM420" s="139" t="n"/>
      <x:c r="AN420" s="139" t="n"/>
      <x:c r="AO420" s="139" t="n"/>
      <x:c r="AP420" s="139" t="n"/>
      <x:c r="AQ420" s="139" t="n"/>
      <x:c r="AR420" s="139" t="n"/>
      <x:c r="AS420" s="139" t="n"/>
      <x:c r="AT420" s="139" t="n"/>
      <x:c r="AU420" s="139" t="n"/>
      <x:c r="AV420" s="139" t="n"/>
      <x:c r="AW420" s="139" t="n"/>
      <x:c r="AX420" s="139" t="n"/>
      <x:c r="AY420" s="139" t="n"/>
      <x:c r="AZ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c r="V421" s="139" t="n"/>
      <x:c r="W421" s="139" t="n"/>
      <x:c r="X421" s="139" t="n"/>
      <x:c r="Y421" s="139" t="n"/>
      <x:c r="Z421" s="139" t="n"/>
      <x:c r="AA421" s="139" t="n"/>
      <x:c r="AB421" s="139" t="n"/>
      <x:c r="AC421" s="139" t="n"/>
      <x:c r="AD421" s="139" t="n"/>
      <x:c r="AE421" s="139" t="n"/>
      <x:c r="AF421" s="139" t="n"/>
      <x:c r="AG421" s="139" t="n"/>
      <x:c r="AH421" s="139" t="n"/>
      <x:c r="AI421" s="139" t="n"/>
      <x:c r="AJ421" s="139" t="n"/>
      <x:c r="AK421" s="139" t="n"/>
      <x:c r="AL421" s="139" t="n"/>
      <x:c r="AM421" s="139" t="n"/>
      <x:c r="AN421" s="139" t="n"/>
      <x:c r="AO421" s="139" t="n"/>
      <x:c r="AP421" s="139" t="n"/>
      <x:c r="AQ421" s="139" t="n"/>
      <x:c r="AR421" s="139" t="n"/>
      <x:c r="AS421" s="139" t="n"/>
      <x:c r="AT421" s="139" t="n"/>
      <x:c r="AU421" s="139" t="n"/>
      <x:c r="AV421" s="139" t="n"/>
      <x:c r="AW421" s="139" t="n"/>
      <x:c r="AX421" s="139" t="n"/>
      <x:c r="AY421" s="139" t="n"/>
      <x:c r="AZ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c r="V422" s="139" t="n"/>
      <x:c r="W422" s="139" t="n"/>
      <x:c r="X422" s="139" t="n"/>
      <x:c r="Y422" s="139" t="n"/>
      <x:c r="Z422" s="139" t="n"/>
      <x:c r="AA422" s="139" t="n"/>
      <x:c r="AB422" s="139" t="n"/>
      <x:c r="AC422" s="139" t="n"/>
      <x:c r="AD422" s="139" t="n"/>
      <x:c r="AE422" s="139" t="n"/>
      <x:c r="AF422" s="139" t="n"/>
      <x:c r="AG422" s="139" t="n"/>
      <x:c r="AH422" s="139" t="n"/>
      <x:c r="AI422" s="139" t="n"/>
      <x:c r="AJ422" s="139" t="n"/>
      <x:c r="AK422" s="139" t="n"/>
      <x:c r="AL422" s="139" t="n"/>
      <x:c r="AM422" s="139" t="n"/>
      <x:c r="AN422" s="139" t="n"/>
      <x:c r="AO422" s="139" t="n"/>
      <x:c r="AP422" s="139" t="n"/>
      <x:c r="AQ422" s="139" t="n"/>
      <x:c r="AR422" s="139" t="n"/>
      <x:c r="AS422" s="139" t="n"/>
      <x:c r="AT422" s="139" t="n"/>
      <x:c r="AU422" s="139" t="n"/>
      <x:c r="AV422" s="139" t="n"/>
      <x:c r="AW422" s="139" t="n"/>
      <x:c r="AX422" s="139" t="n"/>
      <x:c r="AY422" s="139" t="n"/>
      <x:c r="AZ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c r="V423" s="139" t="n"/>
      <x:c r="W423" s="139" t="n"/>
      <x:c r="X423" s="139" t="n"/>
      <x:c r="Y423" s="139" t="n"/>
      <x:c r="Z423" s="139" t="n"/>
      <x:c r="AA423" s="139" t="n"/>
      <x:c r="AB423" s="139" t="n"/>
      <x:c r="AC423" s="139" t="n"/>
      <x:c r="AD423" s="139" t="n"/>
      <x:c r="AE423" s="139" t="n"/>
      <x:c r="AF423" s="139" t="n"/>
      <x:c r="AG423" s="139" t="n"/>
      <x:c r="AH423" s="139" t="n"/>
      <x:c r="AI423" s="139" t="n"/>
      <x:c r="AJ423" s="139" t="n"/>
      <x:c r="AK423" s="139" t="n"/>
      <x:c r="AL423" s="139" t="n"/>
      <x:c r="AM423" s="139" t="n"/>
      <x:c r="AN423" s="139" t="n"/>
      <x:c r="AO423" s="139" t="n"/>
      <x:c r="AP423" s="139" t="n"/>
      <x:c r="AQ423" s="139" t="n"/>
      <x:c r="AR423" s="139" t="n"/>
      <x:c r="AS423" s="139" t="n"/>
      <x:c r="AT423" s="139" t="n"/>
      <x:c r="AU423" s="139" t="n"/>
      <x:c r="AV423" s="139" t="n"/>
      <x:c r="AW423" s="139" t="n"/>
      <x:c r="AX423" s="139" t="n"/>
      <x:c r="AY423" s="139" t="n"/>
      <x:c r="AZ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c r="V424" s="139" t="n"/>
      <x:c r="W424" s="139" t="n"/>
      <x:c r="X424" s="139" t="n"/>
      <x:c r="Y424" s="139" t="n"/>
      <x:c r="Z424" s="139" t="n"/>
      <x:c r="AA424" s="139" t="n"/>
      <x:c r="AB424" s="139" t="n"/>
      <x:c r="AC424" s="139" t="n"/>
      <x:c r="AD424" s="139" t="n"/>
      <x:c r="AE424" s="139" t="n"/>
      <x:c r="AF424" s="139" t="n"/>
      <x:c r="AG424" s="139" t="n"/>
      <x:c r="AH424" s="139" t="n"/>
      <x:c r="AI424" s="139" t="n"/>
      <x:c r="AJ424" s="139" t="n"/>
      <x:c r="AK424" s="139" t="n"/>
      <x:c r="AL424" s="139" t="n"/>
      <x:c r="AM424" s="139" t="n"/>
      <x:c r="AN424" s="139" t="n"/>
      <x:c r="AO424" s="139" t="n"/>
      <x:c r="AP424" s="139" t="n"/>
      <x:c r="AQ424" s="139" t="n"/>
      <x:c r="AR424" s="139" t="n"/>
      <x:c r="AS424" s="139" t="n"/>
      <x:c r="AT424" s="139" t="n"/>
      <x:c r="AU424" s="139" t="n"/>
      <x:c r="AV424" s="139" t="n"/>
      <x:c r="AW424" s="139" t="n"/>
      <x:c r="AX424" s="139" t="n"/>
      <x:c r="AY424" s="139" t="n"/>
      <x:c r="AZ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c r="V425" s="139" t="n"/>
      <x:c r="W425" s="139" t="n"/>
      <x:c r="X425" s="139" t="n"/>
      <x:c r="Y425" s="139" t="n"/>
      <x:c r="Z425" s="139" t="n"/>
      <x:c r="AA425" s="139" t="n"/>
      <x:c r="AB425" s="139" t="n"/>
      <x:c r="AC425" s="139" t="n"/>
      <x:c r="AD425" s="139" t="n"/>
      <x:c r="AE425" s="139" t="n"/>
      <x:c r="AF425" s="139" t="n"/>
      <x:c r="AG425" s="139" t="n"/>
      <x:c r="AH425" s="139" t="n"/>
      <x:c r="AI425" s="139" t="n"/>
      <x:c r="AJ425" s="139" t="n"/>
      <x:c r="AK425" s="139" t="n"/>
      <x:c r="AL425" s="139" t="n"/>
      <x:c r="AM425" s="139" t="n"/>
      <x:c r="AN425" s="139" t="n"/>
      <x:c r="AO425" s="139" t="n"/>
      <x:c r="AP425" s="139" t="n"/>
      <x:c r="AQ425" s="139" t="n"/>
      <x:c r="AR425" s="139" t="n"/>
      <x:c r="AS425" s="139" t="n"/>
      <x:c r="AT425" s="139" t="n"/>
      <x:c r="AU425" s="139" t="n"/>
      <x:c r="AV425" s="139" t="n"/>
      <x:c r="AW425" s="139" t="n"/>
      <x:c r="AX425" s="139" t="n"/>
      <x:c r="AY425" s="139" t="n"/>
      <x:c r="AZ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c r="V426" s="139" t="n"/>
      <x:c r="W426" s="139" t="n"/>
      <x:c r="X426" s="139" t="n"/>
      <x:c r="Y426" s="139" t="n"/>
      <x:c r="Z426" s="139" t="n"/>
      <x:c r="AA426" s="139" t="n"/>
      <x:c r="AB426" s="139" t="n"/>
      <x:c r="AC426" s="139" t="n"/>
      <x:c r="AD426" s="139" t="n"/>
      <x:c r="AE426" s="139" t="n"/>
      <x:c r="AF426" s="139" t="n"/>
      <x:c r="AG426" s="139" t="n"/>
      <x:c r="AH426" s="139" t="n"/>
      <x:c r="AI426" s="139" t="n"/>
      <x:c r="AJ426" s="139" t="n"/>
      <x:c r="AK426" s="139" t="n"/>
      <x:c r="AL426" s="139" t="n"/>
      <x:c r="AM426" s="139" t="n"/>
      <x:c r="AN426" s="139" t="n"/>
      <x:c r="AO426" s="139" t="n"/>
      <x:c r="AP426" s="139" t="n"/>
      <x:c r="AQ426" s="139" t="n"/>
      <x:c r="AR426" s="139" t="n"/>
      <x:c r="AS426" s="139" t="n"/>
      <x:c r="AT426" s="139" t="n"/>
      <x:c r="AU426" s="139" t="n"/>
      <x:c r="AV426" s="139" t="n"/>
      <x:c r="AW426" s="139" t="n"/>
      <x:c r="AX426" s="139" t="n"/>
      <x:c r="AY426" s="139" t="n"/>
      <x:c r="AZ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c r="V427" s="139" t="n"/>
      <x:c r="W427" s="139" t="n"/>
      <x:c r="X427" s="139" t="n"/>
      <x:c r="Y427" s="139" t="n"/>
      <x:c r="Z427" s="139" t="n"/>
      <x:c r="AA427" s="139" t="n"/>
      <x:c r="AB427" s="139" t="n"/>
      <x:c r="AC427" s="139" t="n"/>
      <x:c r="AD427" s="139" t="n"/>
      <x:c r="AE427" s="139" t="n"/>
      <x:c r="AF427" s="139" t="n"/>
      <x:c r="AG427" s="139" t="n"/>
      <x:c r="AH427" s="139" t="n"/>
      <x:c r="AI427" s="139" t="n"/>
      <x:c r="AJ427" s="139" t="n"/>
      <x:c r="AK427" s="139" t="n"/>
      <x:c r="AL427" s="139" t="n"/>
      <x:c r="AM427" s="139" t="n"/>
      <x:c r="AN427" s="139" t="n"/>
      <x:c r="AO427" s="139" t="n"/>
      <x:c r="AP427" s="139" t="n"/>
      <x:c r="AQ427" s="139" t="n"/>
      <x:c r="AR427" s="139" t="n"/>
      <x:c r="AS427" s="139" t="n"/>
      <x:c r="AT427" s="139" t="n"/>
      <x:c r="AU427" s="139" t="n"/>
      <x:c r="AV427" s="139" t="n"/>
      <x:c r="AW427" s="139" t="n"/>
      <x:c r="AX427" s="139" t="n"/>
      <x:c r="AY427" s="139" t="n"/>
      <x:c r="AZ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c r="V428" s="139" t="n"/>
      <x:c r="W428" s="139" t="n"/>
      <x:c r="X428" s="139" t="n"/>
      <x:c r="Y428" s="139" t="n"/>
      <x:c r="Z428" s="139" t="n"/>
      <x:c r="AA428" s="139" t="n"/>
      <x:c r="AB428" s="139" t="n"/>
      <x:c r="AC428" s="139" t="n"/>
      <x:c r="AD428" s="139" t="n"/>
      <x:c r="AE428" s="139" t="n"/>
      <x:c r="AF428" s="139" t="n"/>
      <x:c r="AG428" s="139" t="n"/>
      <x:c r="AH428" s="139" t="n"/>
      <x:c r="AI428" s="139" t="n"/>
      <x:c r="AJ428" s="139" t="n"/>
      <x:c r="AK428" s="139" t="n"/>
      <x:c r="AL428" s="139" t="n"/>
      <x:c r="AM428" s="139" t="n"/>
      <x:c r="AN428" s="139" t="n"/>
      <x:c r="AO428" s="139" t="n"/>
      <x:c r="AP428" s="139" t="n"/>
      <x:c r="AQ428" s="139" t="n"/>
      <x:c r="AR428" s="139" t="n"/>
      <x:c r="AS428" s="139" t="n"/>
      <x:c r="AT428" s="139" t="n"/>
      <x:c r="AU428" s="139" t="n"/>
      <x:c r="AV428" s="139" t="n"/>
      <x:c r="AW428" s="139" t="n"/>
      <x:c r="AX428" s="139" t="n"/>
      <x:c r="AY428" s="139" t="n"/>
      <x:c r="AZ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c r="V429" s="139" t="n"/>
      <x:c r="W429" s="139" t="n"/>
      <x:c r="X429" s="139" t="n"/>
      <x:c r="Y429" s="139" t="n"/>
      <x:c r="Z429" s="139" t="n"/>
      <x:c r="AA429" s="139" t="n"/>
      <x:c r="AB429" s="139" t="n"/>
      <x:c r="AC429" s="139" t="n"/>
      <x:c r="AD429" s="139" t="n"/>
      <x:c r="AE429" s="139" t="n"/>
      <x:c r="AF429" s="139" t="n"/>
      <x:c r="AG429" s="139" t="n"/>
      <x:c r="AH429" s="139" t="n"/>
      <x:c r="AI429" s="139" t="n"/>
      <x:c r="AJ429" s="139" t="n"/>
      <x:c r="AK429" s="139" t="n"/>
      <x:c r="AL429" s="139" t="n"/>
      <x:c r="AM429" s="139" t="n"/>
      <x:c r="AN429" s="139" t="n"/>
      <x:c r="AO429" s="139" t="n"/>
      <x:c r="AP429" s="139" t="n"/>
      <x:c r="AQ429" s="139" t="n"/>
      <x:c r="AR429" s="139" t="n"/>
      <x:c r="AS429" s="139" t="n"/>
      <x:c r="AT429" s="139" t="n"/>
      <x:c r="AU429" s="139" t="n"/>
      <x:c r="AV429" s="139" t="n"/>
      <x:c r="AW429" s="139" t="n"/>
      <x:c r="AX429" s="139" t="n"/>
      <x:c r="AY429" s="139" t="n"/>
      <x:c r="AZ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c r="V430" s="139" t="n"/>
      <x:c r="W430" s="139" t="n"/>
      <x:c r="X430" s="139" t="n"/>
      <x:c r="Y430" s="139" t="n"/>
      <x:c r="Z430" s="139" t="n"/>
      <x:c r="AA430" s="139" t="n"/>
      <x:c r="AB430" s="139" t="n"/>
      <x:c r="AC430" s="139" t="n"/>
      <x:c r="AD430" s="139" t="n"/>
      <x:c r="AE430" s="139" t="n"/>
      <x:c r="AF430" s="139" t="n"/>
      <x:c r="AG430" s="139" t="n"/>
      <x:c r="AH430" s="139" t="n"/>
      <x:c r="AI430" s="139" t="n"/>
      <x:c r="AJ430" s="139" t="n"/>
      <x:c r="AK430" s="139" t="n"/>
      <x:c r="AL430" s="139" t="n"/>
      <x:c r="AM430" s="139" t="n"/>
      <x:c r="AN430" s="139" t="n"/>
      <x:c r="AO430" s="139" t="n"/>
      <x:c r="AP430" s="139" t="n"/>
      <x:c r="AQ430" s="139" t="n"/>
      <x:c r="AR430" s="139" t="n"/>
      <x:c r="AS430" s="139" t="n"/>
      <x:c r="AT430" s="139" t="n"/>
      <x:c r="AU430" s="139" t="n"/>
      <x:c r="AV430" s="139" t="n"/>
      <x:c r="AW430" s="139" t="n"/>
      <x:c r="AX430" s="139" t="n"/>
      <x:c r="AY430" s="139" t="n"/>
      <x:c r="AZ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c r="V431" s="139" t="n"/>
      <x:c r="W431" s="139" t="n"/>
      <x:c r="X431" s="139" t="n"/>
      <x:c r="Y431" s="139" t="n"/>
      <x:c r="Z431" s="139" t="n"/>
      <x:c r="AA431" s="139" t="n"/>
      <x:c r="AB431" s="139" t="n"/>
      <x:c r="AC431" s="139" t="n"/>
      <x:c r="AD431" s="139" t="n"/>
      <x:c r="AE431" s="139" t="n"/>
      <x:c r="AF431" s="139" t="n"/>
      <x:c r="AG431" s="139" t="n"/>
      <x:c r="AH431" s="139" t="n"/>
      <x:c r="AI431" s="139" t="n"/>
      <x:c r="AJ431" s="139" t="n"/>
      <x:c r="AK431" s="139" t="n"/>
      <x:c r="AL431" s="139" t="n"/>
      <x:c r="AM431" s="139" t="n"/>
      <x:c r="AN431" s="139" t="n"/>
      <x:c r="AO431" s="139" t="n"/>
      <x:c r="AP431" s="139" t="n"/>
      <x:c r="AQ431" s="139" t="n"/>
      <x:c r="AR431" s="139" t="n"/>
      <x:c r="AS431" s="139" t="n"/>
      <x:c r="AT431" s="139" t="n"/>
      <x:c r="AU431" s="139" t="n"/>
      <x:c r="AV431" s="139" t="n"/>
      <x:c r="AW431" s="139" t="n"/>
      <x:c r="AX431" s="139" t="n"/>
      <x:c r="AY431" s="139" t="n"/>
      <x:c r="AZ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c r="V432" s="139" t="n"/>
      <x:c r="W432" s="139" t="n"/>
      <x:c r="X432" s="139" t="n"/>
      <x:c r="Y432" s="139" t="n"/>
      <x:c r="Z432" s="139" t="n"/>
      <x:c r="AA432" s="139" t="n"/>
      <x:c r="AB432" s="139" t="n"/>
      <x:c r="AC432" s="139" t="n"/>
      <x:c r="AD432" s="139" t="n"/>
      <x:c r="AE432" s="139" t="n"/>
      <x:c r="AF432" s="139" t="n"/>
      <x:c r="AG432" s="139" t="n"/>
      <x:c r="AH432" s="139" t="n"/>
      <x:c r="AI432" s="139" t="n"/>
      <x:c r="AJ432" s="139" t="n"/>
      <x:c r="AK432" s="139" t="n"/>
      <x:c r="AL432" s="139" t="n"/>
      <x:c r="AM432" s="139" t="n"/>
      <x:c r="AN432" s="139" t="n"/>
      <x:c r="AO432" s="139" t="n"/>
      <x:c r="AP432" s="139" t="n"/>
      <x:c r="AQ432" s="139" t="n"/>
      <x:c r="AR432" s="139" t="n"/>
      <x:c r="AS432" s="139" t="n"/>
      <x:c r="AT432" s="139" t="n"/>
      <x:c r="AU432" s="139" t="n"/>
      <x:c r="AV432" s="139" t="n"/>
      <x:c r="AW432" s="139" t="n"/>
      <x:c r="AX432" s="139" t="n"/>
      <x:c r="AY432" s="139" t="n"/>
      <x:c r="AZ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c r="V433" s="139" t="n"/>
      <x:c r="W433" s="139" t="n"/>
      <x:c r="X433" s="139" t="n"/>
      <x:c r="Y433" s="139" t="n"/>
      <x:c r="Z433" s="139" t="n"/>
      <x:c r="AA433" s="139" t="n"/>
      <x:c r="AB433" s="139" t="n"/>
      <x:c r="AC433" s="139" t="n"/>
      <x:c r="AD433" s="139" t="n"/>
      <x:c r="AE433" s="139" t="n"/>
      <x:c r="AF433" s="139" t="n"/>
      <x:c r="AG433" s="139" t="n"/>
      <x:c r="AH433" s="139" t="n"/>
      <x:c r="AI433" s="139" t="n"/>
      <x:c r="AJ433" s="139" t="n"/>
      <x:c r="AK433" s="139" t="n"/>
      <x:c r="AL433" s="139" t="n"/>
      <x:c r="AM433" s="139" t="n"/>
      <x:c r="AN433" s="139" t="n"/>
      <x:c r="AO433" s="139" t="n"/>
      <x:c r="AP433" s="139" t="n"/>
      <x:c r="AQ433" s="139" t="n"/>
      <x:c r="AR433" s="139" t="n"/>
      <x:c r="AS433" s="139" t="n"/>
      <x:c r="AT433" s="139" t="n"/>
      <x:c r="AU433" s="139" t="n"/>
      <x:c r="AV433" s="139" t="n"/>
      <x:c r="AW433" s="139" t="n"/>
      <x:c r="AX433" s="139" t="n"/>
      <x:c r="AY433" s="139" t="n"/>
      <x:c r="AZ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c r="V434" s="139" t="n"/>
      <x:c r="W434" s="139" t="n"/>
      <x:c r="X434" s="139" t="n"/>
      <x:c r="Y434" s="139" t="n"/>
      <x:c r="Z434" s="139" t="n"/>
      <x:c r="AA434" s="139" t="n"/>
      <x:c r="AB434" s="139" t="n"/>
      <x:c r="AC434" s="139" t="n"/>
      <x:c r="AD434" s="139" t="n"/>
      <x:c r="AE434" s="139" t="n"/>
      <x:c r="AF434" s="139" t="n"/>
      <x:c r="AG434" s="139" t="n"/>
      <x:c r="AH434" s="139" t="n"/>
      <x:c r="AI434" s="139" t="n"/>
      <x:c r="AJ434" s="139" t="n"/>
      <x:c r="AK434" s="139" t="n"/>
      <x:c r="AL434" s="139" t="n"/>
      <x:c r="AM434" s="139" t="n"/>
      <x:c r="AN434" s="139" t="n"/>
      <x:c r="AO434" s="139" t="n"/>
      <x:c r="AP434" s="139" t="n"/>
      <x:c r="AQ434" s="139" t="n"/>
      <x:c r="AR434" s="139" t="n"/>
      <x:c r="AS434" s="139" t="n"/>
      <x:c r="AT434" s="139" t="n"/>
      <x:c r="AU434" s="139" t="n"/>
      <x:c r="AV434" s="139" t="n"/>
      <x:c r="AW434" s="139" t="n"/>
      <x:c r="AX434" s="139" t="n"/>
      <x:c r="AY434" s="139" t="n"/>
      <x:c r="AZ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c r="V435" s="139" t="n"/>
      <x:c r="W435" s="139" t="n"/>
      <x:c r="X435" s="139" t="n"/>
      <x:c r="Y435" s="139" t="n"/>
      <x:c r="Z435" s="139" t="n"/>
      <x:c r="AA435" s="139" t="n"/>
      <x:c r="AB435" s="139" t="n"/>
      <x:c r="AC435" s="139" t="n"/>
      <x:c r="AD435" s="139" t="n"/>
      <x:c r="AE435" s="139" t="n"/>
      <x:c r="AF435" s="139" t="n"/>
      <x:c r="AG435" s="139" t="n"/>
      <x:c r="AH435" s="139" t="n"/>
      <x:c r="AI435" s="139" t="n"/>
      <x:c r="AJ435" s="139" t="n"/>
      <x:c r="AK435" s="139" t="n"/>
      <x:c r="AL435" s="139" t="n"/>
      <x:c r="AM435" s="139" t="n"/>
      <x:c r="AN435" s="139" t="n"/>
      <x:c r="AO435" s="139" t="n"/>
      <x:c r="AP435" s="139" t="n"/>
      <x:c r="AQ435" s="139" t="n"/>
      <x:c r="AR435" s="139" t="n"/>
      <x:c r="AS435" s="139" t="n"/>
      <x:c r="AT435" s="139" t="n"/>
      <x:c r="AU435" s="139" t="n"/>
      <x:c r="AV435" s="139" t="n"/>
      <x:c r="AW435" s="139" t="n"/>
      <x:c r="AX435" s="139" t="n"/>
      <x:c r="AY435" s="139" t="n"/>
      <x:c r="AZ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c r="V436" s="139" t="n"/>
      <x:c r="W436" s="139" t="n"/>
      <x:c r="X436" s="139" t="n"/>
      <x:c r="Y436" s="139" t="n"/>
      <x:c r="Z436" s="139" t="n"/>
      <x:c r="AA436" s="139" t="n"/>
      <x:c r="AB436" s="139" t="n"/>
      <x:c r="AC436" s="139" t="n"/>
      <x:c r="AD436" s="139" t="n"/>
      <x:c r="AE436" s="139" t="n"/>
      <x:c r="AF436" s="139" t="n"/>
      <x:c r="AG436" s="139" t="n"/>
      <x:c r="AH436" s="139" t="n"/>
      <x:c r="AI436" s="139" t="n"/>
      <x:c r="AJ436" s="139" t="n"/>
      <x:c r="AK436" s="139" t="n"/>
      <x:c r="AL436" s="139" t="n"/>
      <x:c r="AM436" s="139" t="n"/>
      <x:c r="AN436" s="139" t="n"/>
      <x:c r="AO436" s="139" t="n"/>
      <x:c r="AP436" s="139" t="n"/>
      <x:c r="AQ436" s="139" t="n"/>
      <x:c r="AR436" s="139" t="n"/>
      <x:c r="AS436" s="139" t="n"/>
      <x:c r="AT436" s="139" t="n"/>
      <x:c r="AU436" s="139" t="n"/>
      <x:c r="AV436" s="139" t="n"/>
      <x:c r="AW436" s="139" t="n"/>
      <x:c r="AX436" s="139" t="n"/>
      <x:c r="AY436" s="139" t="n"/>
      <x:c r="AZ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c r="V437" s="139" t="n"/>
      <x:c r="W437" s="139" t="n"/>
      <x:c r="X437" s="139" t="n"/>
      <x:c r="Y437" s="139" t="n"/>
      <x:c r="Z437" s="139" t="n"/>
      <x:c r="AA437" s="139" t="n"/>
      <x:c r="AB437" s="139" t="n"/>
      <x:c r="AC437" s="139" t="n"/>
      <x:c r="AD437" s="139" t="n"/>
      <x:c r="AE437" s="139" t="n"/>
      <x:c r="AF437" s="139" t="n"/>
      <x:c r="AG437" s="139" t="n"/>
      <x:c r="AH437" s="139" t="n"/>
      <x:c r="AI437" s="139" t="n"/>
      <x:c r="AJ437" s="139" t="n"/>
      <x:c r="AK437" s="139" t="n"/>
      <x:c r="AL437" s="139" t="n"/>
      <x:c r="AM437" s="139" t="n"/>
      <x:c r="AN437" s="139" t="n"/>
      <x:c r="AO437" s="139" t="n"/>
      <x:c r="AP437" s="139" t="n"/>
      <x:c r="AQ437" s="139" t="n"/>
      <x:c r="AR437" s="139" t="n"/>
      <x:c r="AS437" s="139" t="n"/>
      <x:c r="AT437" s="139" t="n"/>
      <x:c r="AU437" s="139" t="n"/>
      <x:c r="AV437" s="139" t="n"/>
      <x:c r="AW437" s="139" t="n"/>
      <x:c r="AX437" s="139" t="n"/>
      <x:c r="AY437" s="139" t="n"/>
      <x:c r="AZ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c r="V438" s="139" t="n"/>
      <x:c r="W438" s="139" t="n"/>
      <x:c r="X438" s="139" t="n"/>
      <x:c r="Y438" s="139" t="n"/>
      <x:c r="Z438" s="139" t="n"/>
      <x:c r="AA438" s="139" t="n"/>
      <x:c r="AB438" s="139" t="n"/>
      <x:c r="AC438" s="139" t="n"/>
      <x:c r="AD438" s="139" t="n"/>
      <x:c r="AE438" s="139" t="n"/>
      <x:c r="AF438" s="139" t="n"/>
      <x:c r="AG438" s="139" t="n"/>
      <x:c r="AH438" s="139" t="n"/>
      <x:c r="AI438" s="139" t="n"/>
      <x:c r="AJ438" s="139" t="n"/>
      <x:c r="AK438" s="139" t="n"/>
      <x:c r="AL438" s="139" t="n"/>
      <x:c r="AM438" s="139" t="n"/>
      <x:c r="AN438" s="139" t="n"/>
      <x:c r="AO438" s="139" t="n"/>
      <x:c r="AP438" s="139" t="n"/>
      <x:c r="AQ438" s="139" t="n"/>
      <x:c r="AR438" s="139" t="n"/>
      <x:c r="AS438" s="139" t="n"/>
      <x:c r="AT438" s="139" t="n"/>
      <x:c r="AU438" s="139" t="n"/>
      <x:c r="AV438" s="139" t="n"/>
      <x:c r="AW438" s="139" t="n"/>
      <x:c r="AX438" s="139" t="n"/>
      <x:c r="AY438" s="139" t="n"/>
      <x:c r="AZ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c r="V439" s="139" t="n"/>
      <x:c r="W439" s="139" t="n"/>
      <x:c r="X439" s="139" t="n"/>
      <x:c r="Y439" s="139" t="n"/>
      <x:c r="Z439" s="139" t="n"/>
      <x:c r="AA439" s="139" t="n"/>
      <x:c r="AB439" s="139" t="n"/>
      <x:c r="AC439" s="139" t="n"/>
      <x:c r="AD439" s="139" t="n"/>
      <x:c r="AE439" s="139" t="n"/>
      <x:c r="AF439" s="139" t="n"/>
      <x:c r="AG439" s="139" t="n"/>
      <x:c r="AH439" s="139" t="n"/>
      <x:c r="AI439" s="139" t="n"/>
      <x:c r="AJ439" s="139" t="n"/>
      <x:c r="AK439" s="139" t="n"/>
      <x:c r="AL439" s="139" t="n"/>
      <x:c r="AM439" s="139" t="n"/>
      <x:c r="AN439" s="139" t="n"/>
      <x:c r="AO439" s="139" t="n"/>
      <x:c r="AP439" s="139" t="n"/>
      <x:c r="AQ439" s="139" t="n"/>
      <x:c r="AR439" s="139" t="n"/>
      <x:c r="AS439" s="139" t="n"/>
      <x:c r="AT439" s="139" t="n"/>
      <x:c r="AU439" s="139" t="n"/>
      <x:c r="AV439" s="139" t="n"/>
      <x:c r="AW439" s="139" t="n"/>
      <x:c r="AX439" s="139" t="n"/>
      <x:c r="AY439" s="139" t="n"/>
      <x:c r="AZ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c r="V440" s="139" t="n"/>
      <x:c r="W440" s="139" t="n"/>
      <x:c r="X440" s="139" t="n"/>
      <x:c r="Y440" s="139" t="n"/>
      <x:c r="Z440" s="139" t="n"/>
      <x:c r="AA440" s="139" t="n"/>
      <x:c r="AB440" s="139" t="n"/>
      <x:c r="AC440" s="139" t="n"/>
      <x:c r="AD440" s="139" t="n"/>
      <x:c r="AE440" s="139" t="n"/>
      <x:c r="AF440" s="139" t="n"/>
      <x:c r="AG440" s="139" t="n"/>
      <x:c r="AH440" s="139" t="n"/>
      <x:c r="AI440" s="139" t="n"/>
      <x:c r="AJ440" s="139" t="n"/>
      <x:c r="AK440" s="139" t="n"/>
      <x:c r="AL440" s="139" t="n"/>
      <x:c r="AM440" s="139" t="n"/>
      <x:c r="AN440" s="139" t="n"/>
      <x:c r="AO440" s="139" t="n"/>
      <x:c r="AP440" s="139" t="n"/>
      <x:c r="AQ440" s="139" t="n"/>
      <x:c r="AR440" s="139" t="n"/>
      <x:c r="AS440" s="139" t="n"/>
      <x:c r="AT440" s="139" t="n"/>
      <x:c r="AU440" s="139" t="n"/>
      <x:c r="AV440" s="139" t="n"/>
      <x:c r="AW440" s="139" t="n"/>
      <x:c r="AX440" s="139" t="n"/>
      <x:c r="AY440" s="139" t="n"/>
      <x:c r="AZ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c r="V441" s="139" t="n"/>
      <x:c r="W441" s="139" t="n"/>
      <x:c r="X441" s="139" t="n"/>
      <x:c r="Y441" s="139" t="n"/>
      <x:c r="Z441" s="139" t="n"/>
      <x:c r="AA441" s="139" t="n"/>
      <x:c r="AB441" s="139" t="n"/>
      <x:c r="AC441" s="139" t="n"/>
      <x:c r="AD441" s="139" t="n"/>
      <x:c r="AE441" s="139" t="n"/>
      <x:c r="AF441" s="139" t="n"/>
      <x:c r="AG441" s="139" t="n"/>
      <x:c r="AH441" s="139" t="n"/>
      <x:c r="AI441" s="139" t="n"/>
      <x:c r="AJ441" s="139" t="n"/>
      <x:c r="AK441" s="139" t="n"/>
      <x:c r="AL441" s="139" t="n"/>
      <x:c r="AM441" s="139" t="n"/>
      <x:c r="AN441" s="139" t="n"/>
      <x:c r="AO441" s="139" t="n"/>
      <x:c r="AP441" s="139" t="n"/>
      <x:c r="AQ441" s="139" t="n"/>
      <x:c r="AR441" s="139" t="n"/>
      <x:c r="AS441" s="139" t="n"/>
      <x:c r="AT441" s="139" t="n"/>
      <x:c r="AU441" s="139" t="n"/>
      <x:c r="AV441" s="139" t="n"/>
      <x:c r="AW441" s="139" t="n"/>
      <x:c r="AX441" s="139" t="n"/>
      <x:c r="AY441" s="139" t="n"/>
      <x:c r="AZ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c r="V442" s="139" t="n"/>
      <x:c r="W442" s="139" t="n"/>
      <x:c r="X442" s="139" t="n"/>
      <x:c r="Y442" s="139" t="n"/>
      <x:c r="Z442" s="139" t="n"/>
      <x:c r="AA442" s="139" t="n"/>
      <x:c r="AB442" s="139" t="n"/>
      <x:c r="AC442" s="139" t="n"/>
      <x:c r="AD442" s="139" t="n"/>
      <x:c r="AE442" s="139" t="n"/>
      <x:c r="AF442" s="139" t="n"/>
      <x:c r="AG442" s="139" t="n"/>
      <x:c r="AH442" s="139" t="n"/>
      <x:c r="AI442" s="139" t="n"/>
      <x:c r="AJ442" s="139" t="n"/>
      <x:c r="AK442" s="139" t="n"/>
      <x:c r="AL442" s="139" t="n"/>
      <x:c r="AM442" s="139" t="n"/>
      <x:c r="AN442" s="139" t="n"/>
      <x:c r="AO442" s="139" t="n"/>
      <x:c r="AP442" s="139" t="n"/>
      <x:c r="AQ442" s="139" t="n"/>
      <x:c r="AR442" s="139" t="n"/>
      <x:c r="AS442" s="139" t="n"/>
      <x:c r="AT442" s="139" t="n"/>
      <x:c r="AU442" s="139" t="n"/>
      <x:c r="AV442" s="139" t="n"/>
      <x:c r="AW442" s="139" t="n"/>
      <x:c r="AX442" s="139" t="n"/>
      <x:c r="AY442" s="139" t="n"/>
      <x:c r="AZ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c r="V443" s="139" t="n"/>
      <x:c r="W443" s="139" t="n"/>
      <x:c r="X443" s="139" t="n"/>
      <x:c r="Y443" s="139" t="n"/>
      <x:c r="Z443" s="139" t="n"/>
      <x:c r="AA443" s="139" t="n"/>
      <x:c r="AB443" s="139" t="n"/>
      <x:c r="AC443" s="139" t="n"/>
      <x:c r="AD443" s="139" t="n"/>
      <x:c r="AE443" s="139" t="n"/>
      <x:c r="AF443" s="139" t="n"/>
      <x:c r="AG443" s="139" t="n"/>
      <x:c r="AH443" s="139" t="n"/>
      <x:c r="AI443" s="139" t="n"/>
      <x:c r="AJ443" s="139" t="n"/>
      <x:c r="AK443" s="139" t="n"/>
      <x:c r="AL443" s="139" t="n"/>
      <x:c r="AM443" s="139" t="n"/>
      <x:c r="AN443" s="139" t="n"/>
      <x:c r="AO443" s="139" t="n"/>
      <x:c r="AP443" s="139" t="n"/>
      <x:c r="AQ443" s="139" t="n"/>
      <x:c r="AR443" s="139" t="n"/>
      <x:c r="AS443" s="139" t="n"/>
      <x:c r="AT443" s="139" t="n"/>
      <x:c r="AU443" s="139" t="n"/>
      <x:c r="AV443" s="139" t="n"/>
      <x:c r="AW443" s="139" t="n"/>
      <x:c r="AX443" s="139" t="n"/>
      <x:c r="AY443" s="139" t="n"/>
      <x:c r="AZ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c r="V444" s="139" t="n"/>
      <x:c r="W444" s="139" t="n"/>
      <x:c r="X444" s="139" t="n"/>
      <x:c r="Y444" s="139" t="n"/>
      <x:c r="Z444" s="139" t="n"/>
      <x:c r="AA444" s="139" t="n"/>
      <x:c r="AB444" s="139" t="n"/>
      <x:c r="AC444" s="139" t="n"/>
      <x:c r="AD444" s="139" t="n"/>
      <x:c r="AE444" s="139" t="n"/>
      <x:c r="AF444" s="139" t="n"/>
      <x:c r="AG444" s="139" t="n"/>
      <x:c r="AH444" s="139" t="n"/>
      <x:c r="AI444" s="139" t="n"/>
      <x:c r="AJ444" s="139" t="n"/>
      <x:c r="AK444" s="139" t="n"/>
      <x:c r="AL444" s="139" t="n"/>
      <x:c r="AM444" s="139" t="n"/>
      <x:c r="AN444" s="139" t="n"/>
      <x:c r="AO444" s="139" t="n"/>
      <x:c r="AP444" s="139" t="n"/>
      <x:c r="AQ444" s="139" t="n"/>
      <x:c r="AR444" s="139" t="n"/>
      <x:c r="AS444" s="139" t="n"/>
      <x:c r="AT444" s="139" t="n"/>
      <x:c r="AU444" s="139" t="n"/>
      <x:c r="AV444" s="139" t="n"/>
      <x:c r="AW444" s="139" t="n"/>
      <x:c r="AX444" s="139" t="n"/>
      <x:c r="AY444" s="139" t="n"/>
      <x:c r="AZ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c r="V445" s="139" t="n"/>
      <x:c r="W445" s="139" t="n"/>
      <x:c r="X445" s="139" t="n"/>
      <x:c r="Y445" s="139" t="n"/>
      <x:c r="Z445" s="139" t="n"/>
      <x:c r="AA445" s="139" t="n"/>
      <x:c r="AB445" s="139" t="n"/>
      <x:c r="AC445" s="139" t="n"/>
      <x:c r="AD445" s="139" t="n"/>
      <x:c r="AE445" s="139" t="n"/>
      <x:c r="AF445" s="139" t="n"/>
      <x:c r="AG445" s="139" t="n"/>
      <x:c r="AH445" s="139" t="n"/>
      <x:c r="AI445" s="139" t="n"/>
      <x:c r="AJ445" s="139" t="n"/>
      <x:c r="AK445" s="139" t="n"/>
      <x:c r="AL445" s="139" t="n"/>
      <x:c r="AM445" s="139" t="n"/>
      <x:c r="AN445" s="139" t="n"/>
      <x:c r="AO445" s="139" t="n"/>
      <x:c r="AP445" s="139" t="n"/>
      <x:c r="AQ445" s="139" t="n"/>
      <x:c r="AR445" s="139" t="n"/>
      <x:c r="AS445" s="139" t="n"/>
      <x:c r="AT445" s="139" t="n"/>
      <x:c r="AU445" s="139" t="n"/>
      <x:c r="AV445" s="139" t="n"/>
      <x:c r="AW445" s="139" t="n"/>
      <x:c r="AX445" s="139" t="n"/>
      <x:c r="AY445" s="139" t="n"/>
      <x:c r="AZ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c r="V446" s="139" t="n"/>
      <x:c r="W446" s="139" t="n"/>
      <x:c r="X446" s="139" t="n"/>
      <x:c r="Y446" s="139" t="n"/>
      <x:c r="Z446" s="139" t="n"/>
      <x:c r="AA446" s="139" t="n"/>
      <x:c r="AB446" s="139" t="n"/>
      <x:c r="AC446" s="139" t="n"/>
      <x:c r="AD446" s="139" t="n"/>
      <x:c r="AE446" s="139" t="n"/>
      <x:c r="AF446" s="139" t="n"/>
      <x:c r="AG446" s="139" t="n"/>
      <x:c r="AH446" s="139" t="n"/>
      <x:c r="AI446" s="139" t="n"/>
      <x:c r="AJ446" s="139" t="n"/>
      <x:c r="AK446" s="139" t="n"/>
      <x:c r="AL446" s="139" t="n"/>
      <x:c r="AM446" s="139" t="n"/>
      <x:c r="AN446" s="139" t="n"/>
      <x:c r="AO446" s="139" t="n"/>
      <x:c r="AP446" s="139" t="n"/>
      <x:c r="AQ446" s="139" t="n"/>
      <x:c r="AR446" s="139" t="n"/>
      <x:c r="AS446" s="139" t="n"/>
      <x:c r="AT446" s="139" t="n"/>
      <x:c r="AU446" s="139" t="n"/>
      <x:c r="AV446" s="139" t="n"/>
      <x:c r="AW446" s="139" t="n"/>
      <x:c r="AX446" s="139" t="n"/>
      <x:c r="AY446" s="139" t="n"/>
      <x:c r="AZ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c r="V447" s="139" t="n"/>
      <x:c r="W447" s="139" t="n"/>
      <x:c r="X447" s="139" t="n"/>
      <x:c r="Y447" s="139" t="n"/>
      <x:c r="Z447" s="139" t="n"/>
      <x:c r="AA447" s="139" t="n"/>
      <x:c r="AB447" s="139" t="n"/>
      <x:c r="AC447" s="139" t="n"/>
      <x:c r="AD447" s="139" t="n"/>
      <x:c r="AE447" s="139" t="n"/>
      <x:c r="AF447" s="139" t="n"/>
      <x:c r="AG447" s="139" t="n"/>
      <x:c r="AH447" s="139" t="n"/>
      <x:c r="AI447" s="139" t="n"/>
      <x:c r="AJ447" s="139" t="n"/>
      <x:c r="AK447" s="139" t="n"/>
      <x:c r="AL447" s="139" t="n"/>
      <x:c r="AM447" s="139" t="n"/>
      <x:c r="AN447" s="139" t="n"/>
      <x:c r="AO447" s="139" t="n"/>
      <x:c r="AP447" s="139" t="n"/>
      <x:c r="AQ447" s="139" t="n"/>
      <x:c r="AR447" s="139" t="n"/>
      <x:c r="AS447" s="139" t="n"/>
      <x:c r="AT447" s="139" t="n"/>
      <x:c r="AU447" s="139" t="n"/>
      <x:c r="AV447" s="139" t="n"/>
      <x:c r="AW447" s="139" t="n"/>
      <x:c r="AX447" s="139" t="n"/>
      <x:c r="AY447" s="139" t="n"/>
      <x:c r="AZ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c r="V448" s="139" t="n"/>
      <x:c r="W448" s="139" t="n"/>
      <x:c r="X448" s="139" t="n"/>
      <x:c r="Y448" s="139" t="n"/>
      <x:c r="Z448" s="139" t="n"/>
      <x:c r="AA448" s="139" t="n"/>
      <x:c r="AB448" s="139" t="n"/>
      <x:c r="AC448" s="139" t="n"/>
      <x:c r="AD448" s="139" t="n"/>
      <x:c r="AE448" s="139" t="n"/>
      <x:c r="AF448" s="139" t="n"/>
      <x:c r="AG448" s="139" t="n"/>
      <x:c r="AH448" s="139" t="n"/>
      <x:c r="AI448" s="139" t="n"/>
      <x:c r="AJ448" s="139" t="n"/>
      <x:c r="AK448" s="139" t="n"/>
      <x:c r="AL448" s="139" t="n"/>
      <x:c r="AM448" s="139" t="n"/>
      <x:c r="AN448" s="139" t="n"/>
      <x:c r="AO448" s="139" t="n"/>
      <x:c r="AP448" s="139" t="n"/>
      <x:c r="AQ448" s="139" t="n"/>
      <x:c r="AR448" s="139" t="n"/>
      <x:c r="AS448" s="139" t="n"/>
      <x:c r="AT448" s="139" t="n"/>
      <x:c r="AU448" s="139" t="n"/>
      <x:c r="AV448" s="139" t="n"/>
      <x:c r="AW448" s="139" t="n"/>
      <x:c r="AX448" s="139" t="n"/>
      <x:c r="AY448" s="139" t="n"/>
      <x:c r="AZ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c r="V449" s="139" t="n"/>
      <x:c r="W449" s="139" t="n"/>
      <x:c r="X449" s="139" t="n"/>
      <x:c r="Y449" s="139" t="n"/>
      <x:c r="Z449" s="139" t="n"/>
      <x:c r="AA449" s="139" t="n"/>
      <x:c r="AB449" s="139" t="n"/>
      <x:c r="AC449" s="139" t="n"/>
      <x:c r="AD449" s="139" t="n"/>
      <x:c r="AE449" s="139" t="n"/>
      <x:c r="AF449" s="139" t="n"/>
      <x:c r="AG449" s="139" t="n"/>
      <x:c r="AH449" s="139" t="n"/>
      <x:c r="AI449" s="139" t="n"/>
      <x:c r="AJ449" s="139" t="n"/>
      <x:c r="AK449" s="139" t="n"/>
      <x:c r="AL449" s="139" t="n"/>
      <x:c r="AM449" s="139" t="n"/>
      <x:c r="AN449" s="139" t="n"/>
      <x:c r="AO449" s="139" t="n"/>
      <x:c r="AP449" s="139" t="n"/>
      <x:c r="AQ449" s="139" t="n"/>
      <x:c r="AR449" s="139" t="n"/>
      <x:c r="AS449" s="139" t="n"/>
      <x:c r="AT449" s="139" t="n"/>
      <x:c r="AU449" s="139" t="n"/>
      <x:c r="AV449" s="139" t="n"/>
      <x:c r="AW449" s="139" t="n"/>
      <x:c r="AX449" s="139" t="n"/>
      <x:c r="AY449" s="139" t="n"/>
      <x:c r="AZ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c r="V450" s="139" t="n"/>
      <x:c r="W450" s="139" t="n"/>
      <x:c r="X450" s="139" t="n"/>
      <x:c r="Y450" s="139" t="n"/>
      <x:c r="Z450" s="139" t="n"/>
      <x:c r="AA450" s="139" t="n"/>
      <x:c r="AB450" s="139" t="n"/>
      <x:c r="AC450" s="139" t="n"/>
      <x:c r="AD450" s="139" t="n"/>
      <x:c r="AE450" s="139" t="n"/>
      <x:c r="AF450" s="139" t="n"/>
      <x:c r="AG450" s="139" t="n"/>
      <x:c r="AH450" s="139" t="n"/>
      <x:c r="AI450" s="139" t="n"/>
      <x:c r="AJ450" s="139" t="n"/>
      <x:c r="AK450" s="139" t="n"/>
      <x:c r="AL450" s="139" t="n"/>
      <x:c r="AM450" s="139" t="n"/>
      <x:c r="AN450" s="139" t="n"/>
      <x:c r="AO450" s="139" t="n"/>
      <x:c r="AP450" s="139" t="n"/>
      <x:c r="AQ450" s="139" t="n"/>
      <x:c r="AR450" s="139" t="n"/>
      <x:c r="AS450" s="139" t="n"/>
      <x:c r="AT450" s="139" t="n"/>
      <x:c r="AU450" s="139" t="n"/>
      <x:c r="AV450" s="139" t="n"/>
      <x:c r="AW450" s="139" t="n"/>
      <x:c r="AX450" s="139" t="n"/>
      <x:c r="AY450" s="139" t="n"/>
      <x:c r="AZ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c r="V451" s="139" t="n"/>
      <x:c r="W451" s="139" t="n"/>
      <x:c r="X451" s="139" t="n"/>
      <x:c r="Y451" s="139" t="n"/>
      <x:c r="Z451" s="139" t="n"/>
      <x:c r="AA451" s="139" t="n"/>
      <x:c r="AB451" s="139" t="n"/>
      <x:c r="AC451" s="139" t="n"/>
      <x:c r="AD451" s="139" t="n"/>
      <x:c r="AE451" s="139" t="n"/>
      <x:c r="AF451" s="139" t="n"/>
      <x:c r="AG451" s="139" t="n"/>
      <x:c r="AH451" s="139" t="n"/>
      <x:c r="AI451" s="139" t="n"/>
      <x:c r="AJ451" s="139" t="n"/>
      <x:c r="AK451" s="139" t="n"/>
      <x:c r="AL451" s="139" t="n"/>
      <x:c r="AM451" s="139" t="n"/>
      <x:c r="AN451" s="139" t="n"/>
      <x:c r="AO451" s="139" t="n"/>
      <x:c r="AP451" s="139" t="n"/>
      <x:c r="AQ451" s="139" t="n"/>
      <x:c r="AR451" s="139" t="n"/>
      <x:c r="AS451" s="139" t="n"/>
      <x:c r="AT451" s="139" t="n"/>
      <x:c r="AU451" s="139" t="n"/>
      <x:c r="AV451" s="139" t="n"/>
      <x:c r="AW451" s="139" t="n"/>
      <x:c r="AX451" s="139" t="n"/>
      <x:c r="AY451" s="139" t="n"/>
      <x:c r="AZ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c r="V452" s="139" t="n"/>
      <x:c r="W452" s="139" t="n"/>
      <x:c r="X452" s="139" t="n"/>
      <x:c r="Y452" s="139" t="n"/>
      <x:c r="Z452" s="139" t="n"/>
      <x:c r="AA452" s="139" t="n"/>
      <x:c r="AB452" s="139" t="n"/>
      <x:c r="AC452" s="139" t="n"/>
      <x:c r="AD452" s="139" t="n"/>
      <x:c r="AE452" s="139" t="n"/>
      <x:c r="AF452" s="139" t="n"/>
      <x:c r="AG452" s="139" t="n"/>
      <x:c r="AH452" s="139" t="n"/>
      <x:c r="AI452" s="139" t="n"/>
      <x:c r="AJ452" s="139" t="n"/>
      <x:c r="AK452" s="139" t="n"/>
      <x:c r="AL452" s="139" t="n"/>
      <x:c r="AM452" s="139" t="n"/>
      <x:c r="AN452" s="139" t="n"/>
      <x:c r="AO452" s="139" t="n"/>
      <x:c r="AP452" s="139" t="n"/>
      <x:c r="AQ452" s="139" t="n"/>
      <x:c r="AR452" s="139" t="n"/>
      <x:c r="AS452" s="139" t="n"/>
      <x:c r="AT452" s="139" t="n"/>
      <x:c r="AU452" s="139" t="n"/>
      <x:c r="AV452" s="139" t="n"/>
      <x:c r="AW452" s="139" t="n"/>
      <x:c r="AX452" s="139" t="n"/>
      <x:c r="AY452" s="139" t="n"/>
      <x:c r="AZ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c r="V453" s="139" t="n"/>
      <x:c r="W453" s="139" t="n"/>
      <x:c r="X453" s="139" t="n"/>
      <x:c r="Y453" s="139" t="n"/>
      <x:c r="Z453" s="139" t="n"/>
      <x:c r="AA453" s="139" t="n"/>
      <x:c r="AB453" s="139" t="n"/>
      <x:c r="AC453" s="139" t="n"/>
      <x:c r="AD453" s="139" t="n"/>
      <x:c r="AE453" s="139" t="n"/>
      <x:c r="AF453" s="139" t="n"/>
      <x:c r="AG453" s="139" t="n"/>
      <x:c r="AH453" s="139" t="n"/>
      <x:c r="AI453" s="139" t="n"/>
      <x:c r="AJ453" s="139" t="n"/>
      <x:c r="AK453" s="139" t="n"/>
      <x:c r="AL453" s="139" t="n"/>
      <x:c r="AM453" s="139" t="n"/>
      <x:c r="AN453" s="139" t="n"/>
      <x:c r="AO453" s="139" t="n"/>
      <x:c r="AP453" s="139" t="n"/>
      <x:c r="AQ453" s="139" t="n"/>
      <x:c r="AR453" s="139" t="n"/>
      <x:c r="AS453" s="139" t="n"/>
      <x:c r="AT453" s="139" t="n"/>
      <x:c r="AU453" s="139" t="n"/>
      <x:c r="AV453" s="139" t="n"/>
      <x:c r="AW453" s="139" t="n"/>
      <x:c r="AX453" s="139" t="n"/>
      <x:c r="AY453" s="139" t="n"/>
      <x:c r="AZ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c r="V454" s="139" t="n"/>
      <x:c r="W454" s="139" t="n"/>
      <x:c r="X454" s="139" t="n"/>
      <x:c r="Y454" s="139" t="n"/>
      <x:c r="Z454" s="139" t="n"/>
      <x:c r="AA454" s="139" t="n"/>
      <x:c r="AB454" s="139" t="n"/>
      <x:c r="AC454" s="139" t="n"/>
      <x:c r="AD454" s="139" t="n"/>
      <x:c r="AE454" s="139" t="n"/>
      <x:c r="AF454" s="139" t="n"/>
      <x:c r="AG454" s="139" t="n"/>
      <x:c r="AH454" s="139" t="n"/>
      <x:c r="AI454" s="139" t="n"/>
      <x:c r="AJ454" s="139" t="n"/>
      <x:c r="AK454" s="139" t="n"/>
      <x:c r="AL454" s="139" t="n"/>
      <x:c r="AM454" s="139" t="n"/>
      <x:c r="AN454" s="139" t="n"/>
      <x:c r="AO454" s="139" t="n"/>
      <x:c r="AP454" s="139" t="n"/>
      <x:c r="AQ454" s="139" t="n"/>
      <x:c r="AR454" s="139" t="n"/>
      <x:c r="AS454" s="139" t="n"/>
      <x:c r="AT454" s="139" t="n"/>
      <x:c r="AU454" s="139" t="n"/>
      <x:c r="AV454" s="139" t="n"/>
      <x:c r="AW454" s="139" t="n"/>
      <x:c r="AX454" s="139" t="n"/>
      <x:c r="AY454" s="139" t="n"/>
      <x:c r="AZ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c r="V455" s="139" t="n"/>
      <x:c r="W455" s="139" t="n"/>
      <x:c r="X455" s="139" t="n"/>
      <x:c r="Y455" s="139" t="n"/>
      <x:c r="Z455" s="139" t="n"/>
      <x:c r="AA455" s="139" t="n"/>
      <x:c r="AB455" s="139" t="n"/>
      <x:c r="AC455" s="139" t="n"/>
      <x:c r="AD455" s="139" t="n"/>
      <x:c r="AE455" s="139" t="n"/>
      <x:c r="AF455" s="139" t="n"/>
      <x:c r="AG455" s="139" t="n"/>
      <x:c r="AH455" s="139" t="n"/>
      <x:c r="AI455" s="139" t="n"/>
      <x:c r="AJ455" s="139" t="n"/>
      <x:c r="AK455" s="139" t="n"/>
      <x:c r="AL455" s="139" t="n"/>
      <x:c r="AM455" s="139" t="n"/>
      <x:c r="AN455" s="139" t="n"/>
      <x:c r="AO455" s="139" t="n"/>
      <x:c r="AP455" s="139" t="n"/>
      <x:c r="AQ455" s="139" t="n"/>
      <x:c r="AR455" s="139" t="n"/>
      <x:c r="AS455" s="139" t="n"/>
      <x:c r="AT455" s="139" t="n"/>
      <x:c r="AU455" s="139" t="n"/>
      <x:c r="AV455" s="139" t="n"/>
      <x:c r="AW455" s="139" t="n"/>
      <x:c r="AX455" s="139" t="n"/>
      <x:c r="AY455" s="139" t="n"/>
      <x:c r="AZ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c r="V456" s="139" t="n"/>
      <x:c r="W456" s="139" t="n"/>
      <x:c r="X456" s="139" t="n"/>
      <x:c r="Y456" s="139" t="n"/>
      <x:c r="Z456" s="139" t="n"/>
      <x:c r="AA456" s="139" t="n"/>
      <x:c r="AB456" s="139" t="n"/>
      <x:c r="AC456" s="139" t="n"/>
      <x:c r="AD456" s="139" t="n"/>
      <x:c r="AE456" s="139" t="n"/>
      <x:c r="AF456" s="139" t="n"/>
      <x:c r="AG456" s="139" t="n"/>
      <x:c r="AH456" s="139" t="n"/>
      <x:c r="AI456" s="139" t="n"/>
      <x:c r="AJ456" s="139" t="n"/>
      <x:c r="AK456" s="139" t="n"/>
      <x:c r="AL456" s="139" t="n"/>
      <x:c r="AM456" s="139" t="n"/>
      <x:c r="AN456" s="139" t="n"/>
      <x:c r="AO456" s="139" t="n"/>
      <x:c r="AP456" s="139" t="n"/>
      <x:c r="AQ456" s="139" t="n"/>
      <x:c r="AR456" s="139" t="n"/>
      <x:c r="AS456" s="139" t="n"/>
      <x:c r="AT456" s="139" t="n"/>
      <x:c r="AU456" s="139" t="n"/>
      <x:c r="AV456" s="139" t="n"/>
      <x:c r="AW456" s="139" t="n"/>
      <x:c r="AX456" s="139" t="n"/>
      <x:c r="AY456" s="139" t="n"/>
      <x:c r="AZ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c r="V457" s="139" t="n"/>
      <x:c r="W457" s="139" t="n"/>
      <x:c r="X457" s="139" t="n"/>
      <x:c r="Y457" s="139" t="n"/>
      <x:c r="Z457" s="139" t="n"/>
      <x:c r="AA457" s="139" t="n"/>
      <x:c r="AB457" s="139" t="n"/>
      <x:c r="AC457" s="139" t="n"/>
      <x:c r="AD457" s="139" t="n"/>
      <x:c r="AE457" s="139" t="n"/>
      <x:c r="AF457" s="139" t="n"/>
      <x:c r="AG457" s="139" t="n"/>
      <x:c r="AH457" s="139" t="n"/>
      <x:c r="AI457" s="139" t="n"/>
      <x:c r="AJ457" s="139" t="n"/>
      <x:c r="AK457" s="139" t="n"/>
      <x:c r="AL457" s="139" t="n"/>
      <x:c r="AM457" s="139" t="n"/>
      <x:c r="AN457" s="139" t="n"/>
      <x:c r="AO457" s="139" t="n"/>
      <x:c r="AP457" s="139" t="n"/>
      <x:c r="AQ457" s="139" t="n"/>
      <x:c r="AR457" s="139" t="n"/>
      <x:c r="AS457" s="139" t="n"/>
      <x:c r="AT457" s="139" t="n"/>
      <x:c r="AU457" s="139" t="n"/>
      <x:c r="AV457" s="139" t="n"/>
      <x:c r="AW457" s="139" t="n"/>
      <x:c r="AX457" s="139" t="n"/>
      <x:c r="AY457" s="139" t="n"/>
      <x:c r="AZ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c r="V458" s="139" t="n"/>
      <x:c r="W458" s="139" t="n"/>
      <x:c r="X458" s="139" t="n"/>
      <x:c r="Y458" s="139" t="n"/>
      <x:c r="Z458" s="139" t="n"/>
      <x:c r="AA458" s="139" t="n"/>
      <x:c r="AB458" s="139" t="n"/>
      <x:c r="AC458" s="139" t="n"/>
      <x:c r="AD458" s="139" t="n"/>
      <x:c r="AE458" s="139" t="n"/>
      <x:c r="AF458" s="139" t="n"/>
      <x:c r="AG458" s="139" t="n"/>
      <x:c r="AH458" s="139" t="n"/>
      <x:c r="AI458" s="139" t="n"/>
      <x:c r="AJ458" s="139" t="n"/>
      <x:c r="AK458" s="139" t="n"/>
      <x:c r="AL458" s="139" t="n"/>
      <x:c r="AM458" s="139" t="n"/>
      <x:c r="AN458" s="139" t="n"/>
      <x:c r="AO458" s="139" t="n"/>
      <x:c r="AP458" s="139" t="n"/>
      <x:c r="AQ458" s="139" t="n"/>
      <x:c r="AR458" s="139" t="n"/>
      <x:c r="AS458" s="139" t="n"/>
      <x:c r="AT458" s="139" t="n"/>
      <x:c r="AU458" s="139" t="n"/>
      <x:c r="AV458" s="139" t="n"/>
      <x:c r="AW458" s="139" t="n"/>
      <x:c r="AX458" s="139" t="n"/>
      <x:c r="AY458" s="139" t="n"/>
      <x:c r="AZ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c r="V459" s="139" t="n"/>
      <x:c r="W459" s="139" t="n"/>
      <x:c r="X459" s="139" t="n"/>
      <x:c r="Y459" s="139" t="n"/>
      <x:c r="Z459" s="139" t="n"/>
      <x:c r="AA459" s="139" t="n"/>
      <x:c r="AB459" s="139" t="n"/>
      <x:c r="AC459" s="139" t="n"/>
      <x:c r="AD459" s="139" t="n"/>
      <x:c r="AE459" s="139" t="n"/>
      <x:c r="AF459" s="139" t="n"/>
      <x:c r="AG459" s="139" t="n"/>
      <x:c r="AH459" s="139" t="n"/>
      <x:c r="AI459" s="139" t="n"/>
      <x:c r="AJ459" s="139" t="n"/>
      <x:c r="AK459" s="139" t="n"/>
      <x:c r="AL459" s="139" t="n"/>
      <x:c r="AM459" s="139" t="n"/>
      <x:c r="AN459" s="139" t="n"/>
      <x:c r="AO459" s="139" t="n"/>
      <x:c r="AP459" s="139" t="n"/>
      <x:c r="AQ459" s="139" t="n"/>
      <x:c r="AR459" s="139" t="n"/>
      <x:c r="AS459" s="139" t="n"/>
      <x:c r="AT459" s="139" t="n"/>
      <x:c r="AU459" s="139" t="n"/>
      <x:c r="AV459" s="139" t="n"/>
      <x:c r="AW459" s="139" t="n"/>
      <x:c r="AX459" s="139" t="n"/>
      <x:c r="AY459" s="139" t="n"/>
      <x:c r="AZ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c r="V460" s="139" t="n"/>
      <x:c r="W460" s="139" t="n"/>
      <x:c r="X460" s="139" t="n"/>
      <x:c r="Y460" s="139" t="n"/>
      <x:c r="Z460" s="139" t="n"/>
      <x:c r="AA460" s="139" t="n"/>
      <x:c r="AB460" s="139" t="n"/>
      <x:c r="AC460" s="139" t="n"/>
      <x:c r="AD460" s="139" t="n"/>
      <x:c r="AE460" s="139" t="n"/>
      <x:c r="AF460" s="139" t="n"/>
      <x:c r="AG460" s="139" t="n"/>
      <x:c r="AH460" s="139" t="n"/>
      <x:c r="AI460" s="139" t="n"/>
      <x:c r="AJ460" s="139" t="n"/>
      <x:c r="AK460" s="139" t="n"/>
      <x:c r="AL460" s="139" t="n"/>
      <x:c r="AM460" s="139" t="n"/>
      <x:c r="AN460" s="139" t="n"/>
      <x:c r="AO460" s="139" t="n"/>
      <x:c r="AP460" s="139" t="n"/>
      <x:c r="AQ460" s="139" t="n"/>
      <x:c r="AR460" s="139" t="n"/>
      <x:c r="AS460" s="139" t="n"/>
      <x:c r="AT460" s="139" t="n"/>
      <x:c r="AU460" s="139" t="n"/>
      <x:c r="AV460" s="139" t="n"/>
      <x:c r="AW460" s="139" t="n"/>
      <x:c r="AX460" s="139" t="n"/>
      <x:c r="AY460" s="139" t="n"/>
      <x:c r="AZ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c r="V461" s="139" t="n"/>
      <x:c r="W461" s="139" t="n"/>
      <x:c r="X461" s="139" t="n"/>
      <x:c r="Y461" s="139" t="n"/>
      <x:c r="Z461" s="139" t="n"/>
      <x:c r="AA461" s="139" t="n"/>
      <x:c r="AB461" s="139" t="n"/>
      <x:c r="AC461" s="139" t="n"/>
      <x:c r="AD461" s="139" t="n"/>
      <x:c r="AE461" s="139" t="n"/>
      <x:c r="AF461" s="139" t="n"/>
      <x:c r="AG461" s="139" t="n"/>
      <x:c r="AH461" s="139" t="n"/>
      <x:c r="AI461" s="139" t="n"/>
      <x:c r="AJ461" s="139" t="n"/>
      <x:c r="AK461" s="139" t="n"/>
      <x:c r="AL461" s="139" t="n"/>
      <x:c r="AM461" s="139" t="n"/>
      <x:c r="AN461" s="139" t="n"/>
      <x:c r="AO461" s="139" t="n"/>
      <x:c r="AP461" s="139" t="n"/>
      <x:c r="AQ461" s="139" t="n"/>
      <x:c r="AR461" s="139" t="n"/>
      <x:c r="AS461" s="139" t="n"/>
      <x:c r="AT461" s="139" t="n"/>
      <x:c r="AU461" s="139" t="n"/>
      <x:c r="AV461" s="139" t="n"/>
      <x:c r="AW461" s="139" t="n"/>
      <x:c r="AX461" s="139" t="n"/>
      <x:c r="AY461" s="139" t="n"/>
      <x:c r="AZ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c r="V462" s="139" t="n"/>
      <x:c r="W462" s="139" t="n"/>
      <x:c r="X462" s="139" t="n"/>
      <x:c r="Y462" s="139" t="n"/>
      <x:c r="Z462" s="139" t="n"/>
      <x:c r="AA462" s="139" t="n"/>
      <x:c r="AB462" s="139" t="n"/>
      <x:c r="AC462" s="139" t="n"/>
      <x:c r="AD462" s="139" t="n"/>
      <x:c r="AE462" s="139" t="n"/>
      <x:c r="AF462" s="139" t="n"/>
      <x:c r="AG462" s="139" t="n"/>
      <x:c r="AH462" s="139" t="n"/>
      <x:c r="AI462" s="139" t="n"/>
      <x:c r="AJ462" s="139" t="n"/>
      <x:c r="AK462" s="139" t="n"/>
      <x:c r="AL462" s="139" t="n"/>
      <x:c r="AM462" s="139" t="n"/>
      <x:c r="AN462" s="139" t="n"/>
      <x:c r="AO462" s="139" t="n"/>
      <x:c r="AP462" s="139" t="n"/>
      <x:c r="AQ462" s="139" t="n"/>
      <x:c r="AR462" s="139" t="n"/>
      <x:c r="AS462" s="139" t="n"/>
      <x:c r="AT462" s="139" t="n"/>
      <x:c r="AU462" s="139" t="n"/>
      <x:c r="AV462" s="139" t="n"/>
      <x:c r="AW462" s="139" t="n"/>
      <x:c r="AX462" s="139" t="n"/>
      <x:c r="AY462" s="139" t="n"/>
      <x:c r="AZ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c r="V463" s="139" t="n"/>
      <x:c r="W463" s="139" t="n"/>
      <x:c r="X463" s="139" t="n"/>
      <x:c r="Y463" s="139" t="n"/>
      <x:c r="Z463" s="139" t="n"/>
      <x:c r="AA463" s="139" t="n"/>
      <x:c r="AB463" s="139" t="n"/>
      <x:c r="AC463" s="139" t="n"/>
      <x:c r="AD463" s="139" t="n"/>
      <x:c r="AE463" s="139" t="n"/>
      <x:c r="AF463" s="139" t="n"/>
      <x:c r="AG463" s="139" t="n"/>
      <x:c r="AH463" s="139" t="n"/>
      <x:c r="AI463" s="139" t="n"/>
      <x:c r="AJ463" s="139" t="n"/>
      <x:c r="AK463" s="139" t="n"/>
      <x:c r="AL463" s="139" t="n"/>
      <x:c r="AM463" s="139" t="n"/>
      <x:c r="AN463" s="139" t="n"/>
      <x:c r="AO463" s="139" t="n"/>
      <x:c r="AP463" s="139" t="n"/>
      <x:c r="AQ463" s="139" t="n"/>
      <x:c r="AR463" s="139" t="n"/>
      <x:c r="AS463" s="139" t="n"/>
      <x:c r="AT463" s="139" t="n"/>
      <x:c r="AU463" s="139" t="n"/>
      <x:c r="AV463" s="139" t="n"/>
      <x:c r="AW463" s="139" t="n"/>
      <x:c r="AX463" s="139" t="n"/>
      <x:c r="AY463" s="139" t="n"/>
      <x:c r="AZ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c r="V464" s="139" t="n"/>
      <x:c r="W464" s="139" t="n"/>
      <x:c r="X464" s="139" t="n"/>
      <x:c r="Y464" s="139" t="n"/>
      <x:c r="Z464" s="139" t="n"/>
      <x:c r="AA464" s="139" t="n"/>
      <x:c r="AB464" s="139" t="n"/>
      <x:c r="AC464" s="139" t="n"/>
      <x:c r="AD464" s="139" t="n"/>
      <x:c r="AE464" s="139" t="n"/>
      <x:c r="AF464" s="139" t="n"/>
      <x:c r="AG464" s="139" t="n"/>
      <x:c r="AH464" s="139" t="n"/>
      <x:c r="AI464" s="139" t="n"/>
      <x:c r="AJ464" s="139" t="n"/>
      <x:c r="AK464" s="139" t="n"/>
      <x:c r="AL464" s="139" t="n"/>
      <x:c r="AM464" s="139" t="n"/>
      <x:c r="AN464" s="139" t="n"/>
      <x:c r="AO464" s="139" t="n"/>
      <x:c r="AP464" s="139" t="n"/>
      <x:c r="AQ464" s="139" t="n"/>
      <x:c r="AR464" s="139" t="n"/>
      <x:c r="AS464" s="139" t="n"/>
      <x:c r="AT464" s="139" t="n"/>
      <x:c r="AU464" s="139" t="n"/>
      <x:c r="AV464" s="139" t="n"/>
      <x:c r="AW464" s="139" t="n"/>
      <x:c r="AX464" s="139" t="n"/>
      <x:c r="AY464" s="139" t="n"/>
      <x:c r="AZ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c r="V465" s="139" t="n"/>
      <x:c r="W465" s="139" t="n"/>
      <x:c r="X465" s="139" t="n"/>
      <x:c r="Y465" s="139" t="n"/>
      <x:c r="Z465" s="139" t="n"/>
      <x:c r="AA465" s="139" t="n"/>
      <x:c r="AB465" s="139" t="n"/>
      <x:c r="AC465" s="139" t="n"/>
      <x:c r="AD465" s="139" t="n"/>
      <x:c r="AE465" s="139" t="n"/>
      <x:c r="AF465" s="139" t="n"/>
      <x:c r="AG465" s="139" t="n"/>
      <x:c r="AH465" s="139" t="n"/>
      <x:c r="AI465" s="139" t="n"/>
      <x:c r="AJ465" s="139" t="n"/>
      <x:c r="AK465" s="139" t="n"/>
      <x:c r="AL465" s="139" t="n"/>
      <x:c r="AM465" s="139" t="n"/>
      <x:c r="AN465" s="139" t="n"/>
      <x:c r="AO465" s="139" t="n"/>
      <x:c r="AP465" s="139" t="n"/>
      <x:c r="AQ465" s="139" t="n"/>
      <x:c r="AR465" s="139" t="n"/>
      <x:c r="AS465" s="139" t="n"/>
      <x:c r="AT465" s="139" t="n"/>
      <x:c r="AU465" s="139" t="n"/>
      <x:c r="AV465" s="139" t="n"/>
      <x:c r="AW465" s="139" t="n"/>
      <x:c r="AX465" s="139" t="n"/>
      <x:c r="AY465" s="139" t="n"/>
      <x:c r="AZ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c r="V466" s="139" t="n"/>
      <x:c r="W466" s="139" t="n"/>
      <x:c r="X466" s="139" t="n"/>
      <x:c r="Y466" s="139" t="n"/>
      <x:c r="Z466" s="139" t="n"/>
      <x:c r="AA466" s="139" t="n"/>
      <x:c r="AB466" s="139" t="n"/>
      <x:c r="AC466" s="139" t="n"/>
      <x:c r="AD466" s="139" t="n"/>
      <x:c r="AE466" s="139" t="n"/>
      <x:c r="AF466" s="139" t="n"/>
      <x:c r="AG466" s="139" t="n"/>
      <x:c r="AH466" s="139" t="n"/>
      <x:c r="AI466" s="139" t="n"/>
      <x:c r="AJ466" s="139" t="n"/>
      <x:c r="AK466" s="139" t="n"/>
      <x:c r="AL466" s="139" t="n"/>
      <x:c r="AM466" s="139" t="n"/>
      <x:c r="AN466" s="139" t="n"/>
      <x:c r="AO466" s="139" t="n"/>
      <x:c r="AP466" s="139" t="n"/>
      <x:c r="AQ466" s="139" t="n"/>
      <x:c r="AR466" s="139" t="n"/>
      <x:c r="AS466" s="139" t="n"/>
      <x:c r="AT466" s="139" t="n"/>
      <x:c r="AU466" s="139" t="n"/>
      <x:c r="AV466" s="139" t="n"/>
      <x:c r="AW466" s="139" t="n"/>
      <x:c r="AX466" s="139" t="n"/>
      <x:c r="AY466" s="139" t="n"/>
      <x:c r="AZ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c r="V467" s="139" t="n"/>
      <x:c r="W467" s="139" t="n"/>
      <x:c r="X467" s="139" t="n"/>
      <x:c r="Y467" s="139" t="n"/>
      <x:c r="Z467" s="139" t="n"/>
      <x:c r="AA467" s="139" t="n"/>
      <x:c r="AB467" s="139" t="n"/>
      <x:c r="AC467" s="139" t="n"/>
      <x:c r="AD467" s="139" t="n"/>
      <x:c r="AE467" s="139" t="n"/>
      <x:c r="AF467" s="139" t="n"/>
      <x:c r="AG467" s="139" t="n"/>
      <x:c r="AH467" s="139" t="n"/>
      <x:c r="AI467" s="139" t="n"/>
      <x:c r="AJ467" s="139" t="n"/>
      <x:c r="AK467" s="139" t="n"/>
      <x:c r="AL467" s="139" t="n"/>
      <x:c r="AM467" s="139" t="n"/>
      <x:c r="AN467" s="139" t="n"/>
      <x:c r="AO467" s="139" t="n"/>
      <x:c r="AP467" s="139" t="n"/>
      <x:c r="AQ467" s="139" t="n"/>
      <x:c r="AR467" s="139" t="n"/>
      <x:c r="AS467" s="139" t="n"/>
      <x:c r="AT467" s="139" t="n"/>
      <x:c r="AU467" s="139" t="n"/>
      <x:c r="AV467" s="139" t="n"/>
      <x:c r="AW467" s="139" t="n"/>
      <x:c r="AX467" s="139" t="n"/>
      <x:c r="AY467" s="139" t="n"/>
      <x:c r="AZ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c r="V468" s="139" t="n"/>
      <x:c r="W468" s="139" t="n"/>
      <x:c r="X468" s="139" t="n"/>
      <x:c r="Y468" s="139" t="n"/>
      <x:c r="Z468" s="139" t="n"/>
      <x:c r="AA468" s="139" t="n"/>
      <x:c r="AB468" s="139" t="n"/>
      <x:c r="AC468" s="139" t="n"/>
      <x:c r="AD468" s="139" t="n"/>
      <x:c r="AE468" s="139" t="n"/>
      <x:c r="AF468" s="139" t="n"/>
      <x:c r="AG468" s="139" t="n"/>
      <x:c r="AH468" s="139" t="n"/>
      <x:c r="AI468" s="139" t="n"/>
      <x:c r="AJ468" s="139" t="n"/>
      <x:c r="AK468" s="139" t="n"/>
      <x:c r="AL468" s="139" t="n"/>
      <x:c r="AM468" s="139" t="n"/>
      <x:c r="AN468" s="139" t="n"/>
      <x:c r="AO468" s="139" t="n"/>
      <x:c r="AP468" s="139" t="n"/>
      <x:c r="AQ468" s="139" t="n"/>
      <x:c r="AR468" s="139" t="n"/>
      <x:c r="AS468" s="139" t="n"/>
      <x:c r="AT468" s="139" t="n"/>
      <x:c r="AU468" s="139" t="n"/>
      <x:c r="AV468" s="139" t="n"/>
      <x:c r="AW468" s="139" t="n"/>
      <x:c r="AX468" s="139" t="n"/>
      <x:c r="AY468" s="139" t="n"/>
      <x:c r="AZ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c r="V469" s="139" t="n"/>
      <x:c r="W469" s="139" t="n"/>
      <x:c r="X469" s="139" t="n"/>
      <x:c r="Y469" s="139" t="n"/>
      <x:c r="Z469" s="139" t="n"/>
      <x:c r="AA469" s="139" t="n"/>
      <x:c r="AB469" s="139" t="n"/>
      <x:c r="AC469" s="139" t="n"/>
      <x:c r="AD469" s="139" t="n"/>
      <x:c r="AE469" s="139" t="n"/>
      <x:c r="AF469" s="139" t="n"/>
      <x:c r="AG469" s="139" t="n"/>
      <x:c r="AH469" s="139" t="n"/>
      <x:c r="AI469" s="139" t="n"/>
      <x:c r="AJ469" s="139" t="n"/>
      <x:c r="AK469" s="139" t="n"/>
      <x:c r="AL469" s="139" t="n"/>
      <x:c r="AM469" s="139" t="n"/>
      <x:c r="AN469" s="139" t="n"/>
      <x:c r="AO469" s="139" t="n"/>
      <x:c r="AP469" s="139" t="n"/>
      <x:c r="AQ469" s="139" t="n"/>
      <x:c r="AR469" s="139" t="n"/>
      <x:c r="AS469" s="139" t="n"/>
      <x:c r="AT469" s="139" t="n"/>
      <x:c r="AU469" s="139" t="n"/>
      <x:c r="AV469" s="139" t="n"/>
      <x:c r="AW469" s="139" t="n"/>
      <x:c r="AX469" s="139" t="n"/>
      <x:c r="AY469" s="139" t="n"/>
      <x:c r="AZ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c r="V470" s="139" t="n"/>
      <x:c r="W470" s="139" t="n"/>
      <x:c r="X470" s="139" t="n"/>
      <x:c r="Y470" s="139" t="n"/>
      <x:c r="Z470" s="139" t="n"/>
      <x:c r="AA470" s="139" t="n"/>
      <x:c r="AB470" s="139" t="n"/>
      <x:c r="AC470" s="139" t="n"/>
      <x:c r="AD470" s="139" t="n"/>
      <x:c r="AE470" s="139" t="n"/>
      <x:c r="AF470" s="139" t="n"/>
      <x:c r="AG470" s="139" t="n"/>
      <x:c r="AH470" s="139" t="n"/>
      <x:c r="AI470" s="139" t="n"/>
      <x:c r="AJ470" s="139" t="n"/>
      <x:c r="AK470" s="139" t="n"/>
      <x:c r="AL470" s="139" t="n"/>
      <x:c r="AM470" s="139" t="n"/>
      <x:c r="AN470" s="139" t="n"/>
      <x:c r="AO470" s="139" t="n"/>
      <x:c r="AP470" s="139" t="n"/>
      <x:c r="AQ470" s="139" t="n"/>
      <x:c r="AR470" s="139" t="n"/>
      <x:c r="AS470" s="139" t="n"/>
      <x:c r="AT470" s="139" t="n"/>
      <x:c r="AU470" s="139" t="n"/>
      <x:c r="AV470" s="139" t="n"/>
      <x:c r="AW470" s="139" t="n"/>
      <x:c r="AX470" s="139" t="n"/>
      <x:c r="AY470" s="139" t="n"/>
      <x:c r="AZ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c r="V471" s="139" t="n"/>
      <x:c r="W471" s="139" t="n"/>
      <x:c r="X471" s="139" t="n"/>
      <x:c r="Y471" s="139" t="n"/>
      <x:c r="Z471" s="139" t="n"/>
      <x:c r="AA471" s="139" t="n"/>
      <x:c r="AB471" s="139" t="n"/>
      <x:c r="AC471" s="139" t="n"/>
      <x:c r="AD471" s="139" t="n"/>
      <x:c r="AE471" s="139" t="n"/>
      <x:c r="AF471" s="139" t="n"/>
      <x:c r="AG471" s="139" t="n"/>
      <x:c r="AH471" s="139" t="n"/>
      <x:c r="AI471" s="139" t="n"/>
      <x:c r="AJ471" s="139" t="n"/>
      <x:c r="AK471" s="139" t="n"/>
      <x:c r="AL471" s="139" t="n"/>
      <x:c r="AM471" s="139" t="n"/>
      <x:c r="AN471" s="139" t="n"/>
      <x:c r="AO471" s="139" t="n"/>
      <x:c r="AP471" s="139" t="n"/>
      <x:c r="AQ471" s="139" t="n"/>
      <x:c r="AR471" s="139" t="n"/>
      <x:c r="AS471" s="139" t="n"/>
      <x:c r="AT471" s="139" t="n"/>
      <x:c r="AU471" s="139" t="n"/>
      <x:c r="AV471" s="139" t="n"/>
      <x:c r="AW471" s="139" t="n"/>
      <x:c r="AX471" s="139" t="n"/>
      <x:c r="AY471" s="139" t="n"/>
      <x:c r="AZ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c r="V472" s="139" t="n"/>
      <x:c r="W472" s="139" t="n"/>
      <x:c r="X472" s="139" t="n"/>
      <x:c r="Y472" s="139" t="n"/>
      <x:c r="Z472" s="139" t="n"/>
      <x:c r="AA472" s="139" t="n"/>
      <x:c r="AB472" s="139" t="n"/>
      <x:c r="AC472" s="139" t="n"/>
      <x:c r="AD472" s="139" t="n"/>
      <x:c r="AE472" s="139" t="n"/>
      <x:c r="AF472" s="139" t="n"/>
      <x:c r="AG472" s="139" t="n"/>
      <x:c r="AH472" s="139" t="n"/>
      <x:c r="AI472" s="139" t="n"/>
      <x:c r="AJ472" s="139" t="n"/>
      <x:c r="AK472" s="139" t="n"/>
      <x:c r="AL472" s="139" t="n"/>
      <x:c r="AM472" s="139" t="n"/>
      <x:c r="AN472" s="139" t="n"/>
      <x:c r="AO472" s="139" t="n"/>
      <x:c r="AP472" s="139" t="n"/>
      <x:c r="AQ472" s="139" t="n"/>
      <x:c r="AR472" s="139" t="n"/>
      <x:c r="AS472" s="139" t="n"/>
      <x:c r="AT472" s="139" t="n"/>
      <x:c r="AU472" s="139" t="n"/>
      <x:c r="AV472" s="139" t="n"/>
      <x:c r="AW472" s="139" t="n"/>
      <x:c r="AX472" s="139" t="n"/>
      <x:c r="AY472" s="139" t="n"/>
      <x:c r="AZ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c r="V473" s="139" t="n"/>
      <x:c r="W473" s="139" t="n"/>
      <x:c r="X473" s="139" t="n"/>
      <x:c r="Y473" s="139" t="n"/>
      <x:c r="Z473" s="139" t="n"/>
      <x:c r="AA473" s="139" t="n"/>
      <x:c r="AB473" s="139" t="n"/>
      <x:c r="AC473" s="139" t="n"/>
      <x:c r="AD473" s="139" t="n"/>
      <x:c r="AE473" s="139" t="n"/>
      <x:c r="AF473" s="139" t="n"/>
      <x:c r="AG473" s="139" t="n"/>
      <x:c r="AH473" s="139" t="n"/>
      <x:c r="AI473" s="139" t="n"/>
      <x:c r="AJ473" s="139" t="n"/>
      <x:c r="AK473" s="139" t="n"/>
      <x:c r="AL473" s="139" t="n"/>
      <x:c r="AM473" s="139" t="n"/>
      <x:c r="AN473" s="139" t="n"/>
      <x:c r="AO473" s="139" t="n"/>
      <x:c r="AP473" s="139" t="n"/>
      <x:c r="AQ473" s="139" t="n"/>
      <x:c r="AR473" s="139" t="n"/>
      <x:c r="AS473" s="139" t="n"/>
      <x:c r="AT473" s="139" t="n"/>
      <x:c r="AU473" s="139" t="n"/>
      <x:c r="AV473" s="139" t="n"/>
      <x:c r="AW473" s="139" t="n"/>
      <x:c r="AX473" s="139" t="n"/>
      <x:c r="AY473" s="139" t="n"/>
      <x:c r="AZ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c r="V474" s="139" t="n"/>
      <x:c r="W474" s="139" t="n"/>
      <x:c r="X474" s="139" t="n"/>
      <x:c r="Y474" s="139" t="n"/>
      <x:c r="Z474" s="139" t="n"/>
      <x:c r="AA474" s="139" t="n"/>
      <x:c r="AB474" s="139" t="n"/>
      <x:c r="AC474" s="139" t="n"/>
      <x:c r="AD474" s="139" t="n"/>
      <x:c r="AE474" s="139" t="n"/>
      <x:c r="AF474" s="139" t="n"/>
      <x:c r="AG474" s="139" t="n"/>
      <x:c r="AH474" s="139" t="n"/>
      <x:c r="AI474" s="139" t="n"/>
      <x:c r="AJ474" s="139" t="n"/>
      <x:c r="AK474" s="139" t="n"/>
      <x:c r="AL474" s="139" t="n"/>
      <x:c r="AM474" s="139" t="n"/>
      <x:c r="AN474" s="139" t="n"/>
      <x:c r="AO474" s="139" t="n"/>
      <x:c r="AP474" s="139" t="n"/>
      <x:c r="AQ474" s="139" t="n"/>
      <x:c r="AR474" s="139" t="n"/>
      <x:c r="AS474" s="139" t="n"/>
      <x:c r="AT474" s="139" t="n"/>
      <x:c r="AU474" s="139" t="n"/>
      <x:c r="AV474" s="139" t="n"/>
      <x:c r="AW474" s="139" t="n"/>
      <x:c r="AX474" s="139" t="n"/>
      <x:c r="AY474" s="139" t="n"/>
      <x:c r="AZ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c r="V475" s="139" t="n"/>
      <x:c r="W475" s="139" t="n"/>
      <x:c r="X475" s="139" t="n"/>
      <x:c r="Y475" s="139" t="n"/>
      <x:c r="Z475" s="139" t="n"/>
      <x:c r="AA475" s="139" t="n"/>
      <x:c r="AB475" s="139" t="n"/>
      <x:c r="AC475" s="139" t="n"/>
      <x:c r="AD475" s="139" t="n"/>
      <x:c r="AE475" s="139" t="n"/>
      <x:c r="AF475" s="139" t="n"/>
      <x:c r="AG475" s="139" t="n"/>
      <x:c r="AH475" s="139" t="n"/>
      <x:c r="AI475" s="139" t="n"/>
      <x:c r="AJ475" s="139" t="n"/>
      <x:c r="AK475" s="139" t="n"/>
      <x:c r="AL475" s="139" t="n"/>
      <x:c r="AM475" s="139" t="n"/>
      <x:c r="AN475" s="139" t="n"/>
      <x:c r="AO475" s="139" t="n"/>
      <x:c r="AP475" s="139" t="n"/>
      <x:c r="AQ475" s="139" t="n"/>
      <x:c r="AR475" s="139" t="n"/>
      <x:c r="AS475" s="139" t="n"/>
      <x:c r="AT475" s="139" t="n"/>
      <x:c r="AU475" s="139" t="n"/>
      <x:c r="AV475" s="139" t="n"/>
      <x:c r="AW475" s="139" t="n"/>
      <x:c r="AX475" s="139" t="n"/>
      <x:c r="AY475" s="139" t="n"/>
      <x:c r="AZ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c r="V476" s="139" t="n"/>
      <x:c r="W476" s="139" t="n"/>
      <x:c r="X476" s="139" t="n"/>
      <x:c r="Y476" s="139" t="n"/>
      <x:c r="Z476" s="139" t="n"/>
      <x:c r="AA476" s="139" t="n"/>
      <x:c r="AB476" s="139" t="n"/>
      <x:c r="AC476" s="139" t="n"/>
      <x:c r="AD476" s="139" t="n"/>
      <x:c r="AE476" s="139" t="n"/>
      <x:c r="AF476" s="139" t="n"/>
      <x:c r="AG476" s="139" t="n"/>
      <x:c r="AH476" s="139" t="n"/>
      <x:c r="AI476" s="139" t="n"/>
      <x:c r="AJ476" s="139" t="n"/>
      <x:c r="AK476" s="139" t="n"/>
      <x:c r="AL476" s="139" t="n"/>
      <x:c r="AM476" s="139" t="n"/>
      <x:c r="AN476" s="139" t="n"/>
      <x:c r="AO476" s="139" t="n"/>
      <x:c r="AP476" s="139" t="n"/>
      <x:c r="AQ476" s="139" t="n"/>
      <x:c r="AR476" s="139" t="n"/>
      <x:c r="AS476" s="139" t="n"/>
      <x:c r="AT476" s="139" t="n"/>
      <x:c r="AU476" s="139" t="n"/>
      <x:c r="AV476" s="139" t="n"/>
      <x:c r="AW476" s="139" t="n"/>
      <x:c r="AX476" s="139" t="n"/>
      <x:c r="AY476" s="139" t="n"/>
      <x:c r="AZ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c r="V477" s="139" t="n"/>
      <x:c r="W477" s="139" t="n"/>
      <x:c r="X477" s="139" t="n"/>
      <x:c r="Y477" s="139" t="n"/>
      <x:c r="Z477" s="139" t="n"/>
      <x:c r="AA477" s="139" t="n"/>
      <x:c r="AB477" s="139" t="n"/>
      <x:c r="AC477" s="139" t="n"/>
      <x:c r="AD477" s="139" t="n"/>
      <x:c r="AE477" s="139" t="n"/>
      <x:c r="AF477" s="139" t="n"/>
      <x:c r="AG477" s="139" t="n"/>
      <x:c r="AH477" s="139" t="n"/>
      <x:c r="AI477" s="139" t="n"/>
      <x:c r="AJ477" s="139" t="n"/>
      <x:c r="AK477" s="139" t="n"/>
      <x:c r="AL477" s="139" t="n"/>
      <x:c r="AM477" s="139" t="n"/>
      <x:c r="AN477" s="139" t="n"/>
      <x:c r="AO477" s="139" t="n"/>
      <x:c r="AP477" s="139" t="n"/>
      <x:c r="AQ477" s="139" t="n"/>
      <x:c r="AR477" s="139" t="n"/>
      <x:c r="AS477" s="139" t="n"/>
      <x:c r="AT477" s="139" t="n"/>
      <x:c r="AU477" s="139" t="n"/>
      <x:c r="AV477" s="139" t="n"/>
      <x:c r="AW477" s="139" t="n"/>
      <x:c r="AX477" s="139" t="n"/>
      <x:c r="AY477" s="139" t="n"/>
      <x:c r="AZ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c r="V478" s="139" t="n"/>
      <x:c r="W478" s="139" t="n"/>
      <x:c r="X478" s="139" t="n"/>
      <x:c r="Y478" s="139" t="n"/>
      <x:c r="Z478" s="139" t="n"/>
      <x:c r="AA478" s="139" t="n"/>
      <x:c r="AB478" s="139" t="n"/>
      <x:c r="AC478" s="139" t="n"/>
      <x:c r="AD478" s="139" t="n"/>
      <x:c r="AE478" s="139" t="n"/>
      <x:c r="AF478" s="139" t="n"/>
      <x:c r="AG478" s="139" t="n"/>
      <x:c r="AH478" s="139" t="n"/>
      <x:c r="AI478" s="139" t="n"/>
      <x:c r="AJ478" s="139" t="n"/>
      <x:c r="AK478" s="139" t="n"/>
      <x:c r="AL478" s="139" t="n"/>
      <x:c r="AM478" s="139" t="n"/>
      <x:c r="AN478" s="139" t="n"/>
      <x:c r="AO478" s="139" t="n"/>
      <x:c r="AP478" s="139" t="n"/>
      <x:c r="AQ478" s="139" t="n"/>
      <x:c r="AR478" s="139" t="n"/>
      <x:c r="AS478" s="139" t="n"/>
      <x:c r="AT478" s="139" t="n"/>
      <x:c r="AU478" s="139" t="n"/>
      <x:c r="AV478" s="139" t="n"/>
      <x:c r="AW478" s="139" t="n"/>
      <x:c r="AX478" s="139" t="n"/>
      <x:c r="AY478" s="139" t="n"/>
      <x:c r="AZ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c r="V479" s="139" t="n"/>
      <x:c r="W479" s="139" t="n"/>
      <x:c r="X479" s="139" t="n"/>
      <x:c r="Y479" s="139" t="n"/>
      <x:c r="Z479" s="139" t="n"/>
      <x:c r="AA479" s="139" t="n"/>
      <x:c r="AB479" s="139" t="n"/>
      <x:c r="AC479" s="139" t="n"/>
      <x:c r="AD479" s="139" t="n"/>
      <x:c r="AE479" s="139" t="n"/>
      <x:c r="AF479" s="139" t="n"/>
      <x:c r="AG479" s="139" t="n"/>
      <x:c r="AH479" s="139" t="n"/>
      <x:c r="AI479" s="139" t="n"/>
      <x:c r="AJ479" s="139" t="n"/>
      <x:c r="AK479" s="139" t="n"/>
      <x:c r="AL479" s="139" t="n"/>
      <x:c r="AM479" s="139" t="n"/>
      <x:c r="AN479" s="139" t="n"/>
      <x:c r="AO479" s="139" t="n"/>
      <x:c r="AP479" s="139" t="n"/>
      <x:c r="AQ479" s="139" t="n"/>
      <x:c r="AR479" s="139" t="n"/>
      <x:c r="AS479" s="139" t="n"/>
      <x:c r="AT479" s="139" t="n"/>
      <x:c r="AU479" s="139" t="n"/>
      <x:c r="AV479" s="139" t="n"/>
      <x:c r="AW479" s="139" t="n"/>
      <x:c r="AX479" s="139" t="n"/>
      <x:c r="AY479" s="139" t="n"/>
      <x:c r="AZ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c r="V480" s="139" t="n"/>
      <x:c r="W480" s="139" t="n"/>
      <x:c r="X480" s="139" t="n"/>
      <x:c r="Y480" s="139" t="n"/>
      <x:c r="Z480" s="139" t="n"/>
      <x:c r="AA480" s="139" t="n"/>
      <x:c r="AB480" s="139" t="n"/>
      <x:c r="AC480" s="139" t="n"/>
      <x:c r="AD480" s="139" t="n"/>
      <x:c r="AE480" s="139" t="n"/>
      <x:c r="AF480" s="139" t="n"/>
      <x:c r="AG480" s="139" t="n"/>
      <x:c r="AH480" s="139" t="n"/>
      <x:c r="AI480" s="139" t="n"/>
      <x:c r="AJ480" s="139" t="n"/>
      <x:c r="AK480" s="139" t="n"/>
      <x:c r="AL480" s="139" t="n"/>
      <x:c r="AM480" s="139" t="n"/>
      <x:c r="AN480" s="139" t="n"/>
      <x:c r="AO480" s="139" t="n"/>
      <x:c r="AP480" s="139" t="n"/>
      <x:c r="AQ480" s="139" t="n"/>
      <x:c r="AR480" s="139" t="n"/>
      <x:c r="AS480" s="139" t="n"/>
      <x:c r="AT480" s="139" t="n"/>
      <x:c r="AU480" s="139" t="n"/>
      <x:c r="AV480" s="139" t="n"/>
      <x:c r="AW480" s="139" t="n"/>
      <x:c r="AX480" s="139" t="n"/>
      <x:c r="AY480" s="139" t="n"/>
      <x:c r="AZ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c r="V481" s="139" t="n"/>
      <x:c r="W481" s="139" t="n"/>
      <x:c r="X481" s="139" t="n"/>
      <x:c r="Y481" s="139" t="n"/>
      <x:c r="Z481" s="139" t="n"/>
      <x:c r="AA481" s="139" t="n"/>
      <x:c r="AB481" s="139" t="n"/>
      <x:c r="AC481" s="139" t="n"/>
      <x:c r="AD481" s="139" t="n"/>
      <x:c r="AE481" s="139" t="n"/>
      <x:c r="AF481" s="139" t="n"/>
      <x:c r="AG481" s="139" t="n"/>
      <x:c r="AH481" s="139" t="n"/>
      <x:c r="AI481" s="139" t="n"/>
      <x:c r="AJ481" s="139" t="n"/>
      <x:c r="AK481" s="139" t="n"/>
      <x:c r="AL481" s="139" t="n"/>
      <x:c r="AM481" s="139" t="n"/>
      <x:c r="AN481" s="139" t="n"/>
      <x:c r="AO481" s="139" t="n"/>
      <x:c r="AP481" s="139" t="n"/>
      <x:c r="AQ481" s="139" t="n"/>
      <x:c r="AR481" s="139" t="n"/>
      <x:c r="AS481" s="139" t="n"/>
      <x:c r="AT481" s="139" t="n"/>
      <x:c r="AU481" s="139" t="n"/>
      <x:c r="AV481" s="139" t="n"/>
      <x:c r="AW481" s="139" t="n"/>
      <x:c r="AX481" s="139" t="n"/>
      <x:c r="AY481" s="139" t="n"/>
      <x:c r="AZ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c r="V482" s="139" t="n"/>
      <x:c r="W482" s="139" t="n"/>
      <x:c r="X482" s="139" t="n"/>
      <x:c r="Y482" s="139" t="n"/>
      <x:c r="Z482" s="139" t="n"/>
      <x:c r="AA482" s="139" t="n"/>
      <x:c r="AB482" s="139" t="n"/>
      <x:c r="AC482" s="139" t="n"/>
      <x:c r="AD482" s="139" t="n"/>
      <x:c r="AE482" s="139" t="n"/>
      <x:c r="AF482" s="139" t="n"/>
      <x:c r="AG482" s="139" t="n"/>
      <x:c r="AH482" s="139" t="n"/>
      <x:c r="AI482" s="139" t="n"/>
      <x:c r="AJ482" s="139" t="n"/>
      <x:c r="AK482" s="139" t="n"/>
      <x:c r="AL482" s="139" t="n"/>
      <x:c r="AM482" s="139" t="n"/>
      <x:c r="AN482" s="139" t="n"/>
      <x:c r="AO482" s="139" t="n"/>
      <x:c r="AP482" s="139" t="n"/>
      <x:c r="AQ482" s="139" t="n"/>
      <x:c r="AR482" s="139" t="n"/>
      <x:c r="AS482" s="139" t="n"/>
      <x:c r="AT482" s="139" t="n"/>
      <x:c r="AU482" s="139" t="n"/>
      <x:c r="AV482" s="139" t="n"/>
      <x:c r="AW482" s="139" t="n"/>
      <x:c r="AX482" s="139" t="n"/>
      <x:c r="AY482" s="139" t="n"/>
      <x:c r="AZ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c r="V483" s="139" t="n"/>
      <x:c r="W483" s="139" t="n"/>
      <x:c r="X483" s="139" t="n"/>
      <x:c r="Y483" s="139" t="n"/>
      <x:c r="Z483" s="139" t="n"/>
      <x:c r="AA483" s="139" t="n"/>
      <x:c r="AB483" s="139" t="n"/>
      <x:c r="AC483" s="139" t="n"/>
      <x:c r="AD483" s="139" t="n"/>
      <x:c r="AE483" s="139" t="n"/>
      <x:c r="AF483" s="139" t="n"/>
      <x:c r="AG483" s="139" t="n"/>
      <x:c r="AH483" s="139" t="n"/>
      <x:c r="AI483" s="139" t="n"/>
      <x:c r="AJ483" s="139" t="n"/>
      <x:c r="AK483" s="139" t="n"/>
      <x:c r="AL483" s="139" t="n"/>
      <x:c r="AM483" s="139" t="n"/>
      <x:c r="AN483" s="139" t="n"/>
      <x:c r="AO483" s="139" t="n"/>
      <x:c r="AP483" s="139" t="n"/>
      <x:c r="AQ483" s="139" t="n"/>
      <x:c r="AR483" s="139" t="n"/>
      <x:c r="AS483" s="139" t="n"/>
      <x:c r="AT483" s="139" t="n"/>
      <x:c r="AU483" s="139" t="n"/>
      <x:c r="AV483" s="139" t="n"/>
      <x:c r="AW483" s="139" t="n"/>
      <x:c r="AX483" s="139" t="n"/>
      <x:c r="AY483" s="139" t="n"/>
      <x:c r="AZ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c r="V484" s="139" t="n"/>
      <x:c r="W484" s="139" t="n"/>
      <x:c r="X484" s="139" t="n"/>
      <x:c r="Y484" s="139" t="n"/>
      <x:c r="Z484" s="139" t="n"/>
      <x:c r="AA484" s="139" t="n"/>
      <x:c r="AB484" s="139" t="n"/>
      <x:c r="AC484" s="139" t="n"/>
      <x:c r="AD484" s="139" t="n"/>
      <x:c r="AE484" s="139" t="n"/>
      <x:c r="AF484" s="139" t="n"/>
      <x:c r="AG484" s="139" t="n"/>
      <x:c r="AH484" s="139" t="n"/>
      <x:c r="AI484" s="139" t="n"/>
      <x:c r="AJ484" s="139" t="n"/>
      <x:c r="AK484" s="139" t="n"/>
      <x:c r="AL484" s="139" t="n"/>
      <x:c r="AM484" s="139" t="n"/>
      <x:c r="AN484" s="139" t="n"/>
      <x:c r="AO484" s="139" t="n"/>
      <x:c r="AP484" s="139" t="n"/>
      <x:c r="AQ484" s="139" t="n"/>
      <x:c r="AR484" s="139" t="n"/>
      <x:c r="AS484" s="139" t="n"/>
      <x:c r="AT484" s="139" t="n"/>
      <x:c r="AU484" s="139" t="n"/>
      <x:c r="AV484" s="139" t="n"/>
      <x:c r="AW484" s="139" t="n"/>
      <x:c r="AX484" s="139" t="n"/>
      <x:c r="AY484" s="139" t="n"/>
      <x:c r="AZ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c r="V485" s="139" t="n"/>
      <x:c r="W485" s="139" t="n"/>
      <x:c r="X485" s="139" t="n"/>
      <x:c r="Y485" s="139" t="n"/>
      <x:c r="Z485" s="139" t="n"/>
      <x:c r="AA485" s="139" t="n"/>
      <x:c r="AB485" s="139" t="n"/>
      <x:c r="AC485" s="139" t="n"/>
      <x:c r="AD485" s="139" t="n"/>
      <x:c r="AE485" s="139" t="n"/>
      <x:c r="AF485" s="139" t="n"/>
      <x:c r="AG485" s="139" t="n"/>
      <x:c r="AH485" s="139" t="n"/>
      <x:c r="AI485" s="139" t="n"/>
      <x:c r="AJ485" s="139" t="n"/>
      <x:c r="AK485" s="139" t="n"/>
      <x:c r="AL485" s="139" t="n"/>
      <x:c r="AM485" s="139" t="n"/>
      <x:c r="AN485" s="139" t="n"/>
      <x:c r="AO485" s="139" t="n"/>
      <x:c r="AP485" s="139" t="n"/>
      <x:c r="AQ485" s="139" t="n"/>
      <x:c r="AR485" s="139" t="n"/>
      <x:c r="AS485" s="139" t="n"/>
      <x:c r="AT485" s="139" t="n"/>
      <x:c r="AU485" s="139" t="n"/>
      <x:c r="AV485" s="139" t="n"/>
      <x:c r="AW485" s="139" t="n"/>
      <x:c r="AX485" s="139" t="n"/>
      <x:c r="AY485" s="139" t="n"/>
      <x:c r="AZ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c r="V486" s="139" t="n"/>
      <x:c r="W486" s="139" t="n"/>
      <x:c r="X486" s="139" t="n"/>
      <x:c r="Y486" s="139" t="n"/>
      <x:c r="Z486" s="139" t="n"/>
      <x:c r="AA486" s="139" t="n"/>
      <x:c r="AB486" s="139" t="n"/>
      <x:c r="AC486" s="139" t="n"/>
      <x:c r="AD486" s="139" t="n"/>
      <x:c r="AE486" s="139" t="n"/>
      <x:c r="AF486" s="139" t="n"/>
      <x:c r="AG486" s="139" t="n"/>
      <x:c r="AH486" s="139" t="n"/>
      <x:c r="AI486" s="139" t="n"/>
      <x:c r="AJ486" s="139" t="n"/>
      <x:c r="AK486" s="139" t="n"/>
      <x:c r="AL486" s="139" t="n"/>
      <x:c r="AM486" s="139" t="n"/>
      <x:c r="AN486" s="139" t="n"/>
      <x:c r="AO486" s="139" t="n"/>
      <x:c r="AP486" s="139" t="n"/>
      <x:c r="AQ486" s="139" t="n"/>
      <x:c r="AR486" s="139" t="n"/>
      <x:c r="AS486" s="139" t="n"/>
      <x:c r="AT486" s="139" t="n"/>
      <x:c r="AU486" s="139" t="n"/>
      <x:c r="AV486" s="139" t="n"/>
      <x:c r="AW486" s="139" t="n"/>
      <x:c r="AX486" s="139" t="n"/>
      <x:c r="AY486" s="139" t="n"/>
      <x:c r="AZ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c r="V487" s="139" t="n"/>
      <x:c r="W487" s="139" t="n"/>
      <x:c r="X487" s="139" t="n"/>
      <x:c r="Y487" s="139" t="n"/>
      <x:c r="Z487" s="139" t="n"/>
      <x:c r="AA487" s="139" t="n"/>
      <x:c r="AB487" s="139" t="n"/>
      <x:c r="AC487" s="139" t="n"/>
      <x:c r="AD487" s="139" t="n"/>
      <x:c r="AE487" s="139" t="n"/>
      <x:c r="AF487" s="139" t="n"/>
      <x:c r="AG487" s="139" t="n"/>
      <x:c r="AH487" s="139" t="n"/>
      <x:c r="AI487" s="139" t="n"/>
      <x:c r="AJ487" s="139" t="n"/>
      <x:c r="AK487" s="139" t="n"/>
      <x:c r="AL487" s="139" t="n"/>
      <x:c r="AM487" s="139" t="n"/>
      <x:c r="AN487" s="139" t="n"/>
      <x:c r="AO487" s="139" t="n"/>
      <x:c r="AP487" s="139" t="n"/>
      <x:c r="AQ487" s="139" t="n"/>
      <x:c r="AR487" s="139" t="n"/>
      <x:c r="AS487" s="139" t="n"/>
      <x:c r="AT487" s="139" t="n"/>
      <x:c r="AU487" s="139" t="n"/>
      <x:c r="AV487" s="139" t="n"/>
      <x:c r="AW487" s="139" t="n"/>
      <x:c r="AX487" s="139" t="n"/>
      <x:c r="AY487" s="139" t="n"/>
      <x:c r="AZ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c r="V488" s="139" t="n"/>
      <x:c r="W488" s="139" t="n"/>
      <x:c r="X488" s="139" t="n"/>
      <x:c r="Y488" s="139" t="n"/>
      <x:c r="Z488" s="139" t="n"/>
      <x:c r="AA488" s="139" t="n"/>
      <x:c r="AB488" s="139" t="n"/>
      <x:c r="AC488" s="139" t="n"/>
      <x:c r="AD488" s="139" t="n"/>
      <x:c r="AE488" s="139" t="n"/>
      <x:c r="AF488" s="139" t="n"/>
      <x:c r="AG488" s="139" t="n"/>
      <x:c r="AH488" s="139" t="n"/>
      <x:c r="AI488" s="139" t="n"/>
      <x:c r="AJ488" s="139" t="n"/>
      <x:c r="AK488" s="139" t="n"/>
      <x:c r="AL488" s="139" t="n"/>
      <x:c r="AM488" s="139" t="n"/>
      <x:c r="AN488" s="139" t="n"/>
      <x:c r="AO488" s="139" t="n"/>
      <x:c r="AP488" s="139" t="n"/>
      <x:c r="AQ488" s="139" t="n"/>
      <x:c r="AR488" s="139" t="n"/>
      <x:c r="AS488" s="139" t="n"/>
      <x:c r="AT488" s="139" t="n"/>
      <x:c r="AU488" s="139" t="n"/>
      <x:c r="AV488" s="139" t="n"/>
      <x:c r="AW488" s="139" t="n"/>
      <x:c r="AX488" s="139" t="n"/>
      <x:c r="AY488" s="139" t="n"/>
      <x:c r="AZ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c r="V489" s="139" t="n"/>
      <x:c r="W489" s="139" t="n"/>
      <x:c r="X489" s="139" t="n"/>
      <x:c r="Y489" s="139" t="n"/>
      <x:c r="Z489" s="139" t="n"/>
      <x:c r="AA489" s="139" t="n"/>
      <x:c r="AB489" s="139" t="n"/>
      <x:c r="AC489" s="139" t="n"/>
      <x:c r="AD489" s="139" t="n"/>
      <x:c r="AE489" s="139" t="n"/>
      <x:c r="AF489" s="139" t="n"/>
      <x:c r="AG489" s="139" t="n"/>
      <x:c r="AH489" s="139" t="n"/>
      <x:c r="AI489" s="139" t="n"/>
      <x:c r="AJ489" s="139" t="n"/>
      <x:c r="AK489" s="139" t="n"/>
      <x:c r="AL489" s="139" t="n"/>
      <x:c r="AM489" s="139" t="n"/>
      <x:c r="AN489" s="139" t="n"/>
      <x:c r="AO489" s="139" t="n"/>
      <x:c r="AP489" s="139" t="n"/>
      <x:c r="AQ489" s="139" t="n"/>
      <x:c r="AR489" s="139" t="n"/>
      <x:c r="AS489" s="139" t="n"/>
      <x:c r="AT489" s="139" t="n"/>
      <x:c r="AU489" s="139" t="n"/>
      <x:c r="AV489" s="139" t="n"/>
      <x:c r="AW489" s="139" t="n"/>
      <x:c r="AX489" s="139" t="n"/>
      <x:c r="AY489" s="139" t="n"/>
      <x:c r="AZ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c r="V490" s="139" t="n"/>
      <x:c r="W490" s="139" t="n"/>
      <x:c r="X490" s="139" t="n"/>
      <x:c r="Y490" s="139" t="n"/>
      <x:c r="Z490" s="139" t="n"/>
      <x:c r="AA490" s="139" t="n"/>
      <x:c r="AB490" s="139" t="n"/>
      <x:c r="AC490" s="139" t="n"/>
      <x:c r="AD490" s="139" t="n"/>
      <x:c r="AE490" s="139" t="n"/>
      <x:c r="AF490" s="139" t="n"/>
      <x:c r="AG490" s="139" t="n"/>
      <x:c r="AH490" s="139" t="n"/>
      <x:c r="AI490" s="139" t="n"/>
      <x:c r="AJ490" s="139" t="n"/>
      <x:c r="AK490" s="139" t="n"/>
      <x:c r="AL490" s="139" t="n"/>
      <x:c r="AM490" s="139" t="n"/>
      <x:c r="AN490" s="139" t="n"/>
      <x:c r="AO490" s="139" t="n"/>
      <x:c r="AP490" s="139" t="n"/>
      <x:c r="AQ490" s="139" t="n"/>
      <x:c r="AR490" s="139" t="n"/>
      <x:c r="AS490" s="139" t="n"/>
      <x:c r="AT490" s="139" t="n"/>
      <x:c r="AU490" s="139" t="n"/>
      <x:c r="AV490" s="139" t="n"/>
      <x:c r="AW490" s="139" t="n"/>
      <x:c r="AX490" s="139" t="n"/>
      <x:c r="AY490" s="139" t="n"/>
      <x:c r="AZ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c r="V491" s="139" t="n"/>
      <x:c r="W491" s="139" t="n"/>
      <x:c r="X491" s="139" t="n"/>
      <x:c r="Y491" s="139" t="n"/>
      <x:c r="Z491" s="139" t="n"/>
      <x:c r="AA491" s="139" t="n"/>
      <x:c r="AB491" s="139" t="n"/>
      <x:c r="AC491" s="139" t="n"/>
      <x:c r="AD491" s="139" t="n"/>
      <x:c r="AE491" s="139" t="n"/>
      <x:c r="AF491" s="139" t="n"/>
      <x:c r="AG491" s="139" t="n"/>
      <x:c r="AH491" s="139" t="n"/>
      <x:c r="AI491" s="139" t="n"/>
      <x:c r="AJ491" s="139" t="n"/>
      <x:c r="AK491" s="139" t="n"/>
      <x:c r="AL491" s="139" t="n"/>
      <x:c r="AM491" s="139" t="n"/>
      <x:c r="AN491" s="139" t="n"/>
      <x:c r="AO491" s="139" t="n"/>
      <x:c r="AP491" s="139" t="n"/>
      <x:c r="AQ491" s="139" t="n"/>
      <x:c r="AR491" s="139" t="n"/>
      <x:c r="AS491" s="139" t="n"/>
      <x:c r="AT491" s="139" t="n"/>
      <x:c r="AU491" s="139" t="n"/>
      <x:c r="AV491" s="139" t="n"/>
      <x:c r="AW491" s="139" t="n"/>
      <x:c r="AX491" s="139" t="n"/>
      <x:c r="AY491" s="139" t="n"/>
      <x:c r="AZ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c r="V492" s="139" t="n"/>
      <x:c r="W492" s="139" t="n"/>
      <x:c r="X492" s="139" t="n"/>
      <x:c r="Y492" s="139" t="n"/>
      <x:c r="Z492" s="139" t="n"/>
      <x:c r="AA492" s="139" t="n"/>
      <x:c r="AB492" s="139" t="n"/>
      <x:c r="AC492" s="139" t="n"/>
      <x:c r="AD492" s="139" t="n"/>
      <x:c r="AE492" s="139" t="n"/>
      <x:c r="AF492" s="139" t="n"/>
      <x:c r="AG492" s="139" t="n"/>
      <x:c r="AH492" s="139" t="n"/>
      <x:c r="AI492" s="139" t="n"/>
      <x:c r="AJ492" s="139" t="n"/>
      <x:c r="AK492" s="139" t="n"/>
      <x:c r="AL492" s="139" t="n"/>
      <x:c r="AM492" s="139" t="n"/>
      <x:c r="AN492" s="139" t="n"/>
      <x:c r="AO492" s="139" t="n"/>
      <x:c r="AP492" s="139" t="n"/>
      <x:c r="AQ492" s="139" t="n"/>
      <x:c r="AR492" s="139" t="n"/>
      <x:c r="AS492" s="139" t="n"/>
      <x:c r="AT492" s="139" t="n"/>
      <x:c r="AU492" s="139" t="n"/>
      <x:c r="AV492" s="139" t="n"/>
      <x:c r="AW492" s="139" t="n"/>
      <x:c r="AX492" s="139" t="n"/>
      <x:c r="AY492" s="139" t="n"/>
      <x:c r="AZ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c r="V493" s="139" t="n"/>
      <x:c r="W493" s="139" t="n"/>
      <x:c r="X493" s="139" t="n"/>
      <x:c r="Y493" s="139" t="n"/>
      <x:c r="Z493" s="139" t="n"/>
      <x:c r="AA493" s="139" t="n"/>
      <x:c r="AB493" s="139" t="n"/>
      <x:c r="AC493" s="139" t="n"/>
      <x:c r="AD493" s="139" t="n"/>
      <x:c r="AE493" s="139" t="n"/>
      <x:c r="AF493" s="139" t="n"/>
      <x:c r="AG493" s="139" t="n"/>
      <x:c r="AH493" s="139" t="n"/>
      <x:c r="AI493" s="139" t="n"/>
      <x:c r="AJ493" s="139" t="n"/>
      <x:c r="AK493" s="139" t="n"/>
      <x:c r="AL493" s="139" t="n"/>
      <x:c r="AM493" s="139" t="n"/>
      <x:c r="AN493" s="139" t="n"/>
      <x:c r="AO493" s="139" t="n"/>
      <x:c r="AP493" s="139" t="n"/>
      <x:c r="AQ493" s="139" t="n"/>
      <x:c r="AR493" s="139" t="n"/>
      <x:c r="AS493" s="139" t="n"/>
      <x:c r="AT493" s="139" t="n"/>
      <x:c r="AU493" s="139" t="n"/>
      <x:c r="AV493" s="139" t="n"/>
      <x:c r="AW493" s="139" t="n"/>
      <x:c r="AX493" s="139" t="n"/>
      <x:c r="AY493" s="139" t="n"/>
      <x:c r="AZ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c r="V494" s="139" t="n"/>
      <x:c r="W494" s="139" t="n"/>
      <x:c r="X494" s="139" t="n"/>
      <x:c r="Y494" s="139" t="n"/>
      <x:c r="Z494" s="139" t="n"/>
      <x:c r="AA494" s="139" t="n"/>
      <x:c r="AB494" s="139" t="n"/>
      <x:c r="AC494" s="139" t="n"/>
      <x:c r="AD494" s="139" t="n"/>
      <x:c r="AE494" s="139" t="n"/>
      <x:c r="AF494" s="139" t="n"/>
      <x:c r="AG494" s="139" t="n"/>
      <x:c r="AH494" s="139" t="n"/>
      <x:c r="AI494" s="139" t="n"/>
      <x:c r="AJ494" s="139" t="n"/>
      <x:c r="AK494" s="139" t="n"/>
      <x:c r="AL494" s="139" t="n"/>
      <x:c r="AM494" s="139" t="n"/>
      <x:c r="AN494" s="139" t="n"/>
      <x:c r="AO494" s="139" t="n"/>
      <x:c r="AP494" s="139" t="n"/>
      <x:c r="AQ494" s="139" t="n"/>
      <x:c r="AR494" s="139" t="n"/>
      <x:c r="AS494" s="139" t="n"/>
      <x:c r="AT494" s="139" t="n"/>
      <x:c r="AU494" s="139" t="n"/>
      <x:c r="AV494" s="139" t="n"/>
      <x:c r="AW494" s="139" t="n"/>
      <x:c r="AX494" s="139" t="n"/>
      <x:c r="AY494" s="139" t="n"/>
      <x:c r="AZ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c r="V495" s="139" t="n"/>
      <x:c r="W495" s="139" t="n"/>
      <x:c r="X495" s="139" t="n"/>
      <x:c r="Y495" s="139" t="n"/>
      <x:c r="Z495" s="139" t="n"/>
      <x:c r="AA495" s="139" t="n"/>
      <x:c r="AB495" s="139" t="n"/>
      <x:c r="AC495" s="139" t="n"/>
      <x:c r="AD495" s="139" t="n"/>
      <x:c r="AE495" s="139" t="n"/>
      <x:c r="AF495" s="139" t="n"/>
      <x:c r="AG495" s="139" t="n"/>
      <x:c r="AH495" s="139" t="n"/>
      <x:c r="AI495" s="139" t="n"/>
      <x:c r="AJ495" s="139" t="n"/>
      <x:c r="AK495" s="139" t="n"/>
      <x:c r="AL495" s="139" t="n"/>
      <x:c r="AM495" s="139" t="n"/>
      <x:c r="AN495" s="139" t="n"/>
      <x:c r="AO495" s="139" t="n"/>
      <x:c r="AP495" s="139" t="n"/>
      <x:c r="AQ495" s="139" t="n"/>
      <x:c r="AR495" s="139" t="n"/>
      <x:c r="AS495" s="139" t="n"/>
      <x:c r="AT495" s="139" t="n"/>
      <x:c r="AU495" s="139" t="n"/>
      <x:c r="AV495" s="139" t="n"/>
      <x:c r="AW495" s="139" t="n"/>
      <x:c r="AX495" s="139" t="n"/>
      <x:c r="AY495" s="139" t="n"/>
      <x:c r="AZ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c r="V496" s="139" t="n"/>
      <x:c r="W496" s="139" t="n"/>
      <x:c r="X496" s="139" t="n"/>
      <x:c r="Y496" s="139" t="n"/>
      <x:c r="Z496" s="139" t="n"/>
      <x:c r="AA496" s="139" t="n"/>
      <x:c r="AB496" s="139" t="n"/>
      <x:c r="AC496" s="139" t="n"/>
      <x:c r="AD496" s="139" t="n"/>
      <x:c r="AE496" s="139" t="n"/>
      <x:c r="AF496" s="139" t="n"/>
      <x:c r="AG496" s="139" t="n"/>
      <x:c r="AH496" s="139" t="n"/>
      <x:c r="AI496" s="139" t="n"/>
      <x:c r="AJ496" s="139" t="n"/>
      <x:c r="AK496" s="139" t="n"/>
      <x:c r="AL496" s="139" t="n"/>
      <x:c r="AM496" s="139" t="n"/>
      <x:c r="AN496" s="139" t="n"/>
      <x:c r="AO496" s="139" t="n"/>
      <x:c r="AP496" s="139" t="n"/>
      <x:c r="AQ496" s="139" t="n"/>
      <x:c r="AR496" s="139" t="n"/>
      <x:c r="AS496" s="139" t="n"/>
      <x:c r="AT496" s="139" t="n"/>
      <x:c r="AU496" s="139" t="n"/>
      <x:c r="AV496" s="139" t="n"/>
      <x:c r="AW496" s="139" t="n"/>
      <x:c r="AX496" s="139" t="n"/>
      <x:c r="AY496" s="139" t="n"/>
      <x:c r="AZ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c r="V497" s="139" t="n"/>
      <x:c r="W497" s="139" t="n"/>
      <x:c r="X497" s="139" t="n"/>
      <x:c r="Y497" s="139" t="n"/>
      <x:c r="Z497" s="139" t="n"/>
      <x:c r="AA497" s="139" t="n"/>
      <x:c r="AB497" s="139" t="n"/>
      <x:c r="AC497" s="139" t="n"/>
      <x:c r="AD497" s="139" t="n"/>
      <x:c r="AE497" s="139" t="n"/>
      <x:c r="AF497" s="139" t="n"/>
      <x:c r="AG497" s="139" t="n"/>
      <x:c r="AH497" s="139" t="n"/>
      <x:c r="AI497" s="139" t="n"/>
      <x:c r="AJ497" s="139" t="n"/>
      <x:c r="AK497" s="139" t="n"/>
      <x:c r="AL497" s="139" t="n"/>
      <x:c r="AM497" s="139" t="n"/>
      <x:c r="AN497" s="139" t="n"/>
      <x:c r="AO497" s="139" t="n"/>
      <x:c r="AP497" s="139" t="n"/>
      <x:c r="AQ497" s="139" t="n"/>
      <x:c r="AR497" s="139" t="n"/>
      <x:c r="AS497" s="139" t="n"/>
      <x:c r="AT497" s="139" t="n"/>
      <x:c r="AU497" s="139" t="n"/>
      <x:c r="AV497" s="139" t="n"/>
      <x:c r="AW497" s="139" t="n"/>
      <x:c r="AX497" s="139" t="n"/>
      <x:c r="AY497" s="139" t="n"/>
      <x:c r="AZ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c r="V498" s="139" t="n"/>
      <x:c r="W498" s="139" t="n"/>
      <x:c r="X498" s="139" t="n"/>
      <x:c r="Y498" s="139" t="n"/>
      <x:c r="Z498" s="139" t="n"/>
      <x:c r="AA498" s="139" t="n"/>
      <x:c r="AB498" s="139" t="n"/>
      <x:c r="AC498" s="139" t="n"/>
      <x:c r="AD498" s="139" t="n"/>
      <x:c r="AE498" s="139" t="n"/>
      <x:c r="AF498" s="139" t="n"/>
      <x:c r="AG498" s="139" t="n"/>
      <x:c r="AH498" s="139" t="n"/>
      <x:c r="AI498" s="139" t="n"/>
      <x:c r="AJ498" s="139" t="n"/>
      <x:c r="AK498" s="139" t="n"/>
      <x:c r="AL498" s="139" t="n"/>
      <x:c r="AM498" s="139" t="n"/>
      <x:c r="AN498" s="139" t="n"/>
      <x:c r="AO498" s="139" t="n"/>
      <x:c r="AP498" s="139" t="n"/>
      <x:c r="AQ498" s="139" t="n"/>
      <x:c r="AR498" s="139" t="n"/>
      <x:c r="AS498" s="139" t="n"/>
      <x:c r="AT498" s="139" t="n"/>
      <x:c r="AU498" s="139" t="n"/>
      <x:c r="AV498" s="139" t="n"/>
      <x:c r="AW498" s="139" t="n"/>
      <x:c r="AX498" s="139" t="n"/>
      <x:c r="AY498" s="139" t="n"/>
      <x:c r="AZ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c r="V499" s="139" t="n"/>
      <x:c r="W499" s="139" t="n"/>
      <x:c r="X499" s="139" t="n"/>
      <x:c r="Y499" s="139" t="n"/>
      <x:c r="Z499" s="139" t="n"/>
      <x:c r="AA499" s="139" t="n"/>
      <x:c r="AB499" s="139" t="n"/>
      <x:c r="AC499" s="139" t="n"/>
      <x:c r="AD499" s="139" t="n"/>
      <x:c r="AE499" s="139" t="n"/>
      <x:c r="AF499" s="139" t="n"/>
      <x:c r="AG499" s="139" t="n"/>
      <x:c r="AH499" s="139" t="n"/>
      <x:c r="AI499" s="139" t="n"/>
      <x:c r="AJ499" s="139" t="n"/>
      <x:c r="AK499" s="139" t="n"/>
      <x:c r="AL499" s="139" t="n"/>
      <x:c r="AM499" s="139" t="n"/>
      <x:c r="AN499" s="139" t="n"/>
      <x:c r="AO499" s="139" t="n"/>
      <x:c r="AP499" s="139" t="n"/>
      <x:c r="AQ499" s="139" t="n"/>
      <x:c r="AR499" s="139" t="n"/>
      <x:c r="AS499" s="139" t="n"/>
      <x:c r="AT499" s="139" t="n"/>
      <x:c r="AU499" s="139" t="n"/>
      <x:c r="AV499" s="139" t="n"/>
      <x:c r="AW499" s="139" t="n"/>
      <x:c r="AX499" s="139" t="n"/>
      <x:c r="AY499" s="139" t="n"/>
      <x:c r="AZ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c r="V500" s="139" t="n"/>
      <x:c r="W500" s="139" t="n"/>
      <x:c r="X500" s="139" t="n"/>
      <x:c r="Y500" s="139" t="n"/>
      <x:c r="Z500" s="139" t="n"/>
      <x:c r="AA500" s="139" t="n"/>
      <x:c r="AB500" s="139" t="n"/>
      <x:c r="AC500" s="139" t="n"/>
      <x:c r="AD500" s="139" t="n"/>
      <x:c r="AE500" s="139" t="n"/>
      <x:c r="AF500" s="139" t="n"/>
      <x:c r="AG500" s="139" t="n"/>
      <x:c r="AH500" s="139" t="n"/>
      <x:c r="AI500" s="139" t="n"/>
      <x:c r="AJ500" s="139" t="n"/>
      <x:c r="AK500" s="139" t="n"/>
      <x:c r="AL500" s="139" t="n"/>
      <x:c r="AM500" s="139" t="n"/>
      <x:c r="AN500" s="139" t="n"/>
      <x:c r="AO500" s="139" t="n"/>
      <x:c r="AP500" s="139" t="n"/>
      <x:c r="AQ500" s="139" t="n"/>
      <x:c r="AR500" s="139" t="n"/>
      <x:c r="AS500" s="139" t="n"/>
      <x:c r="AT500" s="139" t="n"/>
      <x:c r="AU500" s="139" t="n"/>
      <x:c r="AV500" s="139" t="n"/>
      <x:c r="AW500" s="139" t="n"/>
      <x:c r="AX500" s="139" t="n"/>
      <x:c r="AY500" s="139" t="n"/>
      <x:c r="AZ500" s="139" t="n"/>
    </x:row>
  </x:sheetData>
  <x:pageMargins left="0.7" right="0.7" top="0.75" bottom="0.75" header="0.3" footer="0.3"/>
  <x:tableParts count="1">
    <x:tablePart xmlns:r="http://schemas.openxmlformats.org/officeDocument/2006/relationships" r:id="Ree1320cd96b04122"/>
  </x:tableParts>
</x:worksheet>
</file>

<file path=xl/worksheets/sheet4.xml><?xml version="1.0" encoding="utf-8"?>
<x:worksheet xmlns:x="http://schemas.openxmlformats.org/spreadsheetml/2006/main">
  <x:sheetFormatPr baseColWidth="8" defaultRowHeight="15"/>
  <x:cols>
    <x:col min="1" max="1" width="17" style="125" customWidth="1"/>
    <x:col min="2" max="2" width="17" style="125" customWidth="1"/>
    <x:col min="3" max="3" width="8" style="125" customWidth="1"/>
    <x:col min="4" max="4" width="8" style="125" customWidth="1"/>
    <x:col min="5" max="5" width="8" style="125" customWidth="1"/>
    <x:col min="6" max="6" width="12" style="125" customWidth="1"/>
    <x:col min="7" max="7" width="19" style="125" customWidth="1"/>
    <x:col min="8" max="8" width="17" style="125" customWidth="1"/>
  </x:cols>
  <x:sheetData>
    <x:row r="1">
      <x:c r="A1" s="92" t="inlineStr">
        <x:is>
          <x:t xml:space="preserve">Player</x:t>
        </x:is>
      </x:c>
      <x:c r="B1" s="92" t="inlineStr">
        <x:is>
          <x:t xml:space="preserve">Partner</x:t>
        </x:is>
      </x:c>
      <x:c r="C1" s="92" t="inlineStr">
        <x:is>
          <x:t xml:space="preserve">MP</x:t>
        </x:is>
      </x:c>
      <x:c r="D1" s="92" t="inlineStr">
        <x:is>
          <x:t xml:space="preserve">W</x:t>
        </x:is>
      </x:c>
      <x:c r="E1" s="92" t="inlineStr">
        <x:is>
          <x:t xml:space="preserve">L</x:t>
        </x:is>
      </x:c>
      <x:c r="F1" s="92" t="inlineStr">
        <x:is>
          <x:t xml:space="preserve">Pair Win %</x:t>
        </x:is>
      </x:c>
      <x:c r="G1" s="92" t="inlineStr">
        <x:is>
          <x:t xml:space="preserve">Partner Adjusted Win %</x:t>
        </x:is>
      </x:c>
      <x:c r="H1" s="92" t="inlineStr">
        <x:is>
          <x:t xml:space="preserve">Pair Lift vs Partner</x:t>
        </x:is>
      </x:c>
      <x:c r="I1" s="139" t="n"/>
      <x:c r="J1" s="139" t="n"/>
      <x:c r="K1" s="139" t="n"/>
      <x:c r="L1" s="139" t="n"/>
      <x:c r="M1" s="139" t="n"/>
      <x:c r="N1" s="139" t="n"/>
      <x:c r="O1" s="139" t="n"/>
      <x:c r="P1" s="139" t="n"/>
      <x:c r="Q1" s="139" t="n"/>
      <x:c r="R1" s="139" t="n"/>
      <x:c r="S1" s="139" t="n"/>
      <x:c r="T1" s="139" t="n"/>
      <x:c r="U1" s="139" t="n"/>
      <x:c r="V1" s="139" t="n"/>
      <x:c r="W1" s="139" t="n"/>
      <x:c r="X1" s="139" t="n"/>
      <x:c r="Y1" s="139" t="n"/>
      <x:c r="Z1" s="139" t="n"/>
      <x:c r="AA1" s="139" t="n"/>
      <x:c r="AB1" s="139" t="n"/>
      <x:c r="AC1" s="139" t="n"/>
      <x:c r="AD1" s="139" t="n"/>
      <x:c r="AE1" s="139" t="n"/>
      <x:c r="AF1" s="139" t="n"/>
      <x:c r="AG1" s="139" t="n"/>
      <x:c r="AH1" s="139" t="n"/>
      <x:c r="AI1" s="139" t="n"/>
      <x:c r="AJ1" s="139" t="n"/>
      <x:c r="AK1" s="139" t="n"/>
      <x:c r="AL1" s="139" t="n"/>
      <x:c r="AM1" s="139" t="n"/>
      <x:c r="AN1" s="139" t="n"/>
      <x:c r="AO1" s="139" t="n"/>
      <x:c r="AP1" s="139" t="n"/>
      <x:c r="AQ1" s="139" t="n"/>
      <x:c r="AR1" s="139" t="n"/>
      <x:c r="AS1" s="139" t="n"/>
      <x:c r="AT1" s="139" t="n"/>
      <x:c r="AU1" s="139" t="n"/>
      <x:c r="AV1" s="139" t="n"/>
      <x:c r="AW1" s="139" t="n"/>
      <x:c r="AX1" s="139" t="n"/>
      <x:c r="AY1" s="139" t="n"/>
      <x:c r="AZ1" s="139" t="n"/>
    </x:row>
    <x:row r="2">
      <x:c r="A2" s="139" t="inlineStr">
        <x:is>
          <x:t xml:space="preserve">Alice</x:t>
        </x:is>
      </x:c>
      <x:c r="B2" s="139" t="inlineStr">
        <x:is>
          <x:t xml:space="preserve">Ronald</x:t>
        </x:is>
      </x:c>
      <x:c r="C2" s="139" t="n">
        <x:v>2</x:v>
      </x:c>
      <x:c r="D2" s="139" t="n">
        <x:v>1</x:v>
      </x:c>
      <x:c r="E2" s="139" t="n">
        <x:v>1</x:v>
      </x:c>
      <x:c r="F2" s="93" t="n">
        <x:v>0.5</x:v>
      </x:c>
      <x:c r="G2" s="93" t="n">
        <x:v>0.6153846153846154</x:v>
      </x:c>
      <x:c r="H2" s="94" t="n">
        <x:v>-0.1153846153846154</x:v>
      </x:c>
      <x:c r="I2" s="139" t="n"/>
      <x:c r="J2" s="139" t="n"/>
      <x:c r="K2" s="139" t="n"/>
      <x:c r="L2" s="139" t="n"/>
      <x:c r="M2" s="139" t="n"/>
      <x:c r="N2" s="139" t="n"/>
      <x:c r="O2" s="139" t="n"/>
      <x:c r="P2" s="139" t="n"/>
      <x:c r="Q2" s="139" t="n"/>
      <x:c r="R2" s="139" t="n"/>
      <x:c r="S2" s="139" t="n"/>
      <x:c r="T2" s="139" t="n"/>
      <x:c r="U2" s="139" t="n"/>
      <x:c r="V2" s="139" t="n"/>
      <x:c r="W2" s="139" t="n"/>
      <x:c r="X2" s="139" t="n"/>
      <x:c r="Y2" s="139" t="n"/>
      <x:c r="Z2" s="139" t="n"/>
      <x:c r="AA2" s="139" t="n"/>
      <x:c r="AB2" s="139" t="n"/>
      <x:c r="AC2" s="139" t="n"/>
      <x:c r="AD2" s="139" t="n"/>
      <x:c r="AE2" s="139" t="n"/>
      <x:c r="AF2" s="139" t="n"/>
      <x:c r="AG2" s="139" t="n"/>
      <x:c r="AH2" s="139" t="n"/>
      <x:c r="AI2" s="139" t="n"/>
      <x:c r="AJ2" s="139" t="n"/>
      <x:c r="AK2" s="139" t="n"/>
      <x:c r="AL2" s="139" t="n"/>
      <x:c r="AM2" s="139" t="n"/>
      <x:c r="AN2" s="139" t="n"/>
      <x:c r="AO2" s="139" t="n"/>
      <x:c r="AP2" s="139" t="n"/>
      <x:c r="AQ2" s="139" t="n"/>
      <x:c r="AR2" s="139" t="n"/>
      <x:c r="AS2" s="139" t="n"/>
      <x:c r="AT2" s="139" t="n"/>
      <x:c r="AU2" s="139" t="n"/>
      <x:c r="AV2" s="139" t="n"/>
      <x:c r="AW2" s="139" t="n"/>
      <x:c r="AX2" s="139" t="n"/>
      <x:c r="AY2" s="139" t="n"/>
      <x:c r="AZ2" s="139" t="n"/>
    </x:row>
    <x:row r="3">
      <x:c r="A3" s="139" t="inlineStr">
        <x:is>
          <x:t xml:space="preserve">Alice</x:t>
        </x:is>
      </x:c>
      <x:c r="B3" s="139" t="inlineStr">
        <x:is>
          <x:t xml:space="preserve">David</x:t>
        </x:is>
      </x:c>
      <x:c r="C3" s="139" t="n">
        <x:v>2</x:v>
      </x:c>
      <x:c r="D3" s="139" t="n">
        <x:v>0</x:v>
      </x:c>
      <x:c r="E3" s="139" t="n">
        <x:v>2</x:v>
      </x:c>
      <x:c r="F3" s="93" t="n">
        <x:v>0</x:v>
      </x:c>
      <x:c r="G3" s="93" t="n">
        <x:v>0.45</x:v>
      </x:c>
      <x:c r="H3" s="94" t="n">
        <x:v>-0.45</x:v>
      </x:c>
      <x:c r="I3" s="139" t="n"/>
      <x:c r="J3" s="139" t="n"/>
      <x:c r="K3" s="139" t="n"/>
      <x:c r="L3" s="139" t="n"/>
      <x:c r="M3" s="139" t="n"/>
      <x:c r="N3" s="139" t="n"/>
      <x:c r="O3" s="139" t="n"/>
      <x:c r="P3" s="139" t="n"/>
      <x:c r="Q3" s="139" t="n"/>
      <x:c r="R3" s="139" t="n"/>
      <x:c r="S3" s="139" t="n"/>
      <x:c r="T3" s="139" t="n"/>
      <x:c r="U3" s="139" t="n"/>
      <x:c r="V3" s="139" t="n"/>
      <x:c r="W3" s="139" t="n"/>
      <x:c r="X3" s="139" t="n"/>
      <x:c r="Y3" s="139" t="n"/>
      <x:c r="Z3" s="139" t="n"/>
      <x:c r="AA3" s="139" t="n"/>
      <x:c r="AB3" s="139" t="n"/>
      <x:c r="AC3" s="139" t="n"/>
      <x:c r="AD3" s="139" t="n"/>
      <x:c r="AE3" s="139" t="n"/>
      <x:c r="AF3" s="139" t="n"/>
      <x:c r="AG3" s="139" t="n"/>
      <x:c r="AH3" s="139" t="n"/>
      <x:c r="AI3" s="139" t="n"/>
      <x:c r="AJ3" s="139" t="n"/>
      <x:c r="AK3" s="139" t="n"/>
      <x:c r="AL3" s="139" t="n"/>
      <x:c r="AM3" s="139" t="n"/>
      <x:c r="AN3" s="139" t="n"/>
      <x:c r="AO3" s="139" t="n"/>
      <x:c r="AP3" s="139" t="n"/>
      <x:c r="AQ3" s="139" t="n"/>
      <x:c r="AR3" s="139" t="n"/>
      <x:c r="AS3" s="139" t="n"/>
      <x:c r="AT3" s="139" t="n"/>
      <x:c r="AU3" s="139" t="n"/>
      <x:c r="AV3" s="139" t="n"/>
      <x:c r="AW3" s="139" t="n"/>
      <x:c r="AX3" s="139" t="n"/>
      <x:c r="AY3" s="139" t="n"/>
      <x:c r="AZ3" s="139" t="n"/>
    </x:row>
    <x:row r="4">
      <x:c r="A4" s="139" t="inlineStr">
        <x:is>
          <x:t xml:space="preserve">Alice</x:t>
        </x:is>
      </x:c>
      <x:c r="B4" s="139" t="inlineStr">
        <x:is>
          <x:t xml:space="preserve">Donny</x:t>
        </x:is>
      </x:c>
      <x:c r="C4" s="139" t="n">
        <x:v>1</x:v>
      </x:c>
      <x:c r="D4" s="139" t="n">
        <x:v>0</x:v>
      </x:c>
      <x:c r="E4" s="139" t="n">
        <x:v>1</x:v>
      </x:c>
      <x:c r="F4" s="93" t="n">
        <x:v>0</x:v>
      </x:c>
      <x:c r="G4" s="93" t="n">
        <x:v>0.4210526315789473</x:v>
      </x:c>
      <x:c r="H4" s="94" t="n">
        <x:v>-0.4210526315789473</x:v>
      </x:c>
      <x:c r="I4" s="139" t="n"/>
      <x:c r="J4" s="139" t="n"/>
      <x:c r="K4" s="139" t="n"/>
      <x:c r="L4" s="139" t="n"/>
      <x:c r="M4" s="139" t="n"/>
      <x:c r="N4" s="139" t="n"/>
      <x:c r="O4" s="139" t="n"/>
      <x:c r="P4" s="139" t="n"/>
      <x:c r="Q4" s="139" t="n"/>
      <x:c r="R4" s="139" t="n"/>
      <x:c r="S4" s="139" t="n"/>
      <x:c r="T4" s="139" t="n"/>
      <x:c r="U4" s="139" t="n"/>
      <x:c r="V4" s="139" t="n"/>
      <x:c r="W4" s="139" t="n"/>
      <x:c r="X4" s="139" t="n"/>
      <x:c r="Y4" s="139" t="n"/>
      <x:c r="Z4" s="139" t="n"/>
      <x:c r="AA4" s="139" t="n"/>
      <x:c r="AB4" s="139" t="n"/>
      <x:c r="AC4" s="139" t="n"/>
      <x:c r="AD4" s="139" t="n"/>
      <x:c r="AE4" s="139" t="n"/>
      <x:c r="AF4" s="139" t="n"/>
      <x:c r="AG4" s="139" t="n"/>
      <x:c r="AH4" s="139" t="n"/>
      <x:c r="AI4" s="139" t="n"/>
      <x:c r="AJ4" s="139" t="n"/>
      <x:c r="AK4" s="139" t="n"/>
      <x:c r="AL4" s="139" t="n"/>
      <x:c r="AM4" s="139" t="n"/>
      <x:c r="AN4" s="139" t="n"/>
      <x:c r="AO4" s="139" t="n"/>
      <x:c r="AP4" s="139" t="n"/>
      <x:c r="AQ4" s="139" t="n"/>
      <x:c r="AR4" s="139" t="n"/>
      <x:c r="AS4" s="139" t="n"/>
      <x:c r="AT4" s="139" t="n"/>
      <x:c r="AU4" s="139" t="n"/>
      <x:c r="AV4" s="139" t="n"/>
      <x:c r="AW4" s="139" t="n"/>
      <x:c r="AX4" s="139" t="n"/>
      <x:c r="AY4" s="139" t="n"/>
      <x:c r="AZ4" s="139" t="n"/>
    </x:row>
    <x:row r="5">
      <x:c r="A5" s="139" t="inlineStr">
        <x:is>
          <x:t xml:space="preserve">Alice</x:t>
        </x:is>
      </x:c>
      <x:c r="B5" s="139" t="inlineStr">
        <x:is>
          <x:t xml:space="preserve">Nico</x:t>
        </x:is>
      </x:c>
      <x:c r="C5" s="139" t="n">
        <x:v>1</x:v>
      </x:c>
      <x:c r="D5" s="139" t="n">
        <x:v>0</x:v>
      </x:c>
      <x:c r="E5" s="139" t="n">
        <x:v>1</x:v>
      </x:c>
      <x:c r="F5" s="93" t="n">
        <x:v>0</x:v>
      </x:c>
      <x:c r="G5" s="93" t="n">
        <x:v>0.4285714285714285</x:v>
      </x:c>
      <x:c r="H5" s="94" t="n">
        <x:v>-0.4285714285714285</x:v>
      </x:c>
      <x:c r="I5" s="139" t="n"/>
      <x:c r="J5" s="139" t="n"/>
      <x:c r="K5" s="139" t="n"/>
      <x:c r="L5" s="139" t="n"/>
      <x:c r="M5" s="139" t="n"/>
      <x:c r="N5" s="139" t="n"/>
      <x:c r="O5" s="139" t="n"/>
      <x:c r="P5" s="139" t="n"/>
      <x:c r="Q5" s="139" t="n"/>
      <x:c r="R5" s="139" t="n"/>
      <x:c r="S5" s="139" t="n"/>
      <x:c r="T5" s="139" t="n"/>
      <x:c r="U5" s="139" t="n"/>
      <x:c r="V5" s="139" t="n"/>
      <x:c r="W5" s="139" t="n"/>
      <x:c r="X5" s="139" t="n"/>
      <x:c r="Y5" s="139" t="n"/>
      <x:c r="Z5" s="139" t="n"/>
      <x:c r="AA5" s="139" t="n"/>
      <x:c r="AB5" s="139" t="n"/>
      <x:c r="AC5" s="139" t="n"/>
      <x:c r="AD5" s="139" t="n"/>
      <x:c r="AE5" s="139" t="n"/>
      <x:c r="AF5" s="139" t="n"/>
      <x:c r="AG5" s="139" t="n"/>
      <x:c r="AH5" s="139" t="n"/>
      <x:c r="AI5" s="139" t="n"/>
      <x:c r="AJ5" s="139" t="n"/>
      <x:c r="AK5" s="139" t="n"/>
      <x:c r="AL5" s="139" t="n"/>
      <x:c r="AM5" s="139" t="n"/>
      <x:c r="AN5" s="139" t="n"/>
      <x:c r="AO5" s="139" t="n"/>
      <x:c r="AP5" s="139" t="n"/>
      <x:c r="AQ5" s="139" t="n"/>
      <x:c r="AR5" s="139" t="n"/>
      <x:c r="AS5" s="139" t="n"/>
      <x:c r="AT5" s="139" t="n"/>
      <x:c r="AU5" s="139" t="n"/>
      <x:c r="AV5" s="139" t="n"/>
      <x:c r="AW5" s="139" t="n"/>
      <x:c r="AX5" s="139" t="n"/>
      <x:c r="AY5" s="139" t="n"/>
      <x:c r="AZ5" s="139" t="n"/>
    </x:row>
    <x:row r="6">
      <x:c r="A6" s="139" t="inlineStr">
        <x:is>
          <x:t xml:space="preserve">Alice</x:t>
        </x:is>
      </x:c>
      <x:c r="B6" s="139" t="inlineStr">
        <x:is>
          <x:t xml:space="preserve">Nicholas</x:t>
        </x:is>
      </x:c>
      <x:c r="C6" s="139" t="n">
        <x:v>1</x:v>
      </x:c>
      <x:c r="D6" s="139" t="n">
        <x:v>0</x:v>
      </x:c>
      <x:c r="E6" s="139" t="n">
        <x:v>1</x:v>
      </x:c>
      <x:c r="F6" s="93" t="n">
        <x:v>0</x:v>
      </x:c>
      <x:c r="G6" s="93" t="n">
        <x:v>0.4666666666666667</x:v>
      </x:c>
      <x:c r="H6" s="94" t="n">
        <x:v>-0.4666666666666667</x:v>
      </x:c>
      <x:c r="I6" s="139" t="n"/>
      <x:c r="J6" s="139" t="n"/>
      <x:c r="K6" s="139" t="n"/>
      <x:c r="L6" s="139" t="n"/>
      <x:c r="M6" s="139" t="n"/>
      <x:c r="N6" s="139" t="n"/>
      <x:c r="O6" s="139" t="n"/>
      <x:c r="P6" s="139" t="n"/>
      <x:c r="Q6" s="139" t="n"/>
      <x:c r="R6" s="139" t="n"/>
      <x:c r="S6" s="139" t="n"/>
      <x:c r="T6" s="139" t="n"/>
      <x:c r="U6" s="139" t="n"/>
      <x:c r="V6" s="139" t="n"/>
      <x:c r="W6" s="139" t="n"/>
      <x:c r="X6" s="139" t="n"/>
      <x:c r="Y6" s="139" t="n"/>
      <x:c r="Z6" s="139" t="n"/>
      <x:c r="AA6" s="139" t="n"/>
      <x:c r="AB6" s="139" t="n"/>
      <x:c r="AC6" s="139" t="n"/>
      <x:c r="AD6" s="139" t="n"/>
      <x:c r="AE6" s="139" t="n"/>
      <x:c r="AF6" s="139" t="n"/>
      <x:c r="AG6" s="139" t="n"/>
      <x:c r="AH6" s="139" t="n"/>
      <x:c r="AI6" s="139" t="n"/>
      <x:c r="AJ6" s="139" t="n"/>
      <x:c r="AK6" s="139" t="n"/>
      <x:c r="AL6" s="139" t="n"/>
      <x:c r="AM6" s="139" t="n"/>
      <x:c r="AN6" s="139" t="n"/>
      <x:c r="AO6" s="139" t="n"/>
      <x:c r="AP6" s="139" t="n"/>
      <x:c r="AQ6" s="139" t="n"/>
      <x:c r="AR6" s="139" t="n"/>
      <x:c r="AS6" s="139" t="n"/>
      <x:c r="AT6" s="139" t="n"/>
      <x:c r="AU6" s="139" t="n"/>
      <x:c r="AV6" s="139" t="n"/>
      <x:c r="AW6" s="139" t="n"/>
      <x:c r="AX6" s="139" t="n"/>
      <x:c r="AY6" s="139" t="n"/>
      <x:c r="AZ6" s="139" t="n"/>
    </x:row>
    <x:row r="7">
      <x:c r="A7" s="139" t="inlineStr">
        <x:is>
          <x:t xml:space="preserve">Alice</x:t>
        </x:is>
      </x:c>
      <x:c r="B7" s="139" t="inlineStr">
        <x:is>
          <x:t xml:space="preserve">Edy SP</x:t>
        </x:is>
      </x:c>
      <x:c r="C7" s="139" t="n">
        <x:v>1</x:v>
      </x:c>
      <x:c r="D7" s="139" t="n">
        <x:v>0</x:v>
      </x:c>
      <x:c r="E7" s="139" t="n">
        <x:v>1</x:v>
      </x:c>
      <x:c r="F7" s="93" t="n">
        <x:v>0</x:v>
      </x:c>
      <x:c r="G7" s="93" t="n">
        <x:v>0.4736842105263158</x:v>
      </x:c>
      <x:c r="H7" s="94" t="n">
        <x:v>-0.4736842105263158</x:v>
      </x:c>
      <x:c r="I7" s="139" t="n"/>
      <x:c r="J7" s="139" t="n"/>
      <x:c r="K7" s="139" t="n"/>
      <x:c r="L7" s="139" t="n"/>
      <x:c r="M7" s="139" t="n"/>
      <x:c r="N7" s="139" t="n"/>
      <x:c r="O7" s="139" t="n"/>
      <x:c r="P7" s="139" t="n"/>
      <x:c r="Q7" s="139" t="n"/>
      <x:c r="R7" s="139" t="n"/>
      <x:c r="S7" s="139" t="n"/>
      <x:c r="T7" s="139" t="n"/>
      <x:c r="U7" s="139" t="n"/>
      <x:c r="V7" s="139" t="n"/>
      <x:c r="W7" s="139" t="n"/>
      <x:c r="X7" s="139" t="n"/>
      <x:c r="Y7" s="139" t="n"/>
      <x:c r="Z7" s="139" t="n"/>
      <x:c r="AA7" s="139" t="n"/>
      <x:c r="AB7" s="139" t="n"/>
      <x:c r="AC7" s="139" t="n"/>
      <x:c r="AD7" s="139" t="n"/>
      <x:c r="AE7" s="139" t="n"/>
      <x:c r="AF7" s="139" t="n"/>
      <x:c r="AG7" s="139" t="n"/>
      <x:c r="AH7" s="139" t="n"/>
      <x:c r="AI7" s="139" t="n"/>
      <x:c r="AJ7" s="139" t="n"/>
      <x:c r="AK7" s="139" t="n"/>
      <x:c r="AL7" s="139" t="n"/>
      <x:c r="AM7" s="139" t="n"/>
      <x:c r="AN7" s="139" t="n"/>
      <x:c r="AO7" s="139" t="n"/>
      <x:c r="AP7" s="139" t="n"/>
      <x:c r="AQ7" s="139" t="n"/>
      <x:c r="AR7" s="139" t="n"/>
      <x:c r="AS7" s="139" t="n"/>
      <x:c r="AT7" s="139" t="n"/>
      <x:c r="AU7" s="139" t="n"/>
      <x:c r="AV7" s="139" t="n"/>
      <x:c r="AW7" s="139" t="n"/>
      <x:c r="AX7" s="139" t="n"/>
      <x:c r="AY7" s="139" t="n"/>
      <x:c r="AZ7" s="139" t="n"/>
    </x:row>
    <x:row r="8">
      <x:c r="A8" s="139" t="inlineStr">
        <x:is>
          <x:t xml:space="preserve">Alice</x:t>
        </x:is>
      </x:c>
      <x:c r="B8" s="139" t="inlineStr">
        <x:is>
          <x:t xml:space="preserve">Michael</x:t>
        </x:is>
      </x:c>
      <x:c r="C8" s="139" t="n">
        <x:v>1</x:v>
      </x:c>
      <x:c r="D8" s="139" t="n">
        <x:v>0</x:v>
      </x:c>
      <x:c r="E8" s="139" t="n">
        <x:v>1</x:v>
      </x:c>
      <x:c r="F8" s="93" t="n">
        <x:v>0</x:v>
      </x:c>
      <x:c r="G8" s="93" t="n">
        <x:v>0.4761904761904762</x:v>
      </x:c>
      <x:c r="H8" s="94" t="n">
        <x:v>-0.4761904761904762</x:v>
      </x:c>
      <x:c r="I8" s="139" t="n"/>
      <x:c r="J8" s="139" t="n"/>
      <x:c r="K8" s="139" t="n"/>
      <x:c r="L8" s="139" t="n"/>
      <x:c r="M8" s="139" t="n"/>
      <x:c r="N8" s="139" t="n"/>
      <x:c r="O8" s="139" t="n"/>
      <x:c r="P8" s="139" t="n"/>
      <x:c r="Q8" s="139" t="n"/>
      <x:c r="R8" s="139" t="n"/>
      <x:c r="S8" s="139" t="n"/>
      <x:c r="T8" s="139" t="n"/>
      <x:c r="U8" s="139" t="n"/>
      <x:c r="V8" s="139" t="n"/>
      <x:c r="W8" s="139" t="n"/>
      <x:c r="X8" s="139" t="n"/>
      <x:c r="Y8" s="139" t="n"/>
      <x:c r="Z8" s="139" t="n"/>
      <x:c r="AA8" s="139" t="n"/>
      <x:c r="AB8" s="139" t="n"/>
      <x:c r="AC8" s="139" t="n"/>
      <x:c r="AD8" s="139" t="n"/>
      <x:c r="AE8" s="139" t="n"/>
      <x:c r="AF8" s="139" t="n"/>
      <x:c r="AG8" s="139" t="n"/>
      <x:c r="AH8" s="139" t="n"/>
      <x:c r="AI8" s="139" t="n"/>
      <x:c r="AJ8" s="139" t="n"/>
      <x:c r="AK8" s="139" t="n"/>
      <x:c r="AL8" s="139" t="n"/>
      <x:c r="AM8" s="139" t="n"/>
      <x:c r="AN8" s="139" t="n"/>
      <x:c r="AO8" s="139" t="n"/>
      <x:c r="AP8" s="139" t="n"/>
      <x:c r="AQ8" s="139" t="n"/>
      <x:c r="AR8" s="139" t="n"/>
      <x:c r="AS8" s="139" t="n"/>
      <x:c r="AT8" s="139" t="n"/>
      <x:c r="AU8" s="139" t="n"/>
      <x:c r="AV8" s="139" t="n"/>
      <x:c r="AW8" s="139" t="n"/>
      <x:c r="AX8" s="139" t="n"/>
      <x:c r="AY8" s="139" t="n"/>
      <x:c r="AZ8" s="139" t="n"/>
    </x:row>
    <x:row r="9">
      <x:c r="A9" s="139" t="inlineStr">
        <x:is>
          <x:t xml:space="preserve">Alice</x:t>
        </x:is>
      </x:c>
      <x:c r="B9" s="139" t="inlineStr">
        <x:is>
          <x:t xml:space="preserve">Ricky</x:t>
        </x:is>
      </x:c>
      <x:c r="C9" s="139" t="n">
        <x:v>1</x:v>
      </x:c>
      <x:c r="D9" s="139" t="n">
        <x:v>0</x:v>
      </x:c>
      <x:c r="E9" s="139" t="n">
        <x:v>1</x:v>
      </x:c>
      <x:c r="F9" s="93" t="n">
        <x:v>0</x:v>
      </x:c>
      <x:c r="G9" s="93" t="n">
        <x:v>0.5882352941176471</x:v>
      </x:c>
      <x:c r="H9" s="94" t="n">
        <x:v>-0.5882352941176471</x:v>
      </x:c>
      <x:c r="I9" s="139" t="n"/>
      <x:c r="J9" s="139" t="n"/>
      <x:c r="K9" s="139" t="n"/>
      <x:c r="L9" s="139" t="n"/>
      <x:c r="M9" s="139" t="n"/>
      <x:c r="N9" s="139" t="n"/>
      <x:c r="O9" s="139" t="n"/>
      <x:c r="P9" s="139" t="n"/>
      <x:c r="Q9" s="139" t="n"/>
      <x:c r="R9" s="139" t="n"/>
      <x:c r="S9" s="139" t="n"/>
      <x:c r="T9" s="139" t="n"/>
      <x:c r="U9" s="139" t="n"/>
      <x:c r="V9" s="139" t="n"/>
      <x:c r="W9" s="139" t="n"/>
      <x:c r="X9" s="139" t="n"/>
      <x:c r="Y9" s="139" t="n"/>
      <x:c r="Z9" s="139" t="n"/>
      <x:c r="AA9" s="139" t="n"/>
      <x:c r="AB9" s="139" t="n"/>
      <x:c r="AC9" s="139" t="n"/>
      <x:c r="AD9" s="139" t="n"/>
      <x:c r="AE9" s="139" t="n"/>
      <x:c r="AF9" s="139" t="n"/>
      <x:c r="AG9" s="139" t="n"/>
      <x:c r="AH9" s="139" t="n"/>
      <x:c r="AI9" s="139" t="n"/>
      <x:c r="AJ9" s="139" t="n"/>
      <x:c r="AK9" s="139" t="n"/>
      <x:c r="AL9" s="139" t="n"/>
      <x:c r="AM9" s="139" t="n"/>
      <x:c r="AN9" s="139" t="n"/>
      <x:c r="AO9" s="139" t="n"/>
      <x:c r="AP9" s="139" t="n"/>
      <x:c r="AQ9" s="139" t="n"/>
      <x:c r="AR9" s="139" t="n"/>
      <x:c r="AS9" s="139" t="n"/>
      <x:c r="AT9" s="139" t="n"/>
      <x:c r="AU9" s="139" t="n"/>
      <x:c r="AV9" s="139" t="n"/>
      <x:c r="AW9" s="139" t="n"/>
      <x:c r="AX9" s="139" t="n"/>
      <x:c r="AY9" s="139" t="n"/>
      <x:c r="AZ9" s="139" t="n"/>
    </x:row>
    <x:row r="10">
      <x:c r="A10" s="139" t="inlineStr">
        <x:is>
          <x:t xml:space="preserve">Alice</x:t>
        </x:is>
      </x:c>
      <x:c r="B10" s="139" t="inlineStr">
        <x:is>
          <x:t xml:space="preserve">Austin</x:t>
        </x:is>
      </x:c>
      <x:c r="C10" s="139" t="n">
        <x:v>1</x:v>
      </x:c>
      <x:c r="D10" s="139" t="n">
        <x:v>0</x:v>
      </x:c>
      <x:c r="E10" s="139" t="n">
        <x:v>1</x:v>
      </x:c>
      <x:c r="F10" s="93" t="n">
        <x:v>0</x:v>
      </x:c>
      <x:c r="G10" s="93" t="n">
        <x:v>0.5909090909090909</x:v>
      </x:c>
      <x:c r="H10" s="94" t="n">
        <x:v>-0.5909090909090909</x:v>
      </x:c>
      <x:c r="I10" s="139" t="n"/>
      <x:c r="J10" s="139" t="n"/>
      <x:c r="K10" s="139" t="n"/>
      <x:c r="L10" s="139" t="n"/>
      <x:c r="M10" s="139" t="n"/>
      <x:c r="N10" s="139" t="n"/>
      <x:c r="O10" s="139" t="n"/>
      <x:c r="P10" s="139" t="n"/>
      <x:c r="Q10" s="139" t="n"/>
      <x:c r="R10" s="139" t="n"/>
      <x:c r="S10" s="139" t="n"/>
      <x:c r="T10" s="139" t="n"/>
      <x:c r="U10" s="139" t="n"/>
      <x:c r="V10" s="139" t="n"/>
      <x:c r="W10" s="139" t="n"/>
      <x:c r="X10" s="139" t="n"/>
      <x:c r="Y10" s="139" t="n"/>
      <x:c r="Z10" s="139" t="n"/>
      <x:c r="AA10" s="139" t="n"/>
      <x:c r="AB10" s="139" t="n"/>
      <x:c r="AC10" s="139" t="n"/>
      <x:c r="AD10" s="139" t="n"/>
      <x:c r="AE10" s="139" t="n"/>
      <x:c r="AF10" s="139" t="n"/>
      <x:c r="AG10" s="139" t="n"/>
      <x:c r="AH10" s="139" t="n"/>
      <x:c r="AI10" s="139" t="n"/>
      <x:c r="AJ10" s="139" t="n"/>
      <x:c r="AK10" s="139" t="n"/>
      <x:c r="AL10" s="139" t="n"/>
      <x:c r="AM10" s="139" t="n"/>
      <x:c r="AN10" s="139" t="n"/>
      <x:c r="AO10" s="139" t="n"/>
      <x:c r="AP10" s="139" t="n"/>
      <x:c r="AQ10" s="139" t="n"/>
      <x:c r="AR10" s="139" t="n"/>
      <x:c r="AS10" s="139" t="n"/>
      <x:c r="AT10" s="139" t="n"/>
      <x:c r="AU10" s="139" t="n"/>
      <x:c r="AV10" s="139" t="n"/>
      <x:c r="AW10" s="139" t="n"/>
      <x:c r="AX10" s="139" t="n"/>
      <x:c r="AY10" s="139" t="n"/>
      <x:c r="AZ10" s="139" t="n"/>
    </x:row>
    <x:row r="11">
      <x:c r="A11" s="139" t="inlineStr">
        <x:is>
          <x:t xml:space="preserve">Alice</x:t>
        </x:is>
      </x:c>
      <x:c r="B11" s="139" t="inlineStr">
        <x:is>
          <x:t xml:space="preserve">Rey</x:t>
        </x:is>
      </x:c>
      <x:c r="C11" s="139" t="n">
        <x:v>1</x:v>
      </x:c>
      <x:c r="D11" s="139" t="n">
        <x:v>0</x:v>
      </x:c>
      <x:c r="E11" s="139" t="n">
        <x:v>1</x:v>
      </x:c>
      <x:c r="F11" s="93" t="n">
        <x:v>0</x:v>
      </x:c>
      <x:c r="G11" s="93" t="n">
        <x:v>0.6</x:v>
      </x:c>
      <x:c r="H11" s="94" t="n">
        <x:v>-0.6</x:v>
      </x:c>
      <x:c r="I11" s="139" t="n"/>
      <x:c r="J11" s="139" t="n"/>
      <x:c r="K11" s="139" t="n"/>
      <x:c r="L11" s="139" t="n"/>
      <x:c r="M11" s="139" t="n"/>
      <x:c r="N11" s="139" t="n"/>
      <x:c r="O11" s="139" t="n"/>
      <x:c r="P11" s="139" t="n"/>
      <x:c r="Q11" s="139" t="n"/>
      <x:c r="R11" s="139" t="n"/>
      <x:c r="S11" s="139" t="n"/>
      <x:c r="T11" s="139" t="n"/>
      <x:c r="U11" s="139" t="n"/>
      <x:c r="V11" s="139" t="n"/>
      <x:c r="W11" s="139" t="n"/>
      <x:c r="X11" s="139" t="n"/>
      <x:c r="Y11" s="139" t="n"/>
      <x:c r="Z11" s="139" t="n"/>
      <x:c r="AA11" s="139" t="n"/>
      <x:c r="AB11" s="139" t="n"/>
      <x:c r="AC11" s="139" t="n"/>
      <x:c r="AD11" s="139" t="n"/>
      <x:c r="AE11" s="139" t="n"/>
      <x:c r="AF11" s="139" t="n"/>
      <x:c r="AG11" s="139" t="n"/>
      <x:c r="AH11" s="139" t="n"/>
      <x:c r="AI11" s="139" t="n"/>
      <x:c r="AJ11" s="139" t="n"/>
      <x:c r="AK11" s="139" t="n"/>
      <x:c r="AL11" s="139" t="n"/>
      <x:c r="AM11" s="139" t="n"/>
      <x:c r="AN11" s="139" t="n"/>
      <x:c r="AO11" s="139" t="n"/>
      <x:c r="AP11" s="139" t="n"/>
      <x:c r="AQ11" s="139" t="n"/>
      <x:c r="AR11" s="139" t="n"/>
      <x:c r="AS11" s="139" t="n"/>
      <x:c r="AT11" s="139" t="n"/>
      <x:c r="AU11" s="139" t="n"/>
      <x:c r="AV11" s="139" t="n"/>
      <x:c r="AW11" s="139" t="n"/>
      <x:c r="AX11" s="139" t="n"/>
      <x:c r="AY11" s="139" t="n"/>
      <x:c r="AZ11" s="139" t="n"/>
    </x:row>
    <x:row r="12">
      <x:c r="A12" s="139" t="inlineStr">
        <x:is>
          <x:t xml:space="preserve">Alice</x:t>
        </x:is>
      </x:c>
      <x:c r="B12" s="139" t="inlineStr">
        <x:is>
          <x:t xml:space="preserve">Kennard</x:t>
        </x:is>
      </x:c>
      <x:c r="C12" s="139" t="n">
        <x:v>1</x:v>
      </x:c>
      <x:c r="D12" s="139" t="n">
        <x:v>0</x:v>
      </x:c>
      <x:c r="E12" s="139" t="n">
        <x:v>1</x:v>
      </x:c>
      <x:c r="F12" s="93" t="n">
        <x:v>0</x:v>
      </x:c>
      <x:c r="G12" s="93" t="n">
        <x:v>0.6190476190476191</x:v>
      </x:c>
      <x:c r="H12" s="94" t="n">
        <x:v>-0.6190476190476191</x:v>
      </x:c>
      <x:c r="I12" s="139" t="n"/>
      <x:c r="J12" s="139" t="n"/>
      <x:c r="K12" s="139" t="n"/>
      <x:c r="L12" s="139" t="n"/>
      <x:c r="M12" s="139" t="n"/>
      <x:c r="N12" s="139" t="n"/>
      <x:c r="O12" s="139" t="n"/>
      <x:c r="P12" s="139" t="n"/>
      <x:c r="Q12" s="139" t="n"/>
      <x:c r="R12" s="139" t="n"/>
      <x:c r="S12" s="139" t="n"/>
      <x:c r="T12" s="139" t="n"/>
      <x:c r="U12" s="139" t="n"/>
      <x:c r="V12" s="139" t="n"/>
      <x:c r="W12" s="139" t="n"/>
      <x:c r="X12" s="139" t="n"/>
      <x:c r="Y12" s="139" t="n"/>
      <x:c r="Z12" s="139" t="n"/>
      <x:c r="AA12" s="139" t="n"/>
      <x:c r="AB12" s="139" t="n"/>
      <x:c r="AC12" s="139" t="n"/>
      <x:c r="AD12" s="139" t="n"/>
      <x:c r="AE12" s="139" t="n"/>
      <x:c r="AF12" s="139" t="n"/>
      <x:c r="AG12" s="139" t="n"/>
      <x:c r="AH12" s="139" t="n"/>
      <x:c r="AI12" s="139" t="n"/>
      <x:c r="AJ12" s="139" t="n"/>
      <x:c r="AK12" s="139" t="n"/>
      <x:c r="AL12" s="139" t="n"/>
      <x:c r="AM12" s="139" t="n"/>
      <x:c r="AN12" s="139" t="n"/>
      <x:c r="AO12" s="139" t="n"/>
      <x:c r="AP12" s="139" t="n"/>
      <x:c r="AQ12" s="139" t="n"/>
      <x:c r="AR12" s="139" t="n"/>
      <x:c r="AS12" s="139" t="n"/>
      <x:c r="AT12" s="139" t="n"/>
      <x:c r="AU12" s="139" t="n"/>
      <x:c r="AV12" s="139" t="n"/>
      <x:c r="AW12" s="139" t="n"/>
      <x:c r="AX12" s="139" t="n"/>
      <x:c r="AY12" s="139" t="n"/>
      <x:c r="AZ12" s="139" t="n"/>
    </x:row>
    <x:row r="13">
      <x:c r="A13" s="139" t="inlineStr">
        <x:is>
          <x:t xml:space="preserve">Alice</x:t>
        </x:is>
      </x:c>
      <x:c r="B13" s="139" t="inlineStr">
        <x:is>
          <x:t xml:space="preserve">Sandy</x:t>
        </x:is>
      </x:c>
      <x:c r="C13" s="139" t="n">
        <x:v>1</x:v>
      </x:c>
      <x:c r="D13" s="139" t="n">
        <x:v>0</x:v>
      </x:c>
      <x:c r="E13" s="139" t="n">
        <x:v>1</x:v>
      </x:c>
      <x:c r="F13" s="93" t="n">
        <x:v>0</x:v>
      </x:c>
      <x:c r="G13" s="93" t="n">
        <x:v>0.7142857142857143</x:v>
      </x:c>
      <x:c r="H13" s="94" t="n">
        <x:v>-0.7142857142857143</x:v>
      </x:c>
      <x:c r="I13" s="139" t="n"/>
      <x:c r="J13" s="139" t="n"/>
      <x:c r="K13" s="139" t="n"/>
      <x:c r="L13" s="139" t="n"/>
      <x:c r="M13" s="139" t="n"/>
      <x:c r="N13" s="139" t="n"/>
      <x:c r="O13" s="139" t="n"/>
      <x:c r="P13" s="139" t="n"/>
      <x:c r="Q13" s="139" t="n"/>
      <x:c r="R13" s="139" t="n"/>
      <x:c r="S13" s="139" t="n"/>
      <x:c r="T13" s="139" t="n"/>
      <x:c r="U13" s="139" t="n"/>
      <x:c r="V13" s="139" t="n"/>
      <x:c r="W13" s="139" t="n"/>
      <x:c r="X13" s="139" t="n"/>
      <x:c r="Y13" s="139" t="n"/>
      <x:c r="Z13" s="139" t="n"/>
      <x:c r="AA13" s="139" t="n"/>
      <x:c r="AB13" s="139" t="n"/>
      <x:c r="AC13" s="139" t="n"/>
      <x:c r="AD13" s="139" t="n"/>
      <x:c r="AE13" s="139" t="n"/>
      <x:c r="AF13" s="139" t="n"/>
      <x:c r="AG13" s="139" t="n"/>
      <x:c r="AH13" s="139" t="n"/>
      <x:c r="AI13" s="139" t="n"/>
      <x:c r="AJ13" s="139" t="n"/>
      <x:c r="AK13" s="139" t="n"/>
      <x:c r="AL13" s="139" t="n"/>
      <x:c r="AM13" s="139" t="n"/>
      <x:c r="AN13" s="139" t="n"/>
      <x:c r="AO13" s="139" t="n"/>
      <x:c r="AP13" s="139" t="n"/>
      <x:c r="AQ13" s="139" t="n"/>
      <x:c r="AR13" s="139" t="n"/>
      <x:c r="AS13" s="139" t="n"/>
      <x:c r="AT13" s="139" t="n"/>
      <x:c r="AU13" s="139" t="n"/>
      <x:c r="AV13" s="139" t="n"/>
      <x:c r="AW13" s="139" t="n"/>
      <x:c r="AX13" s="139" t="n"/>
      <x:c r="AY13" s="139" t="n"/>
      <x:c r="AZ13" s="139" t="n"/>
    </x:row>
    <x:row r="14">
      <x:c r="A14" s="139" t="inlineStr">
        <x:is>
          <x:t xml:space="preserve">Alwin</x:t>
        </x:is>
      </x:c>
      <x:c r="B14" s="139" t="inlineStr">
        <x:is>
          <x:t xml:space="preserve">Sandy</x:t>
        </x:is>
      </x:c>
      <x:c r="C14" s="139" t="n">
        <x:v>1</x:v>
      </x:c>
      <x:c r="D14" s="139" t="n">
        <x:v>1</x:v>
      </x:c>
      <x:c r="E14" s="139" t="n">
        <x:v>0</x:v>
      </x:c>
      <x:c r="F14" s="93" t="n">
        <x:v>1</x:v>
      </x:c>
      <x:c r="G14" s="93" t="n">
        <x:v>0.7142857142857143</x:v>
      </x:c>
      <x:c r="H14" s="94" t="n">
        <x:v>0.2857142857142857</x:v>
      </x:c>
      <x:c r="I14" s="139" t="n"/>
      <x:c r="J14" s="139" t="n"/>
      <x:c r="K14" s="139" t="n"/>
      <x:c r="L14" s="139" t="n"/>
      <x:c r="M14" s="139" t="n"/>
      <x:c r="N14" s="139" t="n"/>
      <x:c r="O14" s="139" t="n"/>
      <x:c r="P14" s="139" t="n"/>
      <x:c r="Q14" s="139" t="n"/>
      <x:c r="R14" s="139" t="n"/>
      <x:c r="S14" s="139" t="n"/>
      <x:c r="T14" s="139" t="n"/>
      <x:c r="U14" s="139" t="n"/>
      <x:c r="V14" s="139" t="n"/>
      <x:c r="W14" s="139" t="n"/>
      <x:c r="X14" s="139" t="n"/>
      <x:c r="Y14" s="139" t="n"/>
      <x:c r="Z14" s="139" t="n"/>
      <x:c r="AA14" s="139" t="n"/>
      <x:c r="AB14" s="139" t="n"/>
      <x:c r="AC14" s="139" t="n"/>
      <x:c r="AD14" s="139" t="n"/>
      <x:c r="AE14" s="139" t="n"/>
      <x:c r="AF14" s="139" t="n"/>
      <x:c r="AG14" s="139" t="n"/>
      <x:c r="AH14" s="139" t="n"/>
      <x:c r="AI14" s="139" t="n"/>
      <x:c r="AJ14" s="139" t="n"/>
      <x:c r="AK14" s="139" t="n"/>
      <x:c r="AL14" s="139" t="n"/>
      <x:c r="AM14" s="139" t="n"/>
      <x:c r="AN14" s="139" t="n"/>
      <x:c r="AO14" s="139" t="n"/>
      <x:c r="AP14" s="139" t="n"/>
      <x:c r="AQ14" s="139" t="n"/>
      <x:c r="AR14" s="139" t="n"/>
      <x:c r="AS14" s="139" t="n"/>
      <x:c r="AT14" s="139" t="n"/>
      <x:c r="AU14" s="139" t="n"/>
      <x:c r="AV14" s="139" t="n"/>
      <x:c r="AW14" s="139" t="n"/>
      <x:c r="AX14" s="139" t="n"/>
      <x:c r="AY14" s="139" t="n"/>
      <x:c r="AZ14" s="139" t="n"/>
    </x:row>
    <x:row r="15">
      <x:c r="A15" s="139" t="inlineStr">
        <x:is>
          <x:t xml:space="preserve">Alwin</x:t>
        </x:is>
      </x:c>
      <x:c r="B15" s="139" t="inlineStr">
        <x:is>
          <x:t xml:space="preserve">Reza</x:t>
        </x:is>
      </x:c>
      <x:c r="C15" s="139" t="n">
        <x:v>1</x:v>
      </x:c>
      <x:c r="D15" s="139" t="n">
        <x:v>0</x:v>
      </x:c>
      <x:c r="E15" s="139" t="n">
        <x:v>1</x:v>
      </x:c>
      <x:c r="F15" s="93" t="n">
        <x:v>0</x:v>
      </x:c>
      <x:c r="G15" s="93" t="n">
        <x:v>0.4285714285714285</x:v>
      </x:c>
      <x:c r="H15" s="94" t="n">
        <x:v>-0.4285714285714285</x:v>
      </x:c>
      <x:c r="I15" s="139" t="n"/>
      <x:c r="J15" s="139" t="n"/>
      <x:c r="K15" s="139" t="n"/>
      <x:c r="L15" s="139" t="n"/>
      <x:c r="M15" s="139" t="n"/>
      <x:c r="N15" s="139" t="n"/>
      <x:c r="O15" s="139" t="n"/>
      <x:c r="P15" s="139" t="n"/>
      <x:c r="Q15" s="139" t="n"/>
      <x:c r="R15" s="139" t="n"/>
      <x:c r="S15" s="139" t="n"/>
      <x:c r="T15" s="139" t="n"/>
      <x:c r="U15" s="139" t="n"/>
      <x:c r="V15" s="139" t="n"/>
      <x:c r="W15" s="139" t="n"/>
      <x:c r="X15" s="139" t="n"/>
      <x:c r="Y15" s="139" t="n"/>
      <x:c r="Z15" s="139" t="n"/>
      <x:c r="AA15" s="139" t="n"/>
      <x:c r="AB15" s="139" t="n"/>
      <x:c r="AC15" s="139" t="n"/>
      <x:c r="AD15" s="139" t="n"/>
      <x:c r="AE15" s="139" t="n"/>
      <x:c r="AF15" s="139" t="n"/>
      <x:c r="AG15" s="139" t="n"/>
      <x:c r="AH15" s="139" t="n"/>
      <x:c r="AI15" s="139" t="n"/>
      <x:c r="AJ15" s="139" t="n"/>
      <x:c r="AK15" s="139" t="n"/>
      <x:c r="AL15" s="139" t="n"/>
      <x:c r="AM15" s="139" t="n"/>
      <x:c r="AN15" s="139" t="n"/>
      <x:c r="AO15" s="139" t="n"/>
      <x:c r="AP15" s="139" t="n"/>
      <x:c r="AQ15" s="139" t="n"/>
      <x:c r="AR15" s="139" t="n"/>
      <x:c r="AS15" s="139" t="n"/>
      <x:c r="AT15" s="139" t="n"/>
      <x:c r="AU15" s="139" t="n"/>
      <x:c r="AV15" s="139" t="n"/>
      <x:c r="AW15" s="139" t="n"/>
      <x:c r="AX15" s="139" t="n"/>
      <x:c r="AY15" s="139" t="n"/>
      <x:c r="AZ15" s="139" t="n"/>
    </x:row>
    <x:row r="16">
      <x:c r="A16" s="139" t="inlineStr">
        <x:is>
          <x:t xml:space="preserve">Alwin</x:t>
        </x:is>
      </x:c>
      <x:c r="B16" s="139" t="inlineStr">
        <x:is>
          <x:t xml:space="preserve">Edy SP</x:t>
        </x:is>
      </x:c>
      <x:c r="C16" s="139" t="n">
        <x:v>1</x:v>
      </x:c>
      <x:c r="D16" s="139" t="n">
        <x:v>0</x:v>
      </x:c>
      <x:c r="E16" s="139" t="n">
        <x:v>1</x:v>
      </x:c>
      <x:c r="F16" s="93" t="n">
        <x:v>0</x:v>
      </x:c>
      <x:c r="G16" s="93" t="n">
        <x:v>0.4736842105263158</x:v>
      </x:c>
      <x:c r="H16" s="94" t="n">
        <x:v>-0.4736842105263158</x:v>
      </x:c>
      <x:c r="I16" s="139" t="n"/>
      <x:c r="J16" s="139" t="n"/>
      <x:c r="K16" s="139" t="n"/>
      <x:c r="L16" s="139" t="n"/>
      <x:c r="M16" s="139" t="n"/>
      <x:c r="N16" s="139" t="n"/>
      <x:c r="O16" s="139" t="n"/>
      <x:c r="P16" s="139" t="n"/>
      <x:c r="Q16" s="139" t="n"/>
      <x:c r="R16" s="139" t="n"/>
      <x:c r="S16" s="139" t="n"/>
      <x:c r="T16" s="139" t="n"/>
      <x:c r="U16" s="139" t="n"/>
      <x:c r="V16" s="139" t="n"/>
      <x:c r="W16" s="139" t="n"/>
      <x:c r="X16" s="139" t="n"/>
      <x:c r="Y16" s="139" t="n"/>
      <x:c r="Z16" s="139" t="n"/>
      <x:c r="AA16" s="139" t="n"/>
      <x:c r="AB16" s="139" t="n"/>
      <x:c r="AC16" s="139" t="n"/>
      <x:c r="AD16" s="139" t="n"/>
      <x:c r="AE16" s="139" t="n"/>
      <x:c r="AF16" s="139" t="n"/>
      <x:c r="AG16" s="139" t="n"/>
      <x:c r="AH16" s="139" t="n"/>
      <x:c r="AI16" s="139" t="n"/>
      <x:c r="AJ16" s="139" t="n"/>
      <x:c r="AK16" s="139" t="n"/>
      <x:c r="AL16" s="139" t="n"/>
      <x:c r="AM16" s="139" t="n"/>
      <x:c r="AN16" s="139" t="n"/>
      <x:c r="AO16" s="139" t="n"/>
      <x:c r="AP16" s="139" t="n"/>
      <x:c r="AQ16" s="139" t="n"/>
      <x:c r="AR16" s="139" t="n"/>
      <x:c r="AS16" s="139" t="n"/>
      <x:c r="AT16" s="139" t="n"/>
      <x:c r="AU16" s="139" t="n"/>
      <x:c r="AV16" s="139" t="n"/>
      <x:c r="AW16" s="139" t="n"/>
      <x:c r="AX16" s="139" t="n"/>
      <x:c r="AY16" s="139" t="n"/>
      <x:c r="AZ16" s="139" t="n"/>
    </x:row>
    <x:row r="17">
      <x:c r="A17" s="139" t="inlineStr">
        <x:is>
          <x:t xml:space="preserve">Alwin</x:t>
        </x:is>
      </x:c>
      <x:c r="B17" s="139" t="inlineStr">
        <x:is>
          <x:t xml:space="preserve">Michael</x:t>
        </x:is>
      </x:c>
      <x:c r="C17" s="139" t="n">
        <x:v>1</x:v>
      </x:c>
      <x:c r="D17" s="139" t="n">
        <x:v>0</x:v>
      </x:c>
      <x:c r="E17" s="139" t="n">
        <x:v>1</x:v>
      </x:c>
      <x:c r="F17" s="93" t="n">
        <x:v>0</x:v>
      </x:c>
      <x:c r="G17" s="93" t="n">
        <x:v>0.4761904761904762</x:v>
      </x:c>
      <x:c r="H17" s="94" t="n">
        <x:v>-0.4761904761904762</x:v>
      </x:c>
      <x:c r="I17" s="139" t="n"/>
      <x:c r="J17" s="139" t="n"/>
      <x:c r="K17" s="139" t="n"/>
      <x:c r="L17" s="139" t="n"/>
      <x:c r="M17" s="139" t="n"/>
      <x:c r="N17" s="139" t="n"/>
      <x:c r="O17" s="139" t="n"/>
      <x:c r="P17" s="139" t="n"/>
      <x:c r="Q17" s="139" t="n"/>
      <x:c r="R17" s="139" t="n"/>
      <x:c r="S17" s="139" t="n"/>
      <x:c r="T17" s="139" t="n"/>
      <x:c r="U17" s="139" t="n"/>
      <x:c r="V17" s="139" t="n"/>
      <x:c r="W17" s="139" t="n"/>
      <x:c r="X17" s="139" t="n"/>
      <x:c r="Y17" s="139" t="n"/>
      <x:c r="Z17" s="139" t="n"/>
      <x:c r="AA17" s="139" t="n"/>
      <x:c r="AB17" s="139" t="n"/>
      <x:c r="AC17" s="139" t="n"/>
      <x:c r="AD17" s="139" t="n"/>
      <x:c r="AE17" s="139" t="n"/>
      <x:c r="AF17" s="139" t="n"/>
      <x:c r="AG17" s="139" t="n"/>
      <x:c r="AH17" s="139" t="n"/>
      <x:c r="AI17" s="139" t="n"/>
      <x:c r="AJ17" s="139" t="n"/>
      <x:c r="AK17" s="139" t="n"/>
      <x:c r="AL17" s="139" t="n"/>
      <x:c r="AM17" s="139" t="n"/>
      <x:c r="AN17" s="139" t="n"/>
      <x:c r="AO17" s="139" t="n"/>
      <x:c r="AP17" s="139" t="n"/>
      <x:c r="AQ17" s="139" t="n"/>
      <x:c r="AR17" s="139" t="n"/>
      <x:c r="AS17" s="139" t="n"/>
      <x:c r="AT17" s="139" t="n"/>
      <x:c r="AU17" s="139" t="n"/>
      <x:c r="AV17" s="139" t="n"/>
      <x:c r="AW17" s="139" t="n"/>
      <x:c r="AX17" s="139" t="n"/>
      <x:c r="AY17" s="139" t="n"/>
      <x:c r="AZ17" s="139" t="n"/>
    </x:row>
    <x:row r="18">
      <x:c r="A18" s="139" t="inlineStr">
        <x:is>
          <x:t xml:space="preserve">Alwin</x:t>
        </x:is>
      </x:c>
      <x:c r="B18" s="139" t="inlineStr">
        <x:is>
          <x:t xml:space="preserve">Austin</x:t>
        </x:is>
      </x:c>
      <x:c r="C18" s="139" t="n">
        <x:v>1</x:v>
      </x:c>
      <x:c r="D18" s="139" t="n">
        <x:v>0</x:v>
      </x:c>
      <x:c r="E18" s="139" t="n">
        <x:v>1</x:v>
      </x:c>
      <x:c r="F18" s="93" t="n">
        <x:v>0</x:v>
      </x:c>
      <x:c r="G18" s="93" t="n">
        <x:v>0.5909090909090909</x:v>
      </x:c>
      <x:c r="H18" s="94" t="n">
        <x:v>-0.5909090909090909</x:v>
      </x:c>
      <x:c r="I18" s="139" t="n"/>
      <x:c r="J18" s="139" t="n"/>
      <x:c r="K18" s="139" t="n"/>
      <x:c r="L18" s="139" t="n"/>
      <x:c r="M18" s="139" t="n"/>
      <x:c r="N18" s="139" t="n"/>
      <x:c r="O18" s="139" t="n"/>
      <x:c r="P18" s="139" t="n"/>
      <x:c r="Q18" s="139" t="n"/>
      <x:c r="R18" s="139" t="n"/>
      <x:c r="S18" s="139" t="n"/>
      <x:c r="T18" s="139" t="n"/>
      <x:c r="U18" s="139" t="n"/>
      <x:c r="V18" s="139" t="n"/>
      <x:c r="W18" s="139" t="n"/>
      <x:c r="X18" s="139" t="n"/>
      <x:c r="Y18" s="139" t="n"/>
      <x:c r="Z18" s="139" t="n"/>
      <x:c r="AA18" s="139" t="n"/>
      <x:c r="AB18" s="139" t="n"/>
      <x:c r="AC18" s="139" t="n"/>
      <x:c r="AD18" s="139" t="n"/>
      <x:c r="AE18" s="139" t="n"/>
      <x:c r="AF18" s="139" t="n"/>
      <x:c r="AG18" s="139" t="n"/>
      <x:c r="AH18" s="139" t="n"/>
      <x:c r="AI18" s="139" t="n"/>
      <x:c r="AJ18" s="139" t="n"/>
      <x:c r="AK18" s="139" t="n"/>
      <x:c r="AL18" s="139" t="n"/>
      <x:c r="AM18" s="139" t="n"/>
      <x:c r="AN18" s="139" t="n"/>
      <x:c r="AO18" s="139" t="n"/>
      <x:c r="AP18" s="139" t="n"/>
      <x:c r="AQ18" s="139" t="n"/>
      <x:c r="AR18" s="139" t="n"/>
      <x:c r="AS18" s="139" t="n"/>
      <x:c r="AT18" s="139" t="n"/>
      <x:c r="AU18" s="139" t="n"/>
      <x:c r="AV18" s="139" t="n"/>
      <x:c r="AW18" s="139" t="n"/>
      <x:c r="AX18" s="139" t="n"/>
      <x:c r="AY18" s="139" t="n"/>
      <x:c r="AZ18" s="139" t="n"/>
    </x:row>
    <x:row r="19">
      <x:c r="A19" s="139" t="inlineStr">
        <x:is>
          <x:t xml:space="preserve">Alwin</x:t>
        </x:is>
      </x:c>
      <x:c r="B19" s="139" t="inlineStr">
        <x:is>
          <x:t xml:space="preserve">Kennard</x:t>
        </x:is>
      </x:c>
      <x:c r="C19" s="139" t="n">
        <x:v>1</x:v>
      </x:c>
      <x:c r="D19" s="139" t="n">
        <x:v>0</x:v>
      </x:c>
      <x:c r="E19" s="139" t="n">
        <x:v>1</x:v>
      </x:c>
      <x:c r="F19" s="93" t="n">
        <x:v>0</x:v>
      </x:c>
      <x:c r="G19" s="93" t="n">
        <x:v>0.6190476190476191</x:v>
      </x:c>
      <x:c r="H19" s="94" t="n">
        <x:v>-0.6190476190476191</x:v>
      </x:c>
      <x:c r="I19" s="139" t="n"/>
      <x:c r="J19" s="139" t="n"/>
      <x:c r="K19" s="139" t="n"/>
      <x:c r="L19" s="139" t="n"/>
      <x:c r="M19" s="139" t="n"/>
      <x:c r="N19" s="139" t="n"/>
      <x:c r="O19" s="139" t="n"/>
      <x:c r="P19" s="139" t="n"/>
      <x:c r="Q19" s="139" t="n"/>
      <x:c r="R19" s="139" t="n"/>
      <x:c r="S19" s="139" t="n"/>
      <x:c r="T19" s="139" t="n"/>
      <x:c r="U19" s="139" t="n"/>
      <x:c r="V19" s="139" t="n"/>
      <x:c r="W19" s="139" t="n"/>
      <x:c r="X19" s="139" t="n"/>
      <x:c r="Y19" s="139" t="n"/>
      <x:c r="Z19" s="139" t="n"/>
      <x:c r="AA19" s="139" t="n"/>
      <x:c r="AB19" s="139" t="n"/>
      <x:c r="AC19" s="139" t="n"/>
      <x:c r="AD19" s="139" t="n"/>
      <x:c r="AE19" s="139" t="n"/>
      <x:c r="AF19" s="139" t="n"/>
      <x:c r="AG19" s="139" t="n"/>
      <x:c r="AH19" s="139" t="n"/>
      <x:c r="AI19" s="139" t="n"/>
      <x:c r="AJ19" s="139" t="n"/>
      <x:c r="AK19" s="139" t="n"/>
      <x:c r="AL19" s="139" t="n"/>
      <x:c r="AM19" s="139" t="n"/>
      <x:c r="AN19" s="139" t="n"/>
      <x:c r="AO19" s="139" t="n"/>
      <x:c r="AP19" s="139" t="n"/>
      <x:c r="AQ19" s="139" t="n"/>
      <x:c r="AR19" s="139" t="n"/>
      <x:c r="AS19" s="139" t="n"/>
      <x:c r="AT19" s="139" t="n"/>
      <x:c r="AU19" s="139" t="n"/>
      <x:c r="AV19" s="139" t="n"/>
      <x:c r="AW19" s="139" t="n"/>
      <x:c r="AX19" s="139" t="n"/>
      <x:c r="AY19" s="139" t="n"/>
      <x:c r="AZ19" s="139" t="n"/>
    </x:row>
    <x:row r="20">
      <x:c r="A20" s="139" t="inlineStr">
        <x:is>
          <x:t xml:space="preserve">Austin</x:t>
        </x:is>
      </x:c>
      <x:c r="B20" s="139" t="inlineStr">
        <x:is>
          <x:t xml:space="preserve">Edy SP</x:t>
        </x:is>
      </x:c>
      <x:c r="C20" s="139" t="n">
        <x:v>2</x:v>
      </x:c>
      <x:c r="D20" s="139" t="n">
        <x:v>0</x:v>
      </x:c>
      <x:c r="E20" s="139" t="n">
        <x:v>2</x:v>
      </x:c>
      <x:c r="F20" s="93" t="n">
        <x:v>0</x:v>
      </x:c>
      <x:c r="G20" s="93" t="n">
        <x:v>0.4736842105263158</x:v>
      </x:c>
      <x:c r="H20" s="94" t="n">
        <x:v>-0.4736842105263158</x:v>
      </x:c>
      <x:c r="I20" s="139" t="n"/>
      <x:c r="J20" s="139" t="n"/>
      <x:c r="K20" s="139" t="n"/>
      <x:c r="L20" s="139" t="n"/>
      <x:c r="M20" s="139" t="n"/>
      <x:c r="N20" s="139" t="n"/>
      <x:c r="O20" s="139" t="n"/>
      <x:c r="P20" s="139" t="n"/>
      <x:c r="Q20" s="139" t="n"/>
      <x:c r="R20" s="139" t="n"/>
      <x:c r="S20" s="139" t="n"/>
      <x:c r="T20" s="139" t="n"/>
      <x:c r="U20" s="139" t="n"/>
      <x:c r="V20" s="139" t="n"/>
      <x:c r="W20" s="139" t="n"/>
      <x:c r="X20" s="139" t="n"/>
      <x:c r="Y20" s="139" t="n"/>
      <x:c r="Z20" s="139" t="n"/>
      <x:c r="AA20" s="139" t="n"/>
      <x:c r="AB20" s="139" t="n"/>
      <x:c r="AC20" s="139" t="n"/>
      <x:c r="AD20" s="139" t="n"/>
      <x:c r="AE20" s="139" t="n"/>
      <x:c r="AF20" s="139" t="n"/>
      <x:c r="AG20" s="139" t="n"/>
      <x:c r="AH20" s="139" t="n"/>
      <x:c r="AI20" s="139" t="n"/>
      <x:c r="AJ20" s="139" t="n"/>
      <x:c r="AK20" s="139" t="n"/>
      <x:c r="AL20" s="139" t="n"/>
      <x:c r="AM20" s="139" t="n"/>
      <x:c r="AN20" s="139" t="n"/>
      <x:c r="AO20" s="139" t="n"/>
      <x:c r="AP20" s="139" t="n"/>
      <x:c r="AQ20" s="139" t="n"/>
      <x:c r="AR20" s="139" t="n"/>
      <x:c r="AS20" s="139" t="n"/>
      <x:c r="AT20" s="139" t="n"/>
      <x:c r="AU20" s="139" t="n"/>
      <x:c r="AV20" s="139" t="n"/>
      <x:c r="AW20" s="139" t="n"/>
      <x:c r="AX20" s="139" t="n"/>
      <x:c r="AY20" s="139" t="n"/>
      <x:c r="AZ20" s="139" t="n"/>
    </x:row>
    <x:row r="21">
      <x:c r="A21" s="139" t="inlineStr">
        <x:is>
          <x:t xml:space="preserve">Austin</x:t>
        </x:is>
      </x:c>
      <x:c r="B21" s="139" t="inlineStr">
        <x:is>
          <x:t xml:space="preserve">Welly</x:t>
        </x:is>
      </x:c>
      <x:c r="C21" s="139" t="n">
        <x:v>1</x:v>
      </x:c>
      <x:c r="D21" s="139" t="n">
        <x:v>1</x:v>
      </x:c>
      <x:c r="E21" s="139" t="n">
        <x:v>0</x:v>
      </x:c>
      <x:c r="F21" s="93" t="n">
        <x:v>1</x:v>
      </x:c>
      <x:c r="G21" s="93" t="n">
        <x:v>0.3333333333333333</x:v>
      </x:c>
      <x:c r="H21" s="94" t="n">
        <x:v>0.6666666666666667</x:v>
      </x:c>
      <x:c r="I21" s="139" t="n"/>
      <x:c r="J21" s="139" t="n"/>
      <x:c r="K21" s="139" t="n"/>
      <x:c r="L21" s="139" t="n"/>
      <x:c r="M21" s="139" t="n"/>
      <x:c r="N21" s="139" t="n"/>
      <x:c r="O21" s="139" t="n"/>
      <x:c r="P21" s="139" t="n"/>
      <x:c r="Q21" s="139" t="n"/>
      <x:c r="R21" s="139" t="n"/>
      <x:c r="S21" s="139" t="n"/>
      <x:c r="T21" s="139" t="n"/>
      <x:c r="U21" s="139" t="n"/>
      <x:c r="V21" s="139" t="n"/>
      <x:c r="W21" s="139" t="n"/>
      <x:c r="X21" s="139" t="n"/>
      <x:c r="Y21" s="139" t="n"/>
      <x:c r="Z21" s="139" t="n"/>
      <x:c r="AA21" s="139" t="n"/>
      <x:c r="AB21" s="139" t="n"/>
      <x:c r="AC21" s="139" t="n"/>
      <x:c r="AD21" s="139" t="n"/>
      <x:c r="AE21" s="139" t="n"/>
      <x:c r="AF21" s="139" t="n"/>
      <x:c r="AG21" s="139" t="n"/>
      <x:c r="AH21" s="139" t="n"/>
      <x:c r="AI21" s="139" t="n"/>
      <x:c r="AJ21" s="139" t="n"/>
      <x:c r="AK21" s="139" t="n"/>
      <x:c r="AL21" s="139" t="n"/>
      <x:c r="AM21" s="139" t="n"/>
      <x:c r="AN21" s="139" t="n"/>
      <x:c r="AO21" s="139" t="n"/>
      <x:c r="AP21" s="139" t="n"/>
      <x:c r="AQ21" s="139" t="n"/>
      <x:c r="AR21" s="139" t="n"/>
      <x:c r="AS21" s="139" t="n"/>
      <x:c r="AT21" s="139" t="n"/>
      <x:c r="AU21" s="139" t="n"/>
      <x:c r="AV21" s="139" t="n"/>
      <x:c r="AW21" s="139" t="n"/>
      <x:c r="AX21" s="139" t="n"/>
      <x:c r="AY21" s="139" t="n"/>
      <x:c r="AZ21" s="139" t="n"/>
    </x:row>
    <x:row r="22">
      <x:c r="A22" s="139" t="inlineStr">
        <x:is>
          <x:t xml:space="preserve">Austin</x:t>
        </x:is>
      </x:c>
      <x:c r="B22" s="139" t="inlineStr">
        <x:is>
          <x:t xml:space="preserve">Donny</x:t>
        </x:is>
      </x:c>
      <x:c r="C22" s="139" t="n">
        <x:v>1</x:v>
      </x:c>
      <x:c r="D22" s="139" t="n">
        <x:v>1</x:v>
      </x:c>
      <x:c r="E22" s="139" t="n">
        <x:v>0</x:v>
      </x:c>
      <x:c r="F22" s="93" t="n">
        <x:v>1</x:v>
      </x:c>
      <x:c r="G22" s="93" t="n">
        <x:v>0.4210526315789473</x:v>
      </x:c>
      <x:c r="H22" s="94" t="n">
        <x:v>0.5789473684210527</x:v>
      </x:c>
      <x:c r="I22" s="139" t="n"/>
      <x:c r="J22" s="139" t="n"/>
      <x:c r="K22" s="139" t="n"/>
      <x:c r="L22" s="139" t="n"/>
      <x:c r="M22" s="139" t="n"/>
      <x:c r="N22" s="139" t="n"/>
      <x:c r="O22" s="139" t="n"/>
      <x:c r="P22" s="139" t="n"/>
      <x:c r="Q22" s="139" t="n"/>
      <x:c r="R22" s="139" t="n"/>
      <x:c r="S22" s="139" t="n"/>
      <x:c r="T22" s="139" t="n"/>
      <x:c r="U22" s="139" t="n"/>
      <x:c r="V22" s="139" t="n"/>
      <x:c r="W22" s="139" t="n"/>
      <x:c r="X22" s="139" t="n"/>
      <x:c r="Y22" s="139" t="n"/>
      <x:c r="Z22" s="139" t="n"/>
      <x:c r="AA22" s="139" t="n"/>
      <x:c r="AB22" s="139" t="n"/>
      <x:c r="AC22" s="139" t="n"/>
      <x:c r="AD22" s="139" t="n"/>
      <x:c r="AE22" s="139" t="n"/>
      <x:c r="AF22" s="139" t="n"/>
      <x:c r="AG22" s="139" t="n"/>
      <x:c r="AH22" s="139" t="n"/>
      <x:c r="AI22" s="139" t="n"/>
      <x:c r="AJ22" s="139" t="n"/>
      <x:c r="AK22" s="139" t="n"/>
      <x:c r="AL22" s="139" t="n"/>
      <x:c r="AM22" s="139" t="n"/>
      <x:c r="AN22" s="139" t="n"/>
      <x:c r="AO22" s="139" t="n"/>
      <x:c r="AP22" s="139" t="n"/>
      <x:c r="AQ22" s="139" t="n"/>
      <x:c r="AR22" s="139" t="n"/>
      <x:c r="AS22" s="139" t="n"/>
      <x:c r="AT22" s="139" t="n"/>
      <x:c r="AU22" s="139" t="n"/>
      <x:c r="AV22" s="139" t="n"/>
      <x:c r="AW22" s="139" t="n"/>
      <x:c r="AX22" s="139" t="n"/>
      <x:c r="AY22" s="139" t="n"/>
      <x:c r="AZ22" s="139" t="n"/>
    </x:row>
    <x:row r="23">
      <x:c r="A23" s="139" t="inlineStr">
        <x:is>
          <x:t xml:space="preserve">Austin</x:t>
        </x:is>
      </x:c>
      <x:c r="B23" s="139" t="inlineStr">
        <x:is>
          <x:t xml:space="preserve">Reza</x:t>
        </x:is>
      </x:c>
      <x:c r="C23" s="139" t="n">
        <x:v>1</x:v>
      </x:c>
      <x:c r="D23" s="139" t="n">
        <x:v>1</x:v>
      </x:c>
      <x:c r="E23" s="139" t="n">
        <x:v>0</x:v>
      </x:c>
      <x:c r="F23" s="93" t="n">
        <x:v>1</x:v>
      </x:c>
      <x:c r="G23" s="93" t="n">
        <x:v>0.4285714285714285</x:v>
      </x:c>
      <x:c r="H23" s="94" t="n">
        <x:v>0.5714285714285714</x:v>
      </x:c>
      <x:c r="I23" s="139" t="n"/>
      <x:c r="J23" s="139" t="n"/>
      <x:c r="K23" s="139" t="n"/>
      <x:c r="L23" s="139" t="n"/>
      <x:c r="M23" s="139" t="n"/>
      <x:c r="N23" s="139" t="n"/>
      <x:c r="O23" s="139" t="n"/>
      <x:c r="P23" s="139" t="n"/>
      <x:c r="Q23" s="139" t="n"/>
      <x:c r="R23" s="139" t="n"/>
      <x:c r="S23" s="139" t="n"/>
      <x:c r="T23" s="139" t="n"/>
      <x:c r="U23" s="139" t="n"/>
      <x:c r="V23" s="139" t="n"/>
      <x:c r="W23" s="139" t="n"/>
      <x:c r="X23" s="139" t="n"/>
      <x:c r="Y23" s="139" t="n"/>
      <x:c r="Z23" s="139" t="n"/>
      <x:c r="AA23" s="139" t="n"/>
      <x:c r="AB23" s="139" t="n"/>
      <x:c r="AC23" s="139" t="n"/>
      <x:c r="AD23" s="139" t="n"/>
      <x:c r="AE23" s="139" t="n"/>
      <x:c r="AF23" s="139" t="n"/>
      <x:c r="AG23" s="139" t="n"/>
      <x:c r="AH23" s="139" t="n"/>
      <x:c r="AI23" s="139" t="n"/>
      <x:c r="AJ23" s="139" t="n"/>
      <x:c r="AK23" s="139" t="n"/>
      <x:c r="AL23" s="139" t="n"/>
      <x:c r="AM23" s="139" t="n"/>
      <x:c r="AN23" s="139" t="n"/>
      <x:c r="AO23" s="139" t="n"/>
      <x:c r="AP23" s="139" t="n"/>
      <x:c r="AQ23" s="139" t="n"/>
      <x:c r="AR23" s="139" t="n"/>
      <x:c r="AS23" s="139" t="n"/>
      <x:c r="AT23" s="139" t="n"/>
      <x:c r="AU23" s="139" t="n"/>
      <x:c r="AV23" s="139" t="n"/>
      <x:c r="AW23" s="139" t="n"/>
      <x:c r="AX23" s="139" t="n"/>
      <x:c r="AY23" s="139" t="n"/>
      <x:c r="AZ23" s="139" t="n"/>
    </x:row>
    <x:row r="24">
      <x:c r="A24" s="139" t="inlineStr">
        <x:is>
          <x:t xml:space="preserve">Austin</x:t>
        </x:is>
      </x:c>
      <x:c r="B24" s="139" t="inlineStr">
        <x:is>
          <x:t xml:space="preserve">Michael</x:t>
        </x:is>
      </x:c>
      <x:c r="C24" s="139" t="n">
        <x:v>1</x:v>
      </x:c>
      <x:c r="D24" s="139" t="n">
        <x:v>1</x:v>
      </x:c>
      <x:c r="E24" s="139" t="n">
        <x:v>0</x:v>
      </x:c>
      <x:c r="F24" s="93" t="n">
        <x:v>1</x:v>
      </x:c>
      <x:c r="G24" s="93" t="n">
        <x:v>0.4761904761904762</x:v>
      </x:c>
      <x:c r="H24" s="94" t="n">
        <x:v>0.5238095238095238</x:v>
      </x:c>
      <x:c r="I24" s="139" t="n"/>
      <x:c r="J24" s="139" t="n"/>
      <x:c r="K24" s="139" t="n"/>
      <x:c r="L24" s="139" t="n"/>
      <x:c r="M24" s="139" t="n"/>
      <x:c r="N24" s="139" t="n"/>
      <x:c r="O24" s="139" t="n"/>
      <x:c r="P24" s="139" t="n"/>
      <x:c r="Q24" s="139" t="n"/>
      <x:c r="R24" s="139" t="n"/>
      <x:c r="S24" s="139" t="n"/>
      <x:c r="T24" s="139" t="n"/>
      <x:c r="U24" s="139" t="n"/>
      <x:c r="V24" s="139" t="n"/>
      <x:c r="W24" s="139" t="n"/>
      <x:c r="X24" s="139" t="n"/>
      <x:c r="Y24" s="139" t="n"/>
      <x:c r="Z24" s="139" t="n"/>
      <x:c r="AA24" s="139" t="n"/>
      <x:c r="AB24" s="139" t="n"/>
      <x:c r="AC24" s="139" t="n"/>
      <x:c r="AD24" s="139" t="n"/>
      <x:c r="AE24" s="139" t="n"/>
      <x:c r="AF24" s="139" t="n"/>
      <x:c r="AG24" s="139" t="n"/>
      <x:c r="AH24" s="139" t="n"/>
      <x:c r="AI24" s="139" t="n"/>
      <x:c r="AJ24" s="139" t="n"/>
      <x:c r="AK24" s="139" t="n"/>
      <x:c r="AL24" s="139" t="n"/>
      <x:c r="AM24" s="139" t="n"/>
      <x:c r="AN24" s="139" t="n"/>
      <x:c r="AO24" s="139" t="n"/>
      <x:c r="AP24" s="139" t="n"/>
      <x:c r="AQ24" s="139" t="n"/>
      <x:c r="AR24" s="139" t="n"/>
      <x:c r="AS24" s="139" t="n"/>
      <x:c r="AT24" s="139" t="n"/>
      <x:c r="AU24" s="139" t="n"/>
      <x:c r="AV24" s="139" t="n"/>
      <x:c r="AW24" s="139" t="n"/>
      <x:c r="AX24" s="139" t="n"/>
      <x:c r="AY24" s="139" t="n"/>
      <x:c r="AZ24" s="139" t="n"/>
    </x:row>
    <x:row r="25">
      <x:c r="A25" s="139" t="inlineStr">
        <x:is>
          <x:t xml:space="preserve">Austin</x:t>
        </x:is>
      </x:c>
      <x:c r="B25" s="139" t="inlineStr">
        <x:is>
          <x:t xml:space="preserve">Jonathan</x:t>
        </x:is>
      </x:c>
      <x:c r="C25" s="139" t="n">
        <x:v>1</x:v>
      </x:c>
      <x:c r="D25" s="139" t="n">
        <x:v>1</x:v>
      </x:c>
      <x:c r="E25" s="139" t="n">
        <x:v>0</x:v>
      </x:c>
      <x:c r="F25" s="93" t="n">
        <x:v>1</x:v>
      </x:c>
      <x:c r="G25" s="93" t="n">
        <x:v>0.5714285714285714</x:v>
      </x:c>
      <x:c r="H25" s="94" t="n">
        <x:v>0.4285714285714286</x:v>
      </x:c>
      <x:c r="I25" s="139" t="n"/>
      <x:c r="J25" s="139" t="n"/>
      <x:c r="K25" s="139" t="n"/>
      <x:c r="L25" s="139" t="n"/>
      <x:c r="M25" s="139" t="n"/>
      <x:c r="N25" s="139" t="n"/>
      <x:c r="O25" s="139" t="n"/>
      <x:c r="P25" s="139" t="n"/>
      <x:c r="Q25" s="139" t="n"/>
      <x:c r="R25" s="139" t="n"/>
      <x:c r="S25" s="139" t="n"/>
      <x:c r="T25" s="139" t="n"/>
      <x:c r="U25" s="139" t="n"/>
      <x:c r="V25" s="139" t="n"/>
      <x:c r="W25" s="139" t="n"/>
      <x:c r="X25" s="139" t="n"/>
      <x:c r="Y25" s="139" t="n"/>
      <x:c r="Z25" s="139" t="n"/>
      <x:c r="AA25" s="139" t="n"/>
      <x:c r="AB25" s="139" t="n"/>
      <x:c r="AC25" s="139" t="n"/>
      <x:c r="AD25" s="139" t="n"/>
      <x:c r="AE25" s="139" t="n"/>
      <x:c r="AF25" s="139" t="n"/>
      <x:c r="AG25" s="139" t="n"/>
      <x:c r="AH25" s="139" t="n"/>
      <x:c r="AI25" s="139" t="n"/>
      <x:c r="AJ25" s="139" t="n"/>
      <x:c r="AK25" s="139" t="n"/>
      <x:c r="AL25" s="139" t="n"/>
      <x:c r="AM25" s="139" t="n"/>
      <x:c r="AN25" s="139" t="n"/>
      <x:c r="AO25" s="139" t="n"/>
      <x:c r="AP25" s="139" t="n"/>
      <x:c r="AQ25" s="139" t="n"/>
      <x:c r="AR25" s="139" t="n"/>
      <x:c r="AS25" s="139" t="n"/>
      <x:c r="AT25" s="139" t="n"/>
      <x:c r="AU25" s="139" t="n"/>
      <x:c r="AV25" s="139" t="n"/>
      <x:c r="AW25" s="139" t="n"/>
      <x:c r="AX25" s="139" t="n"/>
      <x:c r="AY25" s="139" t="n"/>
      <x:c r="AZ25" s="139" t="n"/>
    </x:row>
    <x:row r="26">
      <x:c r="A26" s="139" t="inlineStr">
        <x:is>
          <x:t xml:space="preserve">Austin</x:t>
        </x:is>
      </x:c>
      <x:c r="B26" s="139" t="inlineStr">
        <x:is>
          <x:t xml:space="preserve">Ricky</x:t>
        </x:is>
      </x:c>
      <x:c r="C26" s="139" t="n">
        <x:v>1</x:v>
      </x:c>
      <x:c r="D26" s="139" t="n">
        <x:v>1</x:v>
      </x:c>
      <x:c r="E26" s="139" t="n">
        <x:v>0</x:v>
      </x:c>
      <x:c r="F26" s="93" t="n">
        <x:v>1</x:v>
      </x:c>
      <x:c r="G26" s="93" t="n">
        <x:v>0.5882352941176471</x:v>
      </x:c>
      <x:c r="H26" s="94" t="n">
        <x:v>0.4117647058823529</x:v>
      </x:c>
      <x:c r="I26" s="139" t="n"/>
      <x:c r="J26" s="139" t="n"/>
      <x:c r="K26" s="139" t="n"/>
      <x:c r="L26" s="139" t="n"/>
      <x:c r="M26" s="139" t="n"/>
      <x:c r="N26" s="139" t="n"/>
      <x:c r="O26" s="139" t="n"/>
      <x:c r="P26" s="139" t="n"/>
      <x:c r="Q26" s="139" t="n"/>
      <x:c r="R26" s="139" t="n"/>
      <x:c r="S26" s="139" t="n"/>
      <x:c r="T26" s="139" t="n"/>
      <x:c r="U26" s="139" t="n"/>
      <x:c r="V26" s="139" t="n"/>
      <x:c r="W26" s="139" t="n"/>
      <x:c r="X26" s="139" t="n"/>
      <x:c r="Y26" s="139" t="n"/>
      <x:c r="Z26" s="139" t="n"/>
      <x:c r="AA26" s="139" t="n"/>
      <x:c r="AB26" s="139" t="n"/>
      <x:c r="AC26" s="139" t="n"/>
      <x:c r="AD26" s="139" t="n"/>
      <x:c r="AE26" s="139" t="n"/>
      <x:c r="AF26" s="139" t="n"/>
      <x:c r="AG26" s="139" t="n"/>
      <x:c r="AH26" s="139" t="n"/>
      <x:c r="AI26" s="139" t="n"/>
      <x:c r="AJ26" s="139" t="n"/>
      <x:c r="AK26" s="139" t="n"/>
      <x:c r="AL26" s="139" t="n"/>
      <x:c r="AM26" s="139" t="n"/>
      <x:c r="AN26" s="139" t="n"/>
      <x:c r="AO26" s="139" t="n"/>
      <x:c r="AP26" s="139" t="n"/>
      <x:c r="AQ26" s="139" t="n"/>
      <x:c r="AR26" s="139" t="n"/>
      <x:c r="AS26" s="139" t="n"/>
      <x:c r="AT26" s="139" t="n"/>
      <x:c r="AU26" s="139" t="n"/>
      <x:c r="AV26" s="139" t="n"/>
      <x:c r="AW26" s="139" t="n"/>
      <x:c r="AX26" s="139" t="n"/>
      <x:c r="AY26" s="139" t="n"/>
      <x:c r="AZ26" s="139" t="n"/>
    </x:row>
    <x:row r="27">
      <x:c r="A27" s="139" t="inlineStr">
        <x:is>
          <x:t xml:space="preserve">Austin</x:t>
        </x:is>
      </x:c>
      <x:c r="B27" s="139" t="inlineStr">
        <x:is>
          <x:t xml:space="preserve">Ronald</x:t>
        </x:is>
      </x:c>
      <x:c r="C27" s="139" t="n">
        <x:v>1</x:v>
      </x:c>
      <x:c r="D27" s="139" t="n">
        <x:v>1</x:v>
      </x:c>
      <x:c r="E27" s="139" t="n">
        <x:v>0</x:v>
      </x:c>
      <x:c r="F27" s="93" t="n">
        <x:v>1</x:v>
      </x:c>
      <x:c r="G27" s="93" t="n">
        <x:v>0.6153846153846154</x:v>
      </x:c>
      <x:c r="H27" s="94" t="n">
        <x:v>0.3846153846153846</x:v>
      </x:c>
      <x:c r="I27" s="139" t="n"/>
      <x:c r="J27" s="139" t="n"/>
      <x:c r="K27" s="139" t="n"/>
      <x:c r="L27" s="139" t="n"/>
      <x:c r="M27" s="139" t="n"/>
      <x:c r="N27" s="139" t="n"/>
      <x:c r="O27" s="139" t="n"/>
      <x:c r="P27" s="139" t="n"/>
      <x:c r="Q27" s="139" t="n"/>
      <x:c r="R27" s="139" t="n"/>
      <x:c r="S27" s="139" t="n"/>
      <x:c r="T27" s="139" t="n"/>
      <x:c r="U27" s="139" t="n"/>
      <x:c r="V27" s="139" t="n"/>
      <x:c r="W27" s="139" t="n"/>
      <x:c r="X27" s="139" t="n"/>
      <x:c r="Y27" s="139" t="n"/>
      <x:c r="Z27" s="139" t="n"/>
      <x:c r="AA27" s="139" t="n"/>
      <x:c r="AB27" s="139" t="n"/>
      <x:c r="AC27" s="139" t="n"/>
      <x:c r="AD27" s="139" t="n"/>
      <x:c r="AE27" s="139" t="n"/>
      <x:c r="AF27" s="139" t="n"/>
      <x:c r="AG27" s="139" t="n"/>
      <x:c r="AH27" s="139" t="n"/>
      <x:c r="AI27" s="139" t="n"/>
      <x:c r="AJ27" s="139" t="n"/>
      <x:c r="AK27" s="139" t="n"/>
      <x:c r="AL27" s="139" t="n"/>
      <x:c r="AM27" s="139" t="n"/>
      <x:c r="AN27" s="139" t="n"/>
      <x:c r="AO27" s="139" t="n"/>
      <x:c r="AP27" s="139" t="n"/>
      <x:c r="AQ27" s="139" t="n"/>
      <x:c r="AR27" s="139" t="n"/>
      <x:c r="AS27" s="139" t="n"/>
      <x:c r="AT27" s="139" t="n"/>
      <x:c r="AU27" s="139" t="n"/>
      <x:c r="AV27" s="139" t="n"/>
      <x:c r="AW27" s="139" t="n"/>
      <x:c r="AX27" s="139" t="n"/>
      <x:c r="AY27" s="139" t="n"/>
      <x:c r="AZ27" s="139" t="n"/>
    </x:row>
    <x:row r="28">
      <x:c r="A28" s="139" t="inlineStr">
        <x:is>
          <x:t xml:space="preserve">Austin</x:t>
        </x:is>
      </x:c>
      <x:c r="B28" s="139" t="inlineStr">
        <x:is>
          <x:t xml:space="preserve">Kennard</x:t>
        </x:is>
      </x:c>
      <x:c r="C28" s="139" t="n">
        <x:v>1</x:v>
      </x:c>
      <x:c r="D28" s="139" t="n">
        <x:v>1</x:v>
      </x:c>
      <x:c r="E28" s="139" t="n">
        <x:v>0</x:v>
      </x:c>
      <x:c r="F28" s="93" t="n">
        <x:v>1</x:v>
      </x:c>
      <x:c r="G28" s="93" t="n">
        <x:v>0.6190476190476191</x:v>
      </x:c>
      <x:c r="H28" s="94" t="n">
        <x:v>0.3809523809523809</x:v>
      </x:c>
      <x:c r="I28" s="139" t="n"/>
      <x:c r="J28" s="139" t="n"/>
      <x:c r="K28" s="139" t="n"/>
      <x:c r="L28" s="139" t="n"/>
      <x:c r="M28" s="139" t="n"/>
      <x:c r="N28" s="139" t="n"/>
      <x:c r="O28" s="139" t="n"/>
      <x:c r="P28" s="139" t="n"/>
      <x:c r="Q28" s="139" t="n"/>
      <x:c r="R28" s="139" t="n"/>
      <x:c r="S28" s="139" t="n"/>
      <x:c r="T28" s="139" t="n"/>
      <x:c r="U28" s="139" t="n"/>
      <x:c r="V28" s="139" t="n"/>
      <x:c r="W28" s="139" t="n"/>
      <x:c r="X28" s="139" t="n"/>
      <x:c r="Y28" s="139" t="n"/>
      <x:c r="Z28" s="139" t="n"/>
      <x:c r="AA28" s="139" t="n"/>
      <x:c r="AB28" s="139" t="n"/>
      <x:c r="AC28" s="139" t="n"/>
      <x:c r="AD28" s="139" t="n"/>
      <x:c r="AE28" s="139" t="n"/>
      <x:c r="AF28" s="139" t="n"/>
      <x:c r="AG28" s="139" t="n"/>
      <x:c r="AH28" s="139" t="n"/>
      <x:c r="AI28" s="139" t="n"/>
      <x:c r="AJ28" s="139" t="n"/>
      <x:c r="AK28" s="139" t="n"/>
      <x:c r="AL28" s="139" t="n"/>
      <x:c r="AM28" s="139" t="n"/>
      <x:c r="AN28" s="139" t="n"/>
      <x:c r="AO28" s="139" t="n"/>
      <x:c r="AP28" s="139" t="n"/>
      <x:c r="AQ28" s="139" t="n"/>
      <x:c r="AR28" s="139" t="n"/>
      <x:c r="AS28" s="139" t="n"/>
      <x:c r="AT28" s="139" t="n"/>
      <x:c r="AU28" s="139" t="n"/>
      <x:c r="AV28" s="139" t="n"/>
      <x:c r="AW28" s="139" t="n"/>
      <x:c r="AX28" s="139" t="n"/>
      <x:c r="AY28" s="139" t="n"/>
      <x:c r="AZ28" s="139" t="n"/>
    </x:row>
    <x:row r="29">
      <x:c r="A29" s="139" t="inlineStr">
        <x:is>
          <x:t xml:space="preserve">Austin</x:t>
        </x:is>
      </x:c>
      <x:c r="B29" s="139" t="inlineStr">
        <x:is>
          <x:t xml:space="preserve">Sandy</x:t>
        </x:is>
      </x:c>
      <x:c r="C29" s="139" t="n">
        <x:v>1</x:v>
      </x:c>
      <x:c r="D29" s="139" t="n">
        <x:v>1</x:v>
      </x:c>
      <x:c r="E29" s="139" t="n">
        <x:v>0</x:v>
      </x:c>
      <x:c r="F29" s="93" t="n">
        <x:v>1</x:v>
      </x:c>
      <x:c r="G29" s="93" t="n">
        <x:v>0.7142857142857143</x:v>
      </x:c>
      <x:c r="H29" s="94" t="n">
        <x:v>0.2857142857142857</x:v>
      </x:c>
      <x:c r="I29" s="139" t="n"/>
      <x:c r="J29" s="139" t="n"/>
      <x:c r="K29" s="139" t="n"/>
      <x:c r="L29" s="139" t="n"/>
      <x:c r="M29" s="139" t="n"/>
      <x:c r="N29" s="139" t="n"/>
      <x:c r="O29" s="139" t="n"/>
      <x:c r="P29" s="139" t="n"/>
      <x:c r="Q29" s="139" t="n"/>
      <x:c r="R29" s="139" t="n"/>
      <x:c r="S29" s="139" t="n"/>
      <x:c r="T29" s="139" t="n"/>
      <x:c r="U29" s="139" t="n"/>
      <x:c r="V29" s="139" t="n"/>
      <x:c r="W29" s="139" t="n"/>
      <x:c r="X29" s="139" t="n"/>
      <x:c r="Y29" s="139" t="n"/>
      <x:c r="Z29" s="139" t="n"/>
      <x:c r="AA29" s="139" t="n"/>
      <x:c r="AB29" s="139" t="n"/>
      <x:c r="AC29" s="139" t="n"/>
      <x:c r="AD29" s="139" t="n"/>
      <x:c r="AE29" s="139" t="n"/>
      <x:c r="AF29" s="139" t="n"/>
      <x:c r="AG29" s="139" t="n"/>
      <x:c r="AH29" s="139" t="n"/>
      <x:c r="AI29" s="139" t="n"/>
      <x:c r="AJ29" s="139" t="n"/>
      <x:c r="AK29" s="139" t="n"/>
      <x:c r="AL29" s="139" t="n"/>
      <x:c r="AM29" s="139" t="n"/>
      <x:c r="AN29" s="139" t="n"/>
      <x:c r="AO29" s="139" t="n"/>
      <x:c r="AP29" s="139" t="n"/>
      <x:c r="AQ29" s="139" t="n"/>
      <x:c r="AR29" s="139" t="n"/>
      <x:c r="AS29" s="139" t="n"/>
      <x:c r="AT29" s="139" t="n"/>
      <x:c r="AU29" s="139" t="n"/>
      <x:c r="AV29" s="139" t="n"/>
      <x:c r="AW29" s="139" t="n"/>
      <x:c r="AX29" s="139" t="n"/>
      <x:c r="AY29" s="139" t="n"/>
      <x:c r="AZ29" s="139" t="n"/>
    </x:row>
    <x:row r="30">
      <x:c r="A30" s="139" t="inlineStr">
        <x:is>
          <x:t xml:space="preserve">Austin</x:t>
        </x:is>
      </x:c>
      <x:c r="B30" s="139" t="inlineStr">
        <x:is>
          <x:t xml:space="preserve">Alice</x:t>
        </x:is>
      </x:c>
      <x:c r="C30" s="139" t="n">
        <x:v>1</x:v>
      </x:c>
      <x:c r="D30" s="139" t="n">
        <x:v>0</x:v>
      </x:c>
      <x:c r="E30" s="139" t="n">
        <x:v>1</x:v>
      </x:c>
      <x:c r="F30" s="93" t="n">
        <x:v>0</x:v>
      </x:c>
      <x:c r="G30" s="93" t="n">
        <x:v>0.2272727272727273</x:v>
      </x:c>
      <x:c r="H30" s="94" t="n">
        <x:v>-0.2272727272727273</x:v>
      </x:c>
      <x:c r="I30" s="139" t="n"/>
      <x:c r="J30" s="139" t="n"/>
      <x:c r="K30" s="139" t="n"/>
      <x:c r="L30" s="139" t="n"/>
      <x:c r="M30" s="139" t="n"/>
      <x:c r="N30" s="139" t="n"/>
      <x:c r="O30" s="139" t="n"/>
      <x:c r="P30" s="139" t="n"/>
      <x:c r="Q30" s="139" t="n"/>
      <x:c r="R30" s="139" t="n"/>
      <x:c r="S30" s="139" t="n"/>
      <x:c r="T30" s="139" t="n"/>
      <x:c r="U30" s="139" t="n"/>
      <x:c r="V30" s="139" t="n"/>
      <x:c r="W30" s="139" t="n"/>
      <x:c r="X30" s="139" t="n"/>
      <x:c r="Y30" s="139" t="n"/>
      <x:c r="Z30" s="139" t="n"/>
      <x:c r="AA30" s="139" t="n"/>
      <x:c r="AB30" s="139" t="n"/>
      <x:c r="AC30" s="139" t="n"/>
      <x:c r="AD30" s="139" t="n"/>
      <x:c r="AE30" s="139" t="n"/>
      <x:c r="AF30" s="139" t="n"/>
      <x:c r="AG30" s="139" t="n"/>
      <x:c r="AH30" s="139" t="n"/>
      <x:c r="AI30" s="139" t="n"/>
      <x:c r="AJ30" s="139" t="n"/>
      <x:c r="AK30" s="139" t="n"/>
      <x:c r="AL30" s="139" t="n"/>
      <x:c r="AM30" s="139" t="n"/>
      <x:c r="AN30" s="139" t="n"/>
      <x:c r="AO30" s="139" t="n"/>
      <x:c r="AP30" s="139" t="n"/>
      <x:c r="AQ30" s="139" t="n"/>
      <x:c r="AR30" s="139" t="n"/>
      <x:c r="AS30" s="139" t="n"/>
      <x:c r="AT30" s="139" t="n"/>
      <x:c r="AU30" s="139" t="n"/>
      <x:c r="AV30" s="139" t="n"/>
      <x:c r="AW30" s="139" t="n"/>
      <x:c r="AX30" s="139" t="n"/>
      <x:c r="AY30" s="139" t="n"/>
      <x:c r="AZ30" s="139" t="n"/>
    </x:row>
    <x:row r="31">
      <x:c r="A31" s="139" t="inlineStr">
        <x:is>
          <x:t xml:space="preserve">Austin</x:t>
        </x:is>
      </x:c>
      <x:c r="B31" s="139" t="inlineStr">
        <x:is>
          <x:t xml:space="preserve">Alwin</x:t>
        </x:is>
      </x:c>
      <x:c r="C31" s="139" t="n">
        <x:v>1</x:v>
      </x:c>
      <x:c r="D31" s="139" t="n">
        <x:v>0</x:v>
      </x:c>
      <x:c r="E31" s="139" t="n">
        <x:v>1</x:v>
      </x:c>
      <x:c r="F31" s="93" t="n">
        <x:v>0</x:v>
      </x:c>
      <x:c r="G31" s="93" t="n">
        <x:v>0.3571428571428572</x:v>
      </x:c>
      <x:c r="H31" s="94" t="n">
        <x:v>-0.3571428571428572</x:v>
      </x:c>
      <x:c r="I31" s="139" t="n"/>
      <x:c r="J31" s="139" t="n"/>
      <x:c r="K31" s="139" t="n"/>
      <x:c r="L31" s="139" t="n"/>
      <x:c r="M31" s="139" t="n"/>
      <x:c r="N31" s="139" t="n"/>
      <x:c r="O31" s="139" t="n"/>
      <x:c r="P31" s="139" t="n"/>
      <x:c r="Q31" s="139" t="n"/>
      <x:c r="R31" s="139" t="n"/>
      <x:c r="S31" s="139" t="n"/>
      <x:c r="T31" s="139" t="n"/>
      <x:c r="U31" s="139" t="n"/>
      <x:c r="V31" s="139" t="n"/>
      <x:c r="W31" s="139" t="n"/>
      <x:c r="X31" s="139" t="n"/>
      <x:c r="Y31" s="139" t="n"/>
      <x:c r="Z31" s="139" t="n"/>
      <x:c r="AA31" s="139" t="n"/>
      <x:c r="AB31" s="139" t="n"/>
      <x:c r="AC31" s="139" t="n"/>
      <x:c r="AD31" s="139" t="n"/>
      <x:c r="AE31" s="139" t="n"/>
      <x:c r="AF31" s="139" t="n"/>
      <x:c r="AG31" s="139" t="n"/>
      <x:c r="AH31" s="139" t="n"/>
      <x:c r="AI31" s="139" t="n"/>
      <x:c r="AJ31" s="139" t="n"/>
      <x:c r="AK31" s="139" t="n"/>
      <x:c r="AL31" s="139" t="n"/>
      <x:c r="AM31" s="139" t="n"/>
      <x:c r="AN31" s="139" t="n"/>
      <x:c r="AO31" s="139" t="n"/>
      <x:c r="AP31" s="139" t="n"/>
      <x:c r="AQ31" s="139" t="n"/>
      <x:c r="AR31" s="139" t="n"/>
      <x:c r="AS31" s="139" t="n"/>
      <x:c r="AT31" s="139" t="n"/>
      <x:c r="AU31" s="139" t="n"/>
      <x:c r="AV31" s="139" t="n"/>
      <x:c r="AW31" s="139" t="n"/>
      <x:c r="AX31" s="139" t="n"/>
      <x:c r="AY31" s="139" t="n"/>
      <x:c r="AZ31" s="139" t="n"/>
    </x:row>
    <x:row r="32">
      <x:c r="A32" s="139" t="inlineStr">
        <x:is>
          <x:t xml:space="preserve">Austin</x:t>
        </x:is>
      </x:c>
      <x:c r="B32" s="139" t="inlineStr">
        <x:is>
          <x:t xml:space="preserve">Nicholas</x:t>
        </x:is>
      </x:c>
      <x:c r="C32" s="139" t="n">
        <x:v>1</x:v>
      </x:c>
      <x:c r="D32" s="139" t="n">
        <x:v>0</x:v>
      </x:c>
      <x:c r="E32" s="139" t="n">
        <x:v>1</x:v>
      </x:c>
      <x:c r="F32" s="93" t="n">
        <x:v>0</x:v>
      </x:c>
      <x:c r="G32" s="93" t="n">
        <x:v>0.4666666666666667</x:v>
      </x:c>
      <x:c r="H32" s="94" t="n">
        <x:v>-0.4666666666666667</x:v>
      </x:c>
      <x:c r="I32" s="139" t="n"/>
      <x:c r="J32" s="139" t="n"/>
      <x:c r="K32" s="139" t="n"/>
      <x:c r="L32" s="139" t="n"/>
      <x:c r="M32" s="139" t="n"/>
      <x:c r="N32" s="139" t="n"/>
      <x:c r="O32" s="139" t="n"/>
      <x:c r="P32" s="139" t="n"/>
      <x:c r="Q32" s="139" t="n"/>
      <x:c r="R32" s="139" t="n"/>
      <x:c r="S32" s="139" t="n"/>
      <x:c r="T32" s="139" t="n"/>
      <x:c r="U32" s="139" t="n"/>
      <x:c r="V32" s="139" t="n"/>
      <x:c r="W32" s="139" t="n"/>
      <x:c r="X32" s="139" t="n"/>
      <x:c r="Y32" s="139" t="n"/>
      <x:c r="Z32" s="139" t="n"/>
      <x:c r="AA32" s="139" t="n"/>
      <x:c r="AB32" s="139" t="n"/>
      <x:c r="AC32" s="139" t="n"/>
      <x:c r="AD32" s="139" t="n"/>
      <x:c r="AE32" s="139" t="n"/>
      <x:c r="AF32" s="139" t="n"/>
      <x:c r="AG32" s="139" t="n"/>
      <x:c r="AH32" s="139" t="n"/>
      <x:c r="AI32" s="139" t="n"/>
      <x:c r="AJ32" s="139" t="n"/>
      <x:c r="AK32" s="139" t="n"/>
      <x:c r="AL32" s="139" t="n"/>
      <x:c r="AM32" s="139" t="n"/>
      <x:c r="AN32" s="139" t="n"/>
      <x:c r="AO32" s="139" t="n"/>
      <x:c r="AP32" s="139" t="n"/>
      <x:c r="AQ32" s="139" t="n"/>
      <x:c r="AR32" s="139" t="n"/>
      <x:c r="AS32" s="139" t="n"/>
      <x:c r="AT32" s="139" t="n"/>
      <x:c r="AU32" s="139" t="n"/>
      <x:c r="AV32" s="139" t="n"/>
      <x:c r="AW32" s="139" t="n"/>
      <x:c r="AX32" s="139" t="n"/>
      <x:c r="AY32" s="139" t="n"/>
      <x:c r="AZ32" s="139" t="n"/>
    </x:row>
    <x:row r="33">
      <x:c r="A33" s="139" t="inlineStr">
        <x:is>
          <x:t xml:space="preserve">David</x:t>
        </x:is>
      </x:c>
      <x:c r="B33" s="139" t="inlineStr">
        <x:is>
          <x:t xml:space="preserve">Edy SP</x:t>
        </x:is>
      </x:c>
      <x:c r="C33" s="139" t="n">
        <x:v>2</x:v>
      </x:c>
      <x:c r="D33" s="139" t="n">
        <x:v>1</x:v>
      </x:c>
      <x:c r="E33" s="139" t="n">
        <x:v>1</x:v>
      </x:c>
      <x:c r="F33" s="93" t="n">
        <x:v>0.5</x:v>
      </x:c>
      <x:c r="G33" s="93" t="n">
        <x:v>0.4736842105263158</x:v>
      </x:c>
      <x:c r="H33" s="94" t="n">
        <x:v>0.02631578947368424</x:v>
      </x:c>
      <x:c r="I33" s="139" t="n"/>
      <x:c r="J33" s="139" t="n"/>
      <x:c r="K33" s="139" t="n"/>
      <x:c r="L33" s="139" t="n"/>
      <x:c r="M33" s="139" t="n"/>
      <x:c r="N33" s="139" t="n"/>
      <x:c r="O33" s="139" t="n"/>
      <x:c r="P33" s="139" t="n"/>
      <x:c r="Q33" s="139" t="n"/>
      <x:c r="R33" s="139" t="n"/>
      <x:c r="S33" s="139" t="n"/>
      <x:c r="T33" s="139" t="n"/>
      <x:c r="U33" s="139" t="n"/>
      <x:c r="V33" s="139" t="n"/>
      <x:c r="W33" s="139" t="n"/>
      <x:c r="X33" s="139" t="n"/>
      <x:c r="Y33" s="139" t="n"/>
      <x:c r="Z33" s="139" t="n"/>
      <x:c r="AA33" s="139" t="n"/>
      <x:c r="AB33" s="139" t="n"/>
      <x:c r="AC33" s="139" t="n"/>
      <x:c r="AD33" s="139" t="n"/>
      <x:c r="AE33" s="139" t="n"/>
      <x:c r="AF33" s="139" t="n"/>
      <x:c r="AG33" s="139" t="n"/>
      <x:c r="AH33" s="139" t="n"/>
      <x:c r="AI33" s="139" t="n"/>
      <x:c r="AJ33" s="139" t="n"/>
      <x:c r="AK33" s="139" t="n"/>
      <x:c r="AL33" s="139" t="n"/>
      <x:c r="AM33" s="139" t="n"/>
      <x:c r="AN33" s="139" t="n"/>
      <x:c r="AO33" s="139" t="n"/>
      <x:c r="AP33" s="139" t="n"/>
      <x:c r="AQ33" s="139" t="n"/>
      <x:c r="AR33" s="139" t="n"/>
      <x:c r="AS33" s="139" t="n"/>
      <x:c r="AT33" s="139" t="n"/>
      <x:c r="AU33" s="139" t="n"/>
      <x:c r="AV33" s="139" t="n"/>
      <x:c r="AW33" s="139" t="n"/>
      <x:c r="AX33" s="139" t="n"/>
      <x:c r="AY33" s="139" t="n"/>
      <x:c r="AZ33" s="139" t="n"/>
    </x:row>
    <x:row r="34">
      <x:c r="A34" s="139" t="inlineStr">
        <x:is>
          <x:t xml:space="preserve">David</x:t>
        </x:is>
      </x:c>
      <x:c r="B34" s="139" t="inlineStr">
        <x:is>
          <x:t xml:space="preserve">Ricky</x:t>
        </x:is>
      </x:c>
      <x:c r="C34" s="139" t="n">
        <x:v>2</x:v>
      </x:c>
      <x:c r="D34" s="139" t="n">
        <x:v>1</x:v>
      </x:c>
      <x:c r="E34" s="139" t="n">
        <x:v>1</x:v>
      </x:c>
      <x:c r="F34" s="93" t="n">
        <x:v>0.5</x:v>
      </x:c>
      <x:c r="G34" s="93" t="n">
        <x:v>0.5882352941176471</x:v>
      </x:c>
      <x:c r="H34" s="94" t="n">
        <x:v>-0.08823529411764708</x:v>
      </x:c>
      <x:c r="I34" s="139" t="n"/>
      <x:c r="J34" s="139" t="n"/>
      <x:c r="K34" s="139" t="n"/>
      <x:c r="L34" s="139" t="n"/>
      <x:c r="M34" s="139" t="n"/>
      <x:c r="N34" s="139" t="n"/>
      <x:c r="O34" s="139" t="n"/>
      <x:c r="P34" s="139" t="n"/>
      <x:c r="Q34" s="139" t="n"/>
      <x:c r="R34" s="139" t="n"/>
      <x:c r="S34" s="139" t="n"/>
      <x:c r="T34" s="139" t="n"/>
      <x:c r="U34" s="139" t="n"/>
      <x:c r="V34" s="139" t="n"/>
      <x:c r="W34" s="139" t="n"/>
      <x:c r="X34" s="139" t="n"/>
      <x:c r="Y34" s="139" t="n"/>
      <x:c r="Z34" s="139" t="n"/>
      <x:c r="AA34" s="139" t="n"/>
      <x:c r="AB34" s="139" t="n"/>
      <x:c r="AC34" s="139" t="n"/>
      <x:c r="AD34" s="139" t="n"/>
      <x:c r="AE34" s="139" t="n"/>
      <x:c r="AF34" s="139" t="n"/>
      <x:c r="AG34" s="139" t="n"/>
      <x:c r="AH34" s="139" t="n"/>
      <x:c r="AI34" s="139" t="n"/>
      <x:c r="AJ34" s="139" t="n"/>
      <x:c r="AK34" s="139" t="n"/>
      <x:c r="AL34" s="139" t="n"/>
      <x:c r="AM34" s="139" t="n"/>
      <x:c r="AN34" s="139" t="n"/>
      <x:c r="AO34" s="139" t="n"/>
      <x:c r="AP34" s="139" t="n"/>
      <x:c r="AQ34" s="139" t="n"/>
      <x:c r="AR34" s="139" t="n"/>
      <x:c r="AS34" s="139" t="n"/>
      <x:c r="AT34" s="139" t="n"/>
      <x:c r="AU34" s="139" t="n"/>
      <x:c r="AV34" s="139" t="n"/>
      <x:c r="AW34" s="139" t="n"/>
      <x:c r="AX34" s="139" t="n"/>
      <x:c r="AY34" s="139" t="n"/>
      <x:c r="AZ34" s="139" t="n"/>
    </x:row>
    <x:row r="35">
      <x:c r="A35" s="139" t="inlineStr">
        <x:is>
          <x:t xml:space="preserve">David</x:t>
        </x:is>
      </x:c>
      <x:c r="B35" s="139" t="inlineStr">
        <x:is>
          <x:t xml:space="preserve">Ronald</x:t>
        </x:is>
      </x:c>
      <x:c r="C35" s="139" t="n">
        <x:v>2</x:v>
      </x:c>
      <x:c r="D35" s="139" t="n">
        <x:v>1</x:v>
      </x:c>
      <x:c r="E35" s="139" t="n">
        <x:v>1</x:v>
      </x:c>
      <x:c r="F35" s="93" t="n">
        <x:v>0.5</x:v>
      </x:c>
      <x:c r="G35" s="93" t="n">
        <x:v>0.6153846153846154</x:v>
      </x:c>
      <x:c r="H35" s="94" t="n">
        <x:v>-0.1153846153846154</x:v>
      </x:c>
      <x:c r="I35" s="139" t="n"/>
      <x:c r="J35" s="139" t="n"/>
      <x:c r="K35" s="139" t="n"/>
      <x:c r="L35" s="139" t="n"/>
      <x:c r="M35" s="139" t="n"/>
      <x:c r="N35" s="139" t="n"/>
      <x:c r="O35" s="139" t="n"/>
      <x:c r="P35" s="139" t="n"/>
      <x:c r="Q35" s="139" t="n"/>
      <x:c r="R35" s="139" t="n"/>
      <x:c r="S35" s="139" t="n"/>
      <x:c r="T35" s="139" t="n"/>
      <x:c r="U35" s="139" t="n"/>
      <x:c r="V35" s="139" t="n"/>
      <x:c r="W35" s="139" t="n"/>
      <x:c r="X35" s="139" t="n"/>
      <x:c r="Y35" s="139" t="n"/>
      <x:c r="Z35" s="139" t="n"/>
      <x:c r="AA35" s="139" t="n"/>
      <x:c r="AB35" s="139" t="n"/>
      <x:c r="AC35" s="139" t="n"/>
      <x:c r="AD35" s="139" t="n"/>
      <x:c r="AE35" s="139" t="n"/>
      <x:c r="AF35" s="139" t="n"/>
      <x:c r="AG35" s="139" t="n"/>
      <x:c r="AH35" s="139" t="n"/>
      <x:c r="AI35" s="139" t="n"/>
      <x:c r="AJ35" s="139" t="n"/>
      <x:c r="AK35" s="139" t="n"/>
      <x:c r="AL35" s="139" t="n"/>
      <x:c r="AM35" s="139" t="n"/>
      <x:c r="AN35" s="139" t="n"/>
      <x:c r="AO35" s="139" t="n"/>
      <x:c r="AP35" s="139" t="n"/>
      <x:c r="AQ35" s="139" t="n"/>
      <x:c r="AR35" s="139" t="n"/>
      <x:c r="AS35" s="139" t="n"/>
      <x:c r="AT35" s="139" t="n"/>
      <x:c r="AU35" s="139" t="n"/>
      <x:c r="AV35" s="139" t="n"/>
      <x:c r="AW35" s="139" t="n"/>
      <x:c r="AX35" s="139" t="n"/>
      <x:c r="AY35" s="139" t="n"/>
      <x:c r="AZ35" s="139" t="n"/>
    </x:row>
    <x:row r="36">
      <x:c r="A36" s="139" t="inlineStr">
        <x:is>
          <x:t xml:space="preserve">David</x:t>
        </x:is>
      </x:c>
      <x:c r="B36" s="139" t="inlineStr">
        <x:is>
          <x:t xml:space="preserve">Alice</x:t>
        </x:is>
      </x:c>
      <x:c r="C36" s="139" t="n">
        <x:v>2</x:v>
      </x:c>
      <x:c r="D36" s="139" t="n">
        <x:v>0</x:v>
      </x:c>
      <x:c r="E36" s="139" t="n">
        <x:v>2</x:v>
      </x:c>
      <x:c r="F36" s="93" t="n">
        <x:v>0</x:v>
      </x:c>
      <x:c r="G36" s="93" t="n">
        <x:v>0.2272727272727273</x:v>
      </x:c>
      <x:c r="H36" s="94" t="n">
        <x:v>-0.2272727272727273</x:v>
      </x:c>
      <x:c r="I36" s="139" t="n"/>
      <x:c r="J36" s="139" t="n"/>
      <x:c r="K36" s="139" t="n"/>
      <x:c r="L36" s="139" t="n"/>
      <x:c r="M36" s="139" t="n"/>
      <x:c r="N36" s="139" t="n"/>
      <x:c r="O36" s="139" t="n"/>
      <x:c r="P36" s="139" t="n"/>
      <x:c r="Q36" s="139" t="n"/>
      <x:c r="R36" s="139" t="n"/>
      <x:c r="S36" s="139" t="n"/>
      <x:c r="T36" s="139" t="n"/>
      <x:c r="U36" s="139" t="n"/>
      <x:c r="V36" s="139" t="n"/>
      <x:c r="W36" s="139" t="n"/>
      <x:c r="X36" s="139" t="n"/>
      <x:c r="Y36" s="139" t="n"/>
      <x:c r="Z36" s="139" t="n"/>
      <x:c r="AA36" s="139" t="n"/>
      <x:c r="AB36" s="139" t="n"/>
      <x:c r="AC36" s="139" t="n"/>
      <x:c r="AD36" s="139" t="n"/>
      <x:c r="AE36" s="139" t="n"/>
      <x:c r="AF36" s="139" t="n"/>
      <x:c r="AG36" s="139" t="n"/>
      <x:c r="AH36" s="139" t="n"/>
      <x:c r="AI36" s="139" t="n"/>
      <x:c r="AJ36" s="139" t="n"/>
      <x:c r="AK36" s="139" t="n"/>
      <x:c r="AL36" s="139" t="n"/>
      <x:c r="AM36" s="139" t="n"/>
      <x:c r="AN36" s="139" t="n"/>
      <x:c r="AO36" s="139" t="n"/>
      <x:c r="AP36" s="139" t="n"/>
      <x:c r="AQ36" s="139" t="n"/>
      <x:c r="AR36" s="139" t="n"/>
      <x:c r="AS36" s="139" t="n"/>
      <x:c r="AT36" s="139" t="n"/>
      <x:c r="AU36" s="139" t="n"/>
      <x:c r="AV36" s="139" t="n"/>
      <x:c r="AW36" s="139" t="n"/>
      <x:c r="AX36" s="139" t="n"/>
      <x:c r="AY36" s="139" t="n"/>
      <x:c r="AZ36" s="139" t="n"/>
    </x:row>
    <x:row r="37">
      <x:c r="A37" s="139" t="inlineStr">
        <x:is>
          <x:t xml:space="preserve">David</x:t>
        </x:is>
      </x:c>
      <x:c r="B37" s="139" t="inlineStr">
        <x:is>
          <x:t xml:space="preserve">Kennard</x:t>
        </x:is>
      </x:c>
      <x:c r="C37" s="139" t="n">
        <x:v>1</x:v>
      </x:c>
      <x:c r="D37" s="139" t="n">
        <x:v>1</x:v>
      </x:c>
      <x:c r="E37" s="139" t="n">
        <x:v>0</x:v>
      </x:c>
      <x:c r="F37" s="93" t="n">
        <x:v>1</x:v>
      </x:c>
      <x:c r="G37" s="93" t="n">
        <x:v>0.6190476190476191</x:v>
      </x:c>
      <x:c r="H37" s="94" t="n">
        <x:v>0.3809523809523809</x:v>
      </x:c>
      <x:c r="I37" s="139" t="n"/>
      <x:c r="J37" s="139" t="n"/>
      <x:c r="K37" s="139" t="n"/>
      <x:c r="L37" s="139" t="n"/>
      <x:c r="M37" s="139" t="n"/>
      <x:c r="N37" s="139" t="n"/>
      <x:c r="O37" s="139" t="n"/>
      <x:c r="P37" s="139" t="n"/>
      <x:c r="Q37" s="139" t="n"/>
      <x:c r="R37" s="139" t="n"/>
      <x:c r="S37" s="139" t="n"/>
      <x:c r="T37" s="139" t="n"/>
      <x:c r="U37" s="139" t="n"/>
      <x:c r="V37" s="139" t="n"/>
      <x:c r="W37" s="139" t="n"/>
      <x:c r="X37" s="139" t="n"/>
      <x:c r="Y37" s="139" t="n"/>
      <x:c r="Z37" s="139" t="n"/>
      <x:c r="AA37" s="139" t="n"/>
      <x:c r="AB37" s="139" t="n"/>
      <x:c r="AC37" s="139" t="n"/>
      <x:c r="AD37" s="139" t="n"/>
      <x:c r="AE37" s="139" t="n"/>
      <x:c r="AF37" s="139" t="n"/>
      <x:c r="AG37" s="139" t="n"/>
      <x:c r="AH37" s="139" t="n"/>
      <x:c r="AI37" s="139" t="n"/>
      <x:c r="AJ37" s="139" t="n"/>
      <x:c r="AK37" s="139" t="n"/>
      <x:c r="AL37" s="139" t="n"/>
      <x:c r="AM37" s="139" t="n"/>
      <x:c r="AN37" s="139" t="n"/>
      <x:c r="AO37" s="139" t="n"/>
      <x:c r="AP37" s="139" t="n"/>
      <x:c r="AQ37" s="139" t="n"/>
      <x:c r="AR37" s="139" t="n"/>
      <x:c r="AS37" s="139" t="n"/>
      <x:c r="AT37" s="139" t="n"/>
      <x:c r="AU37" s="139" t="n"/>
      <x:c r="AV37" s="139" t="n"/>
      <x:c r="AW37" s="139" t="n"/>
      <x:c r="AX37" s="139" t="n"/>
      <x:c r="AY37" s="139" t="n"/>
      <x:c r="AZ37" s="139" t="n"/>
    </x:row>
    <x:row r="38">
      <x:c r="A38" s="139" t="inlineStr">
        <x:is>
          <x:t xml:space="preserve">David</x:t>
        </x:is>
      </x:c>
      <x:c r="B38" s="139" t="inlineStr">
        <x:is>
          <x:t xml:space="preserve">Sandy</x:t>
        </x:is>
      </x:c>
      <x:c r="C38" s="139" t="n">
        <x:v>1</x:v>
      </x:c>
      <x:c r="D38" s="139" t="n">
        <x:v>1</x:v>
      </x:c>
      <x:c r="E38" s="139" t="n">
        <x:v>0</x:v>
      </x:c>
      <x:c r="F38" s="93" t="n">
        <x:v>1</x:v>
      </x:c>
      <x:c r="G38" s="93" t="n">
        <x:v>0.7142857142857143</x:v>
      </x:c>
      <x:c r="H38" s="94" t="n">
        <x:v>0.2857142857142857</x:v>
      </x:c>
      <x:c r="I38" s="139" t="n"/>
      <x:c r="J38" s="139" t="n"/>
      <x:c r="K38" s="139" t="n"/>
      <x:c r="L38" s="139" t="n"/>
      <x:c r="M38" s="139" t="n"/>
      <x:c r="N38" s="139" t="n"/>
      <x:c r="O38" s="139" t="n"/>
      <x:c r="P38" s="139" t="n"/>
      <x:c r="Q38" s="139" t="n"/>
      <x:c r="R38" s="139" t="n"/>
      <x:c r="S38" s="139" t="n"/>
      <x:c r="T38" s="139" t="n"/>
      <x:c r="U38" s="139" t="n"/>
      <x:c r="V38" s="139" t="n"/>
      <x:c r="W38" s="139" t="n"/>
      <x:c r="X38" s="139" t="n"/>
      <x:c r="Y38" s="139" t="n"/>
      <x:c r="Z38" s="139" t="n"/>
      <x:c r="AA38" s="139" t="n"/>
      <x:c r="AB38" s="139" t="n"/>
      <x:c r="AC38" s="139" t="n"/>
      <x:c r="AD38" s="139" t="n"/>
      <x:c r="AE38" s="139" t="n"/>
      <x:c r="AF38" s="139" t="n"/>
      <x:c r="AG38" s="139" t="n"/>
      <x:c r="AH38" s="139" t="n"/>
      <x:c r="AI38" s="139" t="n"/>
      <x:c r="AJ38" s="139" t="n"/>
      <x:c r="AK38" s="139" t="n"/>
      <x:c r="AL38" s="139" t="n"/>
      <x:c r="AM38" s="139" t="n"/>
      <x:c r="AN38" s="139" t="n"/>
      <x:c r="AO38" s="139" t="n"/>
      <x:c r="AP38" s="139" t="n"/>
      <x:c r="AQ38" s="139" t="n"/>
      <x:c r="AR38" s="139" t="n"/>
      <x:c r="AS38" s="139" t="n"/>
      <x:c r="AT38" s="139" t="n"/>
      <x:c r="AU38" s="139" t="n"/>
      <x:c r="AV38" s="139" t="n"/>
      <x:c r="AW38" s="139" t="n"/>
      <x:c r="AX38" s="139" t="n"/>
      <x:c r="AY38" s="139" t="n"/>
      <x:c r="AZ38" s="139" t="n"/>
    </x:row>
    <x:row r="39">
      <x:c r="A39" s="139" t="inlineStr">
        <x:is>
          <x:t xml:space="preserve">David</x:t>
        </x:is>
      </x:c>
      <x:c r="B39" s="139" t="inlineStr">
        <x:is>
          <x:t xml:space="preserve">Donny</x:t>
        </x:is>
      </x:c>
      <x:c r="C39" s="139" t="n">
        <x:v>1</x:v>
      </x:c>
      <x:c r="D39" s="139" t="n">
        <x:v>0</x:v>
      </x:c>
      <x:c r="E39" s="139" t="n">
        <x:v>1</x:v>
      </x:c>
      <x:c r="F39" s="93" t="n">
        <x:v>0</x:v>
      </x:c>
      <x:c r="G39" s="93" t="n">
        <x:v>0.4210526315789473</x:v>
      </x:c>
      <x:c r="H39" s="94" t="n">
        <x:v>-0.4210526315789473</x:v>
      </x:c>
      <x:c r="I39" s="139" t="n"/>
      <x:c r="J39" s="139" t="n"/>
      <x:c r="K39" s="139" t="n"/>
      <x:c r="L39" s="139" t="n"/>
      <x:c r="M39" s="139" t="n"/>
      <x:c r="N39" s="139" t="n"/>
      <x:c r="O39" s="139" t="n"/>
      <x:c r="P39" s="139" t="n"/>
      <x:c r="Q39" s="139" t="n"/>
      <x:c r="R39" s="139" t="n"/>
      <x:c r="S39" s="139" t="n"/>
      <x:c r="T39" s="139" t="n"/>
      <x:c r="U39" s="139" t="n"/>
      <x:c r="V39" s="139" t="n"/>
      <x:c r="W39" s="139" t="n"/>
      <x:c r="X39" s="139" t="n"/>
      <x:c r="Y39" s="139" t="n"/>
      <x:c r="Z39" s="139" t="n"/>
      <x:c r="AA39" s="139" t="n"/>
      <x:c r="AB39" s="139" t="n"/>
      <x:c r="AC39" s="139" t="n"/>
      <x:c r="AD39" s="139" t="n"/>
      <x:c r="AE39" s="139" t="n"/>
      <x:c r="AF39" s="139" t="n"/>
      <x:c r="AG39" s="139" t="n"/>
      <x:c r="AH39" s="139" t="n"/>
      <x:c r="AI39" s="139" t="n"/>
      <x:c r="AJ39" s="139" t="n"/>
      <x:c r="AK39" s="139" t="n"/>
      <x:c r="AL39" s="139" t="n"/>
      <x:c r="AM39" s="139" t="n"/>
      <x:c r="AN39" s="139" t="n"/>
      <x:c r="AO39" s="139" t="n"/>
      <x:c r="AP39" s="139" t="n"/>
      <x:c r="AQ39" s="139" t="n"/>
      <x:c r="AR39" s="139" t="n"/>
      <x:c r="AS39" s="139" t="n"/>
      <x:c r="AT39" s="139" t="n"/>
      <x:c r="AU39" s="139" t="n"/>
      <x:c r="AV39" s="139" t="n"/>
      <x:c r="AW39" s="139" t="n"/>
      <x:c r="AX39" s="139" t="n"/>
      <x:c r="AY39" s="139" t="n"/>
      <x:c r="AZ39" s="139" t="n"/>
    </x:row>
    <x:row r="40">
      <x:c r="A40" s="139" t="inlineStr">
        <x:is>
          <x:t xml:space="preserve">David</x:t>
        </x:is>
      </x:c>
      <x:c r="B40" s="139" t="inlineStr">
        <x:is>
          <x:t xml:space="preserve">Nico</x:t>
        </x:is>
      </x:c>
      <x:c r="C40" s="139" t="n">
        <x:v>1</x:v>
      </x:c>
      <x:c r="D40" s="139" t="n">
        <x:v>0</x:v>
      </x:c>
      <x:c r="E40" s="139" t="n">
        <x:v>1</x:v>
      </x:c>
      <x:c r="F40" s="93" t="n">
        <x:v>0</x:v>
      </x:c>
      <x:c r="G40" s="93" t="n">
        <x:v>0.4285714285714285</x:v>
      </x:c>
      <x:c r="H40" s="94" t="n">
        <x:v>-0.4285714285714285</x:v>
      </x:c>
      <x:c r="I40" s="139" t="n"/>
      <x:c r="J40" s="139" t="n"/>
      <x:c r="K40" s="139" t="n"/>
      <x:c r="L40" s="139" t="n"/>
      <x:c r="M40" s="139" t="n"/>
      <x:c r="N40" s="139" t="n"/>
      <x:c r="O40" s="139" t="n"/>
      <x:c r="P40" s="139" t="n"/>
      <x:c r="Q40" s="139" t="n"/>
      <x:c r="R40" s="139" t="n"/>
      <x:c r="S40" s="139" t="n"/>
      <x:c r="T40" s="139" t="n"/>
      <x:c r="U40" s="139" t="n"/>
      <x:c r="V40" s="139" t="n"/>
      <x:c r="W40" s="139" t="n"/>
      <x:c r="X40" s="139" t="n"/>
      <x:c r="Y40" s="139" t="n"/>
      <x:c r="Z40" s="139" t="n"/>
      <x:c r="AA40" s="139" t="n"/>
      <x:c r="AB40" s="139" t="n"/>
      <x:c r="AC40" s="139" t="n"/>
      <x:c r="AD40" s="139" t="n"/>
      <x:c r="AE40" s="139" t="n"/>
      <x:c r="AF40" s="139" t="n"/>
      <x:c r="AG40" s="139" t="n"/>
      <x:c r="AH40" s="139" t="n"/>
      <x:c r="AI40" s="139" t="n"/>
      <x:c r="AJ40" s="139" t="n"/>
      <x:c r="AK40" s="139" t="n"/>
      <x:c r="AL40" s="139" t="n"/>
      <x:c r="AM40" s="139" t="n"/>
      <x:c r="AN40" s="139" t="n"/>
      <x:c r="AO40" s="139" t="n"/>
      <x:c r="AP40" s="139" t="n"/>
      <x:c r="AQ40" s="139" t="n"/>
      <x:c r="AR40" s="139" t="n"/>
      <x:c r="AS40" s="139" t="n"/>
      <x:c r="AT40" s="139" t="n"/>
      <x:c r="AU40" s="139" t="n"/>
      <x:c r="AV40" s="139" t="n"/>
      <x:c r="AW40" s="139" t="n"/>
      <x:c r="AX40" s="139" t="n"/>
      <x:c r="AY40" s="139" t="n"/>
      <x:c r="AZ40" s="139" t="n"/>
    </x:row>
    <x:row r="41">
      <x:c r="A41" s="139" t="inlineStr">
        <x:is>
          <x:t xml:space="preserve">Donny</x:t>
        </x:is>
      </x:c>
      <x:c r="B41" s="139" t="inlineStr">
        <x:is>
          <x:t xml:space="preserve">Jonathan</x:t>
        </x:is>
      </x:c>
      <x:c r="C41" s="139" t="n">
        <x:v>1</x:v>
      </x:c>
      <x:c r="D41" s="139" t="n">
        <x:v>1</x:v>
      </x:c>
      <x:c r="E41" s="139" t="n">
        <x:v>0</x:v>
      </x:c>
      <x:c r="F41" s="93" t="n">
        <x:v>1</x:v>
      </x:c>
      <x:c r="G41" s="93" t="n">
        <x:v>0.5714285714285714</x:v>
      </x:c>
      <x:c r="H41" s="94" t="n">
        <x:v>0.4285714285714286</x:v>
      </x:c>
      <x:c r="I41" s="139" t="n"/>
      <x:c r="J41" s="139" t="n"/>
      <x:c r="K41" s="139" t="n"/>
      <x:c r="L41" s="139" t="n"/>
      <x:c r="M41" s="139" t="n"/>
      <x:c r="N41" s="139" t="n"/>
      <x:c r="O41" s="139" t="n"/>
      <x:c r="P41" s="139" t="n"/>
      <x:c r="Q41" s="139" t="n"/>
      <x:c r="R41" s="139" t="n"/>
      <x:c r="S41" s="139" t="n"/>
      <x:c r="T41" s="139" t="n"/>
      <x:c r="U41" s="139" t="n"/>
      <x:c r="V41" s="139" t="n"/>
      <x:c r="W41" s="139" t="n"/>
      <x:c r="X41" s="139" t="n"/>
      <x:c r="Y41" s="139" t="n"/>
      <x:c r="Z41" s="139" t="n"/>
      <x:c r="AA41" s="139" t="n"/>
      <x:c r="AB41" s="139" t="n"/>
      <x:c r="AC41" s="139" t="n"/>
      <x:c r="AD41" s="139" t="n"/>
      <x:c r="AE41" s="139" t="n"/>
      <x:c r="AF41" s="139" t="n"/>
      <x:c r="AG41" s="139" t="n"/>
      <x:c r="AH41" s="139" t="n"/>
      <x:c r="AI41" s="139" t="n"/>
      <x:c r="AJ41" s="139" t="n"/>
      <x:c r="AK41" s="139" t="n"/>
      <x:c r="AL41" s="139" t="n"/>
      <x:c r="AM41" s="139" t="n"/>
      <x:c r="AN41" s="139" t="n"/>
      <x:c r="AO41" s="139" t="n"/>
      <x:c r="AP41" s="139" t="n"/>
      <x:c r="AQ41" s="139" t="n"/>
      <x:c r="AR41" s="139" t="n"/>
      <x:c r="AS41" s="139" t="n"/>
      <x:c r="AT41" s="139" t="n"/>
      <x:c r="AU41" s="139" t="n"/>
      <x:c r="AV41" s="139" t="n"/>
      <x:c r="AW41" s="139" t="n"/>
      <x:c r="AX41" s="139" t="n"/>
      <x:c r="AY41" s="139" t="n"/>
      <x:c r="AZ41" s="139" t="n"/>
    </x:row>
    <x:row r="42">
      <x:c r="A42" s="139" t="inlineStr">
        <x:is>
          <x:t xml:space="preserve">Donny</x:t>
        </x:is>
      </x:c>
      <x:c r="B42" s="139" t="inlineStr">
        <x:is>
          <x:t xml:space="preserve">Austin</x:t>
        </x:is>
      </x:c>
      <x:c r="C42" s="139" t="n">
        <x:v>1</x:v>
      </x:c>
      <x:c r="D42" s="139" t="n">
        <x:v>1</x:v>
      </x:c>
      <x:c r="E42" s="139" t="n">
        <x:v>0</x:v>
      </x:c>
      <x:c r="F42" s="93" t="n">
        <x:v>1</x:v>
      </x:c>
      <x:c r="G42" s="93" t="n">
        <x:v>0.5909090909090909</x:v>
      </x:c>
      <x:c r="H42" s="94" t="n">
        <x:v>0.4090909090909091</x:v>
      </x:c>
      <x:c r="I42" s="139" t="n"/>
      <x:c r="J42" s="139" t="n"/>
      <x:c r="K42" s="139" t="n"/>
      <x:c r="L42" s="139" t="n"/>
      <x:c r="M42" s="139" t="n"/>
      <x:c r="N42" s="139" t="n"/>
      <x:c r="O42" s="139" t="n"/>
      <x:c r="P42" s="139" t="n"/>
      <x:c r="Q42" s="139" t="n"/>
      <x:c r="R42" s="139" t="n"/>
      <x:c r="S42" s="139" t="n"/>
      <x:c r="T42" s="139" t="n"/>
      <x:c r="U42" s="139" t="n"/>
      <x:c r="V42" s="139" t="n"/>
      <x:c r="W42" s="139" t="n"/>
      <x:c r="X42" s="139" t="n"/>
      <x:c r="Y42" s="139" t="n"/>
      <x:c r="Z42" s="139" t="n"/>
      <x:c r="AA42" s="139" t="n"/>
      <x:c r="AB42" s="139" t="n"/>
      <x:c r="AC42" s="139" t="n"/>
      <x:c r="AD42" s="139" t="n"/>
      <x:c r="AE42" s="139" t="n"/>
      <x:c r="AF42" s="139" t="n"/>
      <x:c r="AG42" s="139" t="n"/>
      <x:c r="AH42" s="139" t="n"/>
      <x:c r="AI42" s="139" t="n"/>
      <x:c r="AJ42" s="139" t="n"/>
      <x:c r="AK42" s="139" t="n"/>
      <x:c r="AL42" s="139" t="n"/>
      <x:c r="AM42" s="139" t="n"/>
      <x:c r="AN42" s="139" t="n"/>
      <x:c r="AO42" s="139" t="n"/>
      <x:c r="AP42" s="139" t="n"/>
      <x:c r="AQ42" s="139" t="n"/>
      <x:c r="AR42" s="139" t="n"/>
      <x:c r="AS42" s="139" t="n"/>
      <x:c r="AT42" s="139" t="n"/>
      <x:c r="AU42" s="139" t="n"/>
      <x:c r="AV42" s="139" t="n"/>
      <x:c r="AW42" s="139" t="n"/>
      <x:c r="AX42" s="139" t="n"/>
      <x:c r="AY42" s="139" t="n"/>
      <x:c r="AZ42" s="139" t="n"/>
    </x:row>
    <x:row r="43">
      <x:c r="A43" s="139" t="inlineStr">
        <x:is>
          <x:t xml:space="preserve">Donny</x:t>
        </x:is>
      </x:c>
      <x:c r="B43" s="139" t="inlineStr">
        <x:is>
          <x:t xml:space="preserve">Thohir</x:t>
        </x:is>
      </x:c>
      <x:c r="C43" s="139" t="n">
        <x:v>1</x:v>
      </x:c>
      <x:c r="D43" s="139" t="n">
        <x:v>1</x:v>
      </x:c>
      <x:c r="E43" s="139" t="n">
        <x:v>0</x:v>
      </x:c>
      <x:c r="F43" s="93" t="n">
        <x:v>1</x:v>
      </x:c>
      <x:c r="G43" s="93" t="n">
        <x:v>0.6666666666666666</x:v>
      </x:c>
      <x:c r="H43" s="94" t="n">
        <x:v>0.3333333333333334</x:v>
      </x:c>
      <x:c r="I43" s="139" t="n"/>
      <x:c r="J43" s="139" t="n"/>
      <x:c r="K43" s="139" t="n"/>
      <x:c r="L43" s="139" t="n"/>
      <x:c r="M43" s="139" t="n"/>
      <x:c r="N43" s="139" t="n"/>
      <x:c r="O43" s="139" t="n"/>
      <x:c r="P43" s="139" t="n"/>
      <x:c r="Q43" s="139" t="n"/>
      <x:c r="R43" s="139" t="n"/>
      <x:c r="S43" s="139" t="n"/>
      <x:c r="T43" s="139" t="n"/>
      <x:c r="U43" s="139" t="n"/>
      <x:c r="V43" s="139" t="n"/>
      <x:c r="W43" s="139" t="n"/>
      <x:c r="X43" s="139" t="n"/>
      <x:c r="Y43" s="139" t="n"/>
      <x:c r="Z43" s="139" t="n"/>
      <x:c r="AA43" s="139" t="n"/>
      <x:c r="AB43" s="139" t="n"/>
      <x:c r="AC43" s="139" t="n"/>
      <x:c r="AD43" s="139" t="n"/>
      <x:c r="AE43" s="139" t="n"/>
      <x:c r="AF43" s="139" t="n"/>
      <x:c r="AG43" s="139" t="n"/>
      <x:c r="AH43" s="139" t="n"/>
      <x:c r="AI43" s="139" t="n"/>
      <x:c r="AJ43" s="139" t="n"/>
      <x:c r="AK43" s="139" t="n"/>
      <x:c r="AL43" s="139" t="n"/>
      <x:c r="AM43" s="139" t="n"/>
      <x:c r="AN43" s="139" t="n"/>
      <x:c r="AO43" s="139" t="n"/>
      <x:c r="AP43" s="139" t="n"/>
      <x:c r="AQ43" s="139" t="n"/>
      <x:c r="AR43" s="139" t="n"/>
      <x:c r="AS43" s="139" t="n"/>
      <x:c r="AT43" s="139" t="n"/>
      <x:c r="AU43" s="139" t="n"/>
      <x:c r="AV43" s="139" t="n"/>
      <x:c r="AW43" s="139" t="n"/>
      <x:c r="AX43" s="139" t="n"/>
      <x:c r="AY43" s="139" t="n"/>
      <x:c r="AZ43" s="139" t="n"/>
    </x:row>
    <x:row r="44">
      <x:c r="A44" s="139" t="inlineStr">
        <x:is>
          <x:t xml:space="preserve">Donny</x:t>
        </x:is>
      </x:c>
      <x:c r="B44" s="139" t="inlineStr">
        <x:is>
          <x:t xml:space="preserve">Sandy</x:t>
        </x:is>
      </x:c>
      <x:c r="C44" s="139" t="n">
        <x:v>1</x:v>
      </x:c>
      <x:c r="D44" s="139" t="n">
        <x:v>1</x:v>
      </x:c>
      <x:c r="E44" s="139" t="n">
        <x:v>0</x:v>
      </x:c>
      <x:c r="F44" s="93" t="n">
        <x:v>1</x:v>
      </x:c>
      <x:c r="G44" s="93" t="n">
        <x:v>0.7142857142857143</x:v>
      </x:c>
      <x:c r="H44" s="94" t="n">
        <x:v>0.2857142857142857</x:v>
      </x:c>
      <x:c r="I44" s="139" t="n"/>
      <x:c r="J44" s="139" t="n"/>
      <x:c r="K44" s="139" t="n"/>
      <x:c r="L44" s="139" t="n"/>
      <x:c r="M44" s="139" t="n"/>
      <x:c r="N44" s="139" t="n"/>
      <x:c r="O44" s="139" t="n"/>
      <x:c r="P44" s="139" t="n"/>
      <x:c r="Q44" s="139" t="n"/>
      <x:c r="R44" s="139" t="n"/>
      <x:c r="S44" s="139" t="n"/>
      <x:c r="T44" s="139" t="n"/>
      <x:c r="U44" s="139" t="n"/>
      <x:c r="V44" s="139" t="n"/>
      <x:c r="W44" s="139" t="n"/>
      <x:c r="X44" s="139" t="n"/>
      <x:c r="Y44" s="139" t="n"/>
      <x:c r="Z44" s="139" t="n"/>
      <x:c r="AA44" s="139" t="n"/>
      <x:c r="AB44" s="139" t="n"/>
      <x:c r="AC44" s="139" t="n"/>
      <x:c r="AD44" s="139" t="n"/>
      <x:c r="AE44" s="139" t="n"/>
      <x:c r="AF44" s="139" t="n"/>
      <x:c r="AG44" s="139" t="n"/>
      <x:c r="AH44" s="139" t="n"/>
      <x:c r="AI44" s="139" t="n"/>
      <x:c r="AJ44" s="139" t="n"/>
      <x:c r="AK44" s="139" t="n"/>
      <x:c r="AL44" s="139" t="n"/>
      <x:c r="AM44" s="139" t="n"/>
      <x:c r="AN44" s="139" t="n"/>
      <x:c r="AO44" s="139" t="n"/>
      <x:c r="AP44" s="139" t="n"/>
      <x:c r="AQ44" s="139" t="n"/>
      <x:c r="AR44" s="139" t="n"/>
      <x:c r="AS44" s="139" t="n"/>
      <x:c r="AT44" s="139" t="n"/>
      <x:c r="AU44" s="139" t="n"/>
      <x:c r="AV44" s="139" t="n"/>
      <x:c r="AW44" s="139" t="n"/>
      <x:c r="AX44" s="139" t="n"/>
      <x:c r="AY44" s="139" t="n"/>
      <x:c r="AZ44" s="139" t="n"/>
    </x:row>
    <x:row r="45">
      <x:c r="A45" s="139" t="inlineStr">
        <x:is>
          <x:t xml:space="preserve">Donny</x:t>
        </x:is>
      </x:c>
      <x:c r="B45" s="139" t="inlineStr">
        <x:is>
          <x:t xml:space="preserve">Alice</x:t>
        </x:is>
      </x:c>
      <x:c r="C45" s="139" t="n">
        <x:v>1</x:v>
      </x:c>
      <x:c r="D45" s="139" t="n">
        <x:v>0</x:v>
      </x:c>
      <x:c r="E45" s="139" t="n">
        <x:v>1</x:v>
      </x:c>
      <x:c r="F45" s="93" t="n">
        <x:v>0</x:v>
      </x:c>
      <x:c r="G45" s="93" t="n">
        <x:v>0.2272727272727273</x:v>
      </x:c>
      <x:c r="H45" s="94" t="n">
        <x:v>-0.2272727272727273</x:v>
      </x:c>
      <x:c r="I45" s="139" t="n"/>
      <x:c r="J45" s="139" t="n"/>
      <x:c r="K45" s="139" t="n"/>
      <x:c r="L45" s="139" t="n"/>
      <x:c r="M45" s="139" t="n"/>
      <x:c r="N45" s="139" t="n"/>
      <x:c r="O45" s="139" t="n"/>
      <x:c r="P45" s="139" t="n"/>
      <x:c r="Q45" s="139" t="n"/>
      <x:c r="R45" s="139" t="n"/>
      <x:c r="S45" s="139" t="n"/>
      <x:c r="T45" s="139" t="n"/>
      <x:c r="U45" s="139" t="n"/>
      <x:c r="V45" s="139" t="n"/>
      <x:c r="W45" s="139" t="n"/>
      <x:c r="X45" s="139" t="n"/>
      <x:c r="Y45" s="139" t="n"/>
      <x:c r="Z45" s="139" t="n"/>
      <x:c r="AA45" s="139" t="n"/>
      <x:c r="AB45" s="139" t="n"/>
      <x:c r="AC45" s="139" t="n"/>
      <x:c r="AD45" s="139" t="n"/>
      <x:c r="AE45" s="139" t="n"/>
      <x:c r="AF45" s="139" t="n"/>
      <x:c r="AG45" s="139" t="n"/>
      <x:c r="AH45" s="139" t="n"/>
      <x:c r="AI45" s="139" t="n"/>
      <x:c r="AJ45" s="139" t="n"/>
      <x:c r="AK45" s="139" t="n"/>
      <x:c r="AL45" s="139" t="n"/>
      <x:c r="AM45" s="139" t="n"/>
      <x:c r="AN45" s="139" t="n"/>
      <x:c r="AO45" s="139" t="n"/>
      <x:c r="AP45" s="139" t="n"/>
      <x:c r="AQ45" s="139" t="n"/>
      <x:c r="AR45" s="139" t="n"/>
      <x:c r="AS45" s="139" t="n"/>
      <x:c r="AT45" s="139" t="n"/>
      <x:c r="AU45" s="139" t="n"/>
      <x:c r="AV45" s="139" t="n"/>
      <x:c r="AW45" s="139" t="n"/>
      <x:c r="AX45" s="139" t="n"/>
      <x:c r="AY45" s="139" t="n"/>
      <x:c r="AZ45" s="139" t="n"/>
    </x:row>
    <x:row r="46">
      <x:c r="A46" s="139" t="inlineStr">
        <x:is>
          <x:t xml:space="preserve">Donny</x:t>
        </x:is>
      </x:c>
      <x:c r="B46" s="139" t="inlineStr">
        <x:is>
          <x:t xml:space="preserve">Welly</x:t>
        </x:is>
      </x:c>
      <x:c r="C46" s="139" t="n">
        <x:v>1</x:v>
      </x:c>
      <x:c r="D46" s="139" t="n">
        <x:v>0</x:v>
      </x:c>
      <x:c r="E46" s="139" t="n">
        <x:v>1</x:v>
      </x:c>
      <x:c r="F46" s="93" t="n">
        <x:v>0</x:v>
      </x:c>
      <x:c r="G46" s="93" t="n">
        <x:v>0.3333333333333333</x:v>
      </x:c>
      <x:c r="H46" s="94" t="n">
        <x:v>-0.3333333333333333</x:v>
      </x:c>
      <x:c r="I46" s="139" t="n"/>
      <x:c r="J46" s="139" t="n"/>
      <x:c r="K46" s="139" t="n"/>
      <x:c r="L46" s="139" t="n"/>
      <x:c r="M46" s="139" t="n"/>
      <x:c r="N46" s="139" t="n"/>
      <x:c r="O46" s="139" t="n"/>
      <x:c r="P46" s="139" t="n"/>
      <x:c r="Q46" s="139" t="n"/>
      <x:c r="R46" s="139" t="n"/>
      <x:c r="S46" s="139" t="n"/>
      <x:c r="T46" s="139" t="n"/>
      <x:c r="U46" s="139" t="n"/>
      <x:c r="V46" s="139" t="n"/>
      <x:c r="W46" s="139" t="n"/>
      <x:c r="X46" s="139" t="n"/>
      <x:c r="Y46" s="139" t="n"/>
      <x:c r="Z46" s="139" t="n"/>
      <x:c r="AA46" s="139" t="n"/>
      <x:c r="AB46" s="139" t="n"/>
      <x:c r="AC46" s="139" t="n"/>
      <x:c r="AD46" s="139" t="n"/>
      <x:c r="AE46" s="139" t="n"/>
      <x:c r="AF46" s="139" t="n"/>
      <x:c r="AG46" s="139" t="n"/>
      <x:c r="AH46" s="139" t="n"/>
      <x:c r="AI46" s="139" t="n"/>
      <x:c r="AJ46" s="139" t="n"/>
      <x:c r="AK46" s="139" t="n"/>
      <x:c r="AL46" s="139" t="n"/>
      <x:c r="AM46" s="139" t="n"/>
      <x:c r="AN46" s="139" t="n"/>
      <x:c r="AO46" s="139" t="n"/>
      <x:c r="AP46" s="139" t="n"/>
      <x:c r="AQ46" s="139" t="n"/>
      <x:c r="AR46" s="139" t="n"/>
      <x:c r="AS46" s="139" t="n"/>
      <x:c r="AT46" s="139" t="n"/>
      <x:c r="AU46" s="139" t="n"/>
      <x:c r="AV46" s="139" t="n"/>
      <x:c r="AW46" s="139" t="n"/>
      <x:c r="AX46" s="139" t="n"/>
      <x:c r="AY46" s="139" t="n"/>
      <x:c r="AZ46" s="139" t="n"/>
    </x:row>
    <x:row r="47">
      <x:c r="A47" s="139" t="inlineStr">
        <x:is>
          <x:t xml:space="preserve">Donny</x:t>
        </x:is>
      </x:c>
      <x:c r="B47" s="139" t="inlineStr">
        <x:is>
          <x:t xml:space="preserve">David</x:t>
        </x:is>
      </x:c>
      <x:c r="C47" s="139" t="n">
        <x:v>1</x:v>
      </x:c>
      <x:c r="D47" s="139" t="n">
        <x:v>0</x:v>
      </x:c>
      <x:c r="E47" s="139" t="n">
        <x:v>1</x:v>
      </x:c>
      <x:c r="F47" s="93" t="n">
        <x:v>0</x:v>
      </x:c>
      <x:c r="G47" s="93" t="n">
        <x:v>0.45</x:v>
      </x:c>
      <x:c r="H47" s="94" t="n">
        <x:v>-0.45</x:v>
      </x:c>
      <x:c r="I47" s="139" t="n"/>
      <x:c r="J47" s="139" t="n"/>
      <x:c r="K47" s="139" t="n"/>
      <x:c r="L47" s="139" t="n"/>
      <x:c r="M47" s="139" t="n"/>
      <x:c r="N47" s="139" t="n"/>
      <x:c r="O47" s="139" t="n"/>
      <x:c r="P47" s="139" t="n"/>
      <x:c r="Q47" s="139" t="n"/>
      <x:c r="R47" s="139" t="n"/>
      <x:c r="S47" s="139" t="n"/>
      <x:c r="T47" s="139" t="n"/>
      <x:c r="U47" s="139" t="n"/>
      <x:c r="V47" s="139" t="n"/>
      <x:c r="W47" s="139" t="n"/>
      <x:c r="X47" s="139" t="n"/>
      <x:c r="Y47" s="139" t="n"/>
      <x:c r="Z47" s="139" t="n"/>
      <x:c r="AA47" s="139" t="n"/>
      <x:c r="AB47" s="139" t="n"/>
      <x:c r="AC47" s="139" t="n"/>
      <x:c r="AD47" s="139" t="n"/>
      <x:c r="AE47" s="139" t="n"/>
      <x:c r="AF47" s="139" t="n"/>
      <x:c r="AG47" s="139" t="n"/>
      <x:c r="AH47" s="139" t="n"/>
      <x:c r="AI47" s="139" t="n"/>
      <x:c r="AJ47" s="139" t="n"/>
      <x:c r="AK47" s="139" t="n"/>
      <x:c r="AL47" s="139" t="n"/>
      <x:c r="AM47" s="139" t="n"/>
      <x:c r="AN47" s="139" t="n"/>
      <x:c r="AO47" s="139" t="n"/>
      <x:c r="AP47" s="139" t="n"/>
      <x:c r="AQ47" s="139" t="n"/>
      <x:c r="AR47" s="139" t="n"/>
      <x:c r="AS47" s="139" t="n"/>
      <x:c r="AT47" s="139" t="n"/>
      <x:c r="AU47" s="139" t="n"/>
      <x:c r="AV47" s="139" t="n"/>
      <x:c r="AW47" s="139" t="n"/>
      <x:c r="AX47" s="139" t="n"/>
      <x:c r="AY47" s="139" t="n"/>
      <x:c r="AZ47" s="139" t="n"/>
    </x:row>
    <x:row r="48">
      <x:c r="A48" s="139" t="inlineStr">
        <x:is>
          <x:t xml:space="preserve">Donny</x:t>
        </x:is>
      </x:c>
      <x:c r="B48" s="139" t="inlineStr">
        <x:is>
          <x:t xml:space="preserve">Nicholas</x:t>
        </x:is>
      </x:c>
      <x:c r="C48" s="139" t="n">
        <x:v>1</x:v>
      </x:c>
      <x:c r="D48" s="139" t="n">
        <x:v>0</x:v>
      </x:c>
      <x:c r="E48" s="139" t="n">
        <x:v>1</x:v>
      </x:c>
      <x:c r="F48" s="93" t="n">
        <x:v>0</x:v>
      </x:c>
      <x:c r="G48" s="93" t="n">
        <x:v>0.4666666666666667</x:v>
      </x:c>
      <x:c r="H48" s="94" t="n">
        <x:v>-0.4666666666666667</x:v>
      </x:c>
      <x:c r="I48" s="139" t="n"/>
      <x:c r="J48" s="139" t="n"/>
      <x:c r="K48" s="139" t="n"/>
      <x:c r="L48" s="139" t="n"/>
      <x:c r="M48" s="139" t="n"/>
      <x:c r="N48" s="139" t="n"/>
      <x:c r="O48" s="139" t="n"/>
      <x:c r="P48" s="139" t="n"/>
      <x:c r="Q48" s="139" t="n"/>
      <x:c r="R48" s="139" t="n"/>
      <x:c r="S48" s="139" t="n"/>
      <x:c r="T48" s="139" t="n"/>
      <x:c r="U48" s="139" t="n"/>
      <x:c r="V48" s="139" t="n"/>
      <x:c r="W48" s="139" t="n"/>
      <x:c r="X48" s="139" t="n"/>
      <x:c r="Y48" s="139" t="n"/>
      <x:c r="Z48" s="139" t="n"/>
      <x:c r="AA48" s="139" t="n"/>
      <x:c r="AB48" s="139" t="n"/>
      <x:c r="AC48" s="139" t="n"/>
      <x:c r="AD48" s="139" t="n"/>
      <x:c r="AE48" s="139" t="n"/>
      <x:c r="AF48" s="139" t="n"/>
      <x:c r="AG48" s="139" t="n"/>
      <x:c r="AH48" s="139" t="n"/>
      <x:c r="AI48" s="139" t="n"/>
      <x:c r="AJ48" s="139" t="n"/>
      <x:c r="AK48" s="139" t="n"/>
      <x:c r="AL48" s="139" t="n"/>
      <x:c r="AM48" s="139" t="n"/>
      <x:c r="AN48" s="139" t="n"/>
      <x:c r="AO48" s="139" t="n"/>
      <x:c r="AP48" s="139" t="n"/>
      <x:c r="AQ48" s="139" t="n"/>
      <x:c r="AR48" s="139" t="n"/>
      <x:c r="AS48" s="139" t="n"/>
      <x:c r="AT48" s="139" t="n"/>
      <x:c r="AU48" s="139" t="n"/>
      <x:c r="AV48" s="139" t="n"/>
      <x:c r="AW48" s="139" t="n"/>
      <x:c r="AX48" s="139" t="n"/>
      <x:c r="AY48" s="139" t="n"/>
      <x:c r="AZ48" s="139" t="n"/>
    </x:row>
    <x:row r="49">
      <x:c r="A49" s="139" t="inlineStr">
        <x:is>
          <x:t xml:space="preserve">Donny</x:t>
        </x:is>
      </x:c>
      <x:c r="B49" s="139" t="inlineStr">
        <x:is>
          <x:t xml:space="preserve">Edy SP</x:t>
        </x:is>
      </x:c>
      <x:c r="C49" s="139" t="n">
        <x:v>1</x:v>
      </x:c>
      <x:c r="D49" s="139" t="n">
        <x:v>0</x:v>
      </x:c>
      <x:c r="E49" s="139" t="n">
        <x:v>1</x:v>
      </x:c>
      <x:c r="F49" s="93" t="n">
        <x:v>0</x:v>
      </x:c>
      <x:c r="G49" s="93" t="n">
        <x:v>0.4736842105263158</x:v>
      </x:c>
      <x:c r="H49" s="94" t="n">
        <x:v>-0.4736842105263158</x:v>
      </x:c>
      <x:c r="I49" s="139" t="n"/>
      <x:c r="J49" s="139" t="n"/>
      <x:c r="K49" s="139" t="n"/>
      <x:c r="L49" s="139" t="n"/>
      <x:c r="M49" s="139" t="n"/>
      <x:c r="N49" s="139" t="n"/>
      <x:c r="O49" s="139" t="n"/>
      <x:c r="P49" s="139" t="n"/>
      <x:c r="Q49" s="139" t="n"/>
      <x:c r="R49" s="139" t="n"/>
      <x:c r="S49" s="139" t="n"/>
      <x:c r="T49" s="139" t="n"/>
      <x:c r="U49" s="139" t="n"/>
      <x:c r="V49" s="139" t="n"/>
      <x:c r="W49" s="139" t="n"/>
      <x:c r="X49" s="139" t="n"/>
      <x:c r="Y49" s="139" t="n"/>
      <x:c r="Z49" s="139" t="n"/>
      <x:c r="AA49" s="139" t="n"/>
      <x:c r="AB49" s="139" t="n"/>
      <x:c r="AC49" s="139" t="n"/>
      <x:c r="AD49" s="139" t="n"/>
      <x:c r="AE49" s="139" t="n"/>
      <x:c r="AF49" s="139" t="n"/>
      <x:c r="AG49" s="139" t="n"/>
      <x:c r="AH49" s="139" t="n"/>
      <x:c r="AI49" s="139" t="n"/>
      <x:c r="AJ49" s="139" t="n"/>
      <x:c r="AK49" s="139" t="n"/>
      <x:c r="AL49" s="139" t="n"/>
      <x:c r="AM49" s="139" t="n"/>
      <x:c r="AN49" s="139" t="n"/>
      <x:c r="AO49" s="139" t="n"/>
      <x:c r="AP49" s="139" t="n"/>
      <x:c r="AQ49" s="139" t="n"/>
      <x:c r="AR49" s="139" t="n"/>
      <x:c r="AS49" s="139" t="n"/>
      <x:c r="AT49" s="139" t="n"/>
      <x:c r="AU49" s="139" t="n"/>
      <x:c r="AV49" s="139" t="n"/>
      <x:c r="AW49" s="139" t="n"/>
      <x:c r="AX49" s="139" t="n"/>
      <x:c r="AY49" s="139" t="n"/>
      <x:c r="AZ49" s="139" t="n"/>
    </x:row>
    <x:row r="50">
      <x:c r="A50" s="139" t="inlineStr">
        <x:is>
          <x:t xml:space="preserve">Donny</x:t>
        </x:is>
      </x:c>
      <x:c r="B50" s="139" t="inlineStr">
        <x:is>
          <x:t xml:space="preserve">Ricky</x:t>
        </x:is>
      </x:c>
      <x:c r="C50" s="139" t="n">
        <x:v>1</x:v>
      </x:c>
      <x:c r="D50" s="139" t="n">
        <x:v>0</x:v>
      </x:c>
      <x:c r="E50" s="139" t="n">
        <x:v>1</x:v>
      </x:c>
      <x:c r="F50" s="93" t="n">
        <x:v>0</x:v>
      </x:c>
      <x:c r="G50" s="93" t="n">
        <x:v>0.5882352941176471</x:v>
      </x:c>
      <x:c r="H50" s="94" t="n">
        <x:v>-0.5882352941176471</x:v>
      </x:c>
      <x:c r="I50" s="139" t="n"/>
      <x:c r="J50" s="139" t="n"/>
      <x:c r="K50" s="139" t="n"/>
      <x:c r="L50" s="139" t="n"/>
      <x:c r="M50" s="139" t="n"/>
      <x:c r="N50" s="139" t="n"/>
      <x:c r="O50" s="139" t="n"/>
      <x:c r="P50" s="139" t="n"/>
      <x:c r="Q50" s="139" t="n"/>
      <x:c r="R50" s="139" t="n"/>
      <x:c r="S50" s="139" t="n"/>
      <x:c r="T50" s="139" t="n"/>
      <x:c r="U50" s="139" t="n"/>
      <x:c r="V50" s="139" t="n"/>
      <x:c r="W50" s="139" t="n"/>
      <x:c r="X50" s="139" t="n"/>
      <x:c r="Y50" s="139" t="n"/>
      <x:c r="Z50" s="139" t="n"/>
      <x:c r="AA50" s="139" t="n"/>
      <x:c r="AB50" s="139" t="n"/>
      <x:c r="AC50" s="139" t="n"/>
      <x:c r="AD50" s="139" t="n"/>
      <x:c r="AE50" s="139" t="n"/>
      <x:c r="AF50" s="139" t="n"/>
      <x:c r="AG50" s="139" t="n"/>
      <x:c r="AH50" s="139" t="n"/>
      <x:c r="AI50" s="139" t="n"/>
      <x:c r="AJ50" s="139" t="n"/>
      <x:c r="AK50" s="139" t="n"/>
      <x:c r="AL50" s="139" t="n"/>
      <x:c r="AM50" s="139" t="n"/>
      <x:c r="AN50" s="139" t="n"/>
      <x:c r="AO50" s="139" t="n"/>
      <x:c r="AP50" s="139" t="n"/>
      <x:c r="AQ50" s="139" t="n"/>
      <x:c r="AR50" s="139" t="n"/>
      <x:c r="AS50" s="139" t="n"/>
      <x:c r="AT50" s="139" t="n"/>
      <x:c r="AU50" s="139" t="n"/>
      <x:c r="AV50" s="139" t="n"/>
      <x:c r="AW50" s="139" t="n"/>
      <x:c r="AX50" s="139" t="n"/>
      <x:c r="AY50" s="139" t="n"/>
      <x:c r="AZ50" s="139" t="n"/>
    </x:row>
    <x:row r="51">
      <x:c r="A51" s="139" t="inlineStr">
        <x:is>
          <x:t xml:space="preserve">Donny</x:t>
        </x:is>
      </x:c>
      <x:c r="B51" s="139" t="inlineStr">
        <x:is>
          <x:t xml:space="preserve">Ronald</x:t>
        </x:is>
      </x:c>
      <x:c r="C51" s="139" t="n">
        <x:v>1</x:v>
      </x:c>
      <x:c r="D51" s="139" t="n">
        <x:v>0</x:v>
      </x:c>
      <x:c r="E51" s="139" t="n">
        <x:v>1</x:v>
      </x:c>
      <x:c r="F51" s="93" t="n">
        <x:v>0</x:v>
      </x:c>
      <x:c r="G51" s="93" t="n">
        <x:v>0.6153846153846154</x:v>
      </x:c>
      <x:c r="H51" s="94" t="n">
        <x:v>-0.6153846153846154</x:v>
      </x:c>
      <x:c r="I51" s="139" t="n"/>
      <x:c r="J51" s="139" t="n"/>
      <x:c r="K51" s="139" t="n"/>
      <x:c r="L51" s="139" t="n"/>
      <x:c r="M51" s="139" t="n"/>
      <x:c r="N51" s="139" t="n"/>
      <x:c r="O51" s="139" t="n"/>
      <x:c r="P51" s="139" t="n"/>
      <x:c r="Q51" s="139" t="n"/>
      <x:c r="R51" s="139" t="n"/>
      <x:c r="S51" s="139" t="n"/>
      <x:c r="T51" s="139" t="n"/>
      <x:c r="U51" s="139" t="n"/>
      <x:c r="V51" s="139" t="n"/>
      <x:c r="W51" s="139" t="n"/>
      <x:c r="X51" s="139" t="n"/>
      <x:c r="Y51" s="139" t="n"/>
      <x:c r="Z51" s="139" t="n"/>
      <x:c r="AA51" s="139" t="n"/>
      <x:c r="AB51" s="139" t="n"/>
      <x:c r="AC51" s="139" t="n"/>
      <x:c r="AD51" s="139" t="n"/>
      <x:c r="AE51" s="139" t="n"/>
      <x:c r="AF51" s="139" t="n"/>
      <x:c r="AG51" s="139" t="n"/>
      <x:c r="AH51" s="139" t="n"/>
      <x:c r="AI51" s="139" t="n"/>
      <x:c r="AJ51" s="139" t="n"/>
      <x:c r="AK51" s="139" t="n"/>
      <x:c r="AL51" s="139" t="n"/>
      <x:c r="AM51" s="139" t="n"/>
      <x:c r="AN51" s="139" t="n"/>
      <x:c r="AO51" s="139" t="n"/>
      <x:c r="AP51" s="139" t="n"/>
      <x:c r="AQ51" s="139" t="n"/>
      <x:c r="AR51" s="139" t="n"/>
      <x:c r="AS51" s="139" t="n"/>
      <x:c r="AT51" s="139" t="n"/>
      <x:c r="AU51" s="139" t="n"/>
      <x:c r="AV51" s="139" t="n"/>
      <x:c r="AW51" s="139" t="n"/>
      <x:c r="AX51" s="139" t="n"/>
      <x:c r="AY51" s="139" t="n"/>
      <x:c r="AZ51" s="139" t="n"/>
    </x:row>
    <x:row r="52">
      <x:c r="A52" s="139" t="inlineStr">
        <x:is>
          <x:t xml:space="preserve">Edy SP</x:t>
        </x:is>
      </x:c>
      <x:c r="B52" s="139" t="inlineStr">
        <x:is>
          <x:t xml:space="preserve">Ricky</x:t>
        </x:is>
      </x:c>
      <x:c r="C52" s="139" t="n">
        <x:v>4</x:v>
      </x:c>
      <x:c r="D52" s="139" t="n">
        <x:v>3</x:v>
      </x:c>
      <x:c r="E52" s="139" t="n">
        <x:v>1</x:v>
      </x:c>
      <x:c r="F52" s="93" t="n">
        <x:v>0.75</x:v>
      </x:c>
      <x:c r="G52" s="93" t="n">
        <x:v>0.5882352941176471</x:v>
      </x:c>
      <x:c r="H52" s="94" t="n">
        <x:v>0.1617647058823529</x:v>
      </x:c>
      <x:c r="I52" s="139" t="n"/>
      <x:c r="J52" s="139" t="n"/>
      <x:c r="K52" s="139" t="n"/>
      <x:c r="L52" s="139" t="n"/>
      <x:c r="M52" s="139" t="n"/>
      <x:c r="N52" s="139" t="n"/>
      <x:c r="O52" s="139" t="n"/>
      <x:c r="P52" s="139" t="n"/>
      <x:c r="Q52" s="139" t="n"/>
      <x:c r="R52" s="139" t="n"/>
      <x:c r="S52" s="139" t="n"/>
      <x:c r="T52" s="139" t="n"/>
      <x:c r="U52" s="139" t="n"/>
      <x:c r="V52" s="139" t="n"/>
      <x:c r="W52" s="139" t="n"/>
      <x:c r="X52" s="139" t="n"/>
      <x:c r="Y52" s="139" t="n"/>
      <x:c r="Z52" s="139" t="n"/>
      <x:c r="AA52" s="139" t="n"/>
      <x:c r="AB52" s="139" t="n"/>
      <x:c r="AC52" s="139" t="n"/>
      <x:c r="AD52" s="139" t="n"/>
      <x:c r="AE52" s="139" t="n"/>
      <x:c r="AF52" s="139" t="n"/>
      <x:c r="AG52" s="139" t="n"/>
      <x:c r="AH52" s="139" t="n"/>
      <x:c r="AI52" s="139" t="n"/>
      <x:c r="AJ52" s="139" t="n"/>
      <x:c r="AK52" s="139" t="n"/>
      <x:c r="AL52" s="139" t="n"/>
      <x:c r="AM52" s="139" t="n"/>
      <x:c r="AN52" s="139" t="n"/>
      <x:c r="AO52" s="139" t="n"/>
      <x:c r="AP52" s="139" t="n"/>
      <x:c r="AQ52" s="139" t="n"/>
      <x:c r="AR52" s="139" t="n"/>
      <x:c r="AS52" s="139" t="n"/>
      <x:c r="AT52" s="139" t="n"/>
      <x:c r="AU52" s="139" t="n"/>
      <x:c r="AV52" s="139" t="n"/>
      <x:c r="AW52" s="139" t="n"/>
      <x:c r="AX52" s="139" t="n"/>
      <x:c r="AY52" s="139" t="n"/>
      <x:c r="AZ52" s="139" t="n"/>
    </x:row>
    <x:row r="53">
      <x:c r="A53" s="139" t="inlineStr">
        <x:is>
          <x:t xml:space="preserve">Edy SP</x:t>
        </x:is>
      </x:c>
      <x:c r="B53" s="139" t="inlineStr">
        <x:is>
          <x:t xml:space="preserve">Ronald</x:t>
        </x:is>
      </x:c>
      <x:c r="C53" s="139" t="n">
        <x:v>3</x:v>
      </x:c>
      <x:c r="D53" s="139" t="n">
        <x:v>2</x:v>
      </x:c>
      <x:c r="E53" s="139" t="n">
        <x:v>1</x:v>
      </x:c>
      <x:c r="F53" s="93" t="n">
        <x:v>0.6666666666666666</x:v>
      </x:c>
      <x:c r="G53" s="93" t="n">
        <x:v>0.6153846153846154</x:v>
      </x:c>
      <x:c r="H53" s="94" t="n">
        <x:v>0.05128205128205121</x:v>
      </x:c>
      <x:c r="I53" s="139" t="n"/>
      <x:c r="J53" s="139" t="n"/>
      <x:c r="K53" s="139" t="n"/>
      <x:c r="L53" s="139" t="n"/>
      <x:c r="M53" s="139" t="n"/>
      <x:c r="N53" s="139" t="n"/>
      <x:c r="O53" s="139" t="n"/>
      <x:c r="P53" s="139" t="n"/>
      <x:c r="Q53" s="139" t="n"/>
      <x:c r="R53" s="139" t="n"/>
      <x:c r="S53" s="139" t="n"/>
      <x:c r="T53" s="139" t="n"/>
      <x:c r="U53" s="139" t="n"/>
      <x:c r="V53" s="139" t="n"/>
      <x:c r="W53" s="139" t="n"/>
      <x:c r="X53" s="139" t="n"/>
      <x:c r="Y53" s="139" t="n"/>
      <x:c r="Z53" s="139" t="n"/>
      <x:c r="AA53" s="139" t="n"/>
      <x:c r="AB53" s="139" t="n"/>
      <x:c r="AC53" s="139" t="n"/>
      <x:c r="AD53" s="139" t="n"/>
      <x:c r="AE53" s="139" t="n"/>
      <x:c r="AF53" s="139" t="n"/>
      <x:c r="AG53" s="139" t="n"/>
      <x:c r="AH53" s="139" t="n"/>
      <x:c r="AI53" s="139" t="n"/>
      <x:c r="AJ53" s="139" t="n"/>
      <x:c r="AK53" s="139" t="n"/>
      <x:c r="AL53" s="139" t="n"/>
      <x:c r="AM53" s="139" t="n"/>
      <x:c r="AN53" s="139" t="n"/>
      <x:c r="AO53" s="139" t="n"/>
      <x:c r="AP53" s="139" t="n"/>
      <x:c r="AQ53" s="139" t="n"/>
      <x:c r="AR53" s="139" t="n"/>
      <x:c r="AS53" s="139" t="n"/>
      <x:c r="AT53" s="139" t="n"/>
      <x:c r="AU53" s="139" t="n"/>
      <x:c r="AV53" s="139" t="n"/>
      <x:c r="AW53" s="139" t="n"/>
      <x:c r="AX53" s="139" t="n"/>
      <x:c r="AY53" s="139" t="n"/>
      <x:c r="AZ53" s="139" t="n"/>
    </x:row>
    <x:row r="54">
      <x:c r="A54" s="139" t="inlineStr">
        <x:is>
          <x:t xml:space="preserve">Edy SP</x:t>
        </x:is>
      </x:c>
      <x:c r="B54" s="139" t="inlineStr">
        <x:is>
          <x:t xml:space="preserve">Rizky</x:t>
        </x:is>
      </x:c>
      <x:c r="C54" s="139" t="n">
        <x:v>2</x:v>
      </x:c>
      <x:c r="D54" s="139" t="n">
        <x:v>2</x:v>
      </x:c>
      <x:c r="E54" s="139" t="n">
        <x:v>0</x:v>
      </x:c>
      <x:c r="F54" s="93" t="n">
        <x:v>1</x:v>
      </x:c>
      <x:c r="G54" s="93" t="n">
        <x:v>0.5714285714285714</x:v>
      </x:c>
      <x:c r="H54" s="94" t="n">
        <x:v>0.4285714285714286</x:v>
      </x:c>
      <x:c r="I54" s="139" t="n"/>
      <x:c r="J54" s="139" t="n"/>
      <x:c r="K54" s="139" t="n"/>
      <x:c r="L54" s="139" t="n"/>
      <x:c r="M54" s="139" t="n"/>
      <x:c r="N54" s="139" t="n"/>
      <x:c r="O54" s="139" t="n"/>
      <x:c r="P54" s="139" t="n"/>
      <x:c r="Q54" s="139" t="n"/>
      <x:c r="R54" s="139" t="n"/>
      <x:c r="S54" s="139" t="n"/>
      <x:c r="T54" s="139" t="n"/>
      <x:c r="U54" s="139" t="n"/>
      <x:c r="V54" s="139" t="n"/>
      <x:c r="W54" s="139" t="n"/>
      <x:c r="X54" s="139" t="n"/>
      <x:c r="Y54" s="139" t="n"/>
      <x:c r="Z54" s="139" t="n"/>
      <x:c r="AA54" s="139" t="n"/>
      <x:c r="AB54" s="139" t="n"/>
      <x:c r="AC54" s="139" t="n"/>
      <x:c r="AD54" s="139" t="n"/>
      <x:c r="AE54" s="139" t="n"/>
      <x:c r="AF54" s="139" t="n"/>
      <x:c r="AG54" s="139" t="n"/>
      <x:c r="AH54" s="139" t="n"/>
      <x:c r="AI54" s="139" t="n"/>
      <x:c r="AJ54" s="139" t="n"/>
      <x:c r="AK54" s="139" t="n"/>
      <x:c r="AL54" s="139" t="n"/>
      <x:c r="AM54" s="139" t="n"/>
      <x:c r="AN54" s="139" t="n"/>
      <x:c r="AO54" s="139" t="n"/>
      <x:c r="AP54" s="139" t="n"/>
      <x:c r="AQ54" s="139" t="n"/>
      <x:c r="AR54" s="139" t="n"/>
      <x:c r="AS54" s="139" t="n"/>
      <x:c r="AT54" s="139" t="n"/>
      <x:c r="AU54" s="139" t="n"/>
      <x:c r="AV54" s="139" t="n"/>
      <x:c r="AW54" s="139" t="n"/>
      <x:c r="AX54" s="139" t="n"/>
      <x:c r="AY54" s="139" t="n"/>
      <x:c r="AZ54" s="139" t="n"/>
    </x:row>
    <x:row r="55">
      <x:c r="A55" s="139" t="inlineStr">
        <x:is>
          <x:t xml:space="preserve">Edy SP</x:t>
        </x:is>
      </x:c>
      <x:c r="B55" s="139" t="inlineStr">
        <x:is>
          <x:t xml:space="preserve">Sandy</x:t>
        </x:is>
      </x:c>
      <x:c r="C55" s="139" t="n">
        <x:v>2</x:v>
      </x:c>
      <x:c r="D55" s="139" t="n">
        <x:v>2</x:v>
      </x:c>
      <x:c r="E55" s="139" t="n">
        <x:v>0</x:v>
      </x:c>
      <x:c r="F55" s="93" t="n">
        <x:v>1</x:v>
      </x:c>
      <x:c r="G55" s="93" t="n">
        <x:v>0.7142857142857143</x:v>
      </x:c>
      <x:c r="H55" s="94" t="n">
        <x:v>0.2857142857142857</x:v>
      </x:c>
      <x:c r="I55" s="139" t="n"/>
      <x:c r="J55" s="139" t="n"/>
      <x:c r="K55" s="139" t="n"/>
      <x:c r="L55" s="139" t="n"/>
      <x:c r="M55" s="139" t="n"/>
      <x:c r="N55" s="139" t="n"/>
      <x:c r="O55" s="139" t="n"/>
      <x:c r="P55" s="139" t="n"/>
      <x:c r="Q55" s="139" t="n"/>
      <x:c r="R55" s="139" t="n"/>
      <x:c r="S55" s="139" t="n"/>
      <x:c r="T55" s="139" t="n"/>
      <x:c r="U55" s="139" t="n"/>
      <x:c r="V55" s="139" t="n"/>
      <x:c r="W55" s="139" t="n"/>
      <x:c r="X55" s="139" t="n"/>
      <x:c r="Y55" s="139" t="n"/>
      <x:c r="Z55" s="139" t="n"/>
      <x:c r="AA55" s="139" t="n"/>
      <x:c r="AB55" s="139" t="n"/>
      <x:c r="AC55" s="139" t="n"/>
      <x:c r="AD55" s="139" t="n"/>
      <x:c r="AE55" s="139" t="n"/>
      <x:c r="AF55" s="139" t="n"/>
      <x:c r="AG55" s="139" t="n"/>
      <x:c r="AH55" s="139" t="n"/>
      <x:c r="AI55" s="139" t="n"/>
      <x:c r="AJ55" s="139" t="n"/>
      <x:c r="AK55" s="139" t="n"/>
      <x:c r="AL55" s="139" t="n"/>
      <x:c r="AM55" s="139" t="n"/>
      <x:c r="AN55" s="139" t="n"/>
      <x:c r="AO55" s="139" t="n"/>
      <x:c r="AP55" s="139" t="n"/>
      <x:c r="AQ55" s="139" t="n"/>
      <x:c r="AR55" s="139" t="n"/>
      <x:c r="AS55" s="139" t="n"/>
      <x:c r="AT55" s="139" t="n"/>
      <x:c r="AU55" s="139" t="n"/>
      <x:c r="AV55" s="139" t="n"/>
      <x:c r="AW55" s="139" t="n"/>
      <x:c r="AX55" s="139" t="n"/>
      <x:c r="AY55" s="139" t="n"/>
      <x:c r="AZ55" s="139" t="n"/>
    </x:row>
    <x:row r="56">
      <x:c r="A56" s="139" t="inlineStr">
        <x:is>
          <x:t xml:space="preserve">Edy SP</x:t>
        </x:is>
      </x:c>
      <x:c r="B56" s="139" t="inlineStr">
        <x:is>
          <x:t xml:space="preserve">David</x:t>
        </x:is>
      </x:c>
      <x:c r="C56" s="139" t="n">
        <x:v>2</x:v>
      </x:c>
      <x:c r="D56" s="139" t="n">
        <x:v>1</x:v>
      </x:c>
      <x:c r="E56" s="139" t="n">
        <x:v>1</x:v>
      </x:c>
      <x:c r="F56" s="93" t="n">
        <x:v>0.5</x:v>
      </x:c>
      <x:c r="G56" s="93" t="n">
        <x:v>0.45</x:v>
      </x:c>
      <x:c r="H56" s="94" t="n">
        <x:v>0.04999999999999999</x:v>
      </x:c>
      <x:c r="I56" s="139" t="n"/>
      <x:c r="J56" s="139" t="n"/>
      <x:c r="K56" s="139" t="n"/>
      <x:c r="L56" s="139" t="n"/>
      <x:c r="M56" s="139" t="n"/>
      <x:c r="N56" s="139" t="n"/>
      <x:c r="O56" s="139" t="n"/>
      <x:c r="P56" s="139" t="n"/>
      <x:c r="Q56" s="139" t="n"/>
      <x:c r="R56" s="139" t="n"/>
      <x:c r="S56" s="139" t="n"/>
      <x:c r="T56" s="139" t="n"/>
      <x:c r="U56" s="139" t="n"/>
      <x:c r="V56" s="139" t="n"/>
      <x:c r="W56" s="139" t="n"/>
      <x:c r="X56" s="139" t="n"/>
      <x:c r="Y56" s="139" t="n"/>
      <x:c r="Z56" s="139" t="n"/>
      <x:c r="AA56" s="139" t="n"/>
      <x:c r="AB56" s="139" t="n"/>
      <x:c r="AC56" s="139" t="n"/>
      <x:c r="AD56" s="139" t="n"/>
      <x:c r="AE56" s="139" t="n"/>
      <x:c r="AF56" s="139" t="n"/>
      <x:c r="AG56" s="139" t="n"/>
      <x:c r="AH56" s="139" t="n"/>
      <x:c r="AI56" s="139" t="n"/>
      <x:c r="AJ56" s="139" t="n"/>
      <x:c r="AK56" s="139" t="n"/>
      <x:c r="AL56" s="139" t="n"/>
      <x:c r="AM56" s="139" t="n"/>
      <x:c r="AN56" s="139" t="n"/>
      <x:c r="AO56" s="139" t="n"/>
      <x:c r="AP56" s="139" t="n"/>
      <x:c r="AQ56" s="139" t="n"/>
      <x:c r="AR56" s="139" t="n"/>
      <x:c r="AS56" s="139" t="n"/>
      <x:c r="AT56" s="139" t="n"/>
      <x:c r="AU56" s="139" t="n"/>
      <x:c r="AV56" s="139" t="n"/>
      <x:c r="AW56" s="139" t="n"/>
      <x:c r="AX56" s="139" t="n"/>
      <x:c r="AY56" s="139" t="n"/>
      <x:c r="AZ56" s="139" t="n"/>
    </x:row>
    <x:row r="57">
      <x:c r="A57" s="139" t="inlineStr">
        <x:is>
          <x:t xml:space="preserve">Edy SP</x:t>
        </x:is>
      </x:c>
      <x:c r="B57" s="139" t="inlineStr">
        <x:is>
          <x:t xml:space="preserve">Hansen</x:t>
        </x:is>
      </x:c>
      <x:c r="C57" s="139" t="n">
        <x:v>2</x:v>
      </x:c>
      <x:c r="D57" s="139" t="n">
        <x:v>0</x:v>
      </x:c>
      <x:c r="E57" s="139" t="n">
        <x:v>2</x:v>
      </x:c>
      <x:c r="F57" s="93" t="n">
        <x:v>0</x:v>
      </x:c>
      <x:c r="G57" s="93" t="n">
        <x:v>0.2857142857142857</x:v>
      </x:c>
      <x:c r="H57" s="94" t="n">
        <x:v>-0.2857142857142857</x:v>
      </x:c>
      <x:c r="I57" s="139" t="n"/>
      <x:c r="J57" s="139" t="n"/>
      <x:c r="K57" s="139" t="n"/>
      <x:c r="L57" s="139" t="n"/>
      <x:c r="M57" s="139" t="n"/>
      <x:c r="N57" s="139" t="n"/>
      <x:c r="O57" s="139" t="n"/>
      <x:c r="P57" s="139" t="n"/>
      <x:c r="Q57" s="139" t="n"/>
      <x:c r="R57" s="139" t="n"/>
      <x:c r="S57" s="139" t="n"/>
      <x:c r="T57" s="139" t="n"/>
      <x:c r="U57" s="139" t="n"/>
      <x:c r="V57" s="139" t="n"/>
      <x:c r="W57" s="139" t="n"/>
      <x:c r="X57" s="139" t="n"/>
      <x:c r="Y57" s="139" t="n"/>
      <x:c r="Z57" s="139" t="n"/>
      <x:c r="AA57" s="139" t="n"/>
      <x:c r="AB57" s="139" t="n"/>
      <x:c r="AC57" s="139" t="n"/>
      <x:c r="AD57" s="139" t="n"/>
      <x:c r="AE57" s="139" t="n"/>
      <x:c r="AF57" s="139" t="n"/>
      <x:c r="AG57" s="139" t="n"/>
      <x:c r="AH57" s="139" t="n"/>
      <x:c r="AI57" s="139" t="n"/>
      <x:c r="AJ57" s="139" t="n"/>
      <x:c r="AK57" s="139" t="n"/>
      <x:c r="AL57" s="139" t="n"/>
      <x:c r="AM57" s="139" t="n"/>
      <x:c r="AN57" s="139" t="n"/>
      <x:c r="AO57" s="139" t="n"/>
      <x:c r="AP57" s="139" t="n"/>
      <x:c r="AQ57" s="139" t="n"/>
      <x:c r="AR57" s="139" t="n"/>
      <x:c r="AS57" s="139" t="n"/>
      <x:c r="AT57" s="139" t="n"/>
      <x:c r="AU57" s="139" t="n"/>
      <x:c r="AV57" s="139" t="n"/>
      <x:c r="AW57" s="139" t="n"/>
      <x:c r="AX57" s="139" t="n"/>
      <x:c r="AY57" s="139" t="n"/>
      <x:c r="AZ57" s="139" t="n"/>
    </x:row>
    <x:row r="58">
      <x:c r="A58" s="139" t="inlineStr">
        <x:is>
          <x:t xml:space="preserve">Edy SP</x:t>
        </x:is>
      </x:c>
      <x:c r="B58" s="139" t="inlineStr">
        <x:is>
          <x:t xml:space="preserve">Welly</x:t>
        </x:is>
      </x:c>
      <x:c r="C58" s="139" t="n">
        <x:v>2</x:v>
      </x:c>
      <x:c r="D58" s="139" t="n">
        <x:v>0</x:v>
      </x:c>
      <x:c r="E58" s="139" t="n">
        <x:v>2</x:v>
      </x:c>
      <x:c r="F58" s="93" t="n">
        <x:v>0</x:v>
      </x:c>
      <x:c r="G58" s="93" t="n">
        <x:v>0.3333333333333333</x:v>
      </x:c>
      <x:c r="H58" s="94" t="n">
        <x:v>-0.3333333333333333</x:v>
      </x:c>
      <x:c r="I58" s="139" t="n"/>
      <x:c r="J58" s="139" t="n"/>
      <x:c r="K58" s="139" t="n"/>
      <x:c r="L58" s="139" t="n"/>
      <x:c r="M58" s="139" t="n"/>
      <x:c r="N58" s="139" t="n"/>
      <x:c r="O58" s="139" t="n"/>
      <x:c r="P58" s="139" t="n"/>
      <x:c r="Q58" s="139" t="n"/>
      <x:c r="R58" s="139" t="n"/>
      <x:c r="S58" s="139" t="n"/>
      <x:c r="T58" s="139" t="n"/>
      <x:c r="U58" s="139" t="n"/>
      <x:c r="V58" s="139" t="n"/>
      <x:c r="W58" s="139" t="n"/>
      <x:c r="X58" s="139" t="n"/>
      <x:c r="Y58" s="139" t="n"/>
      <x:c r="Z58" s="139" t="n"/>
      <x:c r="AA58" s="139" t="n"/>
      <x:c r="AB58" s="139" t="n"/>
      <x:c r="AC58" s="139" t="n"/>
      <x:c r="AD58" s="139" t="n"/>
      <x:c r="AE58" s="139" t="n"/>
      <x:c r="AF58" s="139" t="n"/>
      <x:c r="AG58" s="139" t="n"/>
      <x:c r="AH58" s="139" t="n"/>
      <x:c r="AI58" s="139" t="n"/>
      <x:c r="AJ58" s="139" t="n"/>
      <x:c r="AK58" s="139" t="n"/>
      <x:c r="AL58" s="139" t="n"/>
      <x:c r="AM58" s="139" t="n"/>
      <x:c r="AN58" s="139" t="n"/>
      <x:c r="AO58" s="139" t="n"/>
      <x:c r="AP58" s="139" t="n"/>
      <x:c r="AQ58" s="139" t="n"/>
      <x:c r="AR58" s="139" t="n"/>
      <x:c r="AS58" s="139" t="n"/>
      <x:c r="AT58" s="139" t="n"/>
      <x:c r="AU58" s="139" t="n"/>
      <x:c r="AV58" s="139" t="n"/>
      <x:c r="AW58" s="139" t="n"/>
      <x:c r="AX58" s="139" t="n"/>
      <x:c r="AY58" s="139" t="n"/>
      <x:c r="AZ58" s="139" t="n"/>
    </x:row>
    <x:row r="59">
      <x:c r="A59" s="139" t="inlineStr">
        <x:is>
          <x:t xml:space="preserve">Edy SP</x:t>
        </x:is>
      </x:c>
      <x:c r="B59" s="139" t="inlineStr">
        <x:is>
          <x:t xml:space="preserve">Michael</x:t>
        </x:is>
      </x:c>
      <x:c r="C59" s="139" t="n">
        <x:v>2</x:v>
      </x:c>
      <x:c r="D59" s="139" t="n">
        <x:v>0</x:v>
      </x:c>
      <x:c r="E59" s="139" t="n">
        <x:v>2</x:v>
      </x:c>
      <x:c r="F59" s="93" t="n">
        <x:v>0</x:v>
      </x:c>
      <x:c r="G59" s="93" t="n">
        <x:v>0.4761904761904762</x:v>
      </x:c>
      <x:c r="H59" s="94" t="n">
        <x:v>-0.4761904761904762</x:v>
      </x:c>
      <x:c r="I59" s="139" t="n"/>
      <x:c r="J59" s="139" t="n"/>
      <x:c r="K59" s="139" t="n"/>
      <x:c r="L59" s="139" t="n"/>
      <x:c r="M59" s="139" t="n"/>
      <x:c r="N59" s="139" t="n"/>
      <x:c r="O59" s="139" t="n"/>
      <x:c r="P59" s="139" t="n"/>
      <x:c r="Q59" s="139" t="n"/>
      <x:c r="R59" s="139" t="n"/>
      <x:c r="S59" s="139" t="n"/>
      <x:c r="T59" s="139" t="n"/>
      <x:c r="U59" s="139" t="n"/>
      <x:c r="V59" s="139" t="n"/>
      <x:c r="W59" s="139" t="n"/>
      <x:c r="X59" s="139" t="n"/>
      <x:c r="Y59" s="139" t="n"/>
      <x:c r="Z59" s="139" t="n"/>
      <x:c r="AA59" s="139" t="n"/>
      <x:c r="AB59" s="139" t="n"/>
      <x:c r="AC59" s="139" t="n"/>
      <x:c r="AD59" s="139" t="n"/>
      <x:c r="AE59" s="139" t="n"/>
      <x:c r="AF59" s="139" t="n"/>
      <x:c r="AG59" s="139" t="n"/>
      <x:c r="AH59" s="139" t="n"/>
      <x:c r="AI59" s="139" t="n"/>
      <x:c r="AJ59" s="139" t="n"/>
      <x:c r="AK59" s="139" t="n"/>
      <x:c r="AL59" s="139" t="n"/>
      <x:c r="AM59" s="139" t="n"/>
      <x:c r="AN59" s="139" t="n"/>
      <x:c r="AO59" s="139" t="n"/>
      <x:c r="AP59" s="139" t="n"/>
      <x:c r="AQ59" s="139" t="n"/>
      <x:c r="AR59" s="139" t="n"/>
      <x:c r="AS59" s="139" t="n"/>
      <x:c r="AT59" s="139" t="n"/>
      <x:c r="AU59" s="139" t="n"/>
      <x:c r="AV59" s="139" t="n"/>
      <x:c r="AW59" s="139" t="n"/>
      <x:c r="AX59" s="139" t="n"/>
      <x:c r="AY59" s="139" t="n"/>
      <x:c r="AZ59" s="139" t="n"/>
    </x:row>
    <x:row r="60">
      <x:c r="A60" s="139" t="inlineStr">
        <x:is>
          <x:t xml:space="preserve">Edy SP</x:t>
        </x:is>
      </x:c>
      <x:c r="B60" s="139" t="inlineStr">
        <x:is>
          <x:t xml:space="preserve">Austin</x:t>
        </x:is>
      </x:c>
      <x:c r="C60" s="139" t="n">
        <x:v>2</x:v>
      </x:c>
      <x:c r="D60" s="139" t="n">
        <x:v>0</x:v>
      </x:c>
      <x:c r="E60" s="139" t="n">
        <x:v>2</x:v>
      </x:c>
      <x:c r="F60" s="93" t="n">
        <x:v>0</x:v>
      </x:c>
      <x:c r="G60" s="93" t="n">
        <x:v>0.5909090909090909</x:v>
      </x:c>
      <x:c r="H60" s="94" t="n">
        <x:v>-0.5909090909090909</x:v>
      </x:c>
      <x:c r="I60" s="139" t="n"/>
      <x:c r="J60" s="139" t="n"/>
      <x:c r="K60" s="139" t="n"/>
      <x:c r="L60" s="139" t="n"/>
      <x:c r="M60" s="139" t="n"/>
      <x:c r="N60" s="139" t="n"/>
      <x:c r="O60" s="139" t="n"/>
      <x:c r="P60" s="139" t="n"/>
      <x:c r="Q60" s="139" t="n"/>
      <x:c r="R60" s="139" t="n"/>
      <x:c r="S60" s="139" t="n"/>
      <x:c r="T60" s="139" t="n"/>
      <x:c r="U60" s="139" t="n"/>
      <x:c r="V60" s="139" t="n"/>
      <x:c r="W60" s="139" t="n"/>
      <x:c r="X60" s="139" t="n"/>
      <x:c r="Y60" s="139" t="n"/>
      <x:c r="Z60" s="139" t="n"/>
      <x:c r="AA60" s="139" t="n"/>
      <x:c r="AB60" s="139" t="n"/>
      <x:c r="AC60" s="139" t="n"/>
      <x:c r="AD60" s="139" t="n"/>
      <x:c r="AE60" s="139" t="n"/>
      <x:c r="AF60" s="139" t="n"/>
      <x:c r="AG60" s="139" t="n"/>
      <x:c r="AH60" s="139" t="n"/>
      <x:c r="AI60" s="139" t="n"/>
      <x:c r="AJ60" s="139" t="n"/>
      <x:c r="AK60" s="139" t="n"/>
      <x:c r="AL60" s="139" t="n"/>
      <x:c r="AM60" s="139" t="n"/>
      <x:c r="AN60" s="139" t="n"/>
      <x:c r="AO60" s="139" t="n"/>
      <x:c r="AP60" s="139" t="n"/>
      <x:c r="AQ60" s="139" t="n"/>
      <x:c r="AR60" s="139" t="n"/>
      <x:c r="AS60" s="139" t="n"/>
      <x:c r="AT60" s="139" t="n"/>
      <x:c r="AU60" s="139" t="n"/>
      <x:c r="AV60" s="139" t="n"/>
      <x:c r="AW60" s="139" t="n"/>
      <x:c r="AX60" s="139" t="n"/>
      <x:c r="AY60" s="139" t="n"/>
      <x:c r="AZ60" s="139" t="n"/>
    </x:row>
    <x:row r="61">
      <x:c r="A61" s="139" t="inlineStr">
        <x:is>
          <x:t xml:space="preserve">Edy SP</x:t>
        </x:is>
      </x:c>
      <x:c r="B61" s="139" t="inlineStr">
        <x:is>
          <x:t xml:space="preserve">Nicholas</x:t>
        </x:is>
      </x:c>
      <x:c r="C61" s="139" t="n">
        <x:v>1</x:v>
      </x:c>
      <x:c r="D61" s="139" t="n">
        <x:v>1</x:v>
      </x:c>
      <x:c r="E61" s="139" t="n">
        <x:v>0</x:v>
      </x:c>
      <x:c r="F61" s="93" t="n">
        <x:v>1</x:v>
      </x:c>
      <x:c r="G61" s="93" t="n">
        <x:v>0.4666666666666667</x:v>
      </x:c>
      <x:c r="H61" s="94" t="n">
        <x:v>0.5333333333333333</x:v>
      </x:c>
      <x:c r="I61" s="139" t="n"/>
      <x:c r="J61" s="139" t="n"/>
      <x:c r="K61" s="139" t="n"/>
      <x:c r="L61" s="139" t="n"/>
      <x:c r="M61" s="139" t="n"/>
      <x:c r="N61" s="139" t="n"/>
      <x:c r="O61" s="139" t="n"/>
      <x:c r="P61" s="139" t="n"/>
      <x:c r="Q61" s="139" t="n"/>
      <x:c r="R61" s="139" t="n"/>
      <x:c r="S61" s="139" t="n"/>
      <x:c r="T61" s="139" t="n"/>
      <x:c r="U61" s="139" t="n"/>
      <x:c r="V61" s="139" t="n"/>
      <x:c r="W61" s="139" t="n"/>
      <x:c r="X61" s="139" t="n"/>
      <x:c r="Y61" s="139" t="n"/>
      <x:c r="Z61" s="139" t="n"/>
      <x:c r="AA61" s="139" t="n"/>
      <x:c r="AB61" s="139" t="n"/>
      <x:c r="AC61" s="139" t="n"/>
      <x:c r="AD61" s="139" t="n"/>
      <x:c r="AE61" s="139" t="n"/>
      <x:c r="AF61" s="139" t="n"/>
      <x:c r="AG61" s="139" t="n"/>
      <x:c r="AH61" s="139" t="n"/>
      <x:c r="AI61" s="139" t="n"/>
      <x:c r="AJ61" s="139" t="n"/>
      <x:c r="AK61" s="139" t="n"/>
      <x:c r="AL61" s="139" t="n"/>
      <x:c r="AM61" s="139" t="n"/>
      <x:c r="AN61" s="139" t="n"/>
      <x:c r="AO61" s="139" t="n"/>
      <x:c r="AP61" s="139" t="n"/>
      <x:c r="AQ61" s="139" t="n"/>
      <x:c r="AR61" s="139" t="n"/>
      <x:c r="AS61" s="139" t="n"/>
      <x:c r="AT61" s="139" t="n"/>
      <x:c r="AU61" s="139" t="n"/>
      <x:c r="AV61" s="139" t="n"/>
      <x:c r="AW61" s="139" t="n"/>
      <x:c r="AX61" s="139" t="n"/>
      <x:c r="AY61" s="139" t="n"/>
      <x:c r="AZ61" s="139" t="n"/>
    </x:row>
    <x:row r="62">
      <x:c r="A62" s="139" t="inlineStr">
        <x:is>
          <x:t xml:space="preserve">Edy SP</x:t>
        </x:is>
      </x:c>
      <x:c r="B62" s="139" t="inlineStr">
        <x:is>
          <x:t xml:space="preserve">Rey</x:t>
        </x:is>
      </x:c>
      <x:c r="C62" s="139" t="n">
        <x:v>1</x:v>
      </x:c>
      <x:c r="D62" s="139" t="n">
        <x:v>1</x:v>
      </x:c>
      <x:c r="E62" s="139" t="n">
        <x:v>0</x:v>
      </x:c>
      <x:c r="F62" s="93" t="n">
        <x:v>1</x:v>
      </x:c>
      <x:c r="G62" s="93" t="n">
        <x:v>0.6</x:v>
      </x:c>
      <x:c r="H62" s="94" t="n">
        <x:v>0.4</x:v>
      </x:c>
      <x:c r="I62" s="139" t="n"/>
      <x:c r="J62" s="139" t="n"/>
      <x:c r="K62" s="139" t="n"/>
      <x:c r="L62" s="139" t="n"/>
      <x:c r="M62" s="139" t="n"/>
      <x:c r="N62" s="139" t="n"/>
      <x:c r="O62" s="139" t="n"/>
      <x:c r="P62" s="139" t="n"/>
      <x:c r="Q62" s="139" t="n"/>
      <x:c r="R62" s="139" t="n"/>
      <x:c r="S62" s="139" t="n"/>
      <x:c r="T62" s="139" t="n"/>
      <x:c r="U62" s="139" t="n"/>
      <x:c r="V62" s="139" t="n"/>
      <x:c r="W62" s="139" t="n"/>
      <x:c r="X62" s="139" t="n"/>
      <x:c r="Y62" s="139" t="n"/>
      <x:c r="Z62" s="139" t="n"/>
      <x:c r="AA62" s="139" t="n"/>
      <x:c r="AB62" s="139" t="n"/>
      <x:c r="AC62" s="139" t="n"/>
      <x:c r="AD62" s="139" t="n"/>
      <x:c r="AE62" s="139" t="n"/>
      <x:c r="AF62" s="139" t="n"/>
      <x:c r="AG62" s="139" t="n"/>
      <x:c r="AH62" s="139" t="n"/>
      <x:c r="AI62" s="139" t="n"/>
      <x:c r="AJ62" s="139" t="n"/>
      <x:c r="AK62" s="139" t="n"/>
      <x:c r="AL62" s="139" t="n"/>
      <x:c r="AM62" s="139" t="n"/>
      <x:c r="AN62" s="139" t="n"/>
      <x:c r="AO62" s="139" t="n"/>
      <x:c r="AP62" s="139" t="n"/>
      <x:c r="AQ62" s="139" t="n"/>
      <x:c r="AR62" s="139" t="n"/>
      <x:c r="AS62" s="139" t="n"/>
      <x:c r="AT62" s="139" t="n"/>
      <x:c r="AU62" s="139" t="n"/>
      <x:c r="AV62" s="139" t="n"/>
      <x:c r="AW62" s="139" t="n"/>
      <x:c r="AX62" s="139" t="n"/>
      <x:c r="AY62" s="139" t="n"/>
      <x:c r="AZ62" s="139" t="n"/>
    </x:row>
    <x:row r="63">
      <x:c r="A63" s="139" t="inlineStr">
        <x:is>
          <x:t xml:space="preserve">Edy SP</x:t>
        </x:is>
      </x:c>
      <x:c r="B63" s="139" t="inlineStr">
        <x:is>
          <x:t xml:space="preserve">Kennard</x:t>
        </x:is>
      </x:c>
      <x:c r="C63" s="139" t="n">
        <x:v>1</x:v>
      </x:c>
      <x:c r="D63" s="139" t="n">
        <x:v>1</x:v>
      </x:c>
      <x:c r="E63" s="139" t="n">
        <x:v>0</x:v>
      </x:c>
      <x:c r="F63" s="93" t="n">
        <x:v>1</x:v>
      </x:c>
      <x:c r="G63" s="93" t="n">
        <x:v>0.6190476190476191</x:v>
      </x:c>
      <x:c r="H63" s="94" t="n">
        <x:v>0.3809523809523809</x:v>
      </x:c>
      <x:c r="I63" s="139" t="n"/>
      <x:c r="J63" s="139" t="n"/>
      <x:c r="K63" s="139" t="n"/>
      <x:c r="L63" s="139" t="n"/>
      <x:c r="M63" s="139" t="n"/>
      <x:c r="N63" s="139" t="n"/>
      <x:c r="O63" s="139" t="n"/>
      <x:c r="P63" s="139" t="n"/>
      <x:c r="Q63" s="139" t="n"/>
      <x:c r="R63" s="139" t="n"/>
      <x:c r="S63" s="139" t="n"/>
      <x:c r="T63" s="139" t="n"/>
      <x:c r="U63" s="139" t="n"/>
      <x:c r="V63" s="139" t="n"/>
      <x:c r="W63" s="139" t="n"/>
      <x:c r="X63" s="139" t="n"/>
      <x:c r="Y63" s="139" t="n"/>
      <x:c r="Z63" s="139" t="n"/>
      <x:c r="AA63" s="139" t="n"/>
      <x:c r="AB63" s="139" t="n"/>
      <x:c r="AC63" s="139" t="n"/>
      <x:c r="AD63" s="139" t="n"/>
      <x:c r="AE63" s="139" t="n"/>
      <x:c r="AF63" s="139" t="n"/>
      <x:c r="AG63" s="139" t="n"/>
      <x:c r="AH63" s="139" t="n"/>
      <x:c r="AI63" s="139" t="n"/>
      <x:c r="AJ63" s="139" t="n"/>
      <x:c r="AK63" s="139" t="n"/>
      <x:c r="AL63" s="139" t="n"/>
      <x:c r="AM63" s="139" t="n"/>
      <x:c r="AN63" s="139" t="n"/>
      <x:c r="AO63" s="139" t="n"/>
      <x:c r="AP63" s="139" t="n"/>
      <x:c r="AQ63" s="139" t="n"/>
      <x:c r="AR63" s="139" t="n"/>
      <x:c r="AS63" s="139" t="n"/>
      <x:c r="AT63" s="139" t="n"/>
      <x:c r="AU63" s="139" t="n"/>
      <x:c r="AV63" s="139" t="n"/>
      <x:c r="AW63" s="139" t="n"/>
      <x:c r="AX63" s="139" t="n"/>
      <x:c r="AY63" s="139" t="n"/>
      <x:c r="AZ63" s="139" t="n"/>
    </x:row>
    <x:row r="64">
      <x:c r="A64" s="139" t="inlineStr">
        <x:is>
          <x:t xml:space="preserve">Edy SP</x:t>
        </x:is>
      </x:c>
      <x:c r="B64" s="139" t="inlineStr">
        <x:is>
          <x:t xml:space="preserve">Thohir</x:t>
        </x:is>
      </x:c>
      <x:c r="C64" s="139" t="n">
        <x:v>1</x:v>
      </x:c>
      <x:c r="D64" s="139" t="n">
        <x:v>1</x:v>
      </x:c>
      <x:c r="E64" s="139" t="n">
        <x:v>0</x:v>
      </x:c>
      <x:c r="F64" s="93" t="n">
        <x:v>1</x:v>
      </x:c>
      <x:c r="G64" s="93" t="n">
        <x:v>0.6666666666666666</x:v>
      </x:c>
      <x:c r="H64" s="94" t="n">
        <x:v>0.3333333333333334</x:v>
      </x:c>
      <x:c r="I64" s="139" t="n"/>
      <x:c r="J64" s="139" t="n"/>
      <x:c r="K64" s="139" t="n"/>
      <x:c r="L64" s="139" t="n"/>
      <x:c r="M64" s="139" t="n"/>
      <x:c r="N64" s="139" t="n"/>
      <x:c r="O64" s="139" t="n"/>
      <x:c r="P64" s="139" t="n"/>
      <x:c r="Q64" s="139" t="n"/>
      <x:c r="R64" s="139" t="n"/>
      <x:c r="S64" s="139" t="n"/>
      <x:c r="T64" s="139" t="n"/>
      <x:c r="U64" s="139" t="n"/>
      <x:c r="V64" s="139" t="n"/>
      <x:c r="W64" s="139" t="n"/>
      <x:c r="X64" s="139" t="n"/>
      <x:c r="Y64" s="139" t="n"/>
      <x:c r="Z64" s="139" t="n"/>
      <x:c r="AA64" s="139" t="n"/>
      <x:c r="AB64" s="139" t="n"/>
      <x:c r="AC64" s="139" t="n"/>
      <x:c r="AD64" s="139" t="n"/>
      <x:c r="AE64" s="139" t="n"/>
      <x:c r="AF64" s="139" t="n"/>
      <x:c r="AG64" s="139" t="n"/>
      <x:c r="AH64" s="139" t="n"/>
      <x:c r="AI64" s="139" t="n"/>
      <x:c r="AJ64" s="139" t="n"/>
      <x:c r="AK64" s="139" t="n"/>
      <x:c r="AL64" s="139" t="n"/>
      <x:c r="AM64" s="139" t="n"/>
      <x:c r="AN64" s="139" t="n"/>
      <x:c r="AO64" s="139" t="n"/>
      <x:c r="AP64" s="139" t="n"/>
      <x:c r="AQ64" s="139" t="n"/>
      <x:c r="AR64" s="139" t="n"/>
      <x:c r="AS64" s="139" t="n"/>
      <x:c r="AT64" s="139" t="n"/>
      <x:c r="AU64" s="139" t="n"/>
      <x:c r="AV64" s="139" t="n"/>
      <x:c r="AW64" s="139" t="n"/>
      <x:c r="AX64" s="139" t="n"/>
      <x:c r="AY64" s="139" t="n"/>
      <x:c r="AZ64" s="139" t="n"/>
    </x:row>
    <x:row r="65">
      <x:c r="A65" s="139" t="inlineStr">
        <x:is>
          <x:t xml:space="preserve">Edy SP</x:t>
        </x:is>
      </x:c>
      <x:c r="B65" s="139" t="inlineStr">
        <x:is>
          <x:t xml:space="preserve">Alice</x:t>
        </x:is>
      </x:c>
      <x:c r="C65" s="139" t="n">
        <x:v>1</x:v>
      </x:c>
      <x:c r="D65" s="139" t="n">
        <x:v>0</x:v>
      </x:c>
      <x:c r="E65" s="139" t="n">
        <x:v>1</x:v>
      </x:c>
      <x:c r="F65" s="93" t="n">
        <x:v>0</x:v>
      </x:c>
      <x:c r="G65" s="93" t="n">
        <x:v>0.2272727272727273</x:v>
      </x:c>
      <x:c r="H65" s="94" t="n">
        <x:v>-0.2272727272727273</x:v>
      </x:c>
      <x:c r="I65" s="139" t="n"/>
      <x:c r="J65" s="139" t="n"/>
      <x:c r="K65" s="139" t="n"/>
      <x:c r="L65" s="139" t="n"/>
      <x:c r="M65" s="139" t="n"/>
      <x:c r="N65" s="139" t="n"/>
      <x:c r="O65" s="139" t="n"/>
      <x:c r="P65" s="139" t="n"/>
      <x:c r="Q65" s="139" t="n"/>
      <x:c r="R65" s="139" t="n"/>
      <x:c r="S65" s="139" t="n"/>
      <x:c r="T65" s="139" t="n"/>
      <x:c r="U65" s="139" t="n"/>
      <x:c r="V65" s="139" t="n"/>
      <x:c r="W65" s="139" t="n"/>
      <x:c r="X65" s="139" t="n"/>
      <x:c r="Y65" s="139" t="n"/>
      <x:c r="Z65" s="139" t="n"/>
      <x:c r="AA65" s="139" t="n"/>
      <x:c r="AB65" s="139" t="n"/>
      <x:c r="AC65" s="139" t="n"/>
      <x:c r="AD65" s="139" t="n"/>
      <x:c r="AE65" s="139" t="n"/>
      <x:c r="AF65" s="139" t="n"/>
      <x:c r="AG65" s="139" t="n"/>
      <x:c r="AH65" s="139" t="n"/>
      <x:c r="AI65" s="139" t="n"/>
      <x:c r="AJ65" s="139" t="n"/>
      <x:c r="AK65" s="139" t="n"/>
      <x:c r="AL65" s="139" t="n"/>
      <x:c r="AM65" s="139" t="n"/>
      <x:c r="AN65" s="139" t="n"/>
      <x:c r="AO65" s="139" t="n"/>
      <x:c r="AP65" s="139" t="n"/>
      <x:c r="AQ65" s="139" t="n"/>
      <x:c r="AR65" s="139" t="n"/>
      <x:c r="AS65" s="139" t="n"/>
      <x:c r="AT65" s="139" t="n"/>
      <x:c r="AU65" s="139" t="n"/>
      <x:c r="AV65" s="139" t="n"/>
      <x:c r="AW65" s="139" t="n"/>
      <x:c r="AX65" s="139" t="n"/>
      <x:c r="AY65" s="139" t="n"/>
      <x:c r="AZ65" s="139" t="n"/>
    </x:row>
    <x:row r="66">
      <x:c r="A66" s="139" t="inlineStr">
        <x:is>
          <x:t xml:space="preserve">Edy SP</x:t>
        </x:is>
      </x:c>
      <x:c r="B66" s="139" t="inlineStr">
        <x:is>
          <x:t xml:space="preserve">Alwin</x:t>
        </x:is>
      </x:c>
      <x:c r="C66" s="139" t="n">
        <x:v>1</x:v>
      </x:c>
      <x:c r="D66" s="139" t="n">
        <x:v>0</x:v>
      </x:c>
      <x:c r="E66" s="139" t="n">
        <x:v>1</x:v>
      </x:c>
      <x:c r="F66" s="93" t="n">
        <x:v>0</x:v>
      </x:c>
      <x:c r="G66" s="93" t="n">
        <x:v>0.3571428571428572</x:v>
      </x:c>
      <x:c r="H66" s="94" t="n">
        <x:v>-0.3571428571428572</x:v>
      </x:c>
      <x:c r="I66" s="139" t="n"/>
      <x:c r="J66" s="139" t="n"/>
      <x:c r="K66" s="139" t="n"/>
      <x:c r="L66" s="139" t="n"/>
      <x:c r="M66" s="139" t="n"/>
      <x:c r="N66" s="139" t="n"/>
      <x:c r="O66" s="139" t="n"/>
      <x:c r="P66" s="139" t="n"/>
      <x:c r="Q66" s="139" t="n"/>
      <x:c r="R66" s="139" t="n"/>
      <x:c r="S66" s="139" t="n"/>
      <x:c r="T66" s="139" t="n"/>
      <x:c r="U66" s="139" t="n"/>
      <x:c r="V66" s="139" t="n"/>
      <x:c r="W66" s="139" t="n"/>
      <x:c r="X66" s="139" t="n"/>
      <x:c r="Y66" s="139" t="n"/>
      <x:c r="Z66" s="139" t="n"/>
      <x:c r="AA66" s="139" t="n"/>
      <x:c r="AB66" s="139" t="n"/>
      <x:c r="AC66" s="139" t="n"/>
      <x:c r="AD66" s="139" t="n"/>
      <x:c r="AE66" s="139" t="n"/>
      <x:c r="AF66" s="139" t="n"/>
      <x:c r="AG66" s="139" t="n"/>
      <x:c r="AH66" s="139" t="n"/>
      <x:c r="AI66" s="139" t="n"/>
      <x:c r="AJ66" s="139" t="n"/>
      <x:c r="AK66" s="139" t="n"/>
      <x:c r="AL66" s="139" t="n"/>
      <x:c r="AM66" s="139" t="n"/>
      <x:c r="AN66" s="139" t="n"/>
      <x:c r="AO66" s="139" t="n"/>
      <x:c r="AP66" s="139" t="n"/>
      <x:c r="AQ66" s="139" t="n"/>
      <x:c r="AR66" s="139" t="n"/>
      <x:c r="AS66" s="139" t="n"/>
      <x:c r="AT66" s="139" t="n"/>
      <x:c r="AU66" s="139" t="n"/>
      <x:c r="AV66" s="139" t="n"/>
      <x:c r="AW66" s="139" t="n"/>
      <x:c r="AX66" s="139" t="n"/>
      <x:c r="AY66" s="139" t="n"/>
      <x:c r="AZ66" s="139" t="n"/>
    </x:row>
    <x:row r="67">
      <x:c r="A67" s="139" t="inlineStr">
        <x:is>
          <x:t xml:space="preserve">Edy SP</x:t>
        </x:is>
      </x:c>
      <x:c r="B67" s="139" t="inlineStr">
        <x:is>
          <x:t xml:space="preserve">Donny</x:t>
        </x:is>
      </x:c>
      <x:c r="C67" s="139" t="n">
        <x:v>1</x:v>
      </x:c>
      <x:c r="D67" s="139" t="n">
        <x:v>0</x:v>
      </x:c>
      <x:c r="E67" s="139" t="n">
        <x:v>1</x:v>
      </x:c>
      <x:c r="F67" s="93" t="n">
        <x:v>0</x:v>
      </x:c>
      <x:c r="G67" s="93" t="n">
        <x:v>0.4210526315789473</x:v>
      </x:c>
      <x:c r="H67" s="94" t="n">
        <x:v>-0.4210526315789473</x:v>
      </x:c>
      <x:c r="I67" s="139" t="n"/>
      <x:c r="J67" s="139" t="n"/>
      <x:c r="K67" s="139" t="n"/>
      <x:c r="L67" s="139" t="n"/>
      <x:c r="M67" s="139" t="n"/>
      <x:c r="N67" s="139" t="n"/>
      <x:c r="O67" s="139" t="n"/>
      <x:c r="P67" s="139" t="n"/>
      <x:c r="Q67" s="139" t="n"/>
      <x:c r="R67" s="139" t="n"/>
      <x:c r="S67" s="139" t="n"/>
      <x:c r="T67" s="139" t="n"/>
      <x:c r="U67" s="139" t="n"/>
      <x:c r="V67" s="139" t="n"/>
      <x:c r="W67" s="139" t="n"/>
      <x:c r="X67" s="139" t="n"/>
      <x:c r="Y67" s="139" t="n"/>
      <x:c r="Z67" s="139" t="n"/>
      <x:c r="AA67" s="139" t="n"/>
      <x:c r="AB67" s="139" t="n"/>
      <x:c r="AC67" s="139" t="n"/>
      <x:c r="AD67" s="139" t="n"/>
      <x:c r="AE67" s="139" t="n"/>
      <x:c r="AF67" s="139" t="n"/>
      <x:c r="AG67" s="139" t="n"/>
      <x:c r="AH67" s="139" t="n"/>
      <x:c r="AI67" s="139" t="n"/>
      <x:c r="AJ67" s="139" t="n"/>
      <x:c r="AK67" s="139" t="n"/>
      <x:c r="AL67" s="139" t="n"/>
      <x:c r="AM67" s="139" t="n"/>
      <x:c r="AN67" s="139" t="n"/>
      <x:c r="AO67" s="139" t="n"/>
      <x:c r="AP67" s="139" t="n"/>
      <x:c r="AQ67" s="139" t="n"/>
      <x:c r="AR67" s="139" t="n"/>
      <x:c r="AS67" s="139" t="n"/>
      <x:c r="AT67" s="139" t="n"/>
      <x:c r="AU67" s="139" t="n"/>
      <x:c r="AV67" s="139" t="n"/>
      <x:c r="AW67" s="139" t="n"/>
      <x:c r="AX67" s="139" t="n"/>
      <x:c r="AY67" s="139" t="n"/>
      <x:c r="AZ67" s="139" t="n"/>
    </x:row>
    <x:row r="68">
      <x:c r="A68" s="139" t="inlineStr">
        <x:is>
          <x:t xml:space="preserve">Edy SP</x:t>
        </x:is>
      </x:c>
      <x:c r="B68" s="139" t="inlineStr">
        <x:is>
          <x:t xml:space="preserve">Nico</x:t>
        </x:is>
      </x:c>
      <x:c r="C68" s="139" t="n">
        <x:v>1</x:v>
      </x:c>
      <x:c r="D68" s="139" t="n">
        <x:v>0</x:v>
      </x:c>
      <x:c r="E68" s="139" t="n">
        <x:v>1</x:v>
      </x:c>
      <x:c r="F68" s="93" t="n">
        <x:v>0</x:v>
      </x:c>
      <x:c r="G68" s="93" t="n">
        <x:v>0.4285714285714285</x:v>
      </x:c>
      <x:c r="H68" s="94" t="n">
        <x:v>-0.4285714285714285</x:v>
      </x:c>
      <x:c r="I68" s="139" t="n"/>
      <x:c r="J68" s="139" t="n"/>
      <x:c r="K68" s="139" t="n"/>
      <x:c r="L68" s="139" t="n"/>
      <x:c r="M68" s="139" t="n"/>
      <x:c r="N68" s="139" t="n"/>
      <x:c r="O68" s="139" t="n"/>
      <x:c r="P68" s="139" t="n"/>
      <x:c r="Q68" s="139" t="n"/>
      <x:c r="R68" s="139" t="n"/>
      <x:c r="S68" s="139" t="n"/>
      <x:c r="T68" s="139" t="n"/>
      <x:c r="U68" s="139" t="n"/>
      <x:c r="V68" s="139" t="n"/>
      <x:c r="W68" s="139" t="n"/>
      <x:c r="X68" s="139" t="n"/>
      <x:c r="Y68" s="139" t="n"/>
      <x:c r="Z68" s="139" t="n"/>
      <x:c r="AA68" s="139" t="n"/>
      <x:c r="AB68" s="139" t="n"/>
      <x:c r="AC68" s="139" t="n"/>
      <x:c r="AD68" s="139" t="n"/>
      <x:c r="AE68" s="139" t="n"/>
      <x:c r="AF68" s="139" t="n"/>
      <x:c r="AG68" s="139" t="n"/>
      <x:c r="AH68" s="139" t="n"/>
      <x:c r="AI68" s="139" t="n"/>
      <x:c r="AJ68" s="139" t="n"/>
      <x:c r="AK68" s="139" t="n"/>
      <x:c r="AL68" s="139" t="n"/>
      <x:c r="AM68" s="139" t="n"/>
      <x:c r="AN68" s="139" t="n"/>
      <x:c r="AO68" s="139" t="n"/>
      <x:c r="AP68" s="139" t="n"/>
      <x:c r="AQ68" s="139" t="n"/>
      <x:c r="AR68" s="139" t="n"/>
      <x:c r="AS68" s="139" t="n"/>
      <x:c r="AT68" s="139" t="n"/>
      <x:c r="AU68" s="139" t="n"/>
      <x:c r="AV68" s="139" t="n"/>
      <x:c r="AW68" s="139" t="n"/>
      <x:c r="AX68" s="139" t="n"/>
      <x:c r="AY68" s="139" t="n"/>
      <x:c r="AZ68" s="139" t="n"/>
    </x:row>
    <x:row r="69">
      <x:c r="A69" s="139" t="inlineStr">
        <x:is>
          <x:t xml:space="preserve">Edy SP</x:t>
        </x:is>
      </x:c>
      <x:c r="B69" s="139" t="inlineStr">
        <x:is>
          <x:t xml:space="preserve">Jonathan</x:t>
        </x:is>
      </x:c>
      <x:c r="C69" s="139" t="n">
        <x:v>1</x:v>
      </x:c>
      <x:c r="D69" s="139" t="n">
        <x:v>0</x:v>
      </x:c>
      <x:c r="E69" s="139" t="n">
        <x:v>1</x:v>
      </x:c>
      <x:c r="F69" s="93" t="n">
        <x:v>0</x:v>
      </x:c>
      <x:c r="G69" s="93" t="n">
        <x:v>0.5714285714285714</x:v>
      </x:c>
      <x:c r="H69" s="94" t="n">
        <x:v>-0.5714285714285714</x:v>
      </x:c>
      <x:c r="I69" s="139" t="n"/>
      <x:c r="J69" s="139" t="n"/>
      <x:c r="K69" s="139" t="n"/>
      <x:c r="L69" s="139" t="n"/>
      <x:c r="M69" s="139" t="n"/>
      <x:c r="N69" s="139" t="n"/>
      <x:c r="O69" s="139" t="n"/>
      <x:c r="P69" s="139" t="n"/>
      <x:c r="Q69" s="139" t="n"/>
      <x:c r="R69" s="139" t="n"/>
      <x:c r="S69" s="139" t="n"/>
      <x:c r="T69" s="139" t="n"/>
      <x:c r="U69" s="139" t="n"/>
      <x:c r="V69" s="139" t="n"/>
      <x:c r="W69" s="139" t="n"/>
      <x:c r="X69" s="139" t="n"/>
      <x:c r="Y69" s="139" t="n"/>
      <x:c r="Z69" s="139" t="n"/>
      <x:c r="AA69" s="139" t="n"/>
      <x:c r="AB69" s="139" t="n"/>
      <x:c r="AC69" s="139" t="n"/>
      <x:c r="AD69" s="139" t="n"/>
      <x:c r="AE69" s="139" t="n"/>
      <x:c r="AF69" s="139" t="n"/>
      <x:c r="AG69" s="139" t="n"/>
      <x:c r="AH69" s="139" t="n"/>
      <x:c r="AI69" s="139" t="n"/>
      <x:c r="AJ69" s="139" t="n"/>
      <x:c r="AK69" s="139" t="n"/>
      <x:c r="AL69" s="139" t="n"/>
      <x:c r="AM69" s="139" t="n"/>
      <x:c r="AN69" s="139" t="n"/>
      <x:c r="AO69" s="139" t="n"/>
      <x:c r="AP69" s="139" t="n"/>
      <x:c r="AQ69" s="139" t="n"/>
      <x:c r="AR69" s="139" t="n"/>
      <x:c r="AS69" s="139" t="n"/>
      <x:c r="AT69" s="139" t="n"/>
      <x:c r="AU69" s="139" t="n"/>
      <x:c r="AV69" s="139" t="n"/>
      <x:c r="AW69" s="139" t="n"/>
      <x:c r="AX69" s="139" t="n"/>
      <x:c r="AY69" s="139" t="n"/>
      <x:c r="AZ69" s="139" t="n"/>
    </x:row>
    <x:row r="70">
      <x:c r="A70" s="139" t="inlineStr">
        <x:is>
          <x:t xml:space="preserve">Hansen</x:t>
        </x:is>
      </x:c>
      <x:c r="B70" s="139" t="inlineStr">
        <x:is>
          <x:t xml:space="preserve">Edy SP</x:t>
        </x:is>
      </x:c>
      <x:c r="C70" s="139" t="n">
        <x:v>2</x:v>
      </x:c>
      <x:c r="D70" s="139" t="n">
        <x:v>0</x:v>
      </x:c>
      <x:c r="E70" s="139" t="n">
        <x:v>2</x:v>
      </x:c>
      <x:c r="F70" s="93" t="n">
        <x:v>0</x:v>
      </x:c>
      <x:c r="G70" s="93" t="n">
        <x:v>0.4736842105263158</x:v>
      </x:c>
      <x:c r="H70" s="94" t="n">
        <x:v>-0.4736842105263158</x:v>
      </x:c>
      <x:c r="I70" s="139" t="n"/>
      <x:c r="J70" s="139" t="n"/>
      <x:c r="K70" s="139" t="n"/>
      <x:c r="L70" s="139" t="n"/>
      <x:c r="M70" s="139" t="n"/>
      <x:c r="N70" s="139" t="n"/>
      <x:c r="O70" s="139" t="n"/>
      <x:c r="P70" s="139" t="n"/>
      <x:c r="Q70" s="139" t="n"/>
      <x:c r="R70" s="139" t="n"/>
      <x:c r="S70" s="139" t="n"/>
      <x:c r="T70" s="139" t="n"/>
      <x:c r="U70" s="139" t="n"/>
      <x:c r="V70" s="139" t="n"/>
      <x:c r="W70" s="139" t="n"/>
      <x:c r="X70" s="139" t="n"/>
      <x:c r="Y70" s="139" t="n"/>
      <x:c r="Z70" s="139" t="n"/>
      <x:c r="AA70" s="139" t="n"/>
      <x:c r="AB70" s="139" t="n"/>
      <x:c r="AC70" s="139" t="n"/>
      <x:c r="AD70" s="139" t="n"/>
      <x:c r="AE70" s="139" t="n"/>
      <x:c r="AF70" s="139" t="n"/>
      <x:c r="AG70" s="139" t="n"/>
      <x:c r="AH70" s="139" t="n"/>
      <x:c r="AI70" s="139" t="n"/>
      <x:c r="AJ70" s="139" t="n"/>
      <x:c r="AK70" s="139" t="n"/>
      <x:c r="AL70" s="139" t="n"/>
      <x:c r="AM70" s="139" t="n"/>
      <x:c r="AN70" s="139" t="n"/>
      <x:c r="AO70" s="139" t="n"/>
      <x:c r="AP70" s="139" t="n"/>
      <x:c r="AQ70" s="139" t="n"/>
      <x:c r="AR70" s="139" t="n"/>
      <x:c r="AS70" s="139" t="n"/>
      <x:c r="AT70" s="139" t="n"/>
      <x:c r="AU70" s="139" t="n"/>
      <x:c r="AV70" s="139" t="n"/>
      <x:c r="AW70" s="139" t="n"/>
      <x:c r="AX70" s="139" t="n"/>
      <x:c r="AY70" s="139" t="n"/>
      <x:c r="AZ70" s="139" t="n"/>
    </x:row>
    <x:row r="71">
      <x:c r="A71" s="139" t="inlineStr">
        <x:is>
          <x:t xml:space="preserve">Hansen</x:t>
        </x:is>
      </x:c>
      <x:c r="B71" s="139" t="inlineStr">
        <x:is>
          <x:t xml:space="preserve">Rizky</x:t>
        </x:is>
      </x:c>
      <x:c r="C71" s="139" t="n">
        <x:v>2</x:v>
      </x:c>
      <x:c r="D71" s="139" t="n">
        <x:v>0</x:v>
      </x:c>
      <x:c r="E71" s="139" t="n">
        <x:v>2</x:v>
      </x:c>
      <x:c r="F71" s="93" t="n">
        <x:v>0</x:v>
      </x:c>
      <x:c r="G71" s="93" t="n">
        <x:v>0.5714285714285714</x:v>
      </x:c>
      <x:c r="H71" s="94" t="n">
        <x:v>-0.5714285714285714</x:v>
      </x:c>
      <x:c r="I71" s="139" t="n"/>
      <x:c r="J71" s="139" t="n"/>
      <x:c r="K71" s="139" t="n"/>
      <x:c r="L71" s="139" t="n"/>
      <x:c r="M71" s="139" t="n"/>
      <x:c r="N71" s="139" t="n"/>
      <x:c r="O71" s="139" t="n"/>
      <x:c r="P71" s="139" t="n"/>
      <x:c r="Q71" s="139" t="n"/>
      <x:c r="R71" s="139" t="n"/>
      <x:c r="S71" s="139" t="n"/>
      <x:c r="T71" s="139" t="n"/>
      <x:c r="U71" s="139" t="n"/>
      <x:c r="V71" s="139" t="n"/>
      <x:c r="W71" s="139" t="n"/>
      <x:c r="X71" s="139" t="n"/>
      <x:c r="Y71" s="139" t="n"/>
      <x:c r="Z71" s="139" t="n"/>
      <x:c r="AA71" s="139" t="n"/>
      <x:c r="AB71" s="139" t="n"/>
      <x:c r="AC71" s="139" t="n"/>
      <x:c r="AD71" s="139" t="n"/>
      <x:c r="AE71" s="139" t="n"/>
      <x:c r="AF71" s="139" t="n"/>
      <x:c r="AG71" s="139" t="n"/>
      <x:c r="AH71" s="139" t="n"/>
      <x:c r="AI71" s="139" t="n"/>
      <x:c r="AJ71" s="139" t="n"/>
      <x:c r="AK71" s="139" t="n"/>
      <x:c r="AL71" s="139" t="n"/>
      <x:c r="AM71" s="139" t="n"/>
      <x:c r="AN71" s="139" t="n"/>
      <x:c r="AO71" s="139" t="n"/>
      <x:c r="AP71" s="139" t="n"/>
      <x:c r="AQ71" s="139" t="n"/>
      <x:c r="AR71" s="139" t="n"/>
      <x:c r="AS71" s="139" t="n"/>
      <x:c r="AT71" s="139" t="n"/>
      <x:c r="AU71" s="139" t="n"/>
      <x:c r="AV71" s="139" t="n"/>
      <x:c r="AW71" s="139" t="n"/>
      <x:c r="AX71" s="139" t="n"/>
      <x:c r="AY71" s="139" t="n"/>
      <x:c r="AZ71" s="139" t="n"/>
    </x:row>
    <x:row r="72">
      <x:c r="A72" s="139" t="inlineStr">
        <x:is>
          <x:t xml:space="preserve">Hansen</x:t>
        </x:is>
      </x:c>
      <x:c r="B72" s="139" t="inlineStr">
        <x:is>
          <x:t xml:space="preserve">Ricky</x:t>
        </x:is>
      </x:c>
      <x:c r="C72" s="139" t="n">
        <x:v>2</x:v>
      </x:c>
      <x:c r="D72" s="139" t="n">
        <x:v>0</x:v>
      </x:c>
      <x:c r="E72" s="139" t="n">
        <x:v>2</x:v>
      </x:c>
      <x:c r="F72" s="93" t="n">
        <x:v>0</x:v>
      </x:c>
      <x:c r="G72" s="93" t="n">
        <x:v>0.5882352941176471</x:v>
      </x:c>
      <x:c r="H72" s="94" t="n">
        <x:v>-0.5882352941176471</x:v>
      </x:c>
      <x:c r="I72" s="139" t="n"/>
      <x:c r="J72" s="139" t="n"/>
      <x:c r="K72" s="139" t="n"/>
      <x:c r="L72" s="139" t="n"/>
      <x:c r="M72" s="139" t="n"/>
      <x:c r="N72" s="139" t="n"/>
      <x:c r="O72" s="139" t="n"/>
      <x:c r="P72" s="139" t="n"/>
      <x:c r="Q72" s="139" t="n"/>
      <x:c r="R72" s="139" t="n"/>
      <x:c r="S72" s="139" t="n"/>
      <x:c r="T72" s="139" t="n"/>
      <x:c r="U72" s="139" t="n"/>
      <x:c r="V72" s="139" t="n"/>
      <x:c r="W72" s="139" t="n"/>
      <x:c r="X72" s="139" t="n"/>
      <x:c r="Y72" s="139" t="n"/>
      <x:c r="Z72" s="139" t="n"/>
      <x:c r="AA72" s="139" t="n"/>
      <x:c r="AB72" s="139" t="n"/>
      <x:c r="AC72" s="139" t="n"/>
      <x:c r="AD72" s="139" t="n"/>
      <x:c r="AE72" s="139" t="n"/>
      <x:c r="AF72" s="139" t="n"/>
      <x:c r="AG72" s="139" t="n"/>
      <x:c r="AH72" s="139" t="n"/>
      <x:c r="AI72" s="139" t="n"/>
      <x:c r="AJ72" s="139" t="n"/>
      <x:c r="AK72" s="139" t="n"/>
      <x:c r="AL72" s="139" t="n"/>
      <x:c r="AM72" s="139" t="n"/>
      <x:c r="AN72" s="139" t="n"/>
      <x:c r="AO72" s="139" t="n"/>
      <x:c r="AP72" s="139" t="n"/>
      <x:c r="AQ72" s="139" t="n"/>
      <x:c r="AR72" s="139" t="n"/>
      <x:c r="AS72" s="139" t="n"/>
      <x:c r="AT72" s="139" t="n"/>
      <x:c r="AU72" s="139" t="n"/>
      <x:c r="AV72" s="139" t="n"/>
      <x:c r="AW72" s="139" t="n"/>
      <x:c r="AX72" s="139" t="n"/>
      <x:c r="AY72" s="139" t="n"/>
      <x:c r="AZ72" s="139" t="n"/>
    </x:row>
    <x:row r="73">
      <x:c r="A73" s="139" t="inlineStr">
        <x:is>
          <x:t xml:space="preserve">Jonathan</x:t>
        </x:is>
      </x:c>
      <x:c r="B73" s="139" t="inlineStr">
        <x:is>
          <x:t xml:space="preserve">Donny</x:t>
        </x:is>
      </x:c>
      <x:c r="C73" s="139" t="n">
        <x:v>1</x:v>
      </x:c>
      <x:c r="D73" s="139" t="n">
        <x:v>1</x:v>
      </x:c>
      <x:c r="E73" s="139" t="n">
        <x:v>0</x:v>
      </x:c>
      <x:c r="F73" s="93" t="n">
        <x:v>1</x:v>
      </x:c>
      <x:c r="G73" s="93" t="n">
        <x:v>0.4210526315789473</x:v>
      </x:c>
      <x:c r="H73" s="94" t="n">
        <x:v>0.5789473684210527</x:v>
      </x:c>
      <x:c r="I73" s="139" t="n"/>
      <x:c r="J73" s="139" t="n"/>
      <x:c r="K73" s="139" t="n"/>
      <x:c r="L73" s="139" t="n"/>
      <x:c r="M73" s="139" t="n"/>
      <x:c r="N73" s="139" t="n"/>
      <x:c r="O73" s="139" t="n"/>
      <x:c r="P73" s="139" t="n"/>
      <x:c r="Q73" s="139" t="n"/>
      <x:c r="R73" s="139" t="n"/>
      <x:c r="S73" s="139" t="n"/>
      <x:c r="T73" s="139" t="n"/>
      <x:c r="U73" s="139" t="n"/>
      <x:c r="V73" s="139" t="n"/>
      <x:c r="W73" s="139" t="n"/>
      <x:c r="X73" s="139" t="n"/>
      <x:c r="Y73" s="139" t="n"/>
      <x:c r="Z73" s="139" t="n"/>
      <x:c r="AA73" s="139" t="n"/>
      <x:c r="AB73" s="139" t="n"/>
      <x:c r="AC73" s="139" t="n"/>
      <x:c r="AD73" s="139" t="n"/>
      <x:c r="AE73" s="139" t="n"/>
      <x:c r="AF73" s="139" t="n"/>
      <x:c r="AG73" s="139" t="n"/>
      <x:c r="AH73" s="139" t="n"/>
      <x:c r="AI73" s="139" t="n"/>
      <x:c r="AJ73" s="139" t="n"/>
      <x:c r="AK73" s="139" t="n"/>
      <x:c r="AL73" s="139" t="n"/>
      <x:c r="AM73" s="139" t="n"/>
      <x:c r="AN73" s="139" t="n"/>
      <x:c r="AO73" s="139" t="n"/>
      <x:c r="AP73" s="139" t="n"/>
      <x:c r="AQ73" s="139" t="n"/>
      <x:c r="AR73" s="139" t="n"/>
      <x:c r="AS73" s="139" t="n"/>
      <x:c r="AT73" s="139" t="n"/>
      <x:c r="AU73" s="139" t="n"/>
      <x:c r="AV73" s="139" t="n"/>
      <x:c r="AW73" s="139" t="n"/>
      <x:c r="AX73" s="139" t="n"/>
      <x:c r="AY73" s="139" t="n"/>
      <x:c r="AZ73" s="139" t="n"/>
    </x:row>
    <x:row r="74">
      <x:c r="A74" s="139" t="inlineStr">
        <x:is>
          <x:t xml:space="preserve">Jonathan</x:t>
        </x:is>
      </x:c>
      <x:c r="B74" s="139" t="inlineStr">
        <x:is>
          <x:t xml:space="preserve">Ricky</x:t>
        </x:is>
      </x:c>
      <x:c r="C74" s="139" t="n">
        <x:v>1</x:v>
      </x:c>
      <x:c r="D74" s="139" t="n">
        <x:v>1</x:v>
      </x:c>
      <x:c r="E74" s="139" t="n">
        <x:v>0</x:v>
      </x:c>
      <x:c r="F74" s="93" t="n">
        <x:v>1</x:v>
      </x:c>
      <x:c r="G74" s="93" t="n">
        <x:v>0.5882352941176471</x:v>
      </x:c>
      <x:c r="H74" s="94" t="n">
        <x:v>0.4117647058823529</x:v>
      </x:c>
      <x:c r="I74" s="139" t="n"/>
      <x:c r="J74" s="139" t="n"/>
      <x:c r="K74" s="139" t="n"/>
      <x:c r="L74" s="139" t="n"/>
      <x:c r="M74" s="139" t="n"/>
      <x:c r="N74" s="139" t="n"/>
      <x:c r="O74" s="139" t="n"/>
      <x:c r="P74" s="139" t="n"/>
      <x:c r="Q74" s="139" t="n"/>
      <x:c r="R74" s="139" t="n"/>
      <x:c r="S74" s="139" t="n"/>
      <x:c r="T74" s="139" t="n"/>
      <x:c r="U74" s="139" t="n"/>
      <x:c r="V74" s="139" t="n"/>
      <x:c r="W74" s="139" t="n"/>
      <x:c r="X74" s="139" t="n"/>
      <x:c r="Y74" s="139" t="n"/>
      <x:c r="Z74" s="139" t="n"/>
      <x:c r="AA74" s="139" t="n"/>
      <x:c r="AB74" s="139" t="n"/>
      <x:c r="AC74" s="139" t="n"/>
      <x:c r="AD74" s="139" t="n"/>
      <x:c r="AE74" s="139" t="n"/>
      <x:c r="AF74" s="139" t="n"/>
      <x:c r="AG74" s="139" t="n"/>
      <x:c r="AH74" s="139" t="n"/>
      <x:c r="AI74" s="139" t="n"/>
      <x:c r="AJ74" s="139" t="n"/>
      <x:c r="AK74" s="139" t="n"/>
      <x:c r="AL74" s="139" t="n"/>
      <x:c r="AM74" s="139" t="n"/>
      <x:c r="AN74" s="139" t="n"/>
      <x:c r="AO74" s="139" t="n"/>
      <x:c r="AP74" s="139" t="n"/>
      <x:c r="AQ74" s="139" t="n"/>
      <x:c r="AR74" s="139" t="n"/>
      <x:c r="AS74" s="139" t="n"/>
      <x:c r="AT74" s="139" t="n"/>
      <x:c r="AU74" s="139" t="n"/>
      <x:c r="AV74" s="139" t="n"/>
      <x:c r="AW74" s="139" t="n"/>
      <x:c r="AX74" s="139" t="n"/>
      <x:c r="AY74" s="139" t="n"/>
      <x:c r="AZ74" s="139" t="n"/>
    </x:row>
    <x:row r="75">
      <x:c r="A75" s="139" t="inlineStr">
        <x:is>
          <x:t xml:space="preserve">Jonathan</x:t>
        </x:is>
      </x:c>
      <x:c r="B75" s="139" t="inlineStr">
        <x:is>
          <x:t xml:space="preserve">Austin</x:t>
        </x:is>
      </x:c>
      <x:c r="C75" s="139" t="n">
        <x:v>1</x:v>
      </x:c>
      <x:c r="D75" s="139" t="n">
        <x:v>1</x:v>
      </x:c>
      <x:c r="E75" s="139" t="n">
        <x:v>0</x:v>
      </x:c>
      <x:c r="F75" s="93" t="n">
        <x:v>1</x:v>
      </x:c>
      <x:c r="G75" s="93" t="n">
        <x:v>0.5909090909090909</x:v>
      </x:c>
      <x:c r="H75" s="94" t="n">
        <x:v>0.4090909090909091</x:v>
      </x:c>
      <x:c r="I75" s="139" t="n"/>
      <x:c r="J75" s="139" t="n"/>
      <x:c r="K75" s="139" t="n"/>
      <x:c r="L75" s="139" t="n"/>
      <x:c r="M75" s="139" t="n"/>
      <x:c r="N75" s="139" t="n"/>
      <x:c r="O75" s="139" t="n"/>
      <x:c r="P75" s="139" t="n"/>
      <x:c r="Q75" s="139" t="n"/>
      <x:c r="R75" s="139" t="n"/>
      <x:c r="S75" s="139" t="n"/>
      <x:c r="T75" s="139" t="n"/>
      <x:c r="U75" s="139" t="n"/>
      <x:c r="V75" s="139" t="n"/>
      <x:c r="W75" s="139" t="n"/>
      <x:c r="X75" s="139" t="n"/>
      <x:c r="Y75" s="139" t="n"/>
      <x:c r="Z75" s="139" t="n"/>
      <x:c r="AA75" s="139" t="n"/>
      <x:c r="AB75" s="139" t="n"/>
      <x:c r="AC75" s="139" t="n"/>
      <x:c r="AD75" s="139" t="n"/>
      <x:c r="AE75" s="139" t="n"/>
      <x:c r="AF75" s="139" t="n"/>
      <x:c r="AG75" s="139" t="n"/>
      <x:c r="AH75" s="139" t="n"/>
      <x:c r="AI75" s="139" t="n"/>
      <x:c r="AJ75" s="139" t="n"/>
      <x:c r="AK75" s="139" t="n"/>
      <x:c r="AL75" s="139" t="n"/>
      <x:c r="AM75" s="139" t="n"/>
      <x:c r="AN75" s="139" t="n"/>
      <x:c r="AO75" s="139" t="n"/>
      <x:c r="AP75" s="139" t="n"/>
      <x:c r="AQ75" s="139" t="n"/>
      <x:c r="AR75" s="139" t="n"/>
      <x:c r="AS75" s="139" t="n"/>
      <x:c r="AT75" s="139" t="n"/>
      <x:c r="AU75" s="139" t="n"/>
      <x:c r="AV75" s="139" t="n"/>
      <x:c r="AW75" s="139" t="n"/>
      <x:c r="AX75" s="139" t="n"/>
      <x:c r="AY75" s="139" t="n"/>
      <x:c r="AZ75" s="139" t="n"/>
    </x:row>
    <x:row r="76">
      <x:c r="A76" s="139" t="inlineStr">
        <x:is>
          <x:t xml:space="preserve">Jonathan</x:t>
        </x:is>
      </x:c>
      <x:c r="B76" s="139" t="inlineStr">
        <x:is>
          <x:t xml:space="preserve">Ronald</x:t>
        </x:is>
      </x:c>
      <x:c r="C76" s="139" t="n">
        <x:v>1</x:v>
      </x:c>
      <x:c r="D76" s="139" t="n">
        <x:v>1</x:v>
      </x:c>
      <x:c r="E76" s="139" t="n">
        <x:v>0</x:v>
      </x:c>
      <x:c r="F76" s="93" t="n">
        <x:v>1</x:v>
      </x:c>
      <x:c r="G76" s="93" t="n">
        <x:v>0.6153846153846154</x:v>
      </x:c>
      <x:c r="H76" s="94" t="n">
        <x:v>0.3846153846153846</x:v>
      </x:c>
      <x:c r="I76" s="139" t="n"/>
      <x:c r="J76" s="139" t="n"/>
      <x:c r="K76" s="139" t="n"/>
      <x:c r="L76" s="139" t="n"/>
      <x:c r="M76" s="139" t="n"/>
      <x:c r="N76" s="139" t="n"/>
      <x:c r="O76" s="139" t="n"/>
      <x:c r="P76" s="139" t="n"/>
      <x:c r="Q76" s="139" t="n"/>
      <x:c r="R76" s="139" t="n"/>
      <x:c r="S76" s="139" t="n"/>
      <x:c r="T76" s="139" t="n"/>
      <x:c r="U76" s="139" t="n"/>
      <x:c r="V76" s="139" t="n"/>
      <x:c r="W76" s="139" t="n"/>
      <x:c r="X76" s="139" t="n"/>
      <x:c r="Y76" s="139" t="n"/>
      <x:c r="Z76" s="139" t="n"/>
      <x:c r="AA76" s="139" t="n"/>
      <x:c r="AB76" s="139" t="n"/>
      <x:c r="AC76" s="139" t="n"/>
      <x:c r="AD76" s="139" t="n"/>
      <x:c r="AE76" s="139" t="n"/>
      <x:c r="AF76" s="139" t="n"/>
      <x:c r="AG76" s="139" t="n"/>
      <x:c r="AH76" s="139" t="n"/>
      <x:c r="AI76" s="139" t="n"/>
      <x:c r="AJ76" s="139" t="n"/>
      <x:c r="AK76" s="139" t="n"/>
      <x:c r="AL76" s="139" t="n"/>
      <x:c r="AM76" s="139" t="n"/>
      <x:c r="AN76" s="139" t="n"/>
      <x:c r="AO76" s="139" t="n"/>
      <x:c r="AP76" s="139" t="n"/>
      <x:c r="AQ76" s="139" t="n"/>
      <x:c r="AR76" s="139" t="n"/>
      <x:c r="AS76" s="139" t="n"/>
      <x:c r="AT76" s="139" t="n"/>
      <x:c r="AU76" s="139" t="n"/>
      <x:c r="AV76" s="139" t="n"/>
      <x:c r="AW76" s="139" t="n"/>
      <x:c r="AX76" s="139" t="n"/>
      <x:c r="AY76" s="139" t="n"/>
      <x:c r="AZ76" s="139" t="n"/>
    </x:row>
    <x:row r="77">
      <x:c r="A77" s="139" t="inlineStr">
        <x:is>
          <x:t xml:space="preserve">Jonathan</x:t>
        </x:is>
      </x:c>
      <x:c r="B77" s="139" t="inlineStr">
        <x:is>
          <x:t xml:space="preserve">Nicholas</x:t>
        </x:is>
      </x:c>
      <x:c r="C77" s="139" t="n">
        <x:v>1</x:v>
      </x:c>
      <x:c r="D77" s="139" t="n">
        <x:v>0</x:v>
      </x:c>
      <x:c r="E77" s="139" t="n">
        <x:v>1</x:v>
      </x:c>
      <x:c r="F77" s="93" t="n">
        <x:v>0</x:v>
      </x:c>
      <x:c r="G77" s="93" t="n">
        <x:v>0.4666666666666667</x:v>
      </x:c>
      <x:c r="H77" s="94" t="n">
        <x:v>-0.4666666666666667</x:v>
      </x:c>
      <x:c r="I77" s="139" t="n"/>
      <x:c r="J77" s="139" t="n"/>
      <x:c r="K77" s="139" t="n"/>
      <x:c r="L77" s="139" t="n"/>
      <x:c r="M77" s="139" t="n"/>
      <x:c r="N77" s="139" t="n"/>
      <x:c r="O77" s="139" t="n"/>
      <x:c r="P77" s="139" t="n"/>
      <x:c r="Q77" s="139" t="n"/>
      <x:c r="R77" s="139" t="n"/>
      <x:c r="S77" s="139" t="n"/>
      <x:c r="T77" s="139" t="n"/>
      <x:c r="U77" s="139" t="n"/>
      <x:c r="V77" s="139" t="n"/>
      <x:c r="W77" s="139" t="n"/>
      <x:c r="X77" s="139" t="n"/>
      <x:c r="Y77" s="139" t="n"/>
      <x:c r="Z77" s="139" t="n"/>
      <x:c r="AA77" s="139" t="n"/>
      <x:c r="AB77" s="139" t="n"/>
      <x:c r="AC77" s="139" t="n"/>
      <x:c r="AD77" s="139" t="n"/>
      <x:c r="AE77" s="139" t="n"/>
      <x:c r="AF77" s="139" t="n"/>
      <x:c r="AG77" s="139" t="n"/>
      <x:c r="AH77" s="139" t="n"/>
      <x:c r="AI77" s="139" t="n"/>
      <x:c r="AJ77" s="139" t="n"/>
      <x:c r="AK77" s="139" t="n"/>
      <x:c r="AL77" s="139" t="n"/>
      <x:c r="AM77" s="139" t="n"/>
      <x:c r="AN77" s="139" t="n"/>
      <x:c r="AO77" s="139" t="n"/>
      <x:c r="AP77" s="139" t="n"/>
      <x:c r="AQ77" s="139" t="n"/>
      <x:c r="AR77" s="139" t="n"/>
      <x:c r="AS77" s="139" t="n"/>
      <x:c r="AT77" s="139" t="n"/>
      <x:c r="AU77" s="139" t="n"/>
      <x:c r="AV77" s="139" t="n"/>
      <x:c r="AW77" s="139" t="n"/>
      <x:c r="AX77" s="139" t="n"/>
      <x:c r="AY77" s="139" t="n"/>
      <x:c r="AZ77" s="139" t="n"/>
    </x:row>
    <x:row r="78">
      <x:c r="A78" s="139" t="inlineStr">
        <x:is>
          <x:t xml:space="preserve">Jonathan</x:t>
        </x:is>
      </x:c>
      <x:c r="B78" s="139" t="inlineStr">
        <x:is>
          <x:t xml:space="preserve">Edy SP</x:t>
        </x:is>
      </x:c>
      <x:c r="C78" s="139" t="n">
        <x:v>1</x:v>
      </x:c>
      <x:c r="D78" s="139" t="n">
        <x:v>0</x:v>
      </x:c>
      <x:c r="E78" s="139" t="n">
        <x:v>1</x:v>
      </x:c>
      <x:c r="F78" s="93" t="n">
        <x:v>0</x:v>
      </x:c>
      <x:c r="G78" s="93" t="n">
        <x:v>0.4736842105263158</x:v>
      </x:c>
      <x:c r="H78" s="94" t="n">
        <x:v>-0.4736842105263158</x:v>
      </x:c>
      <x:c r="I78" s="139" t="n"/>
      <x:c r="J78" s="139" t="n"/>
      <x:c r="K78" s="139" t="n"/>
      <x:c r="L78" s="139" t="n"/>
      <x:c r="M78" s="139" t="n"/>
      <x:c r="N78" s="139" t="n"/>
      <x:c r="O78" s="139" t="n"/>
      <x:c r="P78" s="139" t="n"/>
      <x:c r="Q78" s="139" t="n"/>
      <x:c r="R78" s="139" t="n"/>
      <x:c r="S78" s="139" t="n"/>
      <x:c r="T78" s="139" t="n"/>
      <x:c r="U78" s="139" t="n"/>
      <x:c r="V78" s="139" t="n"/>
      <x:c r="W78" s="139" t="n"/>
      <x:c r="X78" s="139" t="n"/>
      <x:c r="Y78" s="139" t="n"/>
      <x:c r="Z78" s="139" t="n"/>
      <x:c r="AA78" s="139" t="n"/>
      <x:c r="AB78" s="139" t="n"/>
      <x:c r="AC78" s="139" t="n"/>
      <x:c r="AD78" s="139" t="n"/>
      <x:c r="AE78" s="139" t="n"/>
      <x:c r="AF78" s="139" t="n"/>
      <x:c r="AG78" s="139" t="n"/>
      <x:c r="AH78" s="139" t="n"/>
      <x:c r="AI78" s="139" t="n"/>
      <x:c r="AJ78" s="139" t="n"/>
      <x:c r="AK78" s="139" t="n"/>
      <x:c r="AL78" s="139" t="n"/>
      <x:c r="AM78" s="139" t="n"/>
      <x:c r="AN78" s="139" t="n"/>
      <x:c r="AO78" s="139" t="n"/>
      <x:c r="AP78" s="139" t="n"/>
      <x:c r="AQ78" s="139" t="n"/>
      <x:c r="AR78" s="139" t="n"/>
      <x:c r="AS78" s="139" t="n"/>
      <x:c r="AT78" s="139" t="n"/>
      <x:c r="AU78" s="139" t="n"/>
      <x:c r="AV78" s="139" t="n"/>
      <x:c r="AW78" s="139" t="n"/>
      <x:c r="AX78" s="139" t="n"/>
      <x:c r="AY78" s="139" t="n"/>
      <x:c r="AZ78" s="139" t="n"/>
    </x:row>
    <x:row r="79">
      <x:c r="A79" s="139" t="inlineStr">
        <x:is>
          <x:t xml:space="preserve">Kennard</x:t>
        </x:is>
      </x:c>
      <x:c r="B79" s="139" t="inlineStr">
        <x:is>
          <x:t xml:space="preserve">Michael</x:t>
        </x:is>
      </x:c>
      <x:c r="C79" s="139" t="n">
        <x:v>2</x:v>
      </x:c>
      <x:c r="D79" s="139" t="n">
        <x:v>2</x:v>
      </x:c>
      <x:c r="E79" s="139" t="n">
        <x:v>0</x:v>
      </x:c>
      <x:c r="F79" s="93" t="n">
        <x:v>1</x:v>
      </x:c>
      <x:c r="G79" s="93" t="n">
        <x:v>0.4761904761904762</x:v>
      </x:c>
      <x:c r="H79" s="94" t="n">
        <x:v>0.5238095238095238</x:v>
      </x:c>
      <x:c r="I79" s="139" t="n"/>
      <x:c r="J79" s="139" t="n"/>
      <x:c r="K79" s="139" t="n"/>
      <x:c r="L79" s="139" t="n"/>
      <x:c r="M79" s="139" t="n"/>
      <x:c r="N79" s="139" t="n"/>
      <x:c r="O79" s="139" t="n"/>
      <x:c r="P79" s="139" t="n"/>
      <x:c r="Q79" s="139" t="n"/>
      <x:c r="R79" s="139" t="n"/>
      <x:c r="S79" s="139" t="n"/>
      <x:c r="T79" s="139" t="n"/>
      <x:c r="U79" s="139" t="n"/>
      <x:c r="V79" s="139" t="n"/>
      <x:c r="W79" s="139" t="n"/>
      <x:c r="X79" s="139" t="n"/>
      <x:c r="Y79" s="139" t="n"/>
      <x:c r="Z79" s="139" t="n"/>
      <x:c r="AA79" s="139" t="n"/>
      <x:c r="AB79" s="139" t="n"/>
      <x:c r="AC79" s="139" t="n"/>
      <x:c r="AD79" s="139" t="n"/>
      <x:c r="AE79" s="139" t="n"/>
      <x:c r="AF79" s="139" t="n"/>
      <x:c r="AG79" s="139" t="n"/>
      <x:c r="AH79" s="139" t="n"/>
      <x:c r="AI79" s="139" t="n"/>
      <x:c r="AJ79" s="139" t="n"/>
      <x:c r="AK79" s="139" t="n"/>
      <x:c r="AL79" s="139" t="n"/>
      <x:c r="AM79" s="139" t="n"/>
      <x:c r="AN79" s="139" t="n"/>
      <x:c r="AO79" s="139" t="n"/>
      <x:c r="AP79" s="139" t="n"/>
      <x:c r="AQ79" s="139" t="n"/>
      <x:c r="AR79" s="139" t="n"/>
      <x:c r="AS79" s="139" t="n"/>
      <x:c r="AT79" s="139" t="n"/>
      <x:c r="AU79" s="139" t="n"/>
      <x:c r="AV79" s="139" t="n"/>
      <x:c r="AW79" s="139" t="n"/>
      <x:c r="AX79" s="139" t="n"/>
      <x:c r="AY79" s="139" t="n"/>
      <x:c r="AZ79" s="139" t="n"/>
    </x:row>
    <x:row r="80">
      <x:c r="A80" s="139" t="inlineStr">
        <x:is>
          <x:t xml:space="preserve">Kennard</x:t>
        </x:is>
      </x:c>
      <x:c r="B80" s="139" t="inlineStr">
        <x:is>
          <x:t xml:space="preserve">Ricky</x:t>
        </x:is>
      </x:c>
      <x:c r="C80" s="139" t="n">
        <x:v>2</x:v>
      </x:c>
      <x:c r="D80" s="139" t="n">
        <x:v>2</x:v>
      </x:c>
      <x:c r="E80" s="139" t="n">
        <x:v>0</x:v>
      </x:c>
      <x:c r="F80" s="93" t="n">
        <x:v>1</x:v>
      </x:c>
      <x:c r="G80" s="93" t="n">
        <x:v>0.5882352941176471</x:v>
      </x:c>
      <x:c r="H80" s="94" t="n">
        <x:v>0.4117647058823529</x:v>
      </x:c>
      <x:c r="I80" s="139" t="n"/>
      <x:c r="J80" s="139" t="n"/>
      <x:c r="K80" s="139" t="n"/>
      <x:c r="L80" s="139" t="n"/>
      <x:c r="M80" s="139" t="n"/>
      <x:c r="N80" s="139" t="n"/>
      <x:c r="O80" s="139" t="n"/>
      <x:c r="P80" s="139" t="n"/>
      <x:c r="Q80" s="139" t="n"/>
      <x:c r="R80" s="139" t="n"/>
      <x:c r="S80" s="139" t="n"/>
      <x:c r="T80" s="139" t="n"/>
      <x:c r="U80" s="139" t="n"/>
      <x:c r="V80" s="139" t="n"/>
      <x:c r="W80" s="139" t="n"/>
      <x:c r="X80" s="139" t="n"/>
      <x:c r="Y80" s="139" t="n"/>
      <x:c r="Z80" s="139" t="n"/>
      <x:c r="AA80" s="139" t="n"/>
      <x:c r="AB80" s="139" t="n"/>
      <x:c r="AC80" s="139" t="n"/>
      <x:c r="AD80" s="139" t="n"/>
      <x:c r="AE80" s="139" t="n"/>
      <x:c r="AF80" s="139" t="n"/>
      <x:c r="AG80" s="139" t="n"/>
      <x:c r="AH80" s="139" t="n"/>
      <x:c r="AI80" s="139" t="n"/>
      <x:c r="AJ80" s="139" t="n"/>
      <x:c r="AK80" s="139" t="n"/>
      <x:c r="AL80" s="139" t="n"/>
      <x:c r="AM80" s="139" t="n"/>
      <x:c r="AN80" s="139" t="n"/>
      <x:c r="AO80" s="139" t="n"/>
      <x:c r="AP80" s="139" t="n"/>
      <x:c r="AQ80" s="139" t="n"/>
      <x:c r="AR80" s="139" t="n"/>
      <x:c r="AS80" s="139" t="n"/>
      <x:c r="AT80" s="139" t="n"/>
      <x:c r="AU80" s="139" t="n"/>
      <x:c r="AV80" s="139" t="n"/>
      <x:c r="AW80" s="139" t="n"/>
      <x:c r="AX80" s="139" t="n"/>
      <x:c r="AY80" s="139" t="n"/>
      <x:c r="AZ80" s="139" t="n"/>
    </x:row>
    <x:row r="81">
      <x:c r="A81" s="139" t="inlineStr">
        <x:is>
          <x:t xml:space="preserve">Kennard</x:t>
        </x:is>
      </x:c>
      <x:c r="B81" s="139" t="inlineStr">
        <x:is>
          <x:t xml:space="preserve">David</x:t>
        </x:is>
      </x:c>
      <x:c r="C81" s="139" t="n">
        <x:v>1</x:v>
      </x:c>
      <x:c r="D81" s="139" t="n">
        <x:v>1</x:v>
      </x:c>
      <x:c r="E81" s="139" t="n">
        <x:v>0</x:v>
      </x:c>
      <x:c r="F81" s="93" t="n">
        <x:v>1</x:v>
      </x:c>
      <x:c r="G81" s="93" t="n">
        <x:v>0.45</x:v>
      </x:c>
      <x:c r="H81" s="94" t="n">
        <x:v>0.55</x:v>
      </x:c>
      <x:c r="I81" s="139" t="n"/>
      <x:c r="J81" s="139" t="n"/>
      <x:c r="K81" s="139" t="n"/>
      <x:c r="L81" s="139" t="n"/>
      <x:c r="M81" s="139" t="n"/>
      <x:c r="N81" s="139" t="n"/>
      <x:c r="O81" s="139" t="n"/>
      <x:c r="P81" s="139" t="n"/>
      <x:c r="Q81" s="139" t="n"/>
      <x:c r="R81" s="139" t="n"/>
      <x:c r="S81" s="139" t="n"/>
      <x:c r="T81" s="139" t="n"/>
      <x:c r="U81" s="139" t="n"/>
      <x:c r="V81" s="139" t="n"/>
      <x:c r="W81" s="139" t="n"/>
      <x:c r="X81" s="139" t="n"/>
      <x:c r="Y81" s="139" t="n"/>
      <x:c r="Z81" s="139" t="n"/>
      <x:c r="AA81" s="139" t="n"/>
      <x:c r="AB81" s="139" t="n"/>
      <x:c r="AC81" s="139" t="n"/>
      <x:c r="AD81" s="139" t="n"/>
      <x:c r="AE81" s="139" t="n"/>
      <x:c r="AF81" s="139" t="n"/>
      <x:c r="AG81" s="139" t="n"/>
      <x:c r="AH81" s="139" t="n"/>
      <x:c r="AI81" s="139" t="n"/>
      <x:c r="AJ81" s="139" t="n"/>
      <x:c r="AK81" s="139" t="n"/>
      <x:c r="AL81" s="139" t="n"/>
      <x:c r="AM81" s="139" t="n"/>
      <x:c r="AN81" s="139" t="n"/>
      <x:c r="AO81" s="139" t="n"/>
      <x:c r="AP81" s="139" t="n"/>
      <x:c r="AQ81" s="139" t="n"/>
      <x:c r="AR81" s="139" t="n"/>
      <x:c r="AS81" s="139" t="n"/>
      <x:c r="AT81" s="139" t="n"/>
      <x:c r="AU81" s="139" t="n"/>
      <x:c r="AV81" s="139" t="n"/>
      <x:c r="AW81" s="139" t="n"/>
      <x:c r="AX81" s="139" t="n"/>
      <x:c r="AY81" s="139" t="n"/>
      <x:c r="AZ81" s="139" t="n"/>
    </x:row>
    <x:row r="82">
      <x:c r="A82" s="139" t="inlineStr">
        <x:is>
          <x:t xml:space="preserve">Kennard</x:t>
        </x:is>
      </x:c>
      <x:c r="B82" s="139" t="inlineStr">
        <x:is>
          <x:t xml:space="preserve">Edy SP</x:t>
        </x:is>
      </x:c>
      <x:c r="C82" s="139" t="n">
        <x:v>1</x:v>
      </x:c>
      <x:c r="D82" s="139" t="n">
        <x:v>1</x:v>
      </x:c>
      <x:c r="E82" s="139" t="n">
        <x:v>0</x:v>
      </x:c>
      <x:c r="F82" s="93" t="n">
        <x:v>1</x:v>
      </x:c>
      <x:c r="G82" s="93" t="n">
        <x:v>0.4736842105263158</x:v>
      </x:c>
      <x:c r="H82" s="94" t="n">
        <x:v>0.5263157894736843</x:v>
      </x:c>
      <x:c r="I82" s="139" t="n"/>
      <x:c r="J82" s="139" t="n"/>
      <x:c r="K82" s="139" t="n"/>
      <x:c r="L82" s="139" t="n"/>
      <x:c r="M82" s="139" t="n"/>
      <x:c r="N82" s="139" t="n"/>
      <x:c r="O82" s="139" t="n"/>
      <x:c r="P82" s="139" t="n"/>
      <x:c r="Q82" s="139" t="n"/>
      <x:c r="R82" s="139" t="n"/>
      <x:c r="S82" s="139" t="n"/>
      <x:c r="T82" s="139" t="n"/>
      <x:c r="U82" s="139" t="n"/>
      <x:c r="V82" s="139" t="n"/>
      <x:c r="W82" s="139" t="n"/>
      <x:c r="X82" s="139" t="n"/>
      <x:c r="Y82" s="139" t="n"/>
      <x:c r="Z82" s="139" t="n"/>
      <x:c r="AA82" s="139" t="n"/>
      <x:c r="AB82" s="139" t="n"/>
      <x:c r="AC82" s="139" t="n"/>
      <x:c r="AD82" s="139" t="n"/>
      <x:c r="AE82" s="139" t="n"/>
      <x:c r="AF82" s="139" t="n"/>
      <x:c r="AG82" s="139" t="n"/>
      <x:c r="AH82" s="139" t="n"/>
      <x:c r="AI82" s="139" t="n"/>
      <x:c r="AJ82" s="139" t="n"/>
      <x:c r="AK82" s="139" t="n"/>
      <x:c r="AL82" s="139" t="n"/>
      <x:c r="AM82" s="139" t="n"/>
      <x:c r="AN82" s="139" t="n"/>
      <x:c r="AO82" s="139" t="n"/>
      <x:c r="AP82" s="139" t="n"/>
      <x:c r="AQ82" s="139" t="n"/>
      <x:c r="AR82" s="139" t="n"/>
      <x:c r="AS82" s="139" t="n"/>
      <x:c r="AT82" s="139" t="n"/>
      <x:c r="AU82" s="139" t="n"/>
      <x:c r="AV82" s="139" t="n"/>
      <x:c r="AW82" s="139" t="n"/>
      <x:c r="AX82" s="139" t="n"/>
      <x:c r="AY82" s="139" t="n"/>
      <x:c r="AZ82" s="139" t="n"/>
    </x:row>
    <x:row r="83">
      <x:c r="A83" s="139" t="inlineStr">
        <x:is>
          <x:t xml:space="preserve">Kennard</x:t>
        </x:is>
      </x:c>
      <x:c r="B83" s="139" t="inlineStr">
        <x:is>
          <x:t xml:space="preserve">Austin</x:t>
        </x:is>
      </x:c>
      <x:c r="C83" s="139" t="n">
        <x:v>1</x:v>
      </x:c>
      <x:c r="D83" s="139" t="n">
        <x:v>1</x:v>
      </x:c>
      <x:c r="E83" s="139" t="n">
        <x:v>0</x:v>
      </x:c>
      <x:c r="F83" s="93" t="n">
        <x:v>1</x:v>
      </x:c>
      <x:c r="G83" s="93" t="n">
        <x:v>0.5909090909090909</x:v>
      </x:c>
      <x:c r="H83" s="94" t="n">
        <x:v>0.4090909090909091</x:v>
      </x:c>
      <x:c r="I83" s="139" t="n"/>
      <x:c r="J83" s="139" t="n"/>
      <x:c r="K83" s="139" t="n"/>
      <x:c r="L83" s="139" t="n"/>
      <x:c r="M83" s="139" t="n"/>
      <x:c r="N83" s="139" t="n"/>
      <x:c r="O83" s="139" t="n"/>
      <x:c r="P83" s="139" t="n"/>
      <x:c r="Q83" s="139" t="n"/>
      <x:c r="R83" s="139" t="n"/>
      <x:c r="S83" s="139" t="n"/>
      <x:c r="T83" s="139" t="n"/>
      <x:c r="U83" s="139" t="n"/>
      <x:c r="V83" s="139" t="n"/>
      <x:c r="W83" s="139" t="n"/>
      <x:c r="X83" s="139" t="n"/>
      <x:c r="Y83" s="139" t="n"/>
      <x:c r="Z83" s="139" t="n"/>
      <x:c r="AA83" s="139" t="n"/>
      <x:c r="AB83" s="139" t="n"/>
      <x:c r="AC83" s="139" t="n"/>
      <x:c r="AD83" s="139" t="n"/>
      <x:c r="AE83" s="139" t="n"/>
      <x:c r="AF83" s="139" t="n"/>
      <x:c r="AG83" s="139" t="n"/>
      <x:c r="AH83" s="139" t="n"/>
      <x:c r="AI83" s="139" t="n"/>
      <x:c r="AJ83" s="139" t="n"/>
      <x:c r="AK83" s="139" t="n"/>
      <x:c r="AL83" s="139" t="n"/>
      <x:c r="AM83" s="139" t="n"/>
      <x:c r="AN83" s="139" t="n"/>
      <x:c r="AO83" s="139" t="n"/>
      <x:c r="AP83" s="139" t="n"/>
      <x:c r="AQ83" s="139" t="n"/>
      <x:c r="AR83" s="139" t="n"/>
      <x:c r="AS83" s="139" t="n"/>
      <x:c r="AT83" s="139" t="n"/>
      <x:c r="AU83" s="139" t="n"/>
      <x:c r="AV83" s="139" t="n"/>
      <x:c r="AW83" s="139" t="n"/>
      <x:c r="AX83" s="139" t="n"/>
      <x:c r="AY83" s="139" t="n"/>
      <x:c r="AZ83" s="139" t="n"/>
    </x:row>
    <x:row r="84">
      <x:c r="A84" s="139" t="inlineStr">
        <x:is>
          <x:t xml:space="preserve">Kennard</x:t>
        </x:is>
      </x:c>
      <x:c r="B84" s="139" t="inlineStr">
        <x:is>
          <x:t xml:space="preserve">Rey</x:t>
        </x:is>
      </x:c>
      <x:c r="C84" s="139" t="n">
        <x:v>1</x:v>
      </x:c>
      <x:c r="D84" s="139" t="n">
        <x:v>1</x:v>
      </x:c>
      <x:c r="E84" s="139" t="n">
        <x:v>0</x:v>
      </x:c>
      <x:c r="F84" s="93" t="n">
        <x:v>1</x:v>
      </x:c>
      <x:c r="G84" s="93" t="n">
        <x:v>0.6</x:v>
      </x:c>
      <x:c r="H84" s="94" t="n">
        <x:v>0.4</x:v>
      </x:c>
      <x:c r="I84" s="139" t="n"/>
      <x:c r="J84" s="139" t="n"/>
      <x:c r="K84" s="139" t="n"/>
      <x:c r="L84" s="139" t="n"/>
      <x:c r="M84" s="139" t="n"/>
      <x:c r="N84" s="139" t="n"/>
      <x:c r="O84" s="139" t="n"/>
      <x:c r="P84" s="139" t="n"/>
      <x:c r="Q84" s="139" t="n"/>
      <x:c r="R84" s="139" t="n"/>
      <x:c r="S84" s="139" t="n"/>
      <x:c r="T84" s="139" t="n"/>
      <x:c r="U84" s="139" t="n"/>
      <x:c r="V84" s="139" t="n"/>
      <x:c r="W84" s="139" t="n"/>
      <x:c r="X84" s="139" t="n"/>
      <x:c r="Y84" s="139" t="n"/>
      <x:c r="Z84" s="139" t="n"/>
      <x:c r="AA84" s="139" t="n"/>
      <x:c r="AB84" s="139" t="n"/>
      <x:c r="AC84" s="139" t="n"/>
      <x:c r="AD84" s="139" t="n"/>
      <x:c r="AE84" s="139" t="n"/>
      <x:c r="AF84" s="139" t="n"/>
      <x:c r="AG84" s="139" t="n"/>
      <x:c r="AH84" s="139" t="n"/>
      <x:c r="AI84" s="139" t="n"/>
      <x:c r="AJ84" s="139" t="n"/>
      <x:c r="AK84" s="139" t="n"/>
      <x:c r="AL84" s="139" t="n"/>
      <x:c r="AM84" s="139" t="n"/>
      <x:c r="AN84" s="139" t="n"/>
      <x:c r="AO84" s="139" t="n"/>
      <x:c r="AP84" s="139" t="n"/>
      <x:c r="AQ84" s="139" t="n"/>
      <x:c r="AR84" s="139" t="n"/>
      <x:c r="AS84" s="139" t="n"/>
      <x:c r="AT84" s="139" t="n"/>
      <x:c r="AU84" s="139" t="n"/>
      <x:c r="AV84" s="139" t="n"/>
      <x:c r="AW84" s="139" t="n"/>
      <x:c r="AX84" s="139" t="n"/>
      <x:c r="AY84" s="139" t="n"/>
      <x:c r="AZ84" s="139" t="n"/>
    </x:row>
    <x:row r="85">
      <x:c r="A85" s="139" t="inlineStr">
        <x:is>
          <x:t xml:space="preserve">Kennard</x:t>
        </x:is>
      </x:c>
      <x:c r="B85" s="139" t="inlineStr">
        <x:is>
          <x:t xml:space="preserve">Ronald</x:t>
        </x:is>
      </x:c>
      <x:c r="C85" s="139" t="n">
        <x:v>1</x:v>
      </x:c>
      <x:c r="D85" s="139" t="n">
        <x:v>1</x:v>
      </x:c>
      <x:c r="E85" s="139" t="n">
        <x:v>0</x:v>
      </x:c>
      <x:c r="F85" s="93" t="n">
        <x:v>1</x:v>
      </x:c>
      <x:c r="G85" s="93" t="n">
        <x:v>0.6153846153846154</x:v>
      </x:c>
      <x:c r="H85" s="94" t="n">
        <x:v>0.3846153846153846</x:v>
      </x:c>
      <x:c r="I85" s="139" t="n"/>
      <x:c r="J85" s="139" t="n"/>
      <x:c r="K85" s="139" t="n"/>
      <x:c r="L85" s="139" t="n"/>
      <x:c r="M85" s="139" t="n"/>
      <x:c r="N85" s="139" t="n"/>
      <x:c r="O85" s="139" t="n"/>
      <x:c r="P85" s="139" t="n"/>
      <x:c r="Q85" s="139" t="n"/>
      <x:c r="R85" s="139" t="n"/>
      <x:c r="S85" s="139" t="n"/>
      <x:c r="T85" s="139" t="n"/>
      <x:c r="U85" s="139" t="n"/>
      <x:c r="V85" s="139" t="n"/>
      <x:c r="W85" s="139" t="n"/>
      <x:c r="X85" s="139" t="n"/>
      <x:c r="Y85" s="139" t="n"/>
      <x:c r="Z85" s="139" t="n"/>
      <x:c r="AA85" s="139" t="n"/>
      <x:c r="AB85" s="139" t="n"/>
      <x:c r="AC85" s="139" t="n"/>
      <x:c r="AD85" s="139" t="n"/>
      <x:c r="AE85" s="139" t="n"/>
      <x:c r="AF85" s="139" t="n"/>
      <x:c r="AG85" s="139" t="n"/>
      <x:c r="AH85" s="139" t="n"/>
      <x:c r="AI85" s="139" t="n"/>
      <x:c r="AJ85" s="139" t="n"/>
      <x:c r="AK85" s="139" t="n"/>
      <x:c r="AL85" s="139" t="n"/>
      <x:c r="AM85" s="139" t="n"/>
      <x:c r="AN85" s="139" t="n"/>
      <x:c r="AO85" s="139" t="n"/>
      <x:c r="AP85" s="139" t="n"/>
      <x:c r="AQ85" s="139" t="n"/>
      <x:c r="AR85" s="139" t="n"/>
      <x:c r="AS85" s="139" t="n"/>
      <x:c r="AT85" s="139" t="n"/>
      <x:c r="AU85" s="139" t="n"/>
      <x:c r="AV85" s="139" t="n"/>
      <x:c r="AW85" s="139" t="n"/>
      <x:c r="AX85" s="139" t="n"/>
      <x:c r="AY85" s="139" t="n"/>
      <x:c r="AZ85" s="139" t="n"/>
    </x:row>
    <x:row r="86">
      <x:c r="A86" s="139" t="inlineStr">
        <x:is>
          <x:t xml:space="preserve">Kennard</x:t>
        </x:is>
      </x:c>
      <x:c r="B86" s="139" t="inlineStr">
        <x:is>
          <x:t xml:space="preserve">Alice</x:t>
        </x:is>
      </x:c>
      <x:c r="C86" s="139" t="n">
        <x:v>1</x:v>
      </x:c>
      <x:c r="D86" s="139" t="n">
        <x:v>0</x:v>
      </x:c>
      <x:c r="E86" s="139" t="n">
        <x:v>1</x:v>
      </x:c>
      <x:c r="F86" s="93" t="n">
        <x:v>0</x:v>
      </x:c>
      <x:c r="G86" s="93" t="n">
        <x:v>0.2272727272727273</x:v>
      </x:c>
      <x:c r="H86" s="94" t="n">
        <x:v>-0.2272727272727273</x:v>
      </x:c>
      <x:c r="I86" s="139" t="n"/>
      <x:c r="J86" s="139" t="n"/>
      <x:c r="K86" s="139" t="n"/>
      <x:c r="L86" s="139" t="n"/>
      <x:c r="M86" s="139" t="n"/>
      <x:c r="N86" s="139" t="n"/>
      <x:c r="O86" s="139" t="n"/>
      <x:c r="P86" s="139" t="n"/>
      <x:c r="Q86" s="139" t="n"/>
      <x:c r="R86" s="139" t="n"/>
      <x:c r="S86" s="139" t="n"/>
      <x:c r="T86" s="139" t="n"/>
      <x:c r="U86" s="139" t="n"/>
      <x:c r="V86" s="139" t="n"/>
      <x:c r="W86" s="139" t="n"/>
      <x:c r="X86" s="139" t="n"/>
      <x:c r="Y86" s="139" t="n"/>
      <x:c r="Z86" s="139" t="n"/>
      <x:c r="AA86" s="139" t="n"/>
      <x:c r="AB86" s="139" t="n"/>
      <x:c r="AC86" s="139" t="n"/>
      <x:c r="AD86" s="139" t="n"/>
      <x:c r="AE86" s="139" t="n"/>
      <x:c r="AF86" s="139" t="n"/>
      <x:c r="AG86" s="139" t="n"/>
      <x:c r="AH86" s="139" t="n"/>
      <x:c r="AI86" s="139" t="n"/>
      <x:c r="AJ86" s="139" t="n"/>
      <x:c r="AK86" s="139" t="n"/>
      <x:c r="AL86" s="139" t="n"/>
      <x:c r="AM86" s="139" t="n"/>
      <x:c r="AN86" s="139" t="n"/>
      <x:c r="AO86" s="139" t="n"/>
      <x:c r="AP86" s="139" t="n"/>
      <x:c r="AQ86" s="139" t="n"/>
      <x:c r="AR86" s="139" t="n"/>
      <x:c r="AS86" s="139" t="n"/>
      <x:c r="AT86" s="139" t="n"/>
      <x:c r="AU86" s="139" t="n"/>
      <x:c r="AV86" s="139" t="n"/>
      <x:c r="AW86" s="139" t="n"/>
      <x:c r="AX86" s="139" t="n"/>
      <x:c r="AY86" s="139" t="n"/>
      <x:c r="AZ86" s="139" t="n"/>
    </x:row>
    <x:row r="87">
      <x:c r="A87" s="139" t="inlineStr">
        <x:is>
          <x:t xml:space="preserve">Kennard</x:t>
        </x:is>
      </x:c>
      <x:c r="B87" s="139" t="inlineStr">
        <x:is>
          <x:t xml:space="preserve">Welly</x:t>
        </x:is>
      </x:c>
      <x:c r="C87" s="139" t="n">
        <x:v>1</x:v>
      </x:c>
      <x:c r="D87" s="139" t="n">
        <x:v>0</x:v>
      </x:c>
      <x:c r="E87" s="139" t="n">
        <x:v>1</x:v>
      </x:c>
      <x:c r="F87" s="93" t="n">
        <x:v>0</x:v>
      </x:c>
      <x:c r="G87" s="93" t="n">
        <x:v>0.3333333333333333</x:v>
      </x:c>
      <x:c r="H87" s="94" t="n">
        <x:v>-0.3333333333333333</x:v>
      </x:c>
      <x:c r="I87" s="139" t="n"/>
      <x:c r="J87" s="139" t="n"/>
      <x:c r="K87" s="139" t="n"/>
      <x:c r="L87" s="139" t="n"/>
      <x:c r="M87" s="139" t="n"/>
      <x:c r="N87" s="139" t="n"/>
      <x:c r="O87" s="139" t="n"/>
      <x:c r="P87" s="139" t="n"/>
      <x:c r="Q87" s="139" t="n"/>
      <x:c r="R87" s="139" t="n"/>
      <x:c r="S87" s="139" t="n"/>
      <x:c r="T87" s="139" t="n"/>
      <x:c r="U87" s="139" t="n"/>
      <x:c r="V87" s="139" t="n"/>
      <x:c r="W87" s="139" t="n"/>
      <x:c r="X87" s="139" t="n"/>
      <x:c r="Y87" s="139" t="n"/>
      <x:c r="Z87" s="139" t="n"/>
      <x:c r="AA87" s="139" t="n"/>
      <x:c r="AB87" s="139" t="n"/>
      <x:c r="AC87" s="139" t="n"/>
      <x:c r="AD87" s="139" t="n"/>
      <x:c r="AE87" s="139" t="n"/>
      <x:c r="AF87" s="139" t="n"/>
      <x:c r="AG87" s="139" t="n"/>
      <x:c r="AH87" s="139" t="n"/>
      <x:c r="AI87" s="139" t="n"/>
      <x:c r="AJ87" s="139" t="n"/>
      <x:c r="AK87" s="139" t="n"/>
      <x:c r="AL87" s="139" t="n"/>
      <x:c r="AM87" s="139" t="n"/>
      <x:c r="AN87" s="139" t="n"/>
      <x:c r="AO87" s="139" t="n"/>
      <x:c r="AP87" s="139" t="n"/>
      <x:c r="AQ87" s="139" t="n"/>
      <x:c r="AR87" s="139" t="n"/>
      <x:c r="AS87" s="139" t="n"/>
      <x:c r="AT87" s="139" t="n"/>
      <x:c r="AU87" s="139" t="n"/>
      <x:c r="AV87" s="139" t="n"/>
      <x:c r="AW87" s="139" t="n"/>
      <x:c r="AX87" s="139" t="n"/>
      <x:c r="AY87" s="139" t="n"/>
      <x:c r="AZ87" s="139" t="n"/>
    </x:row>
    <x:row r="88">
      <x:c r="A88" s="139" t="inlineStr">
        <x:is>
          <x:t xml:space="preserve">Kennard</x:t>
        </x:is>
      </x:c>
      <x:c r="B88" s="139" t="inlineStr">
        <x:is>
          <x:t xml:space="preserve">Alwin</x:t>
        </x:is>
      </x:c>
      <x:c r="C88" s="139" t="n">
        <x:v>1</x:v>
      </x:c>
      <x:c r="D88" s="139" t="n">
        <x:v>0</x:v>
      </x:c>
      <x:c r="E88" s="139" t="n">
        <x:v>1</x:v>
      </x:c>
      <x:c r="F88" s="93" t="n">
        <x:v>0</x:v>
      </x:c>
      <x:c r="G88" s="93" t="n">
        <x:v>0.3571428571428572</x:v>
      </x:c>
      <x:c r="H88" s="94" t="n">
        <x:v>-0.3571428571428572</x:v>
      </x:c>
      <x:c r="I88" s="139" t="n"/>
      <x:c r="J88" s="139" t="n"/>
      <x:c r="K88" s="139" t="n"/>
      <x:c r="L88" s="139" t="n"/>
      <x:c r="M88" s="139" t="n"/>
      <x:c r="N88" s="139" t="n"/>
      <x:c r="O88" s="139" t="n"/>
      <x:c r="P88" s="139" t="n"/>
      <x:c r="Q88" s="139" t="n"/>
      <x:c r="R88" s="139" t="n"/>
      <x:c r="S88" s="139" t="n"/>
      <x:c r="T88" s="139" t="n"/>
      <x:c r="U88" s="139" t="n"/>
      <x:c r="V88" s="139" t="n"/>
      <x:c r="W88" s="139" t="n"/>
      <x:c r="X88" s="139" t="n"/>
      <x:c r="Y88" s="139" t="n"/>
      <x:c r="Z88" s="139" t="n"/>
      <x:c r="AA88" s="139" t="n"/>
      <x:c r="AB88" s="139" t="n"/>
      <x:c r="AC88" s="139" t="n"/>
      <x:c r="AD88" s="139" t="n"/>
      <x:c r="AE88" s="139" t="n"/>
      <x:c r="AF88" s="139" t="n"/>
      <x:c r="AG88" s="139" t="n"/>
      <x:c r="AH88" s="139" t="n"/>
      <x:c r="AI88" s="139" t="n"/>
      <x:c r="AJ88" s="139" t="n"/>
      <x:c r="AK88" s="139" t="n"/>
      <x:c r="AL88" s="139" t="n"/>
      <x:c r="AM88" s="139" t="n"/>
      <x:c r="AN88" s="139" t="n"/>
      <x:c r="AO88" s="139" t="n"/>
      <x:c r="AP88" s="139" t="n"/>
      <x:c r="AQ88" s="139" t="n"/>
      <x:c r="AR88" s="139" t="n"/>
      <x:c r="AS88" s="139" t="n"/>
      <x:c r="AT88" s="139" t="n"/>
      <x:c r="AU88" s="139" t="n"/>
      <x:c r="AV88" s="139" t="n"/>
      <x:c r="AW88" s="139" t="n"/>
      <x:c r="AX88" s="139" t="n"/>
      <x:c r="AY88" s="139" t="n"/>
      <x:c r="AZ88" s="139" t="n"/>
    </x:row>
    <x:row r="89">
      <x:c r="A89" s="139" t="inlineStr">
        <x:is>
          <x:t xml:space="preserve">Kennard</x:t>
        </x:is>
      </x:c>
      <x:c r="B89" s="139" t="inlineStr">
        <x:is>
          <x:t xml:space="preserve">Reza</x:t>
        </x:is>
      </x:c>
      <x:c r="C89" s="139" t="n">
        <x:v>1</x:v>
      </x:c>
      <x:c r="D89" s="139" t="n">
        <x:v>0</x:v>
      </x:c>
      <x:c r="E89" s="139" t="n">
        <x:v>1</x:v>
      </x:c>
      <x:c r="F89" s="93" t="n">
        <x:v>0</x:v>
      </x:c>
      <x:c r="G89" s="93" t="n">
        <x:v>0.4285714285714285</x:v>
      </x:c>
      <x:c r="H89" s="94" t="n">
        <x:v>-0.4285714285714285</x:v>
      </x:c>
      <x:c r="I89" s="139" t="n"/>
      <x:c r="J89" s="139" t="n"/>
      <x:c r="K89" s="139" t="n"/>
      <x:c r="L89" s="139" t="n"/>
      <x:c r="M89" s="139" t="n"/>
      <x:c r="N89" s="139" t="n"/>
      <x:c r="O89" s="139" t="n"/>
      <x:c r="P89" s="139" t="n"/>
      <x:c r="Q89" s="139" t="n"/>
      <x:c r="R89" s="139" t="n"/>
      <x:c r="S89" s="139" t="n"/>
      <x:c r="T89" s="139" t="n"/>
      <x:c r="U89" s="139" t="n"/>
      <x:c r="V89" s="139" t="n"/>
      <x:c r="W89" s="139" t="n"/>
      <x:c r="X89" s="139" t="n"/>
      <x:c r="Y89" s="139" t="n"/>
      <x:c r="Z89" s="139" t="n"/>
      <x:c r="AA89" s="139" t="n"/>
      <x:c r="AB89" s="139" t="n"/>
      <x:c r="AC89" s="139" t="n"/>
      <x:c r="AD89" s="139" t="n"/>
      <x:c r="AE89" s="139" t="n"/>
      <x:c r="AF89" s="139" t="n"/>
      <x:c r="AG89" s="139" t="n"/>
      <x:c r="AH89" s="139" t="n"/>
      <x:c r="AI89" s="139" t="n"/>
      <x:c r="AJ89" s="139" t="n"/>
      <x:c r="AK89" s="139" t="n"/>
      <x:c r="AL89" s="139" t="n"/>
      <x:c r="AM89" s="139" t="n"/>
      <x:c r="AN89" s="139" t="n"/>
      <x:c r="AO89" s="139" t="n"/>
      <x:c r="AP89" s="139" t="n"/>
      <x:c r="AQ89" s="139" t="n"/>
      <x:c r="AR89" s="139" t="n"/>
      <x:c r="AS89" s="139" t="n"/>
      <x:c r="AT89" s="139" t="n"/>
      <x:c r="AU89" s="139" t="n"/>
      <x:c r="AV89" s="139" t="n"/>
      <x:c r="AW89" s="139" t="n"/>
      <x:c r="AX89" s="139" t="n"/>
      <x:c r="AY89" s="139" t="n"/>
      <x:c r="AZ89" s="139" t="n"/>
    </x:row>
    <x:row r="90">
      <x:c r="A90" s="139" t="inlineStr">
        <x:is>
          <x:t xml:space="preserve">Michael</x:t>
        </x:is>
      </x:c>
      <x:c r="B90" s="139" t="inlineStr">
        <x:is>
          <x:t xml:space="preserve">Kennard</x:t>
        </x:is>
      </x:c>
      <x:c r="C90" s="139" t="n">
        <x:v>2</x:v>
      </x:c>
      <x:c r="D90" s="139" t="n">
        <x:v>2</x:v>
      </x:c>
      <x:c r="E90" s="139" t="n">
        <x:v>0</x:v>
      </x:c>
      <x:c r="F90" s="93" t="n">
        <x:v>1</x:v>
      </x:c>
      <x:c r="G90" s="93" t="n">
        <x:v>0.6190476190476191</x:v>
      </x:c>
      <x:c r="H90" s="94" t="n">
        <x:v>0.3809523809523809</x:v>
      </x:c>
      <x:c r="I90" s="139" t="n"/>
      <x:c r="J90" s="139" t="n"/>
      <x:c r="K90" s="139" t="n"/>
      <x:c r="L90" s="139" t="n"/>
      <x:c r="M90" s="139" t="n"/>
      <x:c r="N90" s="139" t="n"/>
      <x:c r="O90" s="139" t="n"/>
      <x:c r="P90" s="139" t="n"/>
      <x:c r="Q90" s="139" t="n"/>
      <x:c r="R90" s="139" t="n"/>
      <x:c r="S90" s="139" t="n"/>
      <x:c r="T90" s="139" t="n"/>
      <x:c r="U90" s="139" t="n"/>
      <x:c r="V90" s="139" t="n"/>
      <x:c r="W90" s="139" t="n"/>
      <x:c r="X90" s="139" t="n"/>
      <x:c r="Y90" s="139" t="n"/>
      <x:c r="Z90" s="139" t="n"/>
      <x:c r="AA90" s="139" t="n"/>
      <x:c r="AB90" s="139" t="n"/>
      <x:c r="AC90" s="139" t="n"/>
      <x:c r="AD90" s="139" t="n"/>
      <x:c r="AE90" s="139" t="n"/>
      <x:c r="AF90" s="139" t="n"/>
      <x:c r="AG90" s="139" t="n"/>
      <x:c r="AH90" s="139" t="n"/>
      <x:c r="AI90" s="139" t="n"/>
      <x:c r="AJ90" s="139" t="n"/>
      <x:c r="AK90" s="139" t="n"/>
      <x:c r="AL90" s="139" t="n"/>
      <x:c r="AM90" s="139" t="n"/>
      <x:c r="AN90" s="139" t="n"/>
      <x:c r="AO90" s="139" t="n"/>
      <x:c r="AP90" s="139" t="n"/>
      <x:c r="AQ90" s="139" t="n"/>
      <x:c r="AR90" s="139" t="n"/>
      <x:c r="AS90" s="139" t="n"/>
      <x:c r="AT90" s="139" t="n"/>
      <x:c r="AU90" s="139" t="n"/>
      <x:c r="AV90" s="139" t="n"/>
      <x:c r="AW90" s="139" t="n"/>
      <x:c r="AX90" s="139" t="n"/>
      <x:c r="AY90" s="139" t="n"/>
      <x:c r="AZ90" s="139" t="n"/>
    </x:row>
    <x:row r="91">
      <x:c r="A91" s="139" t="inlineStr">
        <x:is>
          <x:t xml:space="preserve">Michael</x:t>
        </x:is>
      </x:c>
      <x:c r="B91" s="139" t="inlineStr">
        <x:is>
          <x:t xml:space="preserve">Ricky</x:t>
        </x:is>
      </x:c>
      <x:c r="C91" s="139" t="n">
        <x:v>2</x:v>
      </x:c>
      <x:c r="D91" s="139" t="n">
        <x:v>1</x:v>
      </x:c>
      <x:c r="E91" s="139" t="n">
        <x:v>1</x:v>
      </x:c>
      <x:c r="F91" s="93" t="n">
        <x:v>0.5</x:v>
      </x:c>
      <x:c r="G91" s="93" t="n">
        <x:v>0.5882352941176471</x:v>
      </x:c>
      <x:c r="H91" s="94" t="n">
        <x:v>-0.08823529411764708</x:v>
      </x:c>
      <x:c r="I91" s="139" t="n"/>
      <x:c r="J91" s="139" t="n"/>
      <x:c r="K91" s="139" t="n"/>
      <x:c r="L91" s="139" t="n"/>
      <x:c r="M91" s="139" t="n"/>
      <x:c r="N91" s="139" t="n"/>
      <x:c r="O91" s="139" t="n"/>
      <x:c r="P91" s="139" t="n"/>
      <x:c r="Q91" s="139" t="n"/>
      <x:c r="R91" s="139" t="n"/>
      <x:c r="S91" s="139" t="n"/>
      <x:c r="T91" s="139" t="n"/>
      <x:c r="U91" s="139" t="n"/>
      <x:c r="V91" s="139" t="n"/>
      <x:c r="W91" s="139" t="n"/>
      <x:c r="X91" s="139" t="n"/>
      <x:c r="Y91" s="139" t="n"/>
      <x:c r="Z91" s="139" t="n"/>
      <x:c r="AA91" s="139" t="n"/>
      <x:c r="AB91" s="139" t="n"/>
      <x:c r="AC91" s="139" t="n"/>
      <x:c r="AD91" s="139" t="n"/>
      <x:c r="AE91" s="139" t="n"/>
      <x:c r="AF91" s="139" t="n"/>
      <x:c r="AG91" s="139" t="n"/>
      <x:c r="AH91" s="139" t="n"/>
      <x:c r="AI91" s="139" t="n"/>
      <x:c r="AJ91" s="139" t="n"/>
      <x:c r="AK91" s="139" t="n"/>
      <x:c r="AL91" s="139" t="n"/>
      <x:c r="AM91" s="139" t="n"/>
      <x:c r="AN91" s="139" t="n"/>
      <x:c r="AO91" s="139" t="n"/>
      <x:c r="AP91" s="139" t="n"/>
      <x:c r="AQ91" s="139" t="n"/>
      <x:c r="AR91" s="139" t="n"/>
      <x:c r="AS91" s="139" t="n"/>
      <x:c r="AT91" s="139" t="n"/>
      <x:c r="AU91" s="139" t="n"/>
      <x:c r="AV91" s="139" t="n"/>
      <x:c r="AW91" s="139" t="n"/>
      <x:c r="AX91" s="139" t="n"/>
      <x:c r="AY91" s="139" t="n"/>
      <x:c r="AZ91" s="139" t="n"/>
    </x:row>
    <x:row r="92">
      <x:c r="A92" s="139" t="inlineStr">
        <x:is>
          <x:t xml:space="preserve">Michael</x:t>
        </x:is>
      </x:c>
      <x:c r="B92" s="139" t="inlineStr">
        <x:is>
          <x:t xml:space="preserve">Edy SP</x:t>
        </x:is>
      </x:c>
      <x:c r="C92" s="139" t="n">
        <x:v>2</x:v>
      </x:c>
      <x:c r="D92" s="139" t="n">
        <x:v>0</x:v>
      </x:c>
      <x:c r="E92" s="139" t="n">
        <x:v>2</x:v>
      </x:c>
      <x:c r="F92" s="93" t="n">
        <x:v>0</x:v>
      </x:c>
      <x:c r="G92" s="93" t="n">
        <x:v>0.4736842105263158</x:v>
      </x:c>
      <x:c r="H92" s="94" t="n">
        <x:v>-0.4736842105263158</x:v>
      </x:c>
      <x:c r="I92" s="139" t="n"/>
      <x:c r="J92" s="139" t="n"/>
      <x:c r="K92" s="139" t="n"/>
      <x:c r="L92" s="139" t="n"/>
      <x:c r="M92" s="139" t="n"/>
      <x:c r="N92" s="139" t="n"/>
      <x:c r="O92" s="139" t="n"/>
      <x:c r="P92" s="139" t="n"/>
      <x:c r="Q92" s="139" t="n"/>
      <x:c r="R92" s="139" t="n"/>
      <x:c r="S92" s="139" t="n"/>
      <x:c r="T92" s="139" t="n"/>
      <x:c r="U92" s="139" t="n"/>
      <x:c r="V92" s="139" t="n"/>
      <x:c r="W92" s="139" t="n"/>
      <x:c r="X92" s="139" t="n"/>
      <x:c r="Y92" s="139" t="n"/>
      <x:c r="Z92" s="139" t="n"/>
      <x:c r="AA92" s="139" t="n"/>
      <x:c r="AB92" s="139" t="n"/>
      <x:c r="AC92" s="139" t="n"/>
      <x:c r="AD92" s="139" t="n"/>
      <x:c r="AE92" s="139" t="n"/>
      <x:c r="AF92" s="139" t="n"/>
      <x:c r="AG92" s="139" t="n"/>
      <x:c r="AH92" s="139" t="n"/>
      <x:c r="AI92" s="139" t="n"/>
      <x:c r="AJ92" s="139" t="n"/>
      <x:c r="AK92" s="139" t="n"/>
      <x:c r="AL92" s="139" t="n"/>
      <x:c r="AM92" s="139" t="n"/>
      <x:c r="AN92" s="139" t="n"/>
      <x:c r="AO92" s="139" t="n"/>
      <x:c r="AP92" s="139" t="n"/>
      <x:c r="AQ92" s="139" t="n"/>
      <x:c r="AR92" s="139" t="n"/>
      <x:c r="AS92" s="139" t="n"/>
      <x:c r="AT92" s="139" t="n"/>
      <x:c r="AU92" s="139" t="n"/>
      <x:c r="AV92" s="139" t="n"/>
      <x:c r="AW92" s="139" t="n"/>
      <x:c r="AX92" s="139" t="n"/>
      <x:c r="AY92" s="139" t="n"/>
      <x:c r="AZ92" s="139" t="n"/>
    </x:row>
    <x:row r="93">
      <x:c r="A93" s="139" t="inlineStr">
        <x:is>
          <x:t xml:space="preserve">Michael</x:t>
        </x:is>
      </x:c>
      <x:c r="B93" s="139" t="inlineStr">
        <x:is>
          <x:t xml:space="preserve">Austin</x:t>
        </x:is>
      </x:c>
      <x:c r="C93" s="139" t="n">
        <x:v>1</x:v>
      </x:c>
      <x:c r="D93" s="139" t="n">
        <x:v>1</x:v>
      </x:c>
      <x:c r="E93" s="139" t="n">
        <x:v>0</x:v>
      </x:c>
      <x:c r="F93" s="93" t="n">
        <x:v>1</x:v>
      </x:c>
      <x:c r="G93" s="93" t="n">
        <x:v>0.5909090909090909</x:v>
      </x:c>
      <x:c r="H93" s="94" t="n">
        <x:v>0.4090909090909091</x:v>
      </x:c>
      <x:c r="I93" s="139" t="n"/>
      <x:c r="J93" s="139" t="n"/>
      <x:c r="K93" s="139" t="n"/>
      <x:c r="L93" s="139" t="n"/>
      <x:c r="M93" s="139" t="n"/>
      <x:c r="N93" s="139" t="n"/>
      <x:c r="O93" s="139" t="n"/>
      <x:c r="P93" s="139" t="n"/>
      <x:c r="Q93" s="139" t="n"/>
      <x:c r="R93" s="139" t="n"/>
      <x:c r="S93" s="139" t="n"/>
      <x:c r="T93" s="139" t="n"/>
      <x:c r="U93" s="139" t="n"/>
      <x:c r="V93" s="139" t="n"/>
      <x:c r="W93" s="139" t="n"/>
      <x:c r="X93" s="139" t="n"/>
      <x:c r="Y93" s="139" t="n"/>
      <x:c r="Z93" s="139" t="n"/>
      <x:c r="AA93" s="139" t="n"/>
      <x:c r="AB93" s="139" t="n"/>
      <x:c r="AC93" s="139" t="n"/>
      <x:c r="AD93" s="139" t="n"/>
      <x:c r="AE93" s="139" t="n"/>
      <x:c r="AF93" s="139" t="n"/>
      <x:c r="AG93" s="139" t="n"/>
      <x:c r="AH93" s="139" t="n"/>
      <x:c r="AI93" s="139" t="n"/>
      <x:c r="AJ93" s="139" t="n"/>
      <x:c r="AK93" s="139" t="n"/>
      <x:c r="AL93" s="139" t="n"/>
      <x:c r="AM93" s="139" t="n"/>
      <x:c r="AN93" s="139" t="n"/>
      <x:c r="AO93" s="139" t="n"/>
      <x:c r="AP93" s="139" t="n"/>
      <x:c r="AQ93" s="139" t="n"/>
      <x:c r="AR93" s="139" t="n"/>
      <x:c r="AS93" s="139" t="n"/>
      <x:c r="AT93" s="139" t="n"/>
      <x:c r="AU93" s="139" t="n"/>
      <x:c r="AV93" s="139" t="n"/>
      <x:c r="AW93" s="139" t="n"/>
      <x:c r="AX93" s="139" t="n"/>
      <x:c r="AY93" s="139" t="n"/>
      <x:c r="AZ93" s="139" t="n"/>
    </x:row>
    <x:row r="94">
      <x:c r="A94" s="139" t="inlineStr">
        <x:is>
          <x:t xml:space="preserve">Michael</x:t>
        </x:is>
      </x:c>
      <x:c r="B94" s="139" t="inlineStr">
        <x:is>
          <x:t xml:space="preserve">Ronald</x:t>
        </x:is>
      </x:c>
      <x:c r="C94" s="139" t="n">
        <x:v>1</x:v>
      </x:c>
      <x:c r="D94" s="139" t="n">
        <x:v>1</x:v>
      </x:c>
      <x:c r="E94" s="139" t="n">
        <x:v>0</x:v>
      </x:c>
      <x:c r="F94" s="93" t="n">
        <x:v>1</x:v>
      </x:c>
      <x:c r="G94" s="93" t="n">
        <x:v>0.6153846153846154</x:v>
      </x:c>
      <x:c r="H94" s="94" t="n">
        <x:v>0.3846153846153846</x:v>
      </x:c>
      <x:c r="I94" s="139" t="n"/>
      <x:c r="J94" s="139" t="n"/>
      <x:c r="K94" s="139" t="n"/>
      <x:c r="L94" s="139" t="n"/>
      <x:c r="M94" s="139" t="n"/>
      <x:c r="N94" s="139" t="n"/>
      <x:c r="O94" s="139" t="n"/>
      <x:c r="P94" s="139" t="n"/>
      <x:c r="Q94" s="139" t="n"/>
      <x:c r="R94" s="139" t="n"/>
      <x:c r="S94" s="139" t="n"/>
      <x:c r="T94" s="139" t="n"/>
      <x:c r="U94" s="139" t="n"/>
      <x:c r="V94" s="139" t="n"/>
      <x:c r="W94" s="139" t="n"/>
      <x:c r="X94" s="139" t="n"/>
      <x:c r="Y94" s="139" t="n"/>
      <x:c r="Z94" s="139" t="n"/>
      <x:c r="AA94" s="139" t="n"/>
      <x:c r="AB94" s="139" t="n"/>
      <x:c r="AC94" s="139" t="n"/>
      <x:c r="AD94" s="139" t="n"/>
      <x:c r="AE94" s="139" t="n"/>
      <x:c r="AF94" s="139" t="n"/>
      <x:c r="AG94" s="139" t="n"/>
      <x:c r="AH94" s="139" t="n"/>
      <x:c r="AI94" s="139" t="n"/>
      <x:c r="AJ94" s="139" t="n"/>
      <x:c r="AK94" s="139" t="n"/>
      <x:c r="AL94" s="139" t="n"/>
      <x:c r="AM94" s="139" t="n"/>
      <x:c r="AN94" s="139" t="n"/>
      <x:c r="AO94" s="139" t="n"/>
      <x:c r="AP94" s="139" t="n"/>
      <x:c r="AQ94" s="139" t="n"/>
      <x:c r="AR94" s="139" t="n"/>
      <x:c r="AS94" s="139" t="n"/>
      <x:c r="AT94" s="139" t="n"/>
      <x:c r="AU94" s="139" t="n"/>
      <x:c r="AV94" s="139" t="n"/>
      <x:c r="AW94" s="139" t="n"/>
      <x:c r="AX94" s="139" t="n"/>
      <x:c r="AY94" s="139" t="n"/>
      <x:c r="AZ94" s="139" t="n"/>
    </x:row>
    <x:row r="95">
      <x:c r="A95" s="139" t="inlineStr">
        <x:is>
          <x:t xml:space="preserve">Michael</x:t>
        </x:is>
      </x:c>
      <x:c r="B95" s="139" t="inlineStr">
        <x:is>
          <x:t xml:space="preserve">Sandy</x:t>
        </x:is>
      </x:c>
      <x:c r="C95" s="139" t="n">
        <x:v>1</x:v>
      </x:c>
      <x:c r="D95" s="139" t="n">
        <x:v>1</x:v>
      </x:c>
      <x:c r="E95" s="139" t="n">
        <x:v>0</x:v>
      </x:c>
      <x:c r="F95" s="93" t="n">
        <x:v>1</x:v>
      </x:c>
      <x:c r="G95" s="93" t="n">
        <x:v>0.7142857142857143</x:v>
      </x:c>
      <x:c r="H95" s="94" t="n">
        <x:v>0.2857142857142857</x:v>
      </x:c>
      <x:c r="I95" s="139" t="n"/>
      <x:c r="J95" s="139" t="n"/>
      <x:c r="K95" s="139" t="n"/>
      <x:c r="L95" s="139" t="n"/>
      <x:c r="M95" s="139" t="n"/>
      <x:c r="N95" s="139" t="n"/>
      <x:c r="O95" s="139" t="n"/>
      <x:c r="P95" s="139" t="n"/>
      <x:c r="Q95" s="139" t="n"/>
      <x:c r="R95" s="139" t="n"/>
      <x:c r="S95" s="139" t="n"/>
      <x:c r="T95" s="139" t="n"/>
      <x:c r="U95" s="139" t="n"/>
      <x:c r="V95" s="139" t="n"/>
      <x:c r="W95" s="139" t="n"/>
      <x:c r="X95" s="139" t="n"/>
      <x:c r="Y95" s="139" t="n"/>
      <x:c r="Z95" s="139" t="n"/>
      <x:c r="AA95" s="139" t="n"/>
      <x:c r="AB95" s="139" t="n"/>
      <x:c r="AC95" s="139" t="n"/>
      <x:c r="AD95" s="139" t="n"/>
      <x:c r="AE95" s="139" t="n"/>
      <x:c r="AF95" s="139" t="n"/>
      <x:c r="AG95" s="139" t="n"/>
      <x:c r="AH95" s="139" t="n"/>
      <x:c r="AI95" s="139" t="n"/>
      <x:c r="AJ95" s="139" t="n"/>
      <x:c r="AK95" s="139" t="n"/>
      <x:c r="AL95" s="139" t="n"/>
      <x:c r="AM95" s="139" t="n"/>
      <x:c r="AN95" s="139" t="n"/>
      <x:c r="AO95" s="139" t="n"/>
      <x:c r="AP95" s="139" t="n"/>
      <x:c r="AQ95" s="139" t="n"/>
      <x:c r="AR95" s="139" t="n"/>
      <x:c r="AS95" s="139" t="n"/>
      <x:c r="AT95" s="139" t="n"/>
      <x:c r="AU95" s="139" t="n"/>
      <x:c r="AV95" s="139" t="n"/>
      <x:c r="AW95" s="139" t="n"/>
      <x:c r="AX95" s="139" t="n"/>
      <x:c r="AY95" s="139" t="n"/>
      <x:c r="AZ95" s="139" t="n"/>
    </x:row>
    <x:row r="96">
      <x:c r="A96" s="139" t="inlineStr">
        <x:is>
          <x:t xml:space="preserve">Michael</x:t>
        </x:is>
      </x:c>
      <x:c r="B96" s="139" t="inlineStr">
        <x:is>
          <x:t xml:space="preserve">Alice</x:t>
        </x:is>
      </x:c>
      <x:c r="C96" s="139" t="n">
        <x:v>1</x:v>
      </x:c>
      <x:c r="D96" s="139" t="n">
        <x:v>0</x:v>
      </x:c>
      <x:c r="E96" s="139" t="n">
        <x:v>1</x:v>
      </x:c>
      <x:c r="F96" s="93" t="n">
        <x:v>0</x:v>
      </x:c>
      <x:c r="G96" s="93" t="n">
        <x:v>0.2272727272727273</x:v>
      </x:c>
      <x:c r="H96" s="94" t="n">
        <x:v>-0.2272727272727273</x:v>
      </x:c>
      <x:c r="I96" s="139" t="n"/>
      <x:c r="J96" s="139" t="n"/>
      <x:c r="K96" s="139" t="n"/>
      <x:c r="L96" s="139" t="n"/>
      <x:c r="M96" s="139" t="n"/>
      <x:c r="N96" s="139" t="n"/>
      <x:c r="O96" s="139" t="n"/>
      <x:c r="P96" s="139" t="n"/>
      <x:c r="Q96" s="139" t="n"/>
      <x:c r="R96" s="139" t="n"/>
      <x:c r="S96" s="139" t="n"/>
      <x:c r="T96" s="139" t="n"/>
      <x:c r="U96" s="139" t="n"/>
      <x:c r="V96" s="139" t="n"/>
      <x:c r="W96" s="139" t="n"/>
      <x:c r="X96" s="139" t="n"/>
      <x:c r="Y96" s="139" t="n"/>
      <x:c r="Z96" s="139" t="n"/>
      <x:c r="AA96" s="139" t="n"/>
      <x:c r="AB96" s="139" t="n"/>
      <x:c r="AC96" s="139" t="n"/>
      <x:c r="AD96" s="139" t="n"/>
      <x:c r="AE96" s="139" t="n"/>
      <x:c r="AF96" s="139" t="n"/>
      <x:c r="AG96" s="139" t="n"/>
      <x:c r="AH96" s="139" t="n"/>
      <x:c r="AI96" s="139" t="n"/>
      <x:c r="AJ96" s="139" t="n"/>
      <x:c r="AK96" s="139" t="n"/>
      <x:c r="AL96" s="139" t="n"/>
      <x:c r="AM96" s="139" t="n"/>
      <x:c r="AN96" s="139" t="n"/>
      <x:c r="AO96" s="139" t="n"/>
      <x:c r="AP96" s="139" t="n"/>
      <x:c r="AQ96" s="139" t="n"/>
      <x:c r="AR96" s="139" t="n"/>
      <x:c r="AS96" s="139" t="n"/>
      <x:c r="AT96" s="139" t="n"/>
      <x:c r="AU96" s="139" t="n"/>
      <x:c r="AV96" s="139" t="n"/>
      <x:c r="AW96" s="139" t="n"/>
      <x:c r="AX96" s="139" t="n"/>
      <x:c r="AY96" s="139" t="n"/>
      <x:c r="AZ96" s="139" t="n"/>
    </x:row>
    <x:row r="97">
      <x:c r="A97" s="139" t="inlineStr">
        <x:is>
          <x:t xml:space="preserve">Michael</x:t>
        </x:is>
      </x:c>
      <x:c r="B97" s="139" t="inlineStr">
        <x:is>
          <x:t xml:space="preserve">Alwin</x:t>
        </x:is>
      </x:c>
      <x:c r="C97" s="139" t="n">
        <x:v>1</x:v>
      </x:c>
      <x:c r="D97" s="139" t="n">
        <x:v>0</x:v>
      </x:c>
      <x:c r="E97" s="139" t="n">
        <x:v>1</x:v>
      </x:c>
      <x:c r="F97" s="93" t="n">
        <x:v>0</x:v>
      </x:c>
      <x:c r="G97" s="93" t="n">
        <x:v>0.3571428571428572</x:v>
      </x:c>
      <x:c r="H97" s="94" t="n">
        <x:v>-0.3571428571428572</x:v>
      </x:c>
      <x:c r="I97" s="139" t="n"/>
      <x:c r="J97" s="139" t="n"/>
      <x:c r="K97" s="139" t="n"/>
      <x:c r="L97" s="139" t="n"/>
      <x:c r="M97" s="139" t="n"/>
      <x:c r="N97" s="139" t="n"/>
      <x:c r="O97" s="139" t="n"/>
      <x:c r="P97" s="139" t="n"/>
      <x:c r="Q97" s="139" t="n"/>
      <x:c r="R97" s="139" t="n"/>
      <x:c r="S97" s="139" t="n"/>
      <x:c r="T97" s="139" t="n"/>
      <x:c r="U97" s="139" t="n"/>
      <x:c r="V97" s="139" t="n"/>
      <x:c r="W97" s="139" t="n"/>
      <x:c r="X97" s="139" t="n"/>
      <x:c r="Y97" s="139" t="n"/>
      <x:c r="Z97" s="139" t="n"/>
      <x:c r="AA97" s="139" t="n"/>
      <x:c r="AB97" s="139" t="n"/>
      <x:c r="AC97" s="139" t="n"/>
      <x:c r="AD97" s="139" t="n"/>
      <x:c r="AE97" s="139" t="n"/>
      <x:c r="AF97" s="139" t="n"/>
      <x:c r="AG97" s="139" t="n"/>
      <x:c r="AH97" s="139" t="n"/>
      <x:c r="AI97" s="139" t="n"/>
      <x:c r="AJ97" s="139" t="n"/>
      <x:c r="AK97" s="139" t="n"/>
      <x:c r="AL97" s="139" t="n"/>
      <x:c r="AM97" s="139" t="n"/>
      <x:c r="AN97" s="139" t="n"/>
      <x:c r="AO97" s="139" t="n"/>
      <x:c r="AP97" s="139" t="n"/>
      <x:c r="AQ97" s="139" t="n"/>
      <x:c r="AR97" s="139" t="n"/>
      <x:c r="AS97" s="139" t="n"/>
      <x:c r="AT97" s="139" t="n"/>
      <x:c r="AU97" s="139" t="n"/>
      <x:c r="AV97" s="139" t="n"/>
      <x:c r="AW97" s="139" t="n"/>
      <x:c r="AX97" s="139" t="n"/>
      <x:c r="AY97" s="139" t="n"/>
      <x:c r="AZ97" s="139" t="n"/>
    </x:row>
    <x:row r="98">
      <x:c r="A98" s="139" t="inlineStr">
        <x:is>
          <x:t xml:space="preserve">Michael</x:t>
        </x:is>
      </x:c>
      <x:c r="B98" s="139" t="inlineStr">
        <x:is>
          <x:t xml:space="preserve">Nico</x:t>
        </x:is>
      </x:c>
      <x:c r="C98" s="139" t="n">
        <x:v>1</x:v>
      </x:c>
      <x:c r="D98" s="139" t="n">
        <x:v>0</x:v>
      </x:c>
      <x:c r="E98" s="139" t="n">
        <x:v>1</x:v>
      </x:c>
      <x:c r="F98" s="93" t="n">
        <x:v>0</x:v>
      </x:c>
      <x:c r="G98" s="93" t="n">
        <x:v>0.4285714285714285</x:v>
      </x:c>
      <x:c r="H98" s="94" t="n">
        <x:v>-0.4285714285714285</x:v>
      </x:c>
      <x:c r="I98" s="139" t="n"/>
      <x:c r="J98" s="139" t="n"/>
      <x:c r="K98" s="139" t="n"/>
      <x:c r="L98" s="139" t="n"/>
      <x:c r="M98" s="139" t="n"/>
      <x:c r="N98" s="139" t="n"/>
      <x:c r="O98" s="139" t="n"/>
      <x:c r="P98" s="139" t="n"/>
      <x:c r="Q98" s="139" t="n"/>
      <x:c r="R98" s="139" t="n"/>
      <x:c r="S98" s="139" t="n"/>
      <x:c r="T98" s="139" t="n"/>
      <x:c r="U98" s="139" t="n"/>
      <x:c r="V98" s="139" t="n"/>
      <x:c r="W98" s="139" t="n"/>
      <x:c r="X98" s="139" t="n"/>
      <x:c r="Y98" s="139" t="n"/>
      <x:c r="Z98" s="139" t="n"/>
      <x:c r="AA98" s="139" t="n"/>
      <x:c r="AB98" s="139" t="n"/>
      <x:c r="AC98" s="139" t="n"/>
      <x:c r="AD98" s="139" t="n"/>
      <x:c r="AE98" s="139" t="n"/>
      <x:c r="AF98" s="139" t="n"/>
      <x:c r="AG98" s="139" t="n"/>
      <x:c r="AH98" s="139" t="n"/>
      <x:c r="AI98" s="139" t="n"/>
      <x:c r="AJ98" s="139" t="n"/>
      <x:c r="AK98" s="139" t="n"/>
      <x:c r="AL98" s="139" t="n"/>
      <x:c r="AM98" s="139" t="n"/>
      <x:c r="AN98" s="139" t="n"/>
      <x:c r="AO98" s="139" t="n"/>
      <x:c r="AP98" s="139" t="n"/>
      <x:c r="AQ98" s="139" t="n"/>
      <x:c r="AR98" s="139" t="n"/>
      <x:c r="AS98" s="139" t="n"/>
      <x:c r="AT98" s="139" t="n"/>
      <x:c r="AU98" s="139" t="n"/>
      <x:c r="AV98" s="139" t="n"/>
      <x:c r="AW98" s="139" t="n"/>
      <x:c r="AX98" s="139" t="n"/>
      <x:c r="AY98" s="139" t="n"/>
      <x:c r="AZ98" s="139" t="n"/>
    </x:row>
    <x:row r="99">
      <x:c r="A99" s="139" t="inlineStr">
        <x:is>
          <x:t xml:space="preserve">Michael</x:t>
        </x:is>
      </x:c>
      <x:c r="B99" s="139" t="inlineStr">
        <x:is>
          <x:t xml:space="preserve">Rey</x:t>
        </x:is>
      </x:c>
      <x:c r="C99" s="139" t="n">
        <x:v>1</x:v>
      </x:c>
      <x:c r="D99" s="139" t="n">
        <x:v>0</x:v>
      </x:c>
      <x:c r="E99" s="139" t="n">
        <x:v>1</x:v>
      </x:c>
      <x:c r="F99" s="93" t="n">
        <x:v>0</x:v>
      </x:c>
      <x:c r="G99" s="93" t="n">
        <x:v>0.6</x:v>
      </x:c>
      <x:c r="H99" s="94" t="n">
        <x:v>-0.6</x:v>
      </x:c>
      <x:c r="I99" s="139" t="n"/>
      <x:c r="J99" s="139" t="n"/>
      <x:c r="K99" s="139" t="n"/>
      <x:c r="L99" s="139" t="n"/>
      <x:c r="M99" s="139" t="n"/>
      <x:c r="N99" s="139" t="n"/>
      <x:c r="O99" s="139" t="n"/>
      <x:c r="P99" s="139" t="n"/>
      <x:c r="Q99" s="139" t="n"/>
      <x:c r="R99" s="139" t="n"/>
      <x:c r="S99" s="139" t="n"/>
      <x:c r="T99" s="139" t="n"/>
      <x:c r="U99" s="139" t="n"/>
      <x:c r="V99" s="139" t="n"/>
      <x:c r="W99" s="139" t="n"/>
      <x:c r="X99" s="139" t="n"/>
      <x:c r="Y99" s="139" t="n"/>
      <x:c r="Z99" s="139" t="n"/>
      <x:c r="AA99" s="139" t="n"/>
      <x:c r="AB99" s="139" t="n"/>
      <x:c r="AC99" s="139" t="n"/>
      <x:c r="AD99" s="139" t="n"/>
      <x:c r="AE99" s="139" t="n"/>
      <x:c r="AF99" s="139" t="n"/>
      <x:c r="AG99" s="139" t="n"/>
      <x:c r="AH99" s="139" t="n"/>
      <x:c r="AI99" s="139" t="n"/>
      <x:c r="AJ99" s="139" t="n"/>
      <x:c r="AK99" s="139" t="n"/>
      <x:c r="AL99" s="139" t="n"/>
      <x:c r="AM99" s="139" t="n"/>
      <x:c r="AN99" s="139" t="n"/>
      <x:c r="AO99" s="139" t="n"/>
      <x:c r="AP99" s="139" t="n"/>
      <x:c r="AQ99" s="139" t="n"/>
      <x:c r="AR99" s="139" t="n"/>
      <x:c r="AS99" s="139" t="n"/>
      <x:c r="AT99" s="139" t="n"/>
      <x:c r="AU99" s="139" t="n"/>
      <x:c r="AV99" s="139" t="n"/>
      <x:c r="AW99" s="139" t="n"/>
      <x:c r="AX99" s="139" t="n"/>
      <x:c r="AY99" s="139" t="n"/>
      <x:c r="AZ99" s="139" t="n"/>
    </x:row>
    <x:row r="100">
      <x:c r="A100" s="139" t="inlineStr">
        <x:is>
          <x:t xml:space="preserve">Nicholas</x:t>
        </x:is>
      </x:c>
      <x:c r="B100" s="139" t="inlineStr">
        <x:is>
          <x:t xml:space="preserve">Edy SP</x:t>
        </x:is>
      </x:c>
      <x:c r="C100" s="139" t="n">
        <x:v>1</x:v>
      </x:c>
      <x:c r="D100" s="139" t="n">
        <x:v>1</x:v>
      </x:c>
      <x:c r="E100" s="139" t="n">
        <x:v>0</x:v>
      </x:c>
      <x:c r="F100" s="93" t="n">
        <x:v>1</x:v>
      </x:c>
      <x:c r="G100" s="93" t="n">
        <x:v>0.4736842105263158</x:v>
      </x:c>
      <x:c r="H100" s="94" t="n">
        <x:v>0.5263157894736843</x:v>
      </x:c>
      <x:c r="I100" s="139" t="n"/>
      <x:c r="J100" s="139" t="n"/>
      <x:c r="K100" s="139" t="n"/>
      <x:c r="L100" s="139" t="n"/>
      <x:c r="M100" s="139" t="n"/>
      <x:c r="N100" s="139" t="n"/>
      <x:c r="O100" s="139" t="n"/>
      <x:c r="P100" s="139" t="n"/>
      <x:c r="Q100" s="139" t="n"/>
      <x:c r="R100" s="139" t="n"/>
      <x:c r="S100" s="139" t="n"/>
      <x:c r="T100" s="139" t="n"/>
      <x:c r="U100" s="139" t="n"/>
      <x:c r="V100" s="139" t="n"/>
      <x:c r="W100" s="139" t="n"/>
      <x:c r="X100" s="139" t="n"/>
      <x:c r="Y100" s="139" t="n"/>
      <x:c r="Z100" s="139" t="n"/>
      <x:c r="AA100" s="139" t="n"/>
      <x:c r="AB100" s="139" t="n"/>
      <x:c r="AC100" s="139" t="n"/>
      <x:c r="AD100" s="139" t="n"/>
      <x:c r="AE100" s="139" t="n"/>
      <x:c r="AF100" s="139" t="n"/>
      <x:c r="AG100" s="139" t="n"/>
      <x:c r="AH100" s="139" t="n"/>
      <x:c r="AI100" s="139" t="n"/>
      <x:c r="AJ100" s="139" t="n"/>
      <x:c r="AK100" s="139" t="n"/>
      <x:c r="AL100" s="139" t="n"/>
      <x:c r="AM100" s="139" t="n"/>
      <x:c r="AN100" s="139" t="n"/>
      <x:c r="AO100" s="139" t="n"/>
      <x:c r="AP100" s="139" t="n"/>
      <x:c r="AQ100" s="139" t="n"/>
      <x:c r="AR100" s="139" t="n"/>
      <x:c r="AS100" s="139" t="n"/>
      <x:c r="AT100" s="139" t="n"/>
      <x:c r="AU100" s="139" t="n"/>
      <x:c r="AV100" s="139" t="n"/>
      <x:c r="AW100" s="139" t="n"/>
      <x:c r="AX100" s="139" t="n"/>
      <x:c r="AY100" s="139" t="n"/>
      <x:c r="AZ100" s="139" t="n"/>
    </x:row>
    <x:row r="101">
      <x:c r="A101" s="139" t="inlineStr">
        <x:is>
          <x:t xml:space="preserve">Nicholas</x:t>
        </x:is>
      </x:c>
      <x:c r="B101" s="139" t="inlineStr">
        <x:is>
          <x:t xml:space="preserve">Ricky</x:t>
        </x:is>
      </x:c>
      <x:c r="C101" s="139" t="n">
        <x:v>1</x:v>
      </x:c>
      <x:c r="D101" s="139" t="n">
        <x:v>1</x:v>
      </x:c>
      <x:c r="E101" s="139" t="n">
        <x:v>0</x:v>
      </x:c>
      <x:c r="F101" s="93" t="n">
        <x:v>1</x:v>
      </x:c>
      <x:c r="G101" s="93" t="n">
        <x:v>0.5882352941176471</x:v>
      </x:c>
      <x:c r="H101" s="94" t="n">
        <x:v>0.4117647058823529</x:v>
      </x:c>
      <x:c r="I101" s="139" t="n"/>
      <x:c r="J101" s="139" t="n"/>
      <x:c r="K101" s="139" t="n"/>
      <x:c r="L101" s="139" t="n"/>
      <x:c r="M101" s="139" t="n"/>
      <x:c r="N101" s="139" t="n"/>
      <x:c r="O101" s="139" t="n"/>
      <x:c r="P101" s="139" t="n"/>
      <x:c r="Q101" s="139" t="n"/>
      <x:c r="R101" s="139" t="n"/>
      <x:c r="S101" s="139" t="n"/>
      <x:c r="T101" s="139" t="n"/>
      <x:c r="U101" s="139" t="n"/>
      <x:c r="V101" s="139" t="n"/>
      <x:c r="W101" s="139" t="n"/>
      <x:c r="X101" s="139" t="n"/>
      <x:c r="Y101" s="139" t="n"/>
      <x:c r="Z101" s="139" t="n"/>
      <x:c r="AA101" s="139" t="n"/>
      <x:c r="AB101" s="139" t="n"/>
      <x:c r="AC101" s="139" t="n"/>
      <x:c r="AD101" s="139" t="n"/>
      <x:c r="AE101" s="139" t="n"/>
      <x:c r="AF101" s="139" t="n"/>
      <x:c r="AG101" s="139" t="n"/>
      <x:c r="AH101" s="139" t="n"/>
      <x:c r="AI101" s="139" t="n"/>
      <x:c r="AJ101" s="139" t="n"/>
      <x:c r="AK101" s="139" t="n"/>
      <x:c r="AL101" s="139" t="n"/>
      <x:c r="AM101" s="139" t="n"/>
      <x:c r="AN101" s="139" t="n"/>
      <x:c r="AO101" s="139" t="n"/>
      <x:c r="AP101" s="139" t="n"/>
      <x:c r="AQ101" s="139" t="n"/>
      <x:c r="AR101" s="139" t="n"/>
      <x:c r="AS101" s="139" t="n"/>
      <x:c r="AT101" s="139" t="n"/>
      <x:c r="AU101" s="139" t="n"/>
      <x:c r="AV101" s="139" t="n"/>
      <x:c r="AW101" s="139" t="n"/>
      <x:c r="AX101" s="139" t="n"/>
      <x:c r="AY101" s="139" t="n"/>
      <x:c r="AZ101" s="139" t="n"/>
    </x:row>
    <x:row r="102">
      <x:c r="A102" s="139" t="inlineStr">
        <x:is>
          <x:t xml:space="preserve">Nicholas</x:t>
        </x:is>
      </x:c>
      <x:c r="B102" s="139" t="inlineStr">
        <x:is>
          <x:t xml:space="preserve">Ronald</x:t>
        </x:is>
      </x:c>
      <x:c r="C102" s="139" t="n">
        <x:v>1</x:v>
      </x:c>
      <x:c r="D102" s="139" t="n">
        <x:v>1</x:v>
      </x:c>
      <x:c r="E102" s="139" t="n">
        <x:v>0</x:v>
      </x:c>
      <x:c r="F102" s="93" t="n">
        <x:v>1</x:v>
      </x:c>
      <x:c r="G102" s="93" t="n">
        <x:v>0.6153846153846154</x:v>
      </x:c>
      <x:c r="H102" s="94" t="n">
        <x:v>0.3846153846153846</x:v>
      </x:c>
      <x:c r="I102" s="139" t="n"/>
      <x:c r="J102" s="139" t="n"/>
      <x:c r="K102" s="139" t="n"/>
      <x:c r="L102" s="139" t="n"/>
      <x:c r="M102" s="139" t="n"/>
      <x:c r="N102" s="139" t="n"/>
      <x:c r="O102" s="139" t="n"/>
      <x:c r="P102" s="139" t="n"/>
      <x:c r="Q102" s="139" t="n"/>
      <x:c r="R102" s="139" t="n"/>
      <x:c r="S102" s="139" t="n"/>
      <x:c r="T102" s="139" t="n"/>
      <x:c r="U102" s="139" t="n"/>
      <x:c r="V102" s="139" t="n"/>
      <x:c r="W102" s="139" t="n"/>
      <x:c r="X102" s="139" t="n"/>
      <x:c r="Y102" s="139" t="n"/>
      <x:c r="Z102" s="139" t="n"/>
      <x:c r="AA102" s="139" t="n"/>
      <x:c r="AB102" s="139" t="n"/>
      <x:c r="AC102" s="139" t="n"/>
      <x:c r="AD102" s="139" t="n"/>
      <x:c r="AE102" s="139" t="n"/>
      <x:c r="AF102" s="139" t="n"/>
      <x:c r="AG102" s="139" t="n"/>
      <x:c r="AH102" s="139" t="n"/>
      <x:c r="AI102" s="139" t="n"/>
      <x:c r="AJ102" s="139" t="n"/>
      <x:c r="AK102" s="139" t="n"/>
      <x:c r="AL102" s="139" t="n"/>
      <x:c r="AM102" s="139" t="n"/>
      <x:c r="AN102" s="139" t="n"/>
      <x:c r="AO102" s="139" t="n"/>
      <x:c r="AP102" s="139" t="n"/>
      <x:c r="AQ102" s="139" t="n"/>
      <x:c r="AR102" s="139" t="n"/>
      <x:c r="AS102" s="139" t="n"/>
      <x:c r="AT102" s="139" t="n"/>
      <x:c r="AU102" s="139" t="n"/>
      <x:c r="AV102" s="139" t="n"/>
      <x:c r="AW102" s="139" t="n"/>
      <x:c r="AX102" s="139" t="n"/>
      <x:c r="AY102" s="139" t="n"/>
      <x:c r="AZ102" s="139" t="n"/>
    </x:row>
    <x:row r="103">
      <x:c r="A103" s="139" t="inlineStr">
        <x:is>
          <x:t xml:space="preserve">Nicholas</x:t>
        </x:is>
      </x:c>
      <x:c r="B103" s="139" t="inlineStr">
        <x:is>
          <x:t xml:space="preserve">Alice</x:t>
        </x:is>
      </x:c>
      <x:c r="C103" s="139" t="n">
        <x:v>1</x:v>
      </x:c>
      <x:c r="D103" s="139" t="n">
        <x:v>0</x:v>
      </x:c>
      <x:c r="E103" s="139" t="n">
        <x:v>1</x:v>
      </x:c>
      <x:c r="F103" s="93" t="n">
        <x:v>0</x:v>
      </x:c>
      <x:c r="G103" s="93" t="n">
        <x:v>0.2272727272727273</x:v>
      </x:c>
      <x:c r="H103" s="94" t="n">
        <x:v>-0.2272727272727273</x:v>
      </x:c>
      <x:c r="I103" s="139" t="n"/>
      <x:c r="J103" s="139" t="n"/>
      <x:c r="K103" s="139" t="n"/>
      <x:c r="L103" s="139" t="n"/>
      <x:c r="M103" s="139" t="n"/>
      <x:c r="N103" s="139" t="n"/>
      <x:c r="O103" s="139" t="n"/>
      <x:c r="P103" s="139" t="n"/>
      <x:c r="Q103" s="139" t="n"/>
      <x:c r="R103" s="139" t="n"/>
      <x:c r="S103" s="139" t="n"/>
      <x:c r="T103" s="139" t="n"/>
      <x:c r="U103" s="139" t="n"/>
      <x:c r="V103" s="139" t="n"/>
      <x:c r="W103" s="139" t="n"/>
      <x:c r="X103" s="139" t="n"/>
      <x:c r="Y103" s="139" t="n"/>
      <x:c r="Z103" s="139" t="n"/>
      <x:c r="AA103" s="139" t="n"/>
      <x:c r="AB103" s="139" t="n"/>
      <x:c r="AC103" s="139" t="n"/>
      <x:c r="AD103" s="139" t="n"/>
      <x:c r="AE103" s="139" t="n"/>
      <x:c r="AF103" s="139" t="n"/>
      <x:c r="AG103" s="139" t="n"/>
      <x:c r="AH103" s="139" t="n"/>
      <x:c r="AI103" s="139" t="n"/>
      <x:c r="AJ103" s="139" t="n"/>
      <x:c r="AK103" s="139" t="n"/>
      <x:c r="AL103" s="139" t="n"/>
      <x:c r="AM103" s="139" t="n"/>
      <x:c r="AN103" s="139" t="n"/>
      <x:c r="AO103" s="139" t="n"/>
      <x:c r="AP103" s="139" t="n"/>
      <x:c r="AQ103" s="139" t="n"/>
      <x:c r="AR103" s="139" t="n"/>
      <x:c r="AS103" s="139" t="n"/>
      <x:c r="AT103" s="139" t="n"/>
      <x:c r="AU103" s="139" t="n"/>
      <x:c r="AV103" s="139" t="n"/>
      <x:c r="AW103" s="139" t="n"/>
      <x:c r="AX103" s="139" t="n"/>
      <x:c r="AY103" s="139" t="n"/>
      <x:c r="AZ103" s="139" t="n"/>
    </x:row>
    <x:row r="104">
      <x:c r="A104" s="139" t="inlineStr">
        <x:is>
          <x:t xml:space="preserve">Nicholas</x:t>
        </x:is>
      </x:c>
      <x:c r="B104" s="139" t="inlineStr">
        <x:is>
          <x:t xml:space="preserve">Donny</x:t>
        </x:is>
      </x:c>
      <x:c r="C104" s="139" t="n">
        <x:v>1</x:v>
      </x:c>
      <x:c r="D104" s="139" t="n">
        <x:v>0</x:v>
      </x:c>
      <x:c r="E104" s="139" t="n">
        <x:v>1</x:v>
      </x:c>
      <x:c r="F104" s="93" t="n">
        <x:v>0</x:v>
      </x:c>
      <x:c r="G104" s="93" t="n">
        <x:v>0.4210526315789473</x:v>
      </x:c>
      <x:c r="H104" s="94" t="n">
        <x:v>-0.4210526315789473</x:v>
      </x:c>
      <x:c r="I104" s="139" t="n"/>
      <x:c r="J104" s="139" t="n"/>
      <x:c r="K104" s="139" t="n"/>
      <x:c r="L104" s="139" t="n"/>
      <x:c r="M104" s="139" t="n"/>
      <x:c r="N104" s="139" t="n"/>
      <x:c r="O104" s="139" t="n"/>
      <x:c r="P104" s="139" t="n"/>
      <x:c r="Q104" s="139" t="n"/>
      <x:c r="R104" s="139" t="n"/>
      <x:c r="S104" s="139" t="n"/>
      <x:c r="T104" s="139" t="n"/>
      <x:c r="U104" s="139" t="n"/>
      <x:c r="V104" s="139" t="n"/>
      <x:c r="W104" s="139" t="n"/>
      <x:c r="X104" s="139" t="n"/>
      <x:c r="Y104" s="139" t="n"/>
      <x:c r="Z104" s="139" t="n"/>
      <x:c r="AA104" s="139" t="n"/>
      <x:c r="AB104" s="139" t="n"/>
      <x:c r="AC104" s="139" t="n"/>
      <x:c r="AD104" s="139" t="n"/>
      <x:c r="AE104" s="139" t="n"/>
      <x:c r="AF104" s="139" t="n"/>
      <x:c r="AG104" s="139" t="n"/>
      <x:c r="AH104" s="139" t="n"/>
      <x:c r="AI104" s="139" t="n"/>
      <x:c r="AJ104" s="139" t="n"/>
      <x:c r="AK104" s="139" t="n"/>
      <x:c r="AL104" s="139" t="n"/>
      <x:c r="AM104" s="139" t="n"/>
      <x:c r="AN104" s="139" t="n"/>
      <x:c r="AO104" s="139" t="n"/>
      <x:c r="AP104" s="139" t="n"/>
      <x:c r="AQ104" s="139" t="n"/>
      <x:c r="AR104" s="139" t="n"/>
      <x:c r="AS104" s="139" t="n"/>
      <x:c r="AT104" s="139" t="n"/>
      <x:c r="AU104" s="139" t="n"/>
      <x:c r="AV104" s="139" t="n"/>
      <x:c r="AW104" s="139" t="n"/>
      <x:c r="AX104" s="139" t="n"/>
      <x:c r="AY104" s="139" t="n"/>
      <x:c r="AZ104" s="139" t="n"/>
    </x:row>
    <x:row r="105">
      <x:c r="A105" s="139" t="inlineStr">
        <x:is>
          <x:t xml:space="preserve">Nicholas</x:t>
        </x:is>
      </x:c>
      <x:c r="B105" s="139" t="inlineStr">
        <x:is>
          <x:t xml:space="preserve">Jonathan</x:t>
        </x:is>
      </x:c>
      <x:c r="C105" s="139" t="n">
        <x:v>1</x:v>
      </x:c>
      <x:c r="D105" s="139" t="n">
        <x:v>0</x:v>
      </x:c>
      <x:c r="E105" s="139" t="n">
        <x:v>1</x:v>
      </x:c>
      <x:c r="F105" s="93" t="n">
        <x:v>0</x:v>
      </x:c>
      <x:c r="G105" s="93" t="n">
        <x:v>0.5714285714285714</x:v>
      </x:c>
      <x:c r="H105" s="94" t="n">
        <x:v>-0.5714285714285714</x:v>
      </x:c>
      <x:c r="I105" s="139" t="n"/>
      <x:c r="J105" s="139" t="n"/>
      <x:c r="K105" s="139" t="n"/>
      <x:c r="L105" s="139" t="n"/>
      <x:c r="M105" s="139" t="n"/>
      <x:c r="N105" s="139" t="n"/>
      <x:c r="O105" s="139" t="n"/>
      <x:c r="P105" s="139" t="n"/>
      <x:c r="Q105" s="139" t="n"/>
      <x:c r="R105" s="139" t="n"/>
      <x:c r="S105" s="139" t="n"/>
      <x:c r="T105" s="139" t="n"/>
      <x:c r="U105" s="139" t="n"/>
      <x:c r="V105" s="139" t="n"/>
      <x:c r="W105" s="139" t="n"/>
      <x:c r="X105" s="139" t="n"/>
      <x:c r="Y105" s="139" t="n"/>
      <x:c r="Z105" s="139" t="n"/>
      <x:c r="AA105" s="139" t="n"/>
      <x:c r="AB105" s="139" t="n"/>
      <x:c r="AC105" s="139" t="n"/>
      <x:c r="AD105" s="139" t="n"/>
      <x:c r="AE105" s="139" t="n"/>
      <x:c r="AF105" s="139" t="n"/>
      <x:c r="AG105" s="139" t="n"/>
      <x:c r="AH105" s="139" t="n"/>
      <x:c r="AI105" s="139" t="n"/>
      <x:c r="AJ105" s="139" t="n"/>
      <x:c r="AK105" s="139" t="n"/>
      <x:c r="AL105" s="139" t="n"/>
      <x:c r="AM105" s="139" t="n"/>
      <x:c r="AN105" s="139" t="n"/>
      <x:c r="AO105" s="139" t="n"/>
      <x:c r="AP105" s="139" t="n"/>
      <x:c r="AQ105" s="139" t="n"/>
      <x:c r="AR105" s="139" t="n"/>
      <x:c r="AS105" s="139" t="n"/>
      <x:c r="AT105" s="139" t="n"/>
      <x:c r="AU105" s="139" t="n"/>
      <x:c r="AV105" s="139" t="n"/>
      <x:c r="AW105" s="139" t="n"/>
      <x:c r="AX105" s="139" t="n"/>
      <x:c r="AY105" s="139" t="n"/>
      <x:c r="AZ105" s="139" t="n"/>
    </x:row>
    <x:row r="106">
      <x:c r="A106" s="139" t="inlineStr">
        <x:is>
          <x:t xml:space="preserve">Nicholas</x:t>
        </x:is>
      </x:c>
      <x:c r="B106" s="139" t="inlineStr">
        <x:is>
          <x:t xml:space="preserve">Austin</x:t>
        </x:is>
      </x:c>
      <x:c r="C106" s="139" t="n">
        <x:v>1</x:v>
      </x:c>
      <x:c r="D106" s="139" t="n">
        <x:v>0</x:v>
      </x:c>
      <x:c r="E106" s="139" t="n">
        <x:v>1</x:v>
      </x:c>
      <x:c r="F106" s="93" t="n">
        <x:v>0</x:v>
      </x:c>
      <x:c r="G106" s="93" t="n">
        <x:v>0.5909090909090909</x:v>
      </x:c>
      <x:c r="H106" s="94" t="n">
        <x:v>-0.5909090909090909</x:v>
      </x:c>
      <x:c r="I106" s="139" t="n"/>
      <x:c r="J106" s="139" t="n"/>
      <x:c r="K106" s="139" t="n"/>
      <x:c r="L106" s="139" t="n"/>
      <x:c r="M106" s="139" t="n"/>
      <x:c r="N106" s="139" t="n"/>
      <x:c r="O106" s="139" t="n"/>
      <x:c r="P106" s="139" t="n"/>
      <x:c r="Q106" s="139" t="n"/>
      <x:c r="R106" s="139" t="n"/>
      <x:c r="S106" s="139" t="n"/>
      <x:c r="T106" s="139" t="n"/>
      <x:c r="U106" s="139" t="n"/>
      <x:c r="V106" s="139" t="n"/>
      <x:c r="W106" s="139" t="n"/>
      <x:c r="X106" s="139" t="n"/>
      <x:c r="Y106" s="139" t="n"/>
      <x:c r="Z106" s="139" t="n"/>
      <x:c r="AA106" s="139" t="n"/>
      <x:c r="AB106" s="139" t="n"/>
      <x:c r="AC106" s="139" t="n"/>
      <x:c r="AD106" s="139" t="n"/>
      <x:c r="AE106" s="139" t="n"/>
      <x:c r="AF106" s="139" t="n"/>
      <x:c r="AG106" s="139" t="n"/>
      <x:c r="AH106" s="139" t="n"/>
      <x:c r="AI106" s="139" t="n"/>
      <x:c r="AJ106" s="139" t="n"/>
      <x:c r="AK106" s="139" t="n"/>
      <x:c r="AL106" s="139" t="n"/>
      <x:c r="AM106" s="139" t="n"/>
      <x:c r="AN106" s="139" t="n"/>
      <x:c r="AO106" s="139" t="n"/>
      <x:c r="AP106" s="139" t="n"/>
      <x:c r="AQ106" s="139" t="n"/>
      <x:c r="AR106" s="139" t="n"/>
      <x:c r="AS106" s="139" t="n"/>
      <x:c r="AT106" s="139" t="n"/>
      <x:c r="AU106" s="139" t="n"/>
      <x:c r="AV106" s="139" t="n"/>
      <x:c r="AW106" s="139" t="n"/>
      <x:c r="AX106" s="139" t="n"/>
      <x:c r="AY106" s="139" t="n"/>
      <x:c r="AZ106" s="139" t="n"/>
    </x:row>
    <x:row r="107">
      <x:c r="A107" s="139" t="inlineStr">
        <x:is>
          <x:t xml:space="preserve">Nico</x:t>
        </x:is>
      </x:c>
      <x:c r="B107" s="139" t="inlineStr">
        <x:is>
          <x:t xml:space="preserve">Ricky</x:t>
        </x:is>
      </x:c>
      <x:c r="C107" s="139" t="n">
        <x:v>1</x:v>
      </x:c>
      <x:c r="D107" s="139" t="n">
        <x:v>1</x:v>
      </x:c>
      <x:c r="E107" s="139" t="n">
        <x:v>0</x:v>
      </x:c>
      <x:c r="F107" s="93" t="n">
        <x:v>1</x:v>
      </x:c>
      <x:c r="G107" s="93" t="n">
        <x:v>0.5882352941176471</x:v>
      </x:c>
      <x:c r="H107" s="94" t="n">
        <x:v>0.4117647058823529</x:v>
      </x:c>
      <x:c r="I107" s="139" t="n"/>
      <x:c r="J107" s="139" t="n"/>
      <x:c r="K107" s="139" t="n"/>
      <x:c r="L107" s="139" t="n"/>
      <x:c r="M107" s="139" t="n"/>
      <x:c r="N107" s="139" t="n"/>
      <x:c r="O107" s="139" t="n"/>
      <x:c r="P107" s="139" t="n"/>
      <x:c r="Q107" s="139" t="n"/>
      <x:c r="R107" s="139" t="n"/>
      <x:c r="S107" s="139" t="n"/>
      <x:c r="T107" s="139" t="n"/>
      <x:c r="U107" s="139" t="n"/>
      <x:c r="V107" s="139" t="n"/>
      <x:c r="W107" s="139" t="n"/>
      <x:c r="X107" s="139" t="n"/>
      <x:c r="Y107" s="139" t="n"/>
      <x:c r="Z107" s="139" t="n"/>
      <x:c r="AA107" s="139" t="n"/>
      <x:c r="AB107" s="139" t="n"/>
      <x:c r="AC107" s="139" t="n"/>
      <x:c r="AD107" s="139" t="n"/>
      <x:c r="AE107" s="139" t="n"/>
      <x:c r="AF107" s="139" t="n"/>
      <x:c r="AG107" s="139" t="n"/>
      <x:c r="AH107" s="139" t="n"/>
      <x:c r="AI107" s="139" t="n"/>
      <x:c r="AJ107" s="139" t="n"/>
      <x:c r="AK107" s="139" t="n"/>
      <x:c r="AL107" s="139" t="n"/>
      <x:c r="AM107" s="139" t="n"/>
      <x:c r="AN107" s="139" t="n"/>
      <x:c r="AO107" s="139" t="n"/>
      <x:c r="AP107" s="139" t="n"/>
      <x:c r="AQ107" s="139" t="n"/>
      <x:c r="AR107" s="139" t="n"/>
      <x:c r="AS107" s="139" t="n"/>
      <x:c r="AT107" s="139" t="n"/>
      <x:c r="AU107" s="139" t="n"/>
      <x:c r="AV107" s="139" t="n"/>
      <x:c r="AW107" s="139" t="n"/>
      <x:c r="AX107" s="139" t="n"/>
      <x:c r="AY107" s="139" t="n"/>
      <x:c r="AZ107" s="139" t="n"/>
    </x:row>
    <x:row r="108">
      <x:c r="A108" s="139" t="inlineStr">
        <x:is>
          <x:t xml:space="preserve">Nico</x:t>
        </x:is>
      </x:c>
      <x:c r="B108" s="139" t="inlineStr">
        <x:is>
          <x:t xml:space="preserve">Rey</x:t>
        </x:is>
      </x:c>
      <x:c r="C108" s="139" t="n">
        <x:v>1</x:v>
      </x:c>
      <x:c r="D108" s="139" t="n">
        <x:v>1</x:v>
      </x:c>
      <x:c r="E108" s="139" t="n">
        <x:v>0</x:v>
      </x:c>
      <x:c r="F108" s="93" t="n">
        <x:v>1</x:v>
      </x:c>
      <x:c r="G108" s="93" t="n">
        <x:v>0.6</x:v>
      </x:c>
      <x:c r="H108" s="94" t="n">
        <x:v>0.4</x:v>
      </x:c>
      <x:c r="I108" s="139" t="n"/>
      <x:c r="J108" s="139" t="n"/>
      <x:c r="K108" s="139" t="n"/>
      <x:c r="L108" s="139" t="n"/>
      <x:c r="M108" s="139" t="n"/>
      <x:c r="N108" s="139" t="n"/>
      <x:c r="O108" s="139" t="n"/>
      <x:c r="P108" s="139" t="n"/>
      <x:c r="Q108" s="139" t="n"/>
      <x:c r="R108" s="139" t="n"/>
      <x:c r="S108" s="139" t="n"/>
      <x:c r="T108" s="139" t="n"/>
      <x:c r="U108" s="139" t="n"/>
      <x:c r="V108" s="139" t="n"/>
      <x:c r="W108" s="139" t="n"/>
      <x:c r="X108" s="139" t="n"/>
      <x:c r="Y108" s="139" t="n"/>
      <x:c r="Z108" s="139" t="n"/>
      <x:c r="AA108" s="139" t="n"/>
      <x:c r="AB108" s="139" t="n"/>
      <x:c r="AC108" s="139" t="n"/>
      <x:c r="AD108" s="139" t="n"/>
      <x:c r="AE108" s="139" t="n"/>
      <x:c r="AF108" s="139" t="n"/>
      <x:c r="AG108" s="139" t="n"/>
      <x:c r="AH108" s="139" t="n"/>
      <x:c r="AI108" s="139" t="n"/>
      <x:c r="AJ108" s="139" t="n"/>
      <x:c r="AK108" s="139" t="n"/>
      <x:c r="AL108" s="139" t="n"/>
      <x:c r="AM108" s="139" t="n"/>
      <x:c r="AN108" s="139" t="n"/>
      <x:c r="AO108" s="139" t="n"/>
      <x:c r="AP108" s="139" t="n"/>
      <x:c r="AQ108" s="139" t="n"/>
      <x:c r="AR108" s="139" t="n"/>
      <x:c r="AS108" s="139" t="n"/>
      <x:c r="AT108" s="139" t="n"/>
      <x:c r="AU108" s="139" t="n"/>
      <x:c r="AV108" s="139" t="n"/>
      <x:c r="AW108" s="139" t="n"/>
      <x:c r="AX108" s="139" t="n"/>
      <x:c r="AY108" s="139" t="n"/>
      <x:c r="AZ108" s="139" t="n"/>
    </x:row>
    <x:row r="109">
      <x:c r="A109" s="139" t="inlineStr">
        <x:is>
          <x:t xml:space="preserve">Nico</x:t>
        </x:is>
      </x:c>
      <x:c r="B109" s="139" t="inlineStr">
        <x:is>
          <x:t xml:space="preserve">Alice</x:t>
        </x:is>
      </x:c>
      <x:c r="C109" s="139" t="n">
        <x:v>1</x:v>
      </x:c>
      <x:c r="D109" s="139" t="n">
        <x:v>0</x:v>
      </x:c>
      <x:c r="E109" s="139" t="n">
        <x:v>1</x:v>
      </x:c>
      <x:c r="F109" s="93" t="n">
        <x:v>0</x:v>
      </x:c>
      <x:c r="G109" s="93" t="n">
        <x:v>0.2272727272727273</x:v>
      </x:c>
      <x:c r="H109" s="94" t="n">
        <x:v>-0.2272727272727273</x:v>
      </x:c>
      <x:c r="I109" s="139" t="n"/>
      <x:c r="J109" s="139" t="n"/>
      <x:c r="K109" s="139" t="n"/>
      <x:c r="L109" s="139" t="n"/>
      <x:c r="M109" s="139" t="n"/>
      <x:c r="N109" s="139" t="n"/>
      <x:c r="O109" s="139" t="n"/>
      <x:c r="P109" s="139" t="n"/>
      <x:c r="Q109" s="139" t="n"/>
      <x:c r="R109" s="139" t="n"/>
      <x:c r="S109" s="139" t="n"/>
      <x:c r="T109" s="139" t="n"/>
      <x:c r="U109" s="139" t="n"/>
      <x:c r="V109" s="139" t="n"/>
      <x:c r="W109" s="139" t="n"/>
      <x:c r="X109" s="139" t="n"/>
      <x:c r="Y109" s="139" t="n"/>
      <x:c r="Z109" s="139" t="n"/>
      <x:c r="AA109" s="139" t="n"/>
      <x:c r="AB109" s="139" t="n"/>
      <x:c r="AC109" s="139" t="n"/>
      <x:c r="AD109" s="139" t="n"/>
      <x:c r="AE109" s="139" t="n"/>
      <x:c r="AF109" s="139" t="n"/>
      <x:c r="AG109" s="139" t="n"/>
      <x:c r="AH109" s="139" t="n"/>
      <x:c r="AI109" s="139" t="n"/>
      <x:c r="AJ109" s="139" t="n"/>
      <x:c r="AK109" s="139" t="n"/>
      <x:c r="AL109" s="139" t="n"/>
      <x:c r="AM109" s="139" t="n"/>
      <x:c r="AN109" s="139" t="n"/>
      <x:c r="AO109" s="139" t="n"/>
      <x:c r="AP109" s="139" t="n"/>
      <x:c r="AQ109" s="139" t="n"/>
      <x:c r="AR109" s="139" t="n"/>
      <x:c r="AS109" s="139" t="n"/>
      <x:c r="AT109" s="139" t="n"/>
      <x:c r="AU109" s="139" t="n"/>
      <x:c r="AV109" s="139" t="n"/>
      <x:c r="AW109" s="139" t="n"/>
      <x:c r="AX109" s="139" t="n"/>
      <x:c r="AY109" s="139" t="n"/>
      <x:c r="AZ109" s="139" t="n"/>
    </x:row>
    <x:row r="110">
      <x:c r="A110" s="139" t="inlineStr">
        <x:is>
          <x:t xml:space="preserve">Nico</x:t>
        </x:is>
      </x:c>
      <x:c r="B110" s="139" t="inlineStr">
        <x:is>
          <x:t xml:space="preserve">David</x:t>
        </x:is>
      </x:c>
      <x:c r="C110" s="139" t="n">
        <x:v>1</x:v>
      </x:c>
      <x:c r="D110" s="139" t="n">
        <x:v>0</x:v>
      </x:c>
      <x:c r="E110" s="139" t="n">
        <x:v>1</x:v>
      </x:c>
      <x:c r="F110" s="93" t="n">
        <x:v>0</x:v>
      </x:c>
      <x:c r="G110" s="93" t="n">
        <x:v>0.45</x:v>
      </x:c>
      <x:c r="H110" s="94" t="n">
        <x:v>-0.45</x:v>
      </x:c>
      <x:c r="I110" s="139" t="n"/>
      <x:c r="J110" s="139" t="n"/>
      <x:c r="K110" s="139" t="n"/>
      <x:c r="L110" s="139" t="n"/>
      <x:c r="M110" s="139" t="n"/>
      <x:c r="N110" s="139" t="n"/>
      <x:c r="O110" s="139" t="n"/>
      <x:c r="P110" s="139" t="n"/>
      <x:c r="Q110" s="139" t="n"/>
      <x:c r="R110" s="139" t="n"/>
      <x:c r="S110" s="139" t="n"/>
      <x:c r="T110" s="139" t="n"/>
      <x:c r="U110" s="139" t="n"/>
      <x:c r="V110" s="139" t="n"/>
      <x:c r="W110" s="139" t="n"/>
      <x:c r="X110" s="139" t="n"/>
      <x:c r="Y110" s="139" t="n"/>
      <x:c r="Z110" s="139" t="n"/>
      <x:c r="AA110" s="139" t="n"/>
      <x:c r="AB110" s="139" t="n"/>
      <x:c r="AC110" s="139" t="n"/>
      <x:c r="AD110" s="139" t="n"/>
      <x:c r="AE110" s="139" t="n"/>
      <x:c r="AF110" s="139" t="n"/>
      <x:c r="AG110" s="139" t="n"/>
      <x:c r="AH110" s="139" t="n"/>
      <x:c r="AI110" s="139" t="n"/>
      <x:c r="AJ110" s="139" t="n"/>
      <x:c r="AK110" s="139" t="n"/>
      <x:c r="AL110" s="139" t="n"/>
      <x:c r="AM110" s="139" t="n"/>
      <x:c r="AN110" s="139" t="n"/>
      <x:c r="AO110" s="139" t="n"/>
      <x:c r="AP110" s="139" t="n"/>
      <x:c r="AQ110" s="139" t="n"/>
      <x:c r="AR110" s="139" t="n"/>
      <x:c r="AS110" s="139" t="n"/>
      <x:c r="AT110" s="139" t="n"/>
      <x:c r="AU110" s="139" t="n"/>
      <x:c r="AV110" s="139" t="n"/>
      <x:c r="AW110" s="139" t="n"/>
      <x:c r="AX110" s="139" t="n"/>
      <x:c r="AY110" s="139" t="n"/>
      <x:c r="AZ110" s="139" t="n"/>
    </x:row>
    <x:row r="111">
      <x:c r="A111" s="139" t="inlineStr">
        <x:is>
          <x:t xml:space="preserve">Nico</x:t>
        </x:is>
      </x:c>
      <x:c r="B111" s="139" t="inlineStr">
        <x:is>
          <x:t xml:space="preserve">Edy SP</x:t>
        </x:is>
      </x:c>
      <x:c r="C111" s="139" t="n">
        <x:v>1</x:v>
      </x:c>
      <x:c r="D111" s="139" t="n">
        <x:v>0</x:v>
      </x:c>
      <x:c r="E111" s="139" t="n">
        <x:v>1</x:v>
      </x:c>
      <x:c r="F111" s="93" t="n">
        <x:v>0</x:v>
      </x:c>
      <x:c r="G111" s="93" t="n">
        <x:v>0.4736842105263158</x:v>
      </x:c>
      <x:c r="H111" s="94" t="n">
        <x:v>-0.4736842105263158</x:v>
      </x:c>
      <x:c r="I111" s="139" t="n"/>
      <x:c r="J111" s="139" t="n"/>
      <x:c r="K111" s="139" t="n"/>
      <x:c r="L111" s="139" t="n"/>
      <x:c r="M111" s="139" t="n"/>
      <x:c r="N111" s="139" t="n"/>
      <x:c r="O111" s="139" t="n"/>
      <x:c r="P111" s="139" t="n"/>
      <x:c r="Q111" s="139" t="n"/>
      <x:c r="R111" s="139" t="n"/>
      <x:c r="S111" s="139" t="n"/>
      <x:c r="T111" s="139" t="n"/>
      <x:c r="U111" s="139" t="n"/>
      <x:c r="V111" s="139" t="n"/>
      <x:c r="W111" s="139" t="n"/>
      <x:c r="X111" s="139" t="n"/>
      <x:c r="Y111" s="139" t="n"/>
      <x:c r="Z111" s="139" t="n"/>
      <x:c r="AA111" s="139" t="n"/>
      <x:c r="AB111" s="139" t="n"/>
      <x:c r="AC111" s="139" t="n"/>
      <x:c r="AD111" s="139" t="n"/>
      <x:c r="AE111" s="139" t="n"/>
      <x:c r="AF111" s="139" t="n"/>
      <x:c r="AG111" s="139" t="n"/>
      <x:c r="AH111" s="139" t="n"/>
      <x:c r="AI111" s="139" t="n"/>
      <x:c r="AJ111" s="139" t="n"/>
      <x:c r="AK111" s="139" t="n"/>
      <x:c r="AL111" s="139" t="n"/>
      <x:c r="AM111" s="139" t="n"/>
      <x:c r="AN111" s="139" t="n"/>
      <x:c r="AO111" s="139" t="n"/>
      <x:c r="AP111" s="139" t="n"/>
      <x:c r="AQ111" s="139" t="n"/>
      <x:c r="AR111" s="139" t="n"/>
      <x:c r="AS111" s="139" t="n"/>
      <x:c r="AT111" s="139" t="n"/>
      <x:c r="AU111" s="139" t="n"/>
      <x:c r="AV111" s="139" t="n"/>
      <x:c r="AW111" s="139" t="n"/>
      <x:c r="AX111" s="139" t="n"/>
      <x:c r="AY111" s="139" t="n"/>
      <x:c r="AZ111" s="139" t="n"/>
    </x:row>
    <x:row r="112">
      <x:c r="A112" s="139" t="inlineStr">
        <x:is>
          <x:t xml:space="preserve">Nico</x:t>
        </x:is>
      </x:c>
      <x:c r="B112" s="139" t="inlineStr">
        <x:is>
          <x:t xml:space="preserve">Michael</x:t>
        </x:is>
      </x:c>
      <x:c r="C112" s="139" t="n">
        <x:v>1</x:v>
      </x:c>
      <x:c r="D112" s="139" t="n">
        <x:v>0</x:v>
      </x:c>
      <x:c r="E112" s="139" t="n">
        <x:v>1</x:v>
      </x:c>
      <x:c r="F112" s="93" t="n">
        <x:v>0</x:v>
      </x:c>
      <x:c r="G112" s="93" t="n">
        <x:v>0.4761904761904762</x:v>
      </x:c>
      <x:c r="H112" s="94" t="n">
        <x:v>-0.4761904761904762</x:v>
      </x:c>
      <x:c r="I112" s="139" t="n"/>
      <x:c r="J112" s="139" t="n"/>
      <x:c r="K112" s="139" t="n"/>
      <x:c r="L112" s="139" t="n"/>
      <x:c r="M112" s="139" t="n"/>
      <x:c r="N112" s="139" t="n"/>
      <x:c r="O112" s="139" t="n"/>
      <x:c r="P112" s="139" t="n"/>
      <x:c r="Q112" s="139" t="n"/>
      <x:c r="R112" s="139" t="n"/>
      <x:c r="S112" s="139" t="n"/>
      <x:c r="T112" s="139" t="n"/>
      <x:c r="U112" s="139" t="n"/>
      <x:c r="V112" s="139" t="n"/>
      <x:c r="W112" s="139" t="n"/>
      <x:c r="X112" s="139" t="n"/>
      <x:c r="Y112" s="139" t="n"/>
      <x:c r="Z112" s="139" t="n"/>
      <x:c r="AA112" s="139" t="n"/>
      <x:c r="AB112" s="139" t="n"/>
      <x:c r="AC112" s="139" t="n"/>
      <x:c r="AD112" s="139" t="n"/>
      <x:c r="AE112" s="139" t="n"/>
      <x:c r="AF112" s="139" t="n"/>
      <x:c r="AG112" s="139" t="n"/>
      <x:c r="AH112" s="139" t="n"/>
      <x:c r="AI112" s="139" t="n"/>
      <x:c r="AJ112" s="139" t="n"/>
      <x:c r="AK112" s="139" t="n"/>
      <x:c r="AL112" s="139" t="n"/>
      <x:c r="AM112" s="139" t="n"/>
      <x:c r="AN112" s="139" t="n"/>
      <x:c r="AO112" s="139" t="n"/>
      <x:c r="AP112" s="139" t="n"/>
      <x:c r="AQ112" s="139" t="n"/>
      <x:c r="AR112" s="139" t="n"/>
      <x:c r="AS112" s="139" t="n"/>
      <x:c r="AT112" s="139" t="n"/>
      <x:c r="AU112" s="139" t="n"/>
      <x:c r="AV112" s="139" t="n"/>
      <x:c r="AW112" s="139" t="n"/>
      <x:c r="AX112" s="139" t="n"/>
      <x:c r="AY112" s="139" t="n"/>
      <x:c r="AZ112" s="139" t="n"/>
    </x:row>
    <x:row r="113">
      <x:c r="A113" s="139" t="inlineStr">
        <x:is>
          <x:t xml:space="preserve">Rey</x:t>
        </x:is>
      </x:c>
      <x:c r="B113" s="139" t="inlineStr">
        <x:is>
          <x:t xml:space="preserve">Nico</x:t>
        </x:is>
      </x:c>
      <x:c r="C113" s="139" t="n">
        <x:v>1</x:v>
      </x:c>
      <x:c r="D113" s="139" t="n">
        <x:v>1</x:v>
      </x:c>
      <x:c r="E113" s="139" t="n">
        <x:v>0</x:v>
      </x:c>
      <x:c r="F113" s="93" t="n">
        <x:v>1</x:v>
      </x:c>
      <x:c r="G113" s="93" t="n">
        <x:v>0.4285714285714285</x:v>
      </x:c>
      <x:c r="H113" s="94" t="n">
        <x:v>0.5714285714285714</x:v>
      </x:c>
      <x:c r="I113" s="139" t="n"/>
      <x:c r="J113" s="139" t="n"/>
      <x:c r="K113" s="139" t="n"/>
      <x:c r="L113" s="139" t="n"/>
      <x:c r="M113" s="139" t="n"/>
      <x:c r="N113" s="139" t="n"/>
      <x:c r="O113" s="139" t="n"/>
      <x:c r="P113" s="139" t="n"/>
      <x:c r="Q113" s="139" t="n"/>
      <x:c r="R113" s="139" t="n"/>
      <x:c r="S113" s="139" t="n"/>
      <x:c r="T113" s="139" t="n"/>
      <x:c r="U113" s="139" t="n"/>
      <x:c r="V113" s="139" t="n"/>
      <x:c r="W113" s="139" t="n"/>
      <x:c r="X113" s="139" t="n"/>
      <x:c r="Y113" s="139" t="n"/>
      <x:c r="Z113" s="139" t="n"/>
      <x:c r="AA113" s="139" t="n"/>
      <x:c r="AB113" s="139" t="n"/>
      <x:c r="AC113" s="139" t="n"/>
      <x:c r="AD113" s="139" t="n"/>
      <x:c r="AE113" s="139" t="n"/>
      <x:c r="AF113" s="139" t="n"/>
      <x:c r="AG113" s="139" t="n"/>
      <x:c r="AH113" s="139" t="n"/>
      <x:c r="AI113" s="139" t="n"/>
      <x:c r="AJ113" s="139" t="n"/>
      <x:c r="AK113" s="139" t="n"/>
      <x:c r="AL113" s="139" t="n"/>
      <x:c r="AM113" s="139" t="n"/>
      <x:c r="AN113" s="139" t="n"/>
      <x:c r="AO113" s="139" t="n"/>
      <x:c r="AP113" s="139" t="n"/>
      <x:c r="AQ113" s="139" t="n"/>
      <x:c r="AR113" s="139" t="n"/>
      <x:c r="AS113" s="139" t="n"/>
      <x:c r="AT113" s="139" t="n"/>
      <x:c r="AU113" s="139" t="n"/>
      <x:c r="AV113" s="139" t="n"/>
      <x:c r="AW113" s="139" t="n"/>
      <x:c r="AX113" s="139" t="n"/>
      <x:c r="AY113" s="139" t="n"/>
      <x:c r="AZ113" s="139" t="n"/>
    </x:row>
    <x:row r="114">
      <x:c r="A114" s="139" t="inlineStr">
        <x:is>
          <x:t xml:space="preserve">Rey</x:t>
        </x:is>
      </x:c>
      <x:c r="B114" s="139" t="inlineStr">
        <x:is>
          <x:t xml:space="preserve">Edy SP</x:t>
        </x:is>
      </x:c>
      <x:c r="C114" s="139" t="n">
        <x:v>1</x:v>
      </x:c>
      <x:c r="D114" s="139" t="n">
        <x:v>1</x:v>
      </x:c>
      <x:c r="E114" s="139" t="n">
        <x:v>0</x:v>
      </x:c>
      <x:c r="F114" s="93" t="n">
        <x:v>1</x:v>
      </x:c>
      <x:c r="G114" s="93" t="n">
        <x:v>0.4736842105263158</x:v>
      </x:c>
      <x:c r="H114" s="94" t="n">
        <x:v>0.5263157894736843</x:v>
      </x:c>
      <x:c r="I114" s="139" t="n"/>
      <x:c r="J114" s="139" t="n"/>
      <x:c r="K114" s="139" t="n"/>
      <x:c r="L114" s="139" t="n"/>
      <x:c r="M114" s="139" t="n"/>
      <x:c r="N114" s="139" t="n"/>
      <x:c r="O114" s="139" t="n"/>
      <x:c r="P114" s="139" t="n"/>
      <x:c r="Q114" s="139" t="n"/>
      <x:c r="R114" s="139" t="n"/>
      <x:c r="S114" s="139" t="n"/>
      <x:c r="T114" s="139" t="n"/>
      <x:c r="U114" s="139" t="n"/>
      <x:c r="V114" s="139" t="n"/>
      <x:c r="W114" s="139" t="n"/>
      <x:c r="X114" s="139" t="n"/>
      <x:c r="Y114" s="139" t="n"/>
      <x:c r="Z114" s="139" t="n"/>
      <x:c r="AA114" s="139" t="n"/>
      <x:c r="AB114" s="139" t="n"/>
      <x:c r="AC114" s="139" t="n"/>
      <x:c r="AD114" s="139" t="n"/>
      <x:c r="AE114" s="139" t="n"/>
      <x:c r="AF114" s="139" t="n"/>
      <x:c r="AG114" s="139" t="n"/>
      <x:c r="AH114" s="139" t="n"/>
      <x:c r="AI114" s="139" t="n"/>
      <x:c r="AJ114" s="139" t="n"/>
      <x:c r="AK114" s="139" t="n"/>
      <x:c r="AL114" s="139" t="n"/>
      <x:c r="AM114" s="139" t="n"/>
      <x:c r="AN114" s="139" t="n"/>
      <x:c r="AO114" s="139" t="n"/>
      <x:c r="AP114" s="139" t="n"/>
      <x:c r="AQ114" s="139" t="n"/>
      <x:c r="AR114" s="139" t="n"/>
      <x:c r="AS114" s="139" t="n"/>
      <x:c r="AT114" s="139" t="n"/>
      <x:c r="AU114" s="139" t="n"/>
      <x:c r="AV114" s="139" t="n"/>
      <x:c r="AW114" s="139" t="n"/>
      <x:c r="AX114" s="139" t="n"/>
      <x:c r="AY114" s="139" t="n"/>
      <x:c r="AZ114" s="139" t="n"/>
    </x:row>
    <x:row r="115">
      <x:c r="A115" s="139" t="inlineStr">
        <x:is>
          <x:t xml:space="preserve">Rey</x:t>
        </x:is>
      </x:c>
      <x:c r="B115" s="139" t="inlineStr">
        <x:is>
          <x:t xml:space="preserve">Ricky</x:t>
        </x:is>
      </x:c>
      <x:c r="C115" s="139" t="n">
        <x:v>1</x:v>
      </x:c>
      <x:c r="D115" s="139" t="n">
        <x:v>1</x:v>
      </x:c>
      <x:c r="E115" s="139" t="n">
        <x:v>0</x:v>
      </x:c>
      <x:c r="F115" s="93" t="n">
        <x:v>1</x:v>
      </x:c>
      <x:c r="G115" s="93" t="n">
        <x:v>0.5882352941176471</x:v>
      </x:c>
      <x:c r="H115" s="94" t="n">
        <x:v>0.4117647058823529</x:v>
      </x:c>
      <x:c r="I115" s="139" t="n"/>
      <x:c r="J115" s="139" t="n"/>
      <x:c r="K115" s="139" t="n"/>
      <x:c r="L115" s="139" t="n"/>
      <x:c r="M115" s="139" t="n"/>
      <x:c r="N115" s="139" t="n"/>
      <x:c r="O115" s="139" t="n"/>
      <x:c r="P115" s="139" t="n"/>
      <x:c r="Q115" s="139" t="n"/>
      <x:c r="R115" s="139" t="n"/>
      <x:c r="S115" s="139" t="n"/>
      <x:c r="T115" s="139" t="n"/>
      <x:c r="U115" s="139" t="n"/>
      <x:c r="V115" s="139" t="n"/>
      <x:c r="W115" s="139" t="n"/>
      <x:c r="X115" s="139" t="n"/>
      <x:c r="Y115" s="139" t="n"/>
      <x:c r="Z115" s="139" t="n"/>
      <x:c r="AA115" s="139" t="n"/>
      <x:c r="AB115" s="139" t="n"/>
      <x:c r="AC115" s="139" t="n"/>
      <x:c r="AD115" s="139" t="n"/>
      <x:c r="AE115" s="139" t="n"/>
      <x:c r="AF115" s="139" t="n"/>
      <x:c r="AG115" s="139" t="n"/>
      <x:c r="AH115" s="139" t="n"/>
      <x:c r="AI115" s="139" t="n"/>
      <x:c r="AJ115" s="139" t="n"/>
      <x:c r="AK115" s="139" t="n"/>
      <x:c r="AL115" s="139" t="n"/>
      <x:c r="AM115" s="139" t="n"/>
      <x:c r="AN115" s="139" t="n"/>
      <x:c r="AO115" s="139" t="n"/>
      <x:c r="AP115" s="139" t="n"/>
      <x:c r="AQ115" s="139" t="n"/>
      <x:c r="AR115" s="139" t="n"/>
      <x:c r="AS115" s="139" t="n"/>
      <x:c r="AT115" s="139" t="n"/>
      <x:c r="AU115" s="139" t="n"/>
      <x:c r="AV115" s="139" t="n"/>
      <x:c r="AW115" s="139" t="n"/>
      <x:c r="AX115" s="139" t="n"/>
      <x:c r="AY115" s="139" t="n"/>
      <x:c r="AZ115" s="139" t="n"/>
    </x:row>
    <x:row r="116">
      <x:c r="A116" s="139" t="inlineStr">
        <x:is>
          <x:t xml:space="preserve">Rey</x:t>
        </x:is>
      </x:c>
      <x:c r="B116" s="139" t="inlineStr">
        <x:is>
          <x:t xml:space="preserve">Ronald</x:t>
        </x:is>
      </x:c>
      <x:c r="C116" s="139" t="n">
        <x:v>1</x:v>
      </x:c>
      <x:c r="D116" s="139" t="n">
        <x:v>1</x:v>
      </x:c>
      <x:c r="E116" s="139" t="n">
        <x:v>0</x:v>
      </x:c>
      <x:c r="F116" s="93" t="n">
        <x:v>1</x:v>
      </x:c>
      <x:c r="G116" s="93" t="n">
        <x:v>0.6153846153846154</x:v>
      </x:c>
      <x:c r="H116" s="94" t="n">
        <x:v>0.3846153846153846</x:v>
      </x:c>
      <x:c r="I116" s="139" t="n"/>
      <x:c r="J116" s="139" t="n"/>
      <x:c r="K116" s="139" t="n"/>
      <x:c r="L116" s="139" t="n"/>
      <x:c r="M116" s="139" t="n"/>
      <x:c r="N116" s="139" t="n"/>
      <x:c r="O116" s="139" t="n"/>
      <x:c r="P116" s="139" t="n"/>
      <x:c r="Q116" s="139" t="n"/>
      <x:c r="R116" s="139" t="n"/>
      <x:c r="S116" s="139" t="n"/>
      <x:c r="T116" s="139" t="n"/>
      <x:c r="U116" s="139" t="n"/>
      <x:c r="V116" s="139" t="n"/>
      <x:c r="W116" s="139" t="n"/>
      <x:c r="X116" s="139" t="n"/>
      <x:c r="Y116" s="139" t="n"/>
      <x:c r="Z116" s="139" t="n"/>
      <x:c r="AA116" s="139" t="n"/>
      <x:c r="AB116" s="139" t="n"/>
      <x:c r="AC116" s="139" t="n"/>
      <x:c r="AD116" s="139" t="n"/>
      <x:c r="AE116" s="139" t="n"/>
      <x:c r="AF116" s="139" t="n"/>
      <x:c r="AG116" s="139" t="n"/>
      <x:c r="AH116" s="139" t="n"/>
      <x:c r="AI116" s="139" t="n"/>
      <x:c r="AJ116" s="139" t="n"/>
      <x:c r="AK116" s="139" t="n"/>
      <x:c r="AL116" s="139" t="n"/>
      <x:c r="AM116" s="139" t="n"/>
      <x:c r="AN116" s="139" t="n"/>
      <x:c r="AO116" s="139" t="n"/>
      <x:c r="AP116" s="139" t="n"/>
      <x:c r="AQ116" s="139" t="n"/>
      <x:c r="AR116" s="139" t="n"/>
      <x:c r="AS116" s="139" t="n"/>
      <x:c r="AT116" s="139" t="n"/>
      <x:c r="AU116" s="139" t="n"/>
      <x:c r="AV116" s="139" t="n"/>
      <x:c r="AW116" s="139" t="n"/>
      <x:c r="AX116" s="139" t="n"/>
      <x:c r="AY116" s="139" t="n"/>
      <x:c r="AZ116" s="139" t="n"/>
    </x:row>
    <x:row r="117">
      <x:c r="A117" s="139" t="inlineStr">
        <x:is>
          <x:t xml:space="preserve">Rey</x:t>
        </x:is>
      </x:c>
      <x:c r="B117" s="139" t="inlineStr">
        <x:is>
          <x:t xml:space="preserve">Kennard</x:t>
        </x:is>
      </x:c>
      <x:c r="C117" s="139" t="n">
        <x:v>1</x:v>
      </x:c>
      <x:c r="D117" s="139" t="n">
        <x:v>1</x:v>
      </x:c>
      <x:c r="E117" s="139" t="n">
        <x:v>0</x:v>
      </x:c>
      <x:c r="F117" s="93" t="n">
        <x:v>1</x:v>
      </x:c>
      <x:c r="G117" s="93" t="n">
        <x:v>0.6190476190476191</x:v>
      </x:c>
      <x:c r="H117" s="94" t="n">
        <x:v>0.3809523809523809</x:v>
      </x:c>
      <x:c r="I117" s="139" t="n"/>
      <x:c r="J117" s="139" t="n"/>
      <x:c r="K117" s="139" t="n"/>
      <x:c r="L117" s="139" t="n"/>
      <x:c r="M117" s="139" t="n"/>
      <x:c r="N117" s="139" t="n"/>
      <x:c r="O117" s="139" t="n"/>
      <x:c r="P117" s="139" t="n"/>
      <x:c r="Q117" s="139" t="n"/>
      <x:c r="R117" s="139" t="n"/>
      <x:c r="S117" s="139" t="n"/>
      <x:c r="T117" s="139" t="n"/>
      <x:c r="U117" s="139" t="n"/>
      <x:c r="V117" s="139" t="n"/>
      <x:c r="W117" s="139" t="n"/>
      <x:c r="X117" s="139" t="n"/>
      <x:c r="Y117" s="139" t="n"/>
      <x:c r="Z117" s="139" t="n"/>
      <x:c r="AA117" s="139" t="n"/>
      <x:c r="AB117" s="139" t="n"/>
      <x:c r="AC117" s="139" t="n"/>
      <x:c r="AD117" s="139" t="n"/>
      <x:c r="AE117" s="139" t="n"/>
      <x:c r="AF117" s="139" t="n"/>
      <x:c r="AG117" s="139" t="n"/>
      <x:c r="AH117" s="139" t="n"/>
      <x:c r="AI117" s="139" t="n"/>
      <x:c r="AJ117" s="139" t="n"/>
      <x:c r="AK117" s="139" t="n"/>
      <x:c r="AL117" s="139" t="n"/>
      <x:c r="AM117" s="139" t="n"/>
      <x:c r="AN117" s="139" t="n"/>
      <x:c r="AO117" s="139" t="n"/>
      <x:c r="AP117" s="139" t="n"/>
      <x:c r="AQ117" s="139" t="n"/>
      <x:c r="AR117" s="139" t="n"/>
      <x:c r="AS117" s="139" t="n"/>
      <x:c r="AT117" s="139" t="n"/>
      <x:c r="AU117" s="139" t="n"/>
      <x:c r="AV117" s="139" t="n"/>
      <x:c r="AW117" s="139" t="n"/>
      <x:c r="AX117" s="139" t="n"/>
      <x:c r="AY117" s="139" t="n"/>
      <x:c r="AZ117" s="139" t="n"/>
    </x:row>
    <x:row r="118">
      <x:c r="A118" s="139" t="inlineStr">
        <x:is>
          <x:t xml:space="preserve">Rey</x:t>
        </x:is>
      </x:c>
      <x:c r="B118" s="139" t="inlineStr">
        <x:is>
          <x:t xml:space="preserve">Alice</x:t>
        </x:is>
      </x:c>
      <x:c r="C118" s="139" t="n">
        <x:v>1</x:v>
      </x:c>
      <x:c r="D118" s="139" t="n">
        <x:v>0</x:v>
      </x:c>
      <x:c r="E118" s="139" t="n">
        <x:v>1</x:v>
      </x:c>
      <x:c r="F118" s="93" t="n">
        <x:v>0</x:v>
      </x:c>
      <x:c r="G118" s="93" t="n">
        <x:v>0.2272727272727273</x:v>
      </x:c>
      <x:c r="H118" s="94" t="n">
        <x:v>-0.2272727272727273</x:v>
      </x:c>
      <x:c r="I118" s="139" t="n"/>
      <x:c r="J118" s="139" t="n"/>
      <x:c r="K118" s="139" t="n"/>
      <x:c r="L118" s="139" t="n"/>
      <x:c r="M118" s="139" t="n"/>
      <x:c r="N118" s="139" t="n"/>
      <x:c r="O118" s="139" t="n"/>
      <x:c r="P118" s="139" t="n"/>
      <x:c r="Q118" s="139" t="n"/>
      <x:c r="R118" s="139" t="n"/>
      <x:c r="S118" s="139" t="n"/>
      <x:c r="T118" s="139" t="n"/>
      <x:c r="U118" s="139" t="n"/>
      <x:c r="V118" s="139" t="n"/>
      <x:c r="W118" s="139" t="n"/>
      <x:c r="X118" s="139" t="n"/>
      <x:c r="Y118" s="139" t="n"/>
      <x:c r="Z118" s="139" t="n"/>
      <x:c r="AA118" s="139" t="n"/>
      <x:c r="AB118" s="139" t="n"/>
      <x:c r="AC118" s="139" t="n"/>
      <x:c r="AD118" s="139" t="n"/>
      <x:c r="AE118" s="139" t="n"/>
      <x:c r="AF118" s="139" t="n"/>
      <x:c r="AG118" s="139" t="n"/>
      <x:c r="AH118" s="139" t="n"/>
      <x:c r="AI118" s="139" t="n"/>
      <x:c r="AJ118" s="139" t="n"/>
      <x:c r="AK118" s="139" t="n"/>
      <x:c r="AL118" s="139" t="n"/>
      <x:c r="AM118" s="139" t="n"/>
      <x:c r="AN118" s="139" t="n"/>
      <x:c r="AO118" s="139" t="n"/>
      <x:c r="AP118" s="139" t="n"/>
      <x:c r="AQ118" s="139" t="n"/>
      <x:c r="AR118" s="139" t="n"/>
      <x:c r="AS118" s="139" t="n"/>
      <x:c r="AT118" s="139" t="n"/>
      <x:c r="AU118" s="139" t="n"/>
      <x:c r="AV118" s="139" t="n"/>
      <x:c r="AW118" s="139" t="n"/>
      <x:c r="AX118" s="139" t="n"/>
      <x:c r="AY118" s="139" t="n"/>
      <x:c r="AZ118" s="139" t="n"/>
    </x:row>
    <x:row r="119">
      <x:c r="A119" s="139" t="inlineStr">
        <x:is>
          <x:t xml:space="preserve">Rey</x:t>
        </x:is>
      </x:c>
      <x:c r="B119" s="139" t="inlineStr">
        <x:is>
          <x:t xml:space="preserve">Michael</x:t>
        </x:is>
      </x:c>
      <x:c r="C119" s="139" t="n">
        <x:v>1</x:v>
      </x:c>
      <x:c r="D119" s="139" t="n">
        <x:v>0</x:v>
      </x:c>
      <x:c r="E119" s="139" t="n">
        <x:v>1</x:v>
      </x:c>
      <x:c r="F119" s="93" t="n">
        <x:v>0</x:v>
      </x:c>
      <x:c r="G119" s="93" t="n">
        <x:v>0.4761904761904762</x:v>
      </x:c>
      <x:c r="H119" s="94" t="n">
        <x:v>-0.4761904761904762</x:v>
      </x:c>
      <x:c r="I119" s="139" t="n"/>
      <x:c r="J119" s="139" t="n"/>
      <x:c r="K119" s="139" t="n"/>
      <x:c r="L119" s="139" t="n"/>
      <x:c r="M119" s="139" t="n"/>
      <x:c r="N119" s="139" t="n"/>
      <x:c r="O119" s="139" t="n"/>
      <x:c r="P119" s="139" t="n"/>
      <x:c r="Q119" s="139" t="n"/>
      <x:c r="R119" s="139" t="n"/>
      <x:c r="S119" s="139" t="n"/>
      <x:c r="T119" s="139" t="n"/>
      <x:c r="U119" s="139" t="n"/>
      <x:c r="V119" s="139" t="n"/>
      <x:c r="W119" s="139" t="n"/>
      <x:c r="X119" s="139" t="n"/>
      <x:c r="Y119" s="139" t="n"/>
      <x:c r="Z119" s="139" t="n"/>
      <x:c r="AA119" s="139" t="n"/>
      <x:c r="AB119" s="139" t="n"/>
      <x:c r="AC119" s="139" t="n"/>
      <x:c r="AD119" s="139" t="n"/>
      <x:c r="AE119" s="139" t="n"/>
      <x:c r="AF119" s="139" t="n"/>
      <x:c r="AG119" s="139" t="n"/>
      <x:c r="AH119" s="139" t="n"/>
      <x:c r="AI119" s="139" t="n"/>
      <x:c r="AJ119" s="139" t="n"/>
      <x:c r="AK119" s="139" t="n"/>
      <x:c r="AL119" s="139" t="n"/>
      <x:c r="AM119" s="139" t="n"/>
      <x:c r="AN119" s="139" t="n"/>
      <x:c r="AO119" s="139" t="n"/>
      <x:c r="AP119" s="139" t="n"/>
      <x:c r="AQ119" s="139" t="n"/>
      <x:c r="AR119" s="139" t="n"/>
      <x:c r="AS119" s="139" t="n"/>
      <x:c r="AT119" s="139" t="n"/>
      <x:c r="AU119" s="139" t="n"/>
      <x:c r="AV119" s="139" t="n"/>
      <x:c r="AW119" s="139" t="n"/>
      <x:c r="AX119" s="139" t="n"/>
      <x:c r="AY119" s="139" t="n"/>
      <x:c r="AZ119" s="139" t="n"/>
    </x:row>
    <x:row r="120">
      <x:c r="A120" s="139" t="inlineStr">
        <x:is>
          <x:t xml:space="preserve">Reza</x:t>
        </x:is>
      </x:c>
      <x:c r="B120" s="139" t="inlineStr">
        <x:is>
          <x:t xml:space="preserve">Austin</x:t>
        </x:is>
      </x:c>
      <x:c r="C120" s="139" t="n">
        <x:v>1</x:v>
      </x:c>
      <x:c r="D120" s="139" t="n">
        <x:v>1</x:v>
      </x:c>
      <x:c r="E120" s="139" t="n">
        <x:v>0</x:v>
      </x:c>
      <x:c r="F120" s="93" t="n">
        <x:v>1</x:v>
      </x:c>
      <x:c r="G120" s="93" t="n">
        <x:v>0.5909090909090909</x:v>
      </x:c>
      <x:c r="H120" s="94" t="n">
        <x:v>0.4090909090909091</x:v>
      </x:c>
      <x:c r="I120" s="139" t="n"/>
      <x:c r="J120" s="139" t="n"/>
      <x:c r="K120" s="139" t="n"/>
      <x:c r="L120" s="139" t="n"/>
      <x:c r="M120" s="139" t="n"/>
      <x:c r="N120" s="139" t="n"/>
      <x:c r="O120" s="139" t="n"/>
      <x:c r="P120" s="139" t="n"/>
      <x:c r="Q120" s="139" t="n"/>
      <x:c r="R120" s="139" t="n"/>
      <x:c r="S120" s="139" t="n"/>
      <x:c r="T120" s="139" t="n"/>
      <x:c r="U120" s="139" t="n"/>
      <x:c r="V120" s="139" t="n"/>
      <x:c r="W120" s="139" t="n"/>
      <x:c r="X120" s="139" t="n"/>
      <x:c r="Y120" s="139" t="n"/>
      <x:c r="Z120" s="139" t="n"/>
      <x:c r="AA120" s="139" t="n"/>
      <x:c r="AB120" s="139" t="n"/>
      <x:c r="AC120" s="139" t="n"/>
      <x:c r="AD120" s="139" t="n"/>
      <x:c r="AE120" s="139" t="n"/>
      <x:c r="AF120" s="139" t="n"/>
      <x:c r="AG120" s="139" t="n"/>
      <x:c r="AH120" s="139" t="n"/>
      <x:c r="AI120" s="139" t="n"/>
      <x:c r="AJ120" s="139" t="n"/>
      <x:c r="AK120" s="139" t="n"/>
      <x:c r="AL120" s="139" t="n"/>
      <x:c r="AM120" s="139" t="n"/>
      <x:c r="AN120" s="139" t="n"/>
      <x:c r="AO120" s="139" t="n"/>
      <x:c r="AP120" s="139" t="n"/>
      <x:c r="AQ120" s="139" t="n"/>
      <x:c r="AR120" s="139" t="n"/>
      <x:c r="AS120" s="139" t="n"/>
      <x:c r="AT120" s="139" t="n"/>
      <x:c r="AU120" s="139" t="n"/>
      <x:c r="AV120" s="139" t="n"/>
      <x:c r="AW120" s="139" t="n"/>
      <x:c r="AX120" s="139" t="n"/>
      <x:c r="AY120" s="139" t="n"/>
      <x:c r="AZ120" s="139" t="n"/>
    </x:row>
    <x:row r="121">
      <x:c r="A121" s="139" t="inlineStr">
        <x:is>
          <x:t xml:space="preserve">Reza</x:t>
        </x:is>
      </x:c>
      <x:c r="B121" s="139" t="inlineStr">
        <x:is>
          <x:t xml:space="preserve">Sandy</x:t>
        </x:is>
      </x:c>
      <x:c r="C121" s="139" t="n">
        <x:v>1</x:v>
      </x:c>
      <x:c r="D121" s="139" t="n">
        <x:v>1</x:v>
      </x:c>
      <x:c r="E121" s="139" t="n">
        <x:v>0</x:v>
      </x:c>
      <x:c r="F121" s="93" t="n">
        <x:v>1</x:v>
      </x:c>
      <x:c r="G121" s="93" t="n">
        <x:v>0.7142857142857143</x:v>
      </x:c>
      <x:c r="H121" s="94" t="n">
        <x:v>0.2857142857142857</x:v>
      </x:c>
      <x:c r="I121" s="139" t="n"/>
      <x:c r="J121" s="139" t="n"/>
      <x:c r="K121" s="139" t="n"/>
      <x:c r="L121" s="139" t="n"/>
      <x:c r="M121" s="139" t="n"/>
      <x:c r="N121" s="139" t="n"/>
      <x:c r="O121" s="139" t="n"/>
      <x:c r="P121" s="139" t="n"/>
      <x:c r="Q121" s="139" t="n"/>
      <x:c r="R121" s="139" t="n"/>
      <x:c r="S121" s="139" t="n"/>
      <x:c r="T121" s="139" t="n"/>
      <x:c r="U121" s="139" t="n"/>
      <x:c r="V121" s="139" t="n"/>
      <x:c r="W121" s="139" t="n"/>
      <x:c r="X121" s="139" t="n"/>
      <x:c r="Y121" s="139" t="n"/>
      <x:c r="Z121" s="139" t="n"/>
      <x:c r="AA121" s="139" t="n"/>
      <x:c r="AB121" s="139" t="n"/>
      <x:c r="AC121" s="139" t="n"/>
      <x:c r="AD121" s="139" t="n"/>
      <x:c r="AE121" s="139" t="n"/>
      <x:c r="AF121" s="139" t="n"/>
      <x:c r="AG121" s="139" t="n"/>
      <x:c r="AH121" s="139" t="n"/>
      <x:c r="AI121" s="139" t="n"/>
      <x:c r="AJ121" s="139" t="n"/>
      <x:c r="AK121" s="139" t="n"/>
      <x:c r="AL121" s="139" t="n"/>
      <x:c r="AM121" s="139" t="n"/>
      <x:c r="AN121" s="139" t="n"/>
      <x:c r="AO121" s="139" t="n"/>
      <x:c r="AP121" s="139" t="n"/>
      <x:c r="AQ121" s="139" t="n"/>
      <x:c r="AR121" s="139" t="n"/>
      <x:c r="AS121" s="139" t="n"/>
      <x:c r="AT121" s="139" t="n"/>
      <x:c r="AU121" s="139" t="n"/>
      <x:c r="AV121" s="139" t="n"/>
      <x:c r="AW121" s="139" t="n"/>
      <x:c r="AX121" s="139" t="n"/>
      <x:c r="AY121" s="139" t="n"/>
      <x:c r="AZ121" s="139" t="n"/>
    </x:row>
    <x:row r="122">
      <x:c r="A122" s="139" t="inlineStr">
        <x:is>
          <x:t xml:space="preserve">Reza</x:t>
        </x:is>
      </x:c>
      <x:c r="B122" s="139" t="inlineStr">
        <x:is>
          <x:t xml:space="preserve">Welly</x:t>
        </x:is>
      </x:c>
      <x:c r="C122" s="139" t="n">
        <x:v>1</x:v>
      </x:c>
      <x:c r="D122" s="139" t="n">
        <x:v>0</x:v>
      </x:c>
      <x:c r="E122" s="139" t="n">
        <x:v>1</x:v>
      </x:c>
      <x:c r="F122" s="93" t="n">
        <x:v>0</x:v>
      </x:c>
      <x:c r="G122" s="93" t="n">
        <x:v>0.3333333333333333</x:v>
      </x:c>
      <x:c r="H122" s="94" t="n">
        <x:v>-0.3333333333333333</x:v>
      </x:c>
      <x:c r="I122" s="139" t="n"/>
      <x:c r="J122" s="139" t="n"/>
      <x:c r="K122" s="139" t="n"/>
      <x:c r="L122" s="139" t="n"/>
      <x:c r="M122" s="139" t="n"/>
      <x:c r="N122" s="139" t="n"/>
      <x:c r="O122" s="139" t="n"/>
      <x:c r="P122" s="139" t="n"/>
      <x:c r="Q122" s="139" t="n"/>
      <x:c r="R122" s="139" t="n"/>
      <x:c r="S122" s="139" t="n"/>
      <x:c r="T122" s="139" t="n"/>
      <x:c r="U122" s="139" t="n"/>
      <x:c r="V122" s="139" t="n"/>
      <x:c r="W122" s="139" t="n"/>
      <x:c r="X122" s="139" t="n"/>
      <x:c r="Y122" s="139" t="n"/>
      <x:c r="Z122" s="139" t="n"/>
      <x:c r="AA122" s="139" t="n"/>
      <x:c r="AB122" s="139" t="n"/>
      <x:c r="AC122" s="139" t="n"/>
      <x:c r="AD122" s="139" t="n"/>
      <x:c r="AE122" s="139" t="n"/>
      <x:c r="AF122" s="139" t="n"/>
      <x:c r="AG122" s="139" t="n"/>
      <x:c r="AH122" s="139" t="n"/>
      <x:c r="AI122" s="139" t="n"/>
      <x:c r="AJ122" s="139" t="n"/>
      <x:c r="AK122" s="139" t="n"/>
      <x:c r="AL122" s="139" t="n"/>
      <x:c r="AM122" s="139" t="n"/>
      <x:c r="AN122" s="139" t="n"/>
      <x:c r="AO122" s="139" t="n"/>
      <x:c r="AP122" s="139" t="n"/>
      <x:c r="AQ122" s="139" t="n"/>
      <x:c r="AR122" s="139" t="n"/>
      <x:c r="AS122" s="139" t="n"/>
      <x:c r="AT122" s="139" t="n"/>
      <x:c r="AU122" s="139" t="n"/>
      <x:c r="AV122" s="139" t="n"/>
      <x:c r="AW122" s="139" t="n"/>
      <x:c r="AX122" s="139" t="n"/>
      <x:c r="AY122" s="139" t="n"/>
      <x:c r="AZ122" s="139" t="n"/>
    </x:row>
    <x:row r="123">
      <x:c r="A123" s="139" t="inlineStr">
        <x:is>
          <x:t xml:space="preserve">Reza</x:t>
        </x:is>
      </x:c>
      <x:c r="B123" s="139" t="inlineStr">
        <x:is>
          <x:t xml:space="preserve">Alwin</x:t>
        </x:is>
      </x:c>
      <x:c r="C123" s="139" t="n">
        <x:v>1</x:v>
      </x:c>
      <x:c r="D123" s="139" t="n">
        <x:v>0</x:v>
      </x:c>
      <x:c r="E123" s="139" t="n">
        <x:v>1</x:v>
      </x:c>
      <x:c r="F123" s="93" t="n">
        <x:v>0</x:v>
      </x:c>
      <x:c r="G123" s="93" t="n">
        <x:v>0.3571428571428572</x:v>
      </x:c>
      <x:c r="H123" s="94" t="n">
        <x:v>-0.3571428571428572</x:v>
      </x:c>
      <x:c r="I123" s="139" t="n"/>
      <x:c r="J123" s="139" t="n"/>
      <x:c r="K123" s="139" t="n"/>
      <x:c r="L123" s="139" t="n"/>
      <x:c r="M123" s="139" t="n"/>
      <x:c r="N123" s="139" t="n"/>
      <x:c r="O123" s="139" t="n"/>
      <x:c r="P123" s="139" t="n"/>
      <x:c r="Q123" s="139" t="n"/>
      <x:c r="R123" s="139" t="n"/>
      <x:c r="S123" s="139" t="n"/>
      <x:c r="T123" s="139" t="n"/>
      <x:c r="U123" s="139" t="n"/>
      <x:c r="V123" s="139" t="n"/>
      <x:c r="W123" s="139" t="n"/>
      <x:c r="X123" s="139" t="n"/>
      <x:c r="Y123" s="139" t="n"/>
      <x:c r="Z123" s="139" t="n"/>
      <x:c r="AA123" s="139" t="n"/>
      <x:c r="AB123" s="139" t="n"/>
      <x:c r="AC123" s="139" t="n"/>
      <x:c r="AD123" s="139" t="n"/>
      <x:c r="AE123" s="139" t="n"/>
      <x:c r="AF123" s="139" t="n"/>
      <x:c r="AG123" s="139" t="n"/>
      <x:c r="AH123" s="139" t="n"/>
      <x:c r="AI123" s="139" t="n"/>
      <x:c r="AJ123" s="139" t="n"/>
      <x:c r="AK123" s="139" t="n"/>
      <x:c r="AL123" s="139" t="n"/>
      <x:c r="AM123" s="139" t="n"/>
      <x:c r="AN123" s="139" t="n"/>
      <x:c r="AO123" s="139" t="n"/>
      <x:c r="AP123" s="139" t="n"/>
      <x:c r="AQ123" s="139" t="n"/>
      <x:c r="AR123" s="139" t="n"/>
      <x:c r="AS123" s="139" t="n"/>
      <x:c r="AT123" s="139" t="n"/>
      <x:c r="AU123" s="139" t="n"/>
      <x:c r="AV123" s="139" t="n"/>
      <x:c r="AW123" s="139" t="n"/>
      <x:c r="AX123" s="139" t="n"/>
      <x:c r="AY123" s="139" t="n"/>
      <x:c r="AZ123" s="139" t="n"/>
    </x:row>
    <x:row r="124">
      <x:c r="A124" s="139" t="inlineStr">
        <x:is>
          <x:t xml:space="preserve">Reza</x:t>
        </x:is>
      </x:c>
      <x:c r="B124" s="139" t="inlineStr">
        <x:is>
          <x:t xml:space="preserve">Ricky</x:t>
        </x:is>
      </x:c>
      <x:c r="C124" s="139" t="n">
        <x:v>1</x:v>
      </x:c>
      <x:c r="D124" s="139" t="n">
        <x:v>0</x:v>
      </x:c>
      <x:c r="E124" s="139" t="n">
        <x:v>1</x:v>
      </x:c>
      <x:c r="F124" s="93" t="n">
        <x:v>0</x:v>
      </x:c>
      <x:c r="G124" s="93" t="n">
        <x:v>0.5882352941176471</x:v>
      </x:c>
      <x:c r="H124" s="94" t="n">
        <x:v>-0.5882352941176471</x:v>
      </x:c>
      <x:c r="I124" s="139" t="n"/>
      <x:c r="J124" s="139" t="n"/>
      <x:c r="K124" s="139" t="n"/>
      <x:c r="L124" s="139" t="n"/>
      <x:c r="M124" s="139" t="n"/>
      <x:c r="N124" s="139" t="n"/>
      <x:c r="O124" s="139" t="n"/>
      <x:c r="P124" s="139" t="n"/>
      <x:c r="Q124" s="139" t="n"/>
      <x:c r="R124" s="139" t="n"/>
      <x:c r="S124" s="139" t="n"/>
      <x:c r="T124" s="139" t="n"/>
      <x:c r="U124" s="139" t="n"/>
      <x:c r="V124" s="139" t="n"/>
      <x:c r="W124" s="139" t="n"/>
      <x:c r="X124" s="139" t="n"/>
      <x:c r="Y124" s="139" t="n"/>
      <x:c r="Z124" s="139" t="n"/>
      <x:c r="AA124" s="139" t="n"/>
      <x:c r="AB124" s="139" t="n"/>
      <x:c r="AC124" s="139" t="n"/>
      <x:c r="AD124" s="139" t="n"/>
      <x:c r="AE124" s="139" t="n"/>
      <x:c r="AF124" s="139" t="n"/>
      <x:c r="AG124" s="139" t="n"/>
      <x:c r="AH124" s="139" t="n"/>
      <x:c r="AI124" s="139" t="n"/>
      <x:c r="AJ124" s="139" t="n"/>
      <x:c r="AK124" s="139" t="n"/>
      <x:c r="AL124" s="139" t="n"/>
      <x:c r="AM124" s="139" t="n"/>
      <x:c r="AN124" s="139" t="n"/>
      <x:c r="AO124" s="139" t="n"/>
      <x:c r="AP124" s="139" t="n"/>
      <x:c r="AQ124" s="139" t="n"/>
      <x:c r="AR124" s="139" t="n"/>
      <x:c r="AS124" s="139" t="n"/>
      <x:c r="AT124" s="139" t="n"/>
      <x:c r="AU124" s="139" t="n"/>
      <x:c r="AV124" s="139" t="n"/>
      <x:c r="AW124" s="139" t="n"/>
      <x:c r="AX124" s="139" t="n"/>
      <x:c r="AY124" s="139" t="n"/>
      <x:c r="AZ124" s="139" t="n"/>
    </x:row>
    <x:row r="125">
      <x:c r="A125" s="139" t="inlineStr">
        <x:is>
          <x:t xml:space="preserve">Reza</x:t>
        </x:is>
      </x:c>
      <x:c r="B125" s="139" t="inlineStr">
        <x:is>
          <x:t xml:space="preserve">Kennard</x:t>
        </x:is>
      </x:c>
      <x:c r="C125" s="139" t="n">
        <x:v>1</x:v>
      </x:c>
      <x:c r="D125" s="139" t="n">
        <x:v>0</x:v>
      </x:c>
      <x:c r="E125" s="139" t="n">
        <x:v>1</x:v>
      </x:c>
      <x:c r="F125" s="93" t="n">
        <x:v>0</x:v>
      </x:c>
      <x:c r="G125" s="93" t="n">
        <x:v>0.6190476190476191</x:v>
      </x:c>
      <x:c r="H125" s="94" t="n">
        <x:v>-0.6190476190476191</x:v>
      </x:c>
      <x:c r="I125" s="139" t="n"/>
      <x:c r="J125" s="139" t="n"/>
      <x:c r="K125" s="139" t="n"/>
      <x:c r="L125" s="139" t="n"/>
      <x:c r="M125" s="139" t="n"/>
      <x:c r="N125" s="139" t="n"/>
      <x:c r="O125" s="139" t="n"/>
      <x:c r="P125" s="139" t="n"/>
      <x:c r="Q125" s="139" t="n"/>
      <x:c r="R125" s="139" t="n"/>
      <x:c r="S125" s="139" t="n"/>
      <x:c r="T125" s="139" t="n"/>
      <x:c r="U125" s="139" t="n"/>
      <x:c r="V125" s="139" t="n"/>
      <x:c r="W125" s="139" t="n"/>
      <x:c r="X125" s="139" t="n"/>
      <x:c r="Y125" s="139" t="n"/>
      <x:c r="Z125" s="139" t="n"/>
      <x:c r="AA125" s="139" t="n"/>
      <x:c r="AB125" s="139" t="n"/>
      <x:c r="AC125" s="139" t="n"/>
      <x:c r="AD125" s="139" t="n"/>
      <x:c r="AE125" s="139" t="n"/>
      <x:c r="AF125" s="139" t="n"/>
      <x:c r="AG125" s="139" t="n"/>
      <x:c r="AH125" s="139" t="n"/>
      <x:c r="AI125" s="139" t="n"/>
      <x:c r="AJ125" s="139" t="n"/>
      <x:c r="AK125" s="139" t="n"/>
      <x:c r="AL125" s="139" t="n"/>
      <x:c r="AM125" s="139" t="n"/>
      <x:c r="AN125" s="139" t="n"/>
      <x:c r="AO125" s="139" t="n"/>
      <x:c r="AP125" s="139" t="n"/>
      <x:c r="AQ125" s="139" t="n"/>
      <x:c r="AR125" s="139" t="n"/>
      <x:c r="AS125" s="139" t="n"/>
      <x:c r="AT125" s="139" t="n"/>
      <x:c r="AU125" s="139" t="n"/>
      <x:c r="AV125" s="139" t="n"/>
      <x:c r="AW125" s="139" t="n"/>
      <x:c r="AX125" s="139" t="n"/>
      <x:c r="AY125" s="139" t="n"/>
      <x:c r="AZ125" s="139" t="n"/>
    </x:row>
    <x:row r="126">
      <x:c r="A126" s="139" t="inlineStr">
        <x:is>
          <x:t xml:space="preserve">Ricky</x:t>
        </x:is>
      </x:c>
      <x:c r="B126" s="139" t="inlineStr">
        <x:is>
          <x:t xml:space="preserve">Edy SP</x:t>
        </x:is>
      </x:c>
      <x:c r="C126" s="139" t="n">
        <x:v>4</x:v>
      </x:c>
      <x:c r="D126" s="139" t="n">
        <x:v>3</x:v>
      </x:c>
      <x:c r="E126" s="139" t="n">
        <x:v>1</x:v>
      </x:c>
      <x:c r="F126" s="93" t="n">
        <x:v>0.75</x:v>
      </x:c>
      <x:c r="G126" s="93" t="n">
        <x:v>0.4736842105263158</x:v>
      </x:c>
      <x:c r="H126" s="94" t="n">
        <x:v>0.2763157894736842</x:v>
      </x:c>
      <x:c r="I126" s="139" t="n"/>
      <x:c r="J126" s="139" t="n"/>
      <x:c r="K126" s="139" t="n"/>
      <x:c r="L126" s="139" t="n"/>
      <x:c r="M126" s="139" t="n"/>
      <x:c r="N126" s="139" t="n"/>
      <x:c r="O126" s="139" t="n"/>
      <x:c r="P126" s="139" t="n"/>
      <x:c r="Q126" s="139" t="n"/>
      <x:c r="R126" s="139" t="n"/>
      <x:c r="S126" s="139" t="n"/>
      <x:c r="T126" s="139" t="n"/>
      <x:c r="U126" s="139" t="n"/>
      <x:c r="V126" s="139" t="n"/>
      <x:c r="W126" s="139" t="n"/>
      <x:c r="X126" s="139" t="n"/>
      <x:c r="Y126" s="139" t="n"/>
      <x:c r="Z126" s="139" t="n"/>
      <x:c r="AA126" s="139" t="n"/>
      <x:c r="AB126" s="139" t="n"/>
      <x:c r="AC126" s="139" t="n"/>
      <x:c r="AD126" s="139" t="n"/>
      <x:c r="AE126" s="139" t="n"/>
      <x:c r="AF126" s="139" t="n"/>
      <x:c r="AG126" s="139" t="n"/>
      <x:c r="AH126" s="139" t="n"/>
      <x:c r="AI126" s="139" t="n"/>
      <x:c r="AJ126" s="139" t="n"/>
      <x:c r="AK126" s="139" t="n"/>
      <x:c r="AL126" s="139" t="n"/>
      <x:c r="AM126" s="139" t="n"/>
      <x:c r="AN126" s="139" t="n"/>
      <x:c r="AO126" s="139" t="n"/>
      <x:c r="AP126" s="139" t="n"/>
      <x:c r="AQ126" s="139" t="n"/>
      <x:c r="AR126" s="139" t="n"/>
      <x:c r="AS126" s="139" t="n"/>
      <x:c r="AT126" s="139" t="n"/>
      <x:c r="AU126" s="139" t="n"/>
      <x:c r="AV126" s="139" t="n"/>
      <x:c r="AW126" s="139" t="n"/>
      <x:c r="AX126" s="139" t="n"/>
      <x:c r="AY126" s="139" t="n"/>
      <x:c r="AZ126" s="139" t="n"/>
    </x:row>
    <x:row r="127">
      <x:c r="A127" s="139" t="inlineStr">
        <x:is>
          <x:t xml:space="preserve">Ricky</x:t>
        </x:is>
      </x:c>
      <x:c r="B127" s="139" t="inlineStr">
        <x:is>
          <x:t xml:space="preserve">Rizky</x:t>
        </x:is>
      </x:c>
      <x:c r="C127" s="139" t="n">
        <x:v>2</x:v>
      </x:c>
      <x:c r="D127" s="139" t="n">
        <x:v>2</x:v>
      </x:c>
      <x:c r="E127" s="139" t="n">
        <x:v>0</x:v>
      </x:c>
      <x:c r="F127" s="93" t="n">
        <x:v>1</x:v>
      </x:c>
      <x:c r="G127" s="93" t="n">
        <x:v>0.5714285714285714</x:v>
      </x:c>
      <x:c r="H127" s="94" t="n">
        <x:v>0.4285714285714286</x:v>
      </x:c>
      <x:c r="I127" s="139" t="n"/>
      <x:c r="J127" s="139" t="n"/>
      <x:c r="K127" s="139" t="n"/>
      <x:c r="L127" s="139" t="n"/>
      <x:c r="M127" s="139" t="n"/>
      <x:c r="N127" s="139" t="n"/>
      <x:c r="O127" s="139" t="n"/>
      <x:c r="P127" s="139" t="n"/>
      <x:c r="Q127" s="139" t="n"/>
      <x:c r="R127" s="139" t="n"/>
      <x:c r="S127" s="139" t="n"/>
      <x:c r="T127" s="139" t="n"/>
      <x:c r="U127" s="139" t="n"/>
      <x:c r="V127" s="139" t="n"/>
      <x:c r="W127" s="139" t="n"/>
      <x:c r="X127" s="139" t="n"/>
      <x:c r="Y127" s="139" t="n"/>
      <x:c r="Z127" s="139" t="n"/>
      <x:c r="AA127" s="139" t="n"/>
      <x:c r="AB127" s="139" t="n"/>
      <x:c r="AC127" s="139" t="n"/>
      <x:c r="AD127" s="139" t="n"/>
      <x:c r="AE127" s="139" t="n"/>
      <x:c r="AF127" s="139" t="n"/>
      <x:c r="AG127" s="139" t="n"/>
      <x:c r="AH127" s="139" t="n"/>
      <x:c r="AI127" s="139" t="n"/>
      <x:c r="AJ127" s="139" t="n"/>
      <x:c r="AK127" s="139" t="n"/>
      <x:c r="AL127" s="139" t="n"/>
      <x:c r="AM127" s="139" t="n"/>
      <x:c r="AN127" s="139" t="n"/>
      <x:c r="AO127" s="139" t="n"/>
      <x:c r="AP127" s="139" t="n"/>
      <x:c r="AQ127" s="139" t="n"/>
      <x:c r="AR127" s="139" t="n"/>
      <x:c r="AS127" s="139" t="n"/>
      <x:c r="AT127" s="139" t="n"/>
      <x:c r="AU127" s="139" t="n"/>
      <x:c r="AV127" s="139" t="n"/>
      <x:c r="AW127" s="139" t="n"/>
      <x:c r="AX127" s="139" t="n"/>
      <x:c r="AY127" s="139" t="n"/>
      <x:c r="AZ127" s="139" t="n"/>
    </x:row>
    <x:row r="128">
      <x:c r="A128" s="139" t="inlineStr">
        <x:is>
          <x:t xml:space="preserve">Ricky</x:t>
        </x:is>
      </x:c>
      <x:c r="B128" s="139" t="inlineStr">
        <x:is>
          <x:t xml:space="preserve">Kennard</x:t>
        </x:is>
      </x:c>
      <x:c r="C128" s="139" t="n">
        <x:v>2</x:v>
      </x:c>
      <x:c r="D128" s="139" t="n">
        <x:v>2</x:v>
      </x:c>
      <x:c r="E128" s="139" t="n">
        <x:v>0</x:v>
      </x:c>
      <x:c r="F128" s="93" t="n">
        <x:v>1</x:v>
      </x:c>
      <x:c r="G128" s="93" t="n">
        <x:v>0.6190476190476191</x:v>
      </x:c>
      <x:c r="H128" s="94" t="n">
        <x:v>0.3809523809523809</x:v>
      </x:c>
      <x:c r="I128" s="139" t="n"/>
      <x:c r="J128" s="139" t="n"/>
      <x:c r="K128" s="139" t="n"/>
      <x:c r="L128" s="139" t="n"/>
      <x:c r="M128" s="139" t="n"/>
      <x:c r="N128" s="139" t="n"/>
      <x:c r="O128" s="139" t="n"/>
      <x:c r="P128" s="139" t="n"/>
      <x:c r="Q128" s="139" t="n"/>
      <x:c r="R128" s="139" t="n"/>
      <x:c r="S128" s="139" t="n"/>
      <x:c r="T128" s="139" t="n"/>
      <x:c r="U128" s="139" t="n"/>
      <x:c r="V128" s="139" t="n"/>
      <x:c r="W128" s="139" t="n"/>
      <x:c r="X128" s="139" t="n"/>
      <x:c r="Y128" s="139" t="n"/>
      <x:c r="Z128" s="139" t="n"/>
      <x:c r="AA128" s="139" t="n"/>
      <x:c r="AB128" s="139" t="n"/>
      <x:c r="AC128" s="139" t="n"/>
      <x:c r="AD128" s="139" t="n"/>
      <x:c r="AE128" s="139" t="n"/>
      <x:c r="AF128" s="139" t="n"/>
      <x:c r="AG128" s="139" t="n"/>
      <x:c r="AH128" s="139" t="n"/>
      <x:c r="AI128" s="139" t="n"/>
      <x:c r="AJ128" s="139" t="n"/>
      <x:c r="AK128" s="139" t="n"/>
      <x:c r="AL128" s="139" t="n"/>
      <x:c r="AM128" s="139" t="n"/>
      <x:c r="AN128" s="139" t="n"/>
      <x:c r="AO128" s="139" t="n"/>
      <x:c r="AP128" s="139" t="n"/>
      <x:c r="AQ128" s="139" t="n"/>
      <x:c r="AR128" s="139" t="n"/>
      <x:c r="AS128" s="139" t="n"/>
      <x:c r="AT128" s="139" t="n"/>
      <x:c r="AU128" s="139" t="n"/>
      <x:c r="AV128" s="139" t="n"/>
      <x:c r="AW128" s="139" t="n"/>
      <x:c r="AX128" s="139" t="n"/>
      <x:c r="AY128" s="139" t="n"/>
      <x:c r="AZ128" s="139" t="n"/>
    </x:row>
    <x:row r="129">
      <x:c r="A129" s="139" t="inlineStr">
        <x:is>
          <x:t xml:space="preserve">Ricky</x:t>
        </x:is>
      </x:c>
      <x:c r="B129" s="139" t="inlineStr">
        <x:is>
          <x:t xml:space="preserve">Sandy</x:t>
        </x:is>
      </x:c>
      <x:c r="C129" s="139" t="n">
        <x:v>2</x:v>
      </x:c>
      <x:c r="D129" s="139" t="n">
        <x:v>2</x:v>
      </x:c>
      <x:c r="E129" s="139" t="n">
        <x:v>0</x:v>
      </x:c>
      <x:c r="F129" s="93" t="n">
        <x:v>1</x:v>
      </x:c>
      <x:c r="G129" s="93" t="n">
        <x:v>0.7142857142857143</x:v>
      </x:c>
      <x:c r="H129" s="94" t="n">
        <x:v>0.2857142857142857</x:v>
      </x:c>
      <x:c r="I129" s="139" t="n"/>
      <x:c r="J129" s="139" t="n"/>
      <x:c r="K129" s="139" t="n"/>
      <x:c r="L129" s="139" t="n"/>
      <x:c r="M129" s="139" t="n"/>
      <x:c r="N129" s="139" t="n"/>
      <x:c r="O129" s="139" t="n"/>
      <x:c r="P129" s="139" t="n"/>
      <x:c r="Q129" s="139" t="n"/>
      <x:c r="R129" s="139" t="n"/>
      <x:c r="S129" s="139" t="n"/>
      <x:c r="T129" s="139" t="n"/>
      <x:c r="U129" s="139" t="n"/>
      <x:c r="V129" s="139" t="n"/>
      <x:c r="W129" s="139" t="n"/>
      <x:c r="X129" s="139" t="n"/>
      <x:c r="Y129" s="139" t="n"/>
      <x:c r="Z129" s="139" t="n"/>
      <x:c r="AA129" s="139" t="n"/>
      <x:c r="AB129" s="139" t="n"/>
      <x:c r="AC129" s="139" t="n"/>
      <x:c r="AD129" s="139" t="n"/>
      <x:c r="AE129" s="139" t="n"/>
      <x:c r="AF129" s="139" t="n"/>
      <x:c r="AG129" s="139" t="n"/>
      <x:c r="AH129" s="139" t="n"/>
      <x:c r="AI129" s="139" t="n"/>
      <x:c r="AJ129" s="139" t="n"/>
      <x:c r="AK129" s="139" t="n"/>
      <x:c r="AL129" s="139" t="n"/>
      <x:c r="AM129" s="139" t="n"/>
      <x:c r="AN129" s="139" t="n"/>
      <x:c r="AO129" s="139" t="n"/>
      <x:c r="AP129" s="139" t="n"/>
      <x:c r="AQ129" s="139" t="n"/>
      <x:c r="AR129" s="139" t="n"/>
      <x:c r="AS129" s="139" t="n"/>
      <x:c r="AT129" s="139" t="n"/>
      <x:c r="AU129" s="139" t="n"/>
      <x:c r="AV129" s="139" t="n"/>
      <x:c r="AW129" s="139" t="n"/>
      <x:c r="AX129" s="139" t="n"/>
      <x:c r="AY129" s="139" t="n"/>
      <x:c r="AZ129" s="139" t="n"/>
    </x:row>
    <x:row r="130">
      <x:c r="A130" s="139" t="inlineStr">
        <x:is>
          <x:t xml:space="preserve">Ricky</x:t>
        </x:is>
      </x:c>
      <x:c r="B130" s="139" t="inlineStr">
        <x:is>
          <x:t xml:space="preserve">David</x:t>
        </x:is>
      </x:c>
      <x:c r="C130" s="139" t="n">
        <x:v>2</x:v>
      </x:c>
      <x:c r="D130" s="139" t="n">
        <x:v>1</x:v>
      </x:c>
      <x:c r="E130" s="139" t="n">
        <x:v>1</x:v>
      </x:c>
      <x:c r="F130" s="93" t="n">
        <x:v>0.5</x:v>
      </x:c>
      <x:c r="G130" s="93" t="n">
        <x:v>0.45</x:v>
      </x:c>
      <x:c r="H130" s="94" t="n">
        <x:v>0.04999999999999999</x:v>
      </x:c>
      <x:c r="I130" s="139" t="n"/>
      <x:c r="J130" s="139" t="n"/>
      <x:c r="K130" s="139" t="n"/>
      <x:c r="L130" s="139" t="n"/>
      <x:c r="M130" s="139" t="n"/>
      <x:c r="N130" s="139" t="n"/>
      <x:c r="O130" s="139" t="n"/>
      <x:c r="P130" s="139" t="n"/>
      <x:c r="Q130" s="139" t="n"/>
      <x:c r="R130" s="139" t="n"/>
      <x:c r="S130" s="139" t="n"/>
      <x:c r="T130" s="139" t="n"/>
      <x:c r="U130" s="139" t="n"/>
      <x:c r="V130" s="139" t="n"/>
      <x:c r="W130" s="139" t="n"/>
      <x:c r="X130" s="139" t="n"/>
      <x:c r="Y130" s="139" t="n"/>
      <x:c r="Z130" s="139" t="n"/>
      <x:c r="AA130" s="139" t="n"/>
      <x:c r="AB130" s="139" t="n"/>
      <x:c r="AC130" s="139" t="n"/>
      <x:c r="AD130" s="139" t="n"/>
      <x:c r="AE130" s="139" t="n"/>
      <x:c r="AF130" s="139" t="n"/>
      <x:c r="AG130" s="139" t="n"/>
      <x:c r="AH130" s="139" t="n"/>
      <x:c r="AI130" s="139" t="n"/>
      <x:c r="AJ130" s="139" t="n"/>
      <x:c r="AK130" s="139" t="n"/>
      <x:c r="AL130" s="139" t="n"/>
      <x:c r="AM130" s="139" t="n"/>
      <x:c r="AN130" s="139" t="n"/>
      <x:c r="AO130" s="139" t="n"/>
      <x:c r="AP130" s="139" t="n"/>
      <x:c r="AQ130" s="139" t="n"/>
      <x:c r="AR130" s="139" t="n"/>
      <x:c r="AS130" s="139" t="n"/>
      <x:c r="AT130" s="139" t="n"/>
      <x:c r="AU130" s="139" t="n"/>
      <x:c r="AV130" s="139" t="n"/>
      <x:c r="AW130" s="139" t="n"/>
      <x:c r="AX130" s="139" t="n"/>
      <x:c r="AY130" s="139" t="n"/>
      <x:c r="AZ130" s="139" t="n"/>
    </x:row>
    <x:row r="131">
      <x:c r="A131" s="139" t="inlineStr">
        <x:is>
          <x:t xml:space="preserve">Ricky</x:t>
        </x:is>
      </x:c>
      <x:c r="B131" s="139" t="inlineStr">
        <x:is>
          <x:t xml:space="preserve">Michael</x:t>
        </x:is>
      </x:c>
      <x:c r="C131" s="139" t="n">
        <x:v>2</x:v>
      </x:c>
      <x:c r="D131" s="139" t="n">
        <x:v>1</x:v>
      </x:c>
      <x:c r="E131" s="139" t="n">
        <x:v>1</x:v>
      </x:c>
      <x:c r="F131" s="93" t="n">
        <x:v>0.5</x:v>
      </x:c>
      <x:c r="G131" s="93" t="n">
        <x:v>0.4761904761904762</x:v>
      </x:c>
      <x:c r="H131" s="94" t="n">
        <x:v>0.02380952380952384</x:v>
      </x:c>
      <x:c r="I131" s="139" t="n"/>
      <x:c r="J131" s="139" t="n"/>
      <x:c r="K131" s="139" t="n"/>
      <x:c r="L131" s="139" t="n"/>
      <x:c r="M131" s="139" t="n"/>
      <x:c r="N131" s="139" t="n"/>
      <x:c r="O131" s="139" t="n"/>
      <x:c r="P131" s="139" t="n"/>
      <x:c r="Q131" s="139" t="n"/>
      <x:c r="R131" s="139" t="n"/>
      <x:c r="S131" s="139" t="n"/>
      <x:c r="T131" s="139" t="n"/>
      <x:c r="U131" s="139" t="n"/>
      <x:c r="V131" s="139" t="n"/>
      <x:c r="W131" s="139" t="n"/>
      <x:c r="X131" s="139" t="n"/>
      <x:c r="Y131" s="139" t="n"/>
      <x:c r="Z131" s="139" t="n"/>
      <x:c r="AA131" s="139" t="n"/>
      <x:c r="AB131" s="139" t="n"/>
      <x:c r="AC131" s="139" t="n"/>
      <x:c r="AD131" s="139" t="n"/>
      <x:c r="AE131" s="139" t="n"/>
      <x:c r="AF131" s="139" t="n"/>
      <x:c r="AG131" s="139" t="n"/>
      <x:c r="AH131" s="139" t="n"/>
      <x:c r="AI131" s="139" t="n"/>
      <x:c r="AJ131" s="139" t="n"/>
      <x:c r="AK131" s="139" t="n"/>
      <x:c r="AL131" s="139" t="n"/>
      <x:c r="AM131" s="139" t="n"/>
      <x:c r="AN131" s="139" t="n"/>
      <x:c r="AO131" s="139" t="n"/>
      <x:c r="AP131" s="139" t="n"/>
      <x:c r="AQ131" s="139" t="n"/>
      <x:c r="AR131" s="139" t="n"/>
      <x:c r="AS131" s="139" t="n"/>
      <x:c r="AT131" s="139" t="n"/>
      <x:c r="AU131" s="139" t="n"/>
      <x:c r="AV131" s="139" t="n"/>
      <x:c r="AW131" s="139" t="n"/>
      <x:c r="AX131" s="139" t="n"/>
      <x:c r="AY131" s="139" t="n"/>
      <x:c r="AZ131" s="139" t="n"/>
    </x:row>
    <x:row r="132">
      <x:c r="A132" s="139" t="inlineStr">
        <x:is>
          <x:t xml:space="preserve">Ricky</x:t>
        </x:is>
      </x:c>
      <x:c r="B132" s="139" t="inlineStr">
        <x:is>
          <x:t xml:space="preserve">Hansen</x:t>
        </x:is>
      </x:c>
      <x:c r="C132" s="139" t="n">
        <x:v>2</x:v>
      </x:c>
      <x:c r="D132" s="139" t="n">
        <x:v>0</x:v>
      </x:c>
      <x:c r="E132" s="139" t="n">
        <x:v>2</x:v>
      </x:c>
      <x:c r="F132" s="93" t="n">
        <x:v>0</x:v>
      </x:c>
      <x:c r="G132" s="93" t="n">
        <x:v>0.2857142857142857</x:v>
      </x:c>
      <x:c r="H132" s="94" t="n">
        <x:v>-0.2857142857142857</x:v>
      </x:c>
      <x:c r="I132" s="139" t="n"/>
      <x:c r="J132" s="139" t="n"/>
      <x:c r="K132" s="139" t="n"/>
      <x:c r="L132" s="139" t="n"/>
      <x:c r="M132" s="139" t="n"/>
      <x:c r="N132" s="139" t="n"/>
      <x:c r="O132" s="139" t="n"/>
      <x:c r="P132" s="139" t="n"/>
      <x:c r="Q132" s="139" t="n"/>
      <x:c r="R132" s="139" t="n"/>
      <x:c r="S132" s="139" t="n"/>
      <x:c r="T132" s="139" t="n"/>
      <x:c r="U132" s="139" t="n"/>
      <x:c r="V132" s="139" t="n"/>
      <x:c r="W132" s="139" t="n"/>
      <x:c r="X132" s="139" t="n"/>
      <x:c r="Y132" s="139" t="n"/>
      <x:c r="Z132" s="139" t="n"/>
      <x:c r="AA132" s="139" t="n"/>
      <x:c r="AB132" s="139" t="n"/>
      <x:c r="AC132" s="139" t="n"/>
      <x:c r="AD132" s="139" t="n"/>
      <x:c r="AE132" s="139" t="n"/>
      <x:c r="AF132" s="139" t="n"/>
      <x:c r="AG132" s="139" t="n"/>
      <x:c r="AH132" s="139" t="n"/>
      <x:c r="AI132" s="139" t="n"/>
      <x:c r="AJ132" s="139" t="n"/>
      <x:c r="AK132" s="139" t="n"/>
      <x:c r="AL132" s="139" t="n"/>
      <x:c r="AM132" s="139" t="n"/>
      <x:c r="AN132" s="139" t="n"/>
      <x:c r="AO132" s="139" t="n"/>
      <x:c r="AP132" s="139" t="n"/>
      <x:c r="AQ132" s="139" t="n"/>
      <x:c r="AR132" s="139" t="n"/>
      <x:c r="AS132" s="139" t="n"/>
      <x:c r="AT132" s="139" t="n"/>
      <x:c r="AU132" s="139" t="n"/>
      <x:c r="AV132" s="139" t="n"/>
      <x:c r="AW132" s="139" t="n"/>
      <x:c r="AX132" s="139" t="n"/>
      <x:c r="AY132" s="139" t="n"/>
      <x:c r="AZ132" s="139" t="n"/>
    </x:row>
    <x:row r="133">
      <x:c r="A133" s="139" t="inlineStr">
        <x:is>
          <x:t xml:space="preserve">Ricky</x:t>
        </x:is>
      </x:c>
      <x:c r="B133" s="139" t="inlineStr">
        <x:is>
          <x:t xml:space="preserve">Nico</x:t>
        </x:is>
      </x:c>
      <x:c r="C133" s="139" t="n">
        <x:v>1</x:v>
      </x:c>
      <x:c r="D133" s="139" t="n">
        <x:v>1</x:v>
      </x:c>
      <x:c r="E133" s="139" t="n">
        <x:v>0</x:v>
      </x:c>
      <x:c r="F133" s="93" t="n">
        <x:v>1</x:v>
      </x:c>
      <x:c r="G133" s="93" t="n">
        <x:v>0.4285714285714285</x:v>
      </x:c>
      <x:c r="H133" s="94" t="n">
        <x:v>0.5714285714285714</x:v>
      </x:c>
      <x:c r="I133" s="139" t="n"/>
      <x:c r="J133" s="139" t="n"/>
      <x:c r="K133" s="139" t="n"/>
      <x:c r="L133" s="139" t="n"/>
      <x:c r="M133" s="139" t="n"/>
      <x:c r="N133" s="139" t="n"/>
      <x:c r="O133" s="139" t="n"/>
      <x:c r="P133" s="139" t="n"/>
      <x:c r="Q133" s="139" t="n"/>
      <x:c r="R133" s="139" t="n"/>
      <x:c r="S133" s="139" t="n"/>
      <x:c r="T133" s="139" t="n"/>
      <x:c r="U133" s="139" t="n"/>
      <x:c r="V133" s="139" t="n"/>
      <x:c r="W133" s="139" t="n"/>
      <x:c r="X133" s="139" t="n"/>
      <x:c r="Y133" s="139" t="n"/>
      <x:c r="Z133" s="139" t="n"/>
      <x:c r="AA133" s="139" t="n"/>
      <x:c r="AB133" s="139" t="n"/>
      <x:c r="AC133" s="139" t="n"/>
      <x:c r="AD133" s="139" t="n"/>
      <x:c r="AE133" s="139" t="n"/>
      <x:c r="AF133" s="139" t="n"/>
      <x:c r="AG133" s="139" t="n"/>
      <x:c r="AH133" s="139" t="n"/>
      <x:c r="AI133" s="139" t="n"/>
      <x:c r="AJ133" s="139" t="n"/>
      <x:c r="AK133" s="139" t="n"/>
      <x:c r="AL133" s="139" t="n"/>
      <x:c r="AM133" s="139" t="n"/>
      <x:c r="AN133" s="139" t="n"/>
      <x:c r="AO133" s="139" t="n"/>
      <x:c r="AP133" s="139" t="n"/>
      <x:c r="AQ133" s="139" t="n"/>
      <x:c r="AR133" s="139" t="n"/>
      <x:c r="AS133" s="139" t="n"/>
      <x:c r="AT133" s="139" t="n"/>
      <x:c r="AU133" s="139" t="n"/>
      <x:c r="AV133" s="139" t="n"/>
      <x:c r="AW133" s="139" t="n"/>
      <x:c r="AX133" s="139" t="n"/>
      <x:c r="AY133" s="139" t="n"/>
      <x:c r="AZ133" s="139" t="n"/>
    </x:row>
    <x:row r="134">
      <x:c r="A134" s="139" t="inlineStr">
        <x:is>
          <x:t xml:space="preserve">Ricky</x:t>
        </x:is>
      </x:c>
      <x:c r="B134" s="139" t="inlineStr">
        <x:is>
          <x:t xml:space="preserve">Nicholas</x:t>
        </x:is>
      </x:c>
      <x:c r="C134" s="139" t="n">
        <x:v>1</x:v>
      </x:c>
      <x:c r="D134" s="139" t="n">
        <x:v>1</x:v>
      </x:c>
      <x:c r="E134" s="139" t="n">
        <x:v>0</x:v>
      </x:c>
      <x:c r="F134" s="93" t="n">
        <x:v>1</x:v>
      </x:c>
      <x:c r="G134" s="93" t="n">
        <x:v>0.4666666666666667</x:v>
      </x:c>
      <x:c r="H134" s="94" t="n">
        <x:v>0.5333333333333333</x:v>
      </x:c>
      <x:c r="I134" s="139" t="n"/>
      <x:c r="J134" s="139" t="n"/>
      <x:c r="K134" s="139" t="n"/>
      <x:c r="L134" s="139" t="n"/>
      <x:c r="M134" s="139" t="n"/>
      <x:c r="N134" s="139" t="n"/>
      <x:c r="O134" s="139" t="n"/>
      <x:c r="P134" s="139" t="n"/>
      <x:c r="Q134" s="139" t="n"/>
      <x:c r="R134" s="139" t="n"/>
      <x:c r="S134" s="139" t="n"/>
      <x:c r="T134" s="139" t="n"/>
      <x:c r="U134" s="139" t="n"/>
      <x:c r="V134" s="139" t="n"/>
      <x:c r="W134" s="139" t="n"/>
      <x:c r="X134" s="139" t="n"/>
      <x:c r="Y134" s="139" t="n"/>
      <x:c r="Z134" s="139" t="n"/>
      <x:c r="AA134" s="139" t="n"/>
      <x:c r="AB134" s="139" t="n"/>
      <x:c r="AC134" s="139" t="n"/>
      <x:c r="AD134" s="139" t="n"/>
      <x:c r="AE134" s="139" t="n"/>
      <x:c r="AF134" s="139" t="n"/>
      <x:c r="AG134" s="139" t="n"/>
      <x:c r="AH134" s="139" t="n"/>
      <x:c r="AI134" s="139" t="n"/>
      <x:c r="AJ134" s="139" t="n"/>
      <x:c r="AK134" s="139" t="n"/>
      <x:c r="AL134" s="139" t="n"/>
      <x:c r="AM134" s="139" t="n"/>
      <x:c r="AN134" s="139" t="n"/>
      <x:c r="AO134" s="139" t="n"/>
      <x:c r="AP134" s="139" t="n"/>
      <x:c r="AQ134" s="139" t="n"/>
      <x:c r="AR134" s="139" t="n"/>
      <x:c r="AS134" s="139" t="n"/>
      <x:c r="AT134" s="139" t="n"/>
      <x:c r="AU134" s="139" t="n"/>
      <x:c r="AV134" s="139" t="n"/>
      <x:c r="AW134" s="139" t="n"/>
      <x:c r="AX134" s="139" t="n"/>
      <x:c r="AY134" s="139" t="n"/>
      <x:c r="AZ134" s="139" t="n"/>
    </x:row>
    <x:row r="135">
      <x:c r="A135" s="139" t="inlineStr">
        <x:is>
          <x:t xml:space="preserve">Ricky</x:t>
        </x:is>
      </x:c>
      <x:c r="B135" s="139" t="inlineStr">
        <x:is>
          <x:t xml:space="preserve">Jonathan</x:t>
        </x:is>
      </x:c>
      <x:c r="C135" s="139" t="n">
        <x:v>1</x:v>
      </x:c>
      <x:c r="D135" s="139" t="n">
        <x:v>1</x:v>
      </x:c>
      <x:c r="E135" s="139" t="n">
        <x:v>0</x:v>
      </x:c>
      <x:c r="F135" s="93" t="n">
        <x:v>1</x:v>
      </x:c>
      <x:c r="G135" s="93" t="n">
        <x:v>0.5714285714285714</x:v>
      </x:c>
      <x:c r="H135" s="94" t="n">
        <x:v>0.4285714285714286</x:v>
      </x:c>
      <x:c r="I135" s="139" t="n"/>
      <x:c r="J135" s="139" t="n"/>
      <x:c r="K135" s="139" t="n"/>
      <x:c r="L135" s="139" t="n"/>
      <x:c r="M135" s="139" t="n"/>
      <x:c r="N135" s="139" t="n"/>
      <x:c r="O135" s="139" t="n"/>
      <x:c r="P135" s="139" t="n"/>
      <x:c r="Q135" s="139" t="n"/>
      <x:c r="R135" s="139" t="n"/>
      <x:c r="S135" s="139" t="n"/>
      <x:c r="T135" s="139" t="n"/>
      <x:c r="U135" s="139" t="n"/>
      <x:c r="V135" s="139" t="n"/>
      <x:c r="W135" s="139" t="n"/>
      <x:c r="X135" s="139" t="n"/>
      <x:c r="Y135" s="139" t="n"/>
      <x:c r="Z135" s="139" t="n"/>
      <x:c r="AA135" s="139" t="n"/>
      <x:c r="AB135" s="139" t="n"/>
      <x:c r="AC135" s="139" t="n"/>
      <x:c r="AD135" s="139" t="n"/>
      <x:c r="AE135" s="139" t="n"/>
      <x:c r="AF135" s="139" t="n"/>
      <x:c r="AG135" s="139" t="n"/>
      <x:c r="AH135" s="139" t="n"/>
      <x:c r="AI135" s="139" t="n"/>
      <x:c r="AJ135" s="139" t="n"/>
      <x:c r="AK135" s="139" t="n"/>
      <x:c r="AL135" s="139" t="n"/>
      <x:c r="AM135" s="139" t="n"/>
      <x:c r="AN135" s="139" t="n"/>
      <x:c r="AO135" s="139" t="n"/>
      <x:c r="AP135" s="139" t="n"/>
      <x:c r="AQ135" s="139" t="n"/>
      <x:c r="AR135" s="139" t="n"/>
      <x:c r="AS135" s="139" t="n"/>
      <x:c r="AT135" s="139" t="n"/>
      <x:c r="AU135" s="139" t="n"/>
      <x:c r="AV135" s="139" t="n"/>
      <x:c r="AW135" s="139" t="n"/>
      <x:c r="AX135" s="139" t="n"/>
      <x:c r="AY135" s="139" t="n"/>
      <x:c r="AZ135" s="139" t="n"/>
    </x:row>
    <x:row r="136">
      <x:c r="A136" s="139" t="inlineStr">
        <x:is>
          <x:t xml:space="preserve">Ricky</x:t>
        </x:is>
      </x:c>
      <x:c r="B136" s="139" t="inlineStr">
        <x:is>
          <x:t xml:space="preserve">Austin</x:t>
        </x:is>
      </x:c>
      <x:c r="C136" s="139" t="n">
        <x:v>1</x:v>
      </x:c>
      <x:c r="D136" s="139" t="n">
        <x:v>1</x:v>
      </x:c>
      <x:c r="E136" s="139" t="n">
        <x:v>0</x:v>
      </x:c>
      <x:c r="F136" s="93" t="n">
        <x:v>1</x:v>
      </x:c>
      <x:c r="G136" s="93" t="n">
        <x:v>0.5909090909090909</x:v>
      </x:c>
      <x:c r="H136" s="94" t="n">
        <x:v>0.4090909090909091</x:v>
      </x:c>
      <x:c r="I136" s="139" t="n"/>
      <x:c r="J136" s="139" t="n"/>
      <x:c r="K136" s="139" t="n"/>
      <x:c r="L136" s="139" t="n"/>
      <x:c r="M136" s="139" t="n"/>
      <x:c r="N136" s="139" t="n"/>
      <x:c r="O136" s="139" t="n"/>
      <x:c r="P136" s="139" t="n"/>
      <x:c r="Q136" s="139" t="n"/>
      <x:c r="R136" s="139" t="n"/>
      <x:c r="S136" s="139" t="n"/>
      <x:c r="T136" s="139" t="n"/>
      <x:c r="U136" s="139" t="n"/>
      <x:c r="V136" s="139" t="n"/>
      <x:c r="W136" s="139" t="n"/>
      <x:c r="X136" s="139" t="n"/>
      <x:c r="Y136" s="139" t="n"/>
      <x:c r="Z136" s="139" t="n"/>
      <x:c r="AA136" s="139" t="n"/>
      <x:c r="AB136" s="139" t="n"/>
      <x:c r="AC136" s="139" t="n"/>
      <x:c r="AD136" s="139" t="n"/>
      <x:c r="AE136" s="139" t="n"/>
      <x:c r="AF136" s="139" t="n"/>
      <x:c r="AG136" s="139" t="n"/>
      <x:c r="AH136" s="139" t="n"/>
      <x:c r="AI136" s="139" t="n"/>
      <x:c r="AJ136" s="139" t="n"/>
      <x:c r="AK136" s="139" t="n"/>
      <x:c r="AL136" s="139" t="n"/>
      <x:c r="AM136" s="139" t="n"/>
      <x:c r="AN136" s="139" t="n"/>
      <x:c r="AO136" s="139" t="n"/>
      <x:c r="AP136" s="139" t="n"/>
      <x:c r="AQ136" s="139" t="n"/>
      <x:c r="AR136" s="139" t="n"/>
      <x:c r="AS136" s="139" t="n"/>
      <x:c r="AT136" s="139" t="n"/>
      <x:c r="AU136" s="139" t="n"/>
      <x:c r="AV136" s="139" t="n"/>
      <x:c r="AW136" s="139" t="n"/>
      <x:c r="AX136" s="139" t="n"/>
      <x:c r="AY136" s="139" t="n"/>
      <x:c r="AZ136" s="139" t="n"/>
    </x:row>
    <x:row r="137">
      <x:c r="A137" s="139" t="inlineStr">
        <x:is>
          <x:t xml:space="preserve">Ricky</x:t>
        </x:is>
      </x:c>
      <x:c r="B137" s="139" t="inlineStr">
        <x:is>
          <x:t xml:space="preserve">Rey</x:t>
        </x:is>
      </x:c>
      <x:c r="C137" s="139" t="n">
        <x:v>1</x:v>
      </x:c>
      <x:c r="D137" s="139" t="n">
        <x:v>1</x:v>
      </x:c>
      <x:c r="E137" s="139" t="n">
        <x:v>0</x:v>
      </x:c>
      <x:c r="F137" s="93" t="n">
        <x:v>1</x:v>
      </x:c>
      <x:c r="G137" s="93" t="n">
        <x:v>0.6</x:v>
      </x:c>
      <x:c r="H137" s="94" t="n">
        <x:v>0.4</x:v>
      </x:c>
      <x:c r="I137" s="139" t="n"/>
      <x:c r="J137" s="139" t="n"/>
      <x:c r="K137" s="139" t="n"/>
      <x:c r="L137" s="139" t="n"/>
      <x:c r="M137" s="139" t="n"/>
      <x:c r="N137" s="139" t="n"/>
      <x:c r="O137" s="139" t="n"/>
      <x:c r="P137" s="139" t="n"/>
      <x:c r="Q137" s="139" t="n"/>
      <x:c r="R137" s="139" t="n"/>
      <x:c r="S137" s="139" t="n"/>
      <x:c r="T137" s="139" t="n"/>
      <x:c r="U137" s="139" t="n"/>
      <x:c r="V137" s="139" t="n"/>
      <x:c r="W137" s="139" t="n"/>
      <x:c r="X137" s="139" t="n"/>
      <x:c r="Y137" s="139" t="n"/>
      <x:c r="Z137" s="139" t="n"/>
      <x:c r="AA137" s="139" t="n"/>
      <x:c r="AB137" s="139" t="n"/>
      <x:c r="AC137" s="139" t="n"/>
      <x:c r="AD137" s="139" t="n"/>
      <x:c r="AE137" s="139" t="n"/>
      <x:c r="AF137" s="139" t="n"/>
      <x:c r="AG137" s="139" t="n"/>
      <x:c r="AH137" s="139" t="n"/>
      <x:c r="AI137" s="139" t="n"/>
      <x:c r="AJ137" s="139" t="n"/>
      <x:c r="AK137" s="139" t="n"/>
      <x:c r="AL137" s="139" t="n"/>
      <x:c r="AM137" s="139" t="n"/>
      <x:c r="AN137" s="139" t="n"/>
      <x:c r="AO137" s="139" t="n"/>
      <x:c r="AP137" s="139" t="n"/>
      <x:c r="AQ137" s="139" t="n"/>
      <x:c r="AR137" s="139" t="n"/>
      <x:c r="AS137" s="139" t="n"/>
      <x:c r="AT137" s="139" t="n"/>
      <x:c r="AU137" s="139" t="n"/>
      <x:c r="AV137" s="139" t="n"/>
      <x:c r="AW137" s="139" t="n"/>
      <x:c r="AX137" s="139" t="n"/>
      <x:c r="AY137" s="139" t="n"/>
      <x:c r="AZ137" s="139" t="n"/>
    </x:row>
    <x:row r="138">
      <x:c r="A138" s="139" t="inlineStr">
        <x:is>
          <x:t xml:space="preserve">Ricky</x:t>
        </x:is>
      </x:c>
      <x:c r="B138" s="139" t="inlineStr">
        <x:is>
          <x:t xml:space="preserve">Alice</x:t>
        </x:is>
      </x:c>
      <x:c r="C138" s="139" t="n">
        <x:v>1</x:v>
      </x:c>
      <x:c r="D138" s="139" t="n">
        <x:v>0</x:v>
      </x:c>
      <x:c r="E138" s="139" t="n">
        <x:v>1</x:v>
      </x:c>
      <x:c r="F138" s="93" t="n">
        <x:v>0</x:v>
      </x:c>
      <x:c r="G138" s="93" t="n">
        <x:v>0.2272727272727273</x:v>
      </x:c>
      <x:c r="H138" s="94" t="n">
        <x:v>-0.2272727272727273</x:v>
      </x:c>
      <x:c r="I138" s="139" t="n"/>
      <x:c r="J138" s="139" t="n"/>
      <x:c r="K138" s="139" t="n"/>
      <x:c r="L138" s="139" t="n"/>
      <x:c r="M138" s="139" t="n"/>
      <x:c r="N138" s="139" t="n"/>
      <x:c r="O138" s="139" t="n"/>
      <x:c r="P138" s="139" t="n"/>
      <x:c r="Q138" s="139" t="n"/>
      <x:c r="R138" s="139" t="n"/>
      <x:c r="S138" s="139" t="n"/>
      <x:c r="T138" s="139" t="n"/>
      <x:c r="U138" s="139" t="n"/>
      <x:c r="V138" s="139" t="n"/>
      <x:c r="W138" s="139" t="n"/>
      <x:c r="X138" s="139" t="n"/>
      <x:c r="Y138" s="139" t="n"/>
      <x:c r="Z138" s="139" t="n"/>
      <x:c r="AA138" s="139" t="n"/>
      <x:c r="AB138" s="139" t="n"/>
      <x:c r="AC138" s="139" t="n"/>
      <x:c r="AD138" s="139" t="n"/>
      <x:c r="AE138" s="139" t="n"/>
      <x:c r="AF138" s="139" t="n"/>
      <x:c r="AG138" s="139" t="n"/>
      <x:c r="AH138" s="139" t="n"/>
      <x:c r="AI138" s="139" t="n"/>
      <x:c r="AJ138" s="139" t="n"/>
      <x:c r="AK138" s="139" t="n"/>
      <x:c r="AL138" s="139" t="n"/>
      <x:c r="AM138" s="139" t="n"/>
      <x:c r="AN138" s="139" t="n"/>
      <x:c r="AO138" s="139" t="n"/>
      <x:c r="AP138" s="139" t="n"/>
      <x:c r="AQ138" s="139" t="n"/>
      <x:c r="AR138" s="139" t="n"/>
      <x:c r="AS138" s="139" t="n"/>
      <x:c r="AT138" s="139" t="n"/>
      <x:c r="AU138" s="139" t="n"/>
      <x:c r="AV138" s="139" t="n"/>
      <x:c r="AW138" s="139" t="n"/>
      <x:c r="AX138" s="139" t="n"/>
      <x:c r="AY138" s="139" t="n"/>
      <x:c r="AZ138" s="139" t="n"/>
    </x:row>
    <x:row r="139">
      <x:c r="A139" s="139" t="inlineStr">
        <x:is>
          <x:t xml:space="preserve">Ricky</x:t>
        </x:is>
      </x:c>
      <x:c r="B139" s="139" t="inlineStr">
        <x:is>
          <x:t xml:space="preserve">Welly</x:t>
        </x:is>
      </x:c>
      <x:c r="C139" s="139" t="n">
        <x:v>1</x:v>
      </x:c>
      <x:c r="D139" s="139" t="n">
        <x:v>0</x:v>
      </x:c>
      <x:c r="E139" s="139" t="n">
        <x:v>1</x:v>
      </x:c>
      <x:c r="F139" s="93" t="n">
        <x:v>0</x:v>
      </x:c>
      <x:c r="G139" s="93" t="n">
        <x:v>0.3333333333333333</x:v>
      </x:c>
      <x:c r="H139" s="94" t="n">
        <x:v>-0.3333333333333333</x:v>
      </x:c>
      <x:c r="I139" s="139" t="n"/>
      <x:c r="J139" s="139" t="n"/>
      <x:c r="K139" s="139" t="n"/>
      <x:c r="L139" s="139" t="n"/>
      <x:c r="M139" s="139" t="n"/>
      <x:c r="N139" s="139" t="n"/>
      <x:c r="O139" s="139" t="n"/>
      <x:c r="P139" s="139" t="n"/>
      <x:c r="Q139" s="139" t="n"/>
      <x:c r="R139" s="139" t="n"/>
      <x:c r="S139" s="139" t="n"/>
      <x:c r="T139" s="139" t="n"/>
      <x:c r="U139" s="139" t="n"/>
      <x:c r="V139" s="139" t="n"/>
      <x:c r="W139" s="139" t="n"/>
      <x:c r="X139" s="139" t="n"/>
      <x:c r="Y139" s="139" t="n"/>
      <x:c r="Z139" s="139" t="n"/>
      <x:c r="AA139" s="139" t="n"/>
      <x:c r="AB139" s="139" t="n"/>
      <x:c r="AC139" s="139" t="n"/>
      <x:c r="AD139" s="139" t="n"/>
      <x:c r="AE139" s="139" t="n"/>
      <x:c r="AF139" s="139" t="n"/>
      <x:c r="AG139" s="139" t="n"/>
      <x:c r="AH139" s="139" t="n"/>
      <x:c r="AI139" s="139" t="n"/>
      <x:c r="AJ139" s="139" t="n"/>
      <x:c r="AK139" s="139" t="n"/>
      <x:c r="AL139" s="139" t="n"/>
      <x:c r="AM139" s="139" t="n"/>
      <x:c r="AN139" s="139" t="n"/>
      <x:c r="AO139" s="139" t="n"/>
      <x:c r="AP139" s="139" t="n"/>
      <x:c r="AQ139" s="139" t="n"/>
      <x:c r="AR139" s="139" t="n"/>
      <x:c r="AS139" s="139" t="n"/>
      <x:c r="AT139" s="139" t="n"/>
      <x:c r="AU139" s="139" t="n"/>
      <x:c r="AV139" s="139" t="n"/>
      <x:c r="AW139" s="139" t="n"/>
      <x:c r="AX139" s="139" t="n"/>
      <x:c r="AY139" s="139" t="n"/>
      <x:c r="AZ139" s="139" t="n"/>
    </x:row>
    <x:row r="140">
      <x:c r="A140" s="139" t="inlineStr">
        <x:is>
          <x:t xml:space="preserve">Ricky</x:t>
        </x:is>
      </x:c>
      <x:c r="B140" s="139" t="inlineStr">
        <x:is>
          <x:t xml:space="preserve">Donny</x:t>
        </x:is>
      </x:c>
      <x:c r="C140" s="139" t="n">
        <x:v>1</x:v>
      </x:c>
      <x:c r="D140" s="139" t="n">
        <x:v>0</x:v>
      </x:c>
      <x:c r="E140" s="139" t="n">
        <x:v>1</x:v>
      </x:c>
      <x:c r="F140" s="93" t="n">
        <x:v>0</x:v>
      </x:c>
      <x:c r="G140" s="93" t="n">
        <x:v>0.4210526315789473</x:v>
      </x:c>
      <x:c r="H140" s="94" t="n">
        <x:v>-0.4210526315789473</x:v>
      </x:c>
      <x:c r="I140" s="139" t="n"/>
      <x:c r="J140" s="139" t="n"/>
      <x:c r="K140" s="139" t="n"/>
      <x:c r="L140" s="139" t="n"/>
      <x:c r="M140" s="139" t="n"/>
      <x:c r="N140" s="139" t="n"/>
      <x:c r="O140" s="139" t="n"/>
      <x:c r="P140" s="139" t="n"/>
      <x:c r="Q140" s="139" t="n"/>
      <x:c r="R140" s="139" t="n"/>
      <x:c r="S140" s="139" t="n"/>
      <x:c r="T140" s="139" t="n"/>
      <x:c r="U140" s="139" t="n"/>
      <x:c r="V140" s="139" t="n"/>
      <x:c r="W140" s="139" t="n"/>
      <x:c r="X140" s="139" t="n"/>
      <x:c r="Y140" s="139" t="n"/>
      <x:c r="Z140" s="139" t="n"/>
      <x:c r="AA140" s="139" t="n"/>
      <x:c r="AB140" s="139" t="n"/>
      <x:c r="AC140" s="139" t="n"/>
      <x:c r="AD140" s="139" t="n"/>
      <x:c r="AE140" s="139" t="n"/>
      <x:c r="AF140" s="139" t="n"/>
      <x:c r="AG140" s="139" t="n"/>
      <x:c r="AH140" s="139" t="n"/>
      <x:c r="AI140" s="139" t="n"/>
      <x:c r="AJ140" s="139" t="n"/>
      <x:c r="AK140" s="139" t="n"/>
      <x:c r="AL140" s="139" t="n"/>
      <x:c r="AM140" s="139" t="n"/>
      <x:c r="AN140" s="139" t="n"/>
      <x:c r="AO140" s="139" t="n"/>
      <x:c r="AP140" s="139" t="n"/>
      <x:c r="AQ140" s="139" t="n"/>
      <x:c r="AR140" s="139" t="n"/>
      <x:c r="AS140" s="139" t="n"/>
      <x:c r="AT140" s="139" t="n"/>
      <x:c r="AU140" s="139" t="n"/>
      <x:c r="AV140" s="139" t="n"/>
      <x:c r="AW140" s="139" t="n"/>
      <x:c r="AX140" s="139" t="n"/>
      <x:c r="AY140" s="139" t="n"/>
      <x:c r="AZ140" s="139" t="n"/>
    </x:row>
    <x:row r="141">
      <x:c r="A141" s="139" t="inlineStr">
        <x:is>
          <x:t xml:space="preserve">Ricky</x:t>
        </x:is>
      </x:c>
      <x:c r="B141" s="139" t="inlineStr">
        <x:is>
          <x:t xml:space="preserve">Reza</x:t>
        </x:is>
      </x:c>
      <x:c r="C141" s="139" t="n">
        <x:v>1</x:v>
      </x:c>
      <x:c r="D141" s="139" t="n">
        <x:v>0</x:v>
      </x:c>
      <x:c r="E141" s="139" t="n">
        <x:v>1</x:v>
      </x:c>
      <x:c r="F141" s="93" t="n">
        <x:v>0</x:v>
      </x:c>
      <x:c r="G141" s="93" t="n">
        <x:v>0.4285714285714285</x:v>
      </x:c>
      <x:c r="H141" s="94" t="n">
        <x:v>-0.4285714285714285</x:v>
      </x:c>
      <x:c r="I141" s="139" t="n"/>
      <x:c r="J141" s="139" t="n"/>
      <x:c r="K141" s="139" t="n"/>
      <x:c r="L141" s="139" t="n"/>
      <x:c r="M141" s="139" t="n"/>
      <x:c r="N141" s="139" t="n"/>
      <x:c r="O141" s="139" t="n"/>
      <x:c r="P141" s="139" t="n"/>
      <x:c r="Q141" s="139" t="n"/>
      <x:c r="R141" s="139" t="n"/>
      <x:c r="S141" s="139" t="n"/>
      <x:c r="T141" s="139" t="n"/>
      <x:c r="U141" s="139" t="n"/>
      <x:c r="V141" s="139" t="n"/>
      <x:c r="W141" s="139" t="n"/>
      <x:c r="X141" s="139" t="n"/>
      <x:c r="Y141" s="139" t="n"/>
      <x:c r="Z141" s="139" t="n"/>
      <x:c r="AA141" s="139" t="n"/>
      <x:c r="AB141" s="139" t="n"/>
      <x:c r="AC141" s="139" t="n"/>
      <x:c r="AD141" s="139" t="n"/>
      <x:c r="AE141" s="139" t="n"/>
      <x:c r="AF141" s="139" t="n"/>
      <x:c r="AG141" s="139" t="n"/>
      <x:c r="AH141" s="139" t="n"/>
      <x:c r="AI141" s="139" t="n"/>
      <x:c r="AJ141" s="139" t="n"/>
      <x:c r="AK141" s="139" t="n"/>
      <x:c r="AL141" s="139" t="n"/>
      <x:c r="AM141" s="139" t="n"/>
      <x:c r="AN141" s="139" t="n"/>
      <x:c r="AO141" s="139" t="n"/>
      <x:c r="AP141" s="139" t="n"/>
      <x:c r="AQ141" s="139" t="n"/>
      <x:c r="AR141" s="139" t="n"/>
      <x:c r="AS141" s="139" t="n"/>
      <x:c r="AT141" s="139" t="n"/>
      <x:c r="AU141" s="139" t="n"/>
      <x:c r="AV141" s="139" t="n"/>
      <x:c r="AW141" s="139" t="n"/>
      <x:c r="AX141" s="139" t="n"/>
      <x:c r="AY141" s="139" t="n"/>
      <x:c r="AZ141" s="139" t="n"/>
    </x:row>
    <x:row r="142">
      <x:c r="A142" s="139" t="inlineStr">
        <x:is>
          <x:t xml:space="preserve">Ricky</x:t>
        </x:is>
      </x:c>
      <x:c r="B142" s="139" t="inlineStr">
        <x:is>
          <x:t xml:space="preserve">Ronald</x:t>
        </x:is>
      </x:c>
      <x:c r="C142" s="139" t="n">
        <x:v>1</x:v>
      </x:c>
      <x:c r="D142" s="139" t="n">
        <x:v>0</x:v>
      </x:c>
      <x:c r="E142" s="139" t="n">
        <x:v>1</x:v>
      </x:c>
      <x:c r="F142" s="93" t="n">
        <x:v>0</x:v>
      </x:c>
      <x:c r="G142" s="93" t="n">
        <x:v>0.6153846153846154</x:v>
      </x:c>
      <x:c r="H142" s="94" t="n">
        <x:v>-0.6153846153846154</x:v>
      </x:c>
      <x:c r="I142" s="139" t="n"/>
      <x:c r="J142" s="139" t="n"/>
      <x:c r="K142" s="139" t="n"/>
      <x:c r="L142" s="139" t="n"/>
      <x:c r="M142" s="139" t="n"/>
      <x:c r="N142" s="139" t="n"/>
      <x:c r="O142" s="139" t="n"/>
      <x:c r="P142" s="139" t="n"/>
      <x:c r="Q142" s="139" t="n"/>
      <x:c r="R142" s="139" t="n"/>
      <x:c r="S142" s="139" t="n"/>
      <x:c r="T142" s="139" t="n"/>
      <x:c r="U142" s="139" t="n"/>
      <x:c r="V142" s="139" t="n"/>
      <x:c r="W142" s="139" t="n"/>
      <x:c r="X142" s="139" t="n"/>
      <x:c r="Y142" s="139" t="n"/>
      <x:c r="Z142" s="139" t="n"/>
      <x:c r="AA142" s="139" t="n"/>
      <x:c r="AB142" s="139" t="n"/>
      <x:c r="AC142" s="139" t="n"/>
      <x:c r="AD142" s="139" t="n"/>
      <x:c r="AE142" s="139" t="n"/>
      <x:c r="AF142" s="139" t="n"/>
      <x:c r="AG142" s="139" t="n"/>
      <x:c r="AH142" s="139" t="n"/>
      <x:c r="AI142" s="139" t="n"/>
      <x:c r="AJ142" s="139" t="n"/>
      <x:c r="AK142" s="139" t="n"/>
      <x:c r="AL142" s="139" t="n"/>
      <x:c r="AM142" s="139" t="n"/>
      <x:c r="AN142" s="139" t="n"/>
      <x:c r="AO142" s="139" t="n"/>
      <x:c r="AP142" s="139" t="n"/>
      <x:c r="AQ142" s="139" t="n"/>
      <x:c r="AR142" s="139" t="n"/>
      <x:c r="AS142" s="139" t="n"/>
      <x:c r="AT142" s="139" t="n"/>
      <x:c r="AU142" s="139" t="n"/>
      <x:c r="AV142" s="139" t="n"/>
      <x:c r="AW142" s="139" t="n"/>
      <x:c r="AX142" s="139" t="n"/>
      <x:c r="AY142" s="139" t="n"/>
      <x:c r="AZ142" s="139" t="n"/>
    </x:row>
    <x:row r="143">
      <x:c r="A143" s="139" t="inlineStr">
        <x:is>
          <x:t xml:space="preserve">Rizky</x:t>
        </x:is>
      </x:c>
      <x:c r="B143" s="139" t="inlineStr">
        <x:is>
          <x:t xml:space="preserve">Edy SP</x:t>
        </x:is>
      </x:c>
      <x:c r="C143" s="139" t="n">
        <x:v>2</x:v>
      </x:c>
      <x:c r="D143" s="139" t="n">
        <x:v>2</x:v>
      </x:c>
      <x:c r="E143" s="139" t="n">
        <x:v>0</x:v>
      </x:c>
      <x:c r="F143" s="93" t="n">
        <x:v>1</x:v>
      </x:c>
      <x:c r="G143" s="93" t="n">
        <x:v>0.4736842105263158</x:v>
      </x:c>
      <x:c r="H143" s="94" t="n">
        <x:v>0.5263157894736843</x:v>
      </x:c>
      <x:c r="I143" s="139" t="n"/>
      <x:c r="J143" s="139" t="n"/>
      <x:c r="K143" s="139" t="n"/>
      <x:c r="L143" s="139" t="n"/>
      <x:c r="M143" s="139" t="n"/>
      <x:c r="N143" s="139" t="n"/>
      <x:c r="O143" s="139" t="n"/>
      <x:c r="P143" s="139" t="n"/>
      <x:c r="Q143" s="139" t="n"/>
      <x:c r="R143" s="139" t="n"/>
      <x:c r="S143" s="139" t="n"/>
      <x:c r="T143" s="139" t="n"/>
      <x:c r="U143" s="139" t="n"/>
      <x:c r="V143" s="139" t="n"/>
      <x:c r="W143" s="139" t="n"/>
      <x:c r="X143" s="139" t="n"/>
      <x:c r="Y143" s="139" t="n"/>
      <x:c r="Z143" s="139" t="n"/>
      <x:c r="AA143" s="139" t="n"/>
      <x:c r="AB143" s="139" t="n"/>
      <x:c r="AC143" s="139" t="n"/>
      <x:c r="AD143" s="139" t="n"/>
      <x:c r="AE143" s="139" t="n"/>
      <x:c r="AF143" s="139" t="n"/>
      <x:c r="AG143" s="139" t="n"/>
      <x:c r="AH143" s="139" t="n"/>
      <x:c r="AI143" s="139" t="n"/>
      <x:c r="AJ143" s="139" t="n"/>
      <x:c r="AK143" s="139" t="n"/>
      <x:c r="AL143" s="139" t="n"/>
      <x:c r="AM143" s="139" t="n"/>
      <x:c r="AN143" s="139" t="n"/>
      <x:c r="AO143" s="139" t="n"/>
      <x:c r="AP143" s="139" t="n"/>
      <x:c r="AQ143" s="139" t="n"/>
      <x:c r="AR143" s="139" t="n"/>
      <x:c r="AS143" s="139" t="n"/>
      <x:c r="AT143" s="139" t="n"/>
      <x:c r="AU143" s="139" t="n"/>
      <x:c r="AV143" s="139" t="n"/>
      <x:c r="AW143" s="139" t="n"/>
      <x:c r="AX143" s="139" t="n"/>
      <x:c r="AY143" s="139" t="n"/>
      <x:c r="AZ143" s="139" t="n"/>
    </x:row>
    <x:row r="144">
      <x:c r="A144" s="139" t="inlineStr">
        <x:is>
          <x:t xml:space="preserve">Rizky</x:t>
        </x:is>
      </x:c>
      <x:c r="B144" s="139" t="inlineStr">
        <x:is>
          <x:t xml:space="preserve">Ricky</x:t>
        </x:is>
      </x:c>
      <x:c r="C144" s="139" t="n">
        <x:v>2</x:v>
      </x:c>
      <x:c r="D144" s="139" t="n">
        <x:v>2</x:v>
      </x:c>
      <x:c r="E144" s="139" t="n">
        <x:v>0</x:v>
      </x:c>
      <x:c r="F144" s="93" t="n">
        <x:v>1</x:v>
      </x:c>
      <x:c r="G144" s="93" t="n">
        <x:v>0.5882352941176471</x:v>
      </x:c>
      <x:c r="H144" s="94" t="n">
        <x:v>0.4117647058823529</x:v>
      </x:c>
      <x:c r="I144" s="139" t="n"/>
      <x:c r="J144" s="139" t="n"/>
      <x:c r="K144" s="139" t="n"/>
      <x:c r="L144" s="139" t="n"/>
      <x:c r="M144" s="139" t="n"/>
      <x:c r="N144" s="139" t="n"/>
      <x:c r="O144" s="139" t="n"/>
      <x:c r="P144" s="139" t="n"/>
      <x:c r="Q144" s="139" t="n"/>
      <x:c r="R144" s="139" t="n"/>
      <x:c r="S144" s="139" t="n"/>
      <x:c r="T144" s="139" t="n"/>
      <x:c r="U144" s="139" t="n"/>
      <x:c r="V144" s="139" t="n"/>
      <x:c r="W144" s="139" t="n"/>
      <x:c r="X144" s="139" t="n"/>
      <x:c r="Y144" s="139" t="n"/>
      <x:c r="Z144" s="139" t="n"/>
      <x:c r="AA144" s="139" t="n"/>
      <x:c r="AB144" s="139" t="n"/>
      <x:c r="AC144" s="139" t="n"/>
      <x:c r="AD144" s="139" t="n"/>
      <x:c r="AE144" s="139" t="n"/>
      <x:c r="AF144" s="139" t="n"/>
      <x:c r="AG144" s="139" t="n"/>
      <x:c r="AH144" s="139" t="n"/>
      <x:c r="AI144" s="139" t="n"/>
      <x:c r="AJ144" s="139" t="n"/>
      <x:c r="AK144" s="139" t="n"/>
      <x:c r="AL144" s="139" t="n"/>
      <x:c r="AM144" s="139" t="n"/>
      <x:c r="AN144" s="139" t="n"/>
      <x:c r="AO144" s="139" t="n"/>
      <x:c r="AP144" s="139" t="n"/>
      <x:c r="AQ144" s="139" t="n"/>
      <x:c r="AR144" s="139" t="n"/>
      <x:c r="AS144" s="139" t="n"/>
      <x:c r="AT144" s="139" t="n"/>
      <x:c r="AU144" s="139" t="n"/>
      <x:c r="AV144" s="139" t="n"/>
      <x:c r="AW144" s="139" t="n"/>
      <x:c r="AX144" s="139" t="n"/>
      <x:c r="AY144" s="139" t="n"/>
      <x:c r="AZ144" s="139" t="n"/>
    </x:row>
    <x:row r="145">
      <x:c r="A145" s="139" t="inlineStr">
        <x:is>
          <x:t xml:space="preserve">Rizky</x:t>
        </x:is>
      </x:c>
      <x:c r="B145" s="139" t="inlineStr">
        <x:is>
          <x:t xml:space="preserve">Hansen</x:t>
        </x:is>
      </x:c>
      <x:c r="C145" s="139" t="n">
        <x:v>2</x:v>
      </x:c>
      <x:c r="D145" s="139" t="n">
        <x:v>0</x:v>
      </x:c>
      <x:c r="E145" s="139" t="n">
        <x:v>2</x:v>
      </x:c>
      <x:c r="F145" s="93" t="n">
        <x:v>0</x:v>
      </x:c>
      <x:c r="G145" s="93" t="n">
        <x:v>0.2857142857142857</x:v>
      </x:c>
      <x:c r="H145" s="94" t="n">
        <x:v>-0.2857142857142857</x:v>
      </x:c>
      <x:c r="I145" s="139" t="n"/>
      <x:c r="J145" s="139" t="n"/>
      <x:c r="K145" s="139" t="n"/>
      <x:c r="L145" s="139" t="n"/>
      <x:c r="M145" s="139" t="n"/>
      <x:c r="N145" s="139" t="n"/>
      <x:c r="O145" s="139" t="n"/>
      <x:c r="P145" s="139" t="n"/>
      <x:c r="Q145" s="139" t="n"/>
      <x:c r="R145" s="139" t="n"/>
      <x:c r="S145" s="139" t="n"/>
      <x:c r="T145" s="139" t="n"/>
      <x:c r="U145" s="139" t="n"/>
      <x:c r="V145" s="139" t="n"/>
      <x:c r="W145" s="139" t="n"/>
      <x:c r="X145" s="139" t="n"/>
      <x:c r="Y145" s="139" t="n"/>
      <x:c r="Z145" s="139" t="n"/>
      <x:c r="AA145" s="139" t="n"/>
      <x:c r="AB145" s="139" t="n"/>
      <x:c r="AC145" s="139" t="n"/>
      <x:c r="AD145" s="139" t="n"/>
      <x:c r="AE145" s="139" t="n"/>
      <x:c r="AF145" s="139" t="n"/>
      <x:c r="AG145" s="139" t="n"/>
      <x:c r="AH145" s="139" t="n"/>
      <x:c r="AI145" s="139" t="n"/>
      <x:c r="AJ145" s="139" t="n"/>
      <x:c r="AK145" s="139" t="n"/>
      <x:c r="AL145" s="139" t="n"/>
      <x:c r="AM145" s="139" t="n"/>
      <x:c r="AN145" s="139" t="n"/>
      <x:c r="AO145" s="139" t="n"/>
      <x:c r="AP145" s="139" t="n"/>
      <x:c r="AQ145" s="139" t="n"/>
      <x:c r="AR145" s="139" t="n"/>
      <x:c r="AS145" s="139" t="n"/>
      <x:c r="AT145" s="139" t="n"/>
      <x:c r="AU145" s="139" t="n"/>
      <x:c r="AV145" s="139" t="n"/>
      <x:c r="AW145" s="139" t="n"/>
      <x:c r="AX145" s="139" t="n"/>
      <x:c r="AY145" s="139" t="n"/>
      <x:c r="AZ145" s="139" t="n"/>
    </x:row>
    <x:row r="146">
      <x:c r="A146" s="139" t="inlineStr">
        <x:is>
          <x:t xml:space="preserve">Ronald</x:t>
        </x:is>
      </x:c>
      <x:c r="B146" s="139" t="inlineStr">
        <x:is>
          <x:t xml:space="preserve">Edy SP</x:t>
        </x:is>
      </x:c>
      <x:c r="C146" s="139" t="n">
        <x:v>3</x:v>
      </x:c>
      <x:c r="D146" s="139" t="n">
        <x:v>2</x:v>
      </x:c>
      <x:c r="E146" s="139" t="n">
        <x:v>1</x:v>
      </x:c>
      <x:c r="F146" s="93" t="n">
        <x:v>0.6666666666666666</x:v>
      </x:c>
      <x:c r="G146" s="93" t="n">
        <x:v>0.4736842105263158</x:v>
      </x:c>
      <x:c r="H146" s="94" t="n">
        <x:v>0.1929824561403509</x:v>
      </x:c>
      <x:c r="I146" s="139" t="n"/>
      <x:c r="J146" s="139" t="n"/>
      <x:c r="K146" s="139" t="n"/>
      <x:c r="L146" s="139" t="n"/>
      <x:c r="M146" s="139" t="n"/>
      <x:c r="N146" s="139" t="n"/>
      <x:c r="O146" s="139" t="n"/>
      <x:c r="P146" s="139" t="n"/>
      <x:c r="Q146" s="139" t="n"/>
      <x:c r="R146" s="139" t="n"/>
      <x:c r="S146" s="139" t="n"/>
      <x:c r="T146" s="139" t="n"/>
      <x:c r="U146" s="139" t="n"/>
      <x:c r="V146" s="139" t="n"/>
      <x:c r="W146" s="139" t="n"/>
      <x:c r="X146" s="139" t="n"/>
      <x:c r="Y146" s="139" t="n"/>
      <x:c r="Z146" s="139" t="n"/>
      <x:c r="AA146" s="139" t="n"/>
      <x:c r="AB146" s="139" t="n"/>
      <x:c r="AC146" s="139" t="n"/>
      <x:c r="AD146" s="139" t="n"/>
      <x:c r="AE146" s="139" t="n"/>
      <x:c r="AF146" s="139" t="n"/>
      <x:c r="AG146" s="139" t="n"/>
      <x:c r="AH146" s="139" t="n"/>
      <x:c r="AI146" s="139" t="n"/>
      <x:c r="AJ146" s="139" t="n"/>
      <x:c r="AK146" s="139" t="n"/>
      <x:c r="AL146" s="139" t="n"/>
      <x:c r="AM146" s="139" t="n"/>
      <x:c r="AN146" s="139" t="n"/>
      <x:c r="AO146" s="139" t="n"/>
      <x:c r="AP146" s="139" t="n"/>
      <x:c r="AQ146" s="139" t="n"/>
      <x:c r="AR146" s="139" t="n"/>
      <x:c r="AS146" s="139" t="n"/>
      <x:c r="AT146" s="139" t="n"/>
      <x:c r="AU146" s="139" t="n"/>
      <x:c r="AV146" s="139" t="n"/>
      <x:c r="AW146" s="139" t="n"/>
      <x:c r="AX146" s="139" t="n"/>
      <x:c r="AY146" s="139" t="n"/>
      <x:c r="AZ146" s="139" t="n"/>
    </x:row>
    <x:row r="147">
      <x:c r="A147" s="139" t="inlineStr">
        <x:is>
          <x:t xml:space="preserve">Ronald</x:t>
        </x:is>
      </x:c>
      <x:c r="B147" s="139" t="inlineStr">
        <x:is>
          <x:t xml:space="preserve">Alice</x:t>
        </x:is>
      </x:c>
      <x:c r="C147" s="139" t="n">
        <x:v>2</x:v>
      </x:c>
      <x:c r="D147" s="139" t="n">
        <x:v>1</x:v>
      </x:c>
      <x:c r="E147" s="139" t="n">
        <x:v>1</x:v>
      </x:c>
      <x:c r="F147" s="93" t="n">
        <x:v>0.5</x:v>
      </x:c>
      <x:c r="G147" s="93" t="n">
        <x:v>0.2272727272727273</x:v>
      </x:c>
      <x:c r="H147" s="94" t="n">
        <x:v>0.2727272727272727</x:v>
      </x:c>
      <x:c r="I147" s="139" t="n"/>
      <x:c r="J147" s="139" t="n"/>
      <x:c r="K147" s="139" t="n"/>
      <x:c r="L147" s="139" t="n"/>
      <x:c r="M147" s="139" t="n"/>
      <x:c r="N147" s="139" t="n"/>
      <x:c r="O147" s="139" t="n"/>
      <x:c r="P147" s="139" t="n"/>
      <x:c r="Q147" s="139" t="n"/>
      <x:c r="R147" s="139" t="n"/>
      <x:c r="S147" s="139" t="n"/>
      <x:c r="T147" s="139" t="n"/>
      <x:c r="U147" s="139" t="n"/>
      <x:c r="V147" s="139" t="n"/>
      <x:c r="W147" s="139" t="n"/>
      <x:c r="X147" s="139" t="n"/>
      <x:c r="Y147" s="139" t="n"/>
      <x:c r="Z147" s="139" t="n"/>
      <x:c r="AA147" s="139" t="n"/>
      <x:c r="AB147" s="139" t="n"/>
      <x:c r="AC147" s="139" t="n"/>
      <x:c r="AD147" s="139" t="n"/>
      <x:c r="AE147" s="139" t="n"/>
      <x:c r="AF147" s="139" t="n"/>
      <x:c r="AG147" s="139" t="n"/>
      <x:c r="AH147" s="139" t="n"/>
      <x:c r="AI147" s="139" t="n"/>
      <x:c r="AJ147" s="139" t="n"/>
      <x:c r="AK147" s="139" t="n"/>
      <x:c r="AL147" s="139" t="n"/>
      <x:c r="AM147" s="139" t="n"/>
      <x:c r="AN147" s="139" t="n"/>
      <x:c r="AO147" s="139" t="n"/>
      <x:c r="AP147" s="139" t="n"/>
      <x:c r="AQ147" s="139" t="n"/>
      <x:c r="AR147" s="139" t="n"/>
      <x:c r="AS147" s="139" t="n"/>
      <x:c r="AT147" s="139" t="n"/>
      <x:c r="AU147" s="139" t="n"/>
      <x:c r="AV147" s="139" t="n"/>
      <x:c r="AW147" s="139" t="n"/>
      <x:c r="AX147" s="139" t="n"/>
      <x:c r="AY147" s="139" t="n"/>
      <x:c r="AZ147" s="139" t="n"/>
    </x:row>
    <x:row r="148">
      <x:c r="A148" s="139" t="inlineStr">
        <x:is>
          <x:t xml:space="preserve">Ronald</x:t>
        </x:is>
      </x:c>
      <x:c r="B148" s="139" t="inlineStr">
        <x:is>
          <x:t xml:space="preserve">David</x:t>
        </x:is>
      </x:c>
      <x:c r="C148" s="139" t="n">
        <x:v>2</x:v>
      </x:c>
      <x:c r="D148" s="139" t="n">
        <x:v>1</x:v>
      </x:c>
      <x:c r="E148" s="139" t="n">
        <x:v>1</x:v>
      </x:c>
      <x:c r="F148" s="93" t="n">
        <x:v>0.5</x:v>
      </x:c>
      <x:c r="G148" s="93" t="n">
        <x:v>0.45</x:v>
      </x:c>
      <x:c r="H148" s="94" t="n">
        <x:v>0.04999999999999999</x:v>
      </x:c>
      <x:c r="I148" s="139" t="n"/>
      <x:c r="J148" s="139" t="n"/>
      <x:c r="K148" s="139" t="n"/>
      <x:c r="L148" s="139" t="n"/>
      <x:c r="M148" s="139" t="n"/>
      <x:c r="N148" s="139" t="n"/>
      <x:c r="O148" s="139" t="n"/>
      <x:c r="P148" s="139" t="n"/>
      <x:c r="Q148" s="139" t="n"/>
      <x:c r="R148" s="139" t="n"/>
      <x:c r="S148" s="139" t="n"/>
      <x:c r="T148" s="139" t="n"/>
      <x:c r="U148" s="139" t="n"/>
      <x:c r="V148" s="139" t="n"/>
      <x:c r="W148" s="139" t="n"/>
      <x:c r="X148" s="139" t="n"/>
      <x:c r="Y148" s="139" t="n"/>
      <x:c r="Z148" s="139" t="n"/>
      <x:c r="AA148" s="139" t="n"/>
      <x:c r="AB148" s="139" t="n"/>
      <x:c r="AC148" s="139" t="n"/>
      <x:c r="AD148" s="139" t="n"/>
      <x:c r="AE148" s="139" t="n"/>
      <x:c r="AF148" s="139" t="n"/>
      <x:c r="AG148" s="139" t="n"/>
      <x:c r="AH148" s="139" t="n"/>
      <x:c r="AI148" s="139" t="n"/>
      <x:c r="AJ148" s="139" t="n"/>
      <x:c r="AK148" s="139" t="n"/>
      <x:c r="AL148" s="139" t="n"/>
      <x:c r="AM148" s="139" t="n"/>
      <x:c r="AN148" s="139" t="n"/>
      <x:c r="AO148" s="139" t="n"/>
      <x:c r="AP148" s="139" t="n"/>
      <x:c r="AQ148" s="139" t="n"/>
      <x:c r="AR148" s="139" t="n"/>
      <x:c r="AS148" s="139" t="n"/>
      <x:c r="AT148" s="139" t="n"/>
      <x:c r="AU148" s="139" t="n"/>
      <x:c r="AV148" s="139" t="n"/>
      <x:c r="AW148" s="139" t="n"/>
      <x:c r="AX148" s="139" t="n"/>
      <x:c r="AY148" s="139" t="n"/>
      <x:c r="AZ148" s="139" t="n"/>
    </x:row>
    <x:row r="149">
      <x:c r="A149" s="139" t="inlineStr">
        <x:is>
          <x:t xml:space="preserve">Ronald</x:t>
        </x:is>
      </x:c>
      <x:c r="B149" s="139" t="inlineStr">
        <x:is>
          <x:t xml:space="preserve">Nicholas</x:t>
        </x:is>
      </x:c>
      <x:c r="C149" s="139" t="n">
        <x:v>1</x:v>
      </x:c>
      <x:c r="D149" s="139" t="n">
        <x:v>1</x:v>
      </x:c>
      <x:c r="E149" s="139" t="n">
        <x:v>0</x:v>
      </x:c>
      <x:c r="F149" s="93" t="n">
        <x:v>1</x:v>
      </x:c>
      <x:c r="G149" s="93" t="n">
        <x:v>0.4666666666666667</x:v>
      </x:c>
      <x:c r="H149" s="94" t="n">
        <x:v>0.5333333333333333</x:v>
      </x:c>
      <x:c r="I149" s="139" t="n"/>
      <x:c r="J149" s="139" t="n"/>
      <x:c r="K149" s="139" t="n"/>
      <x:c r="L149" s="139" t="n"/>
      <x:c r="M149" s="139" t="n"/>
      <x:c r="N149" s="139" t="n"/>
      <x:c r="O149" s="139" t="n"/>
      <x:c r="P149" s="139" t="n"/>
      <x:c r="Q149" s="139" t="n"/>
      <x:c r="R149" s="139" t="n"/>
      <x:c r="S149" s="139" t="n"/>
      <x:c r="T149" s="139" t="n"/>
      <x:c r="U149" s="139" t="n"/>
      <x:c r="V149" s="139" t="n"/>
      <x:c r="W149" s="139" t="n"/>
      <x:c r="X149" s="139" t="n"/>
      <x:c r="Y149" s="139" t="n"/>
      <x:c r="Z149" s="139" t="n"/>
      <x:c r="AA149" s="139" t="n"/>
      <x:c r="AB149" s="139" t="n"/>
      <x:c r="AC149" s="139" t="n"/>
      <x:c r="AD149" s="139" t="n"/>
      <x:c r="AE149" s="139" t="n"/>
      <x:c r="AF149" s="139" t="n"/>
      <x:c r="AG149" s="139" t="n"/>
      <x:c r="AH149" s="139" t="n"/>
      <x:c r="AI149" s="139" t="n"/>
      <x:c r="AJ149" s="139" t="n"/>
      <x:c r="AK149" s="139" t="n"/>
      <x:c r="AL149" s="139" t="n"/>
      <x:c r="AM149" s="139" t="n"/>
      <x:c r="AN149" s="139" t="n"/>
      <x:c r="AO149" s="139" t="n"/>
      <x:c r="AP149" s="139" t="n"/>
      <x:c r="AQ149" s="139" t="n"/>
      <x:c r="AR149" s="139" t="n"/>
      <x:c r="AS149" s="139" t="n"/>
      <x:c r="AT149" s="139" t="n"/>
      <x:c r="AU149" s="139" t="n"/>
      <x:c r="AV149" s="139" t="n"/>
      <x:c r="AW149" s="139" t="n"/>
      <x:c r="AX149" s="139" t="n"/>
      <x:c r="AY149" s="139" t="n"/>
      <x:c r="AZ149" s="139" t="n"/>
    </x:row>
    <x:row r="150">
      <x:c r="A150" s="139" t="inlineStr">
        <x:is>
          <x:t xml:space="preserve">Ronald</x:t>
        </x:is>
      </x:c>
      <x:c r="B150" s="139" t="inlineStr">
        <x:is>
          <x:t xml:space="preserve">Michael</x:t>
        </x:is>
      </x:c>
      <x:c r="C150" s="139" t="n">
        <x:v>1</x:v>
      </x:c>
      <x:c r="D150" s="139" t="n">
        <x:v>1</x:v>
      </x:c>
      <x:c r="E150" s="139" t="n">
        <x:v>0</x:v>
      </x:c>
      <x:c r="F150" s="93" t="n">
        <x:v>1</x:v>
      </x:c>
      <x:c r="G150" s="93" t="n">
        <x:v>0.4761904761904762</x:v>
      </x:c>
      <x:c r="H150" s="94" t="n">
        <x:v>0.5238095238095238</x:v>
      </x:c>
      <x:c r="I150" s="139" t="n"/>
      <x:c r="J150" s="139" t="n"/>
      <x:c r="K150" s="139" t="n"/>
      <x:c r="L150" s="139" t="n"/>
      <x:c r="M150" s="139" t="n"/>
      <x:c r="N150" s="139" t="n"/>
      <x:c r="O150" s="139" t="n"/>
      <x:c r="P150" s="139" t="n"/>
      <x:c r="Q150" s="139" t="n"/>
      <x:c r="R150" s="139" t="n"/>
      <x:c r="S150" s="139" t="n"/>
      <x:c r="T150" s="139" t="n"/>
      <x:c r="U150" s="139" t="n"/>
      <x:c r="V150" s="139" t="n"/>
      <x:c r="W150" s="139" t="n"/>
      <x:c r="X150" s="139" t="n"/>
      <x:c r="Y150" s="139" t="n"/>
      <x:c r="Z150" s="139" t="n"/>
      <x:c r="AA150" s="139" t="n"/>
      <x:c r="AB150" s="139" t="n"/>
      <x:c r="AC150" s="139" t="n"/>
      <x:c r="AD150" s="139" t="n"/>
      <x:c r="AE150" s="139" t="n"/>
      <x:c r="AF150" s="139" t="n"/>
      <x:c r="AG150" s="139" t="n"/>
      <x:c r="AH150" s="139" t="n"/>
      <x:c r="AI150" s="139" t="n"/>
      <x:c r="AJ150" s="139" t="n"/>
      <x:c r="AK150" s="139" t="n"/>
      <x:c r="AL150" s="139" t="n"/>
      <x:c r="AM150" s="139" t="n"/>
      <x:c r="AN150" s="139" t="n"/>
      <x:c r="AO150" s="139" t="n"/>
      <x:c r="AP150" s="139" t="n"/>
      <x:c r="AQ150" s="139" t="n"/>
      <x:c r="AR150" s="139" t="n"/>
      <x:c r="AS150" s="139" t="n"/>
      <x:c r="AT150" s="139" t="n"/>
      <x:c r="AU150" s="139" t="n"/>
      <x:c r="AV150" s="139" t="n"/>
      <x:c r="AW150" s="139" t="n"/>
      <x:c r="AX150" s="139" t="n"/>
      <x:c r="AY150" s="139" t="n"/>
      <x:c r="AZ150" s="139" t="n"/>
    </x:row>
    <x:row r="151">
      <x:c r="A151" s="139" t="inlineStr">
        <x:is>
          <x:t xml:space="preserve">Ronald</x:t>
        </x:is>
      </x:c>
      <x:c r="B151" s="139" t="inlineStr">
        <x:is>
          <x:t xml:space="preserve">Jonathan</x:t>
        </x:is>
      </x:c>
      <x:c r="C151" s="139" t="n">
        <x:v>1</x:v>
      </x:c>
      <x:c r="D151" s="139" t="n">
        <x:v>1</x:v>
      </x:c>
      <x:c r="E151" s="139" t="n">
        <x:v>0</x:v>
      </x:c>
      <x:c r="F151" s="93" t="n">
        <x:v>1</x:v>
      </x:c>
      <x:c r="G151" s="93" t="n">
        <x:v>0.5714285714285714</x:v>
      </x:c>
      <x:c r="H151" s="94" t="n">
        <x:v>0.4285714285714286</x:v>
      </x:c>
      <x:c r="I151" s="139" t="n"/>
      <x:c r="J151" s="139" t="n"/>
      <x:c r="K151" s="139" t="n"/>
      <x:c r="L151" s="139" t="n"/>
      <x:c r="M151" s="139" t="n"/>
      <x:c r="N151" s="139" t="n"/>
      <x:c r="O151" s="139" t="n"/>
      <x:c r="P151" s="139" t="n"/>
      <x:c r="Q151" s="139" t="n"/>
      <x:c r="R151" s="139" t="n"/>
      <x:c r="S151" s="139" t="n"/>
      <x:c r="T151" s="139" t="n"/>
      <x:c r="U151" s="139" t="n"/>
      <x:c r="V151" s="139" t="n"/>
      <x:c r="W151" s="139" t="n"/>
      <x:c r="X151" s="139" t="n"/>
      <x:c r="Y151" s="139" t="n"/>
      <x:c r="Z151" s="139" t="n"/>
      <x:c r="AA151" s="139" t="n"/>
      <x:c r="AB151" s="139" t="n"/>
      <x:c r="AC151" s="139" t="n"/>
      <x:c r="AD151" s="139" t="n"/>
      <x:c r="AE151" s="139" t="n"/>
      <x:c r="AF151" s="139" t="n"/>
      <x:c r="AG151" s="139" t="n"/>
      <x:c r="AH151" s="139" t="n"/>
      <x:c r="AI151" s="139" t="n"/>
      <x:c r="AJ151" s="139" t="n"/>
      <x:c r="AK151" s="139" t="n"/>
      <x:c r="AL151" s="139" t="n"/>
      <x:c r="AM151" s="139" t="n"/>
      <x:c r="AN151" s="139" t="n"/>
      <x:c r="AO151" s="139" t="n"/>
      <x:c r="AP151" s="139" t="n"/>
      <x:c r="AQ151" s="139" t="n"/>
      <x:c r="AR151" s="139" t="n"/>
      <x:c r="AS151" s="139" t="n"/>
      <x:c r="AT151" s="139" t="n"/>
      <x:c r="AU151" s="139" t="n"/>
      <x:c r="AV151" s="139" t="n"/>
      <x:c r="AW151" s="139" t="n"/>
      <x:c r="AX151" s="139" t="n"/>
      <x:c r="AY151" s="139" t="n"/>
      <x:c r="AZ151" s="139" t="n"/>
    </x:row>
    <x:row r="152">
      <x:c r="A152" s="139" t="inlineStr">
        <x:is>
          <x:t xml:space="preserve">Ronald</x:t>
        </x:is>
      </x:c>
      <x:c r="B152" s="139" t="inlineStr">
        <x:is>
          <x:t xml:space="preserve">Austin</x:t>
        </x:is>
      </x:c>
      <x:c r="C152" s="139" t="n">
        <x:v>1</x:v>
      </x:c>
      <x:c r="D152" s="139" t="n">
        <x:v>1</x:v>
      </x:c>
      <x:c r="E152" s="139" t="n">
        <x:v>0</x:v>
      </x:c>
      <x:c r="F152" s="93" t="n">
        <x:v>1</x:v>
      </x:c>
      <x:c r="G152" s="93" t="n">
        <x:v>0.5909090909090909</x:v>
      </x:c>
      <x:c r="H152" s="94" t="n">
        <x:v>0.4090909090909091</x:v>
      </x:c>
      <x:c r="I152" s="139" t="n"/>
      <x:c r="J152" s="139" t="n"/>
      <x:c r="K152" s="139" t="n"/>
      <x:c r="L152" s="139" t="n"/>
      <x:c r="M152" s="139" t="n"/>
      <x:c r="N152" s="139" t="n"/>
      <x:c r="O152" s="139" t="n"/>
      <x:c r="P152" s="139" t="n"/>
      <x:c r="Q152" s="139" t="n"/>
      <x:c r="R152" s="139" t="n"/>
      <x:c r="S152" s="139" t="n"/>
      <x:c r="T152" s="139" t="n"/>
      <x:c r="U152" s="139" t="n"/>
      <x:c r="V152" s="139" t="n"/>
      <x:c r="W152" s="139" t="n"/>
      <x:c r="X152" s="139" t="n"/>
      <x:c r="Y152" s="139" t="n"/>
      <x:c r="Z152" s="139" t="n"/>
      <x:c r="AA152" s="139" t="n"/>
      <x:c r="AB152" s="139" t="n"/>
      <x:c r="AC152" s="139" t="n"/>
      <x:c r="AD152" s="139" t="n"/>
      <x:c r="AE152" s="139" t="n"/>
      <x:c r="AF152" s="139" t="n"/>
      <x:c r="AG152" s="139" t="n"/>
      <x:c r="AH152" s="139" t="n"/>
      <x:c r="AI152" s="139" t="n"/>
      <x:c r="AJ152" s="139" t="n"/>
      <x:c r="AK152" s="139" t="n"/>
      <x:c r="AL152" s="139" t="n"/>
      <x:c r="AM152" s="139" t="n"/>
      <x:c r="AN152" s="139" t="n"/>
      <x:c r="AO152" s="139" t="n"/>
      <x:c r="AP152" s="139" t="n"/>
      <x:c r="AQ152" s="139" t="n"/>
      <x:c r="AR152" s="139" t="n"/>
      <x:c r="AS152" s="139" t="n"/>
      <x:c r="AT152" s="139" t="n"/>
      <x:c r="AU152" s="139" t="n"/>
      <x:c r="AV152" s="139" t="n"/>
      <x:c r="AW152" s="139" t="n"/>
      <x:c r="AX152" s="139" t="n"/>
      <x:c r="AY152" s="139" t="n"/>
      <x:c r="AZ152" s="139" t="n"/>
    </x:row>
    <x:row r="153">
      <x:c r="A153" s="139" t="inlineStr">
        <x:is>
          <x:t xml:space="preserve">Ronald</x:t>
        </x:is>
      </x:c>
      <x:c r="B153" s="139" t="inlineStr">
        <x:is>
          <x:t xml:space="preserve">Rey</x:t>
        </x:is>
      </x:c>
      <x:c r="C153" s="139" t="n">
        <x:v>1</x:v>
      </x:c>
      <x:c r="D153" s="139" t="n">
        <x:v>1</x:v>
      </x:c>
      <x:c r="E153" s="139" t="n">
        <x:v>0</x:v>
      </x:c>
      <x:c r="F153" s="93" t="n">
        <x:v>1</x:v>
      </x:c>
      <x:c r="G153" s="93" t="n">
        <x:v>0.6</x:v>
      </x:c>
      <x:c r="H153" s="94" t="n">
        <x:v>0.4</x:v>
      </x:c>
      <x:c r="I153" s="139" t="n"/>
      <x:c r="J153" s="139" t="n"/>
      <x:c r="K153" s="139" t="n"/>
      <x:c r="L153" s="139" t="n"/>
      <x:c r="M153" s="139" t="n"/>
      <x:c r="N153" s="139" t="n"/>
      <x:c r="O153" s="139" t="n"/>
      <x:c r="P153" s="139" t="n"/>
      <x:c r="Q153" s="139" t="n"/>
      <x:c r="R153" s="139" t="n"/>
      <x:c r="S153" s="139" t="n"/>
      <x:c r="T153" s="139" t="n"/>
      <x:c r="U153" s="139" t="n"/>
      <x:c r="V153" s="139" t="n"/>
      <x:c r="W153" s="139" t="n"/>
      <x:c r="X153" s="139" t="n"/>
      <x:c r="Y153" s="139" t="n"/>
      <x:c r="Z153" s="139" t="n"/>
      <x:c r="AA153" s="139" t="n"/>
      <x:c r="AB153" s="139" t="n"/>
      <x:c r="AC153" s="139" t="n"/>
      <x:c r="AD153" s="139" t="n"/>
      <x:c r="AE153" s="139" t="n"/>
      <x:c r="AF153" s="139" t="n"/>
      <x:c r="AG153" s="139" t="n"/>
      <x:c r="AH153" s="139" t="n"/>
      <x:c r="AI153" s="139" t="n"/>
      <x:c r="AJ153" s="139" t="n"/>
      <x:c r="AK153" s="139" t="n"/>
      <x:c r="AL153" s="139" t="n"/>
      <x:c r="AM153" s="139" t="n"/>
      <x:c r="AN153" s="139" t="n"/>
      <x:c r="AO153" s="139" t="n"/>
      <x:c r="AP153" s="139" t="n"/>
      <x:c r="AQ153" s="139" t="n"/>
      <x:c r="AR153" s="139" t="n"/>
      <x:c r="AS153" s="139" t="n"/>
      <x:c r="AT153" s="139" t="n"/>
      <x:c r="AU153" s="139" t="n"/>
      <x:c r="AV153" s="139" t="n"/>
      <x:c r="AW153" s="139" t="n"/>
      <x:c r="AX153" s="139" t="n"/>
      <x:c r="AY153" s="139" t="n"/>
      <x:c r="AZ153" s="139" t="n"/>
    </x:row>
    <x:row r="154">
      <x:c r="A154" s="139" t="inlineStr">
        <x:is>
          <x:t xml:space="preserve">Ronald</x:t>
        </x:is>
      </x:c>
      <x:c r="B154" s="139" t="inlineStr">
        <x:is>
          <x:t xml:space="preserve">Kennard</x:t>
        </x:is>
      </x:c>
      <x:c r="C154" s="139" t="n">
        <x:v>1</x:v>
      </x:c>
      <x:c r="D154" s="139" t="n">
        <x:v>1</x:v>
      </x:c>
      <x:c r="E154" s="139" t="n">
        <x:v>0</x:v>
      </x:c>
      <x:c r="F154" s="93" t="n">
        <x:v>1</x:v>
      </x:c>
      <x:c r="G154" s="93" t="n">
        <x:v>0.6190476190476191</x:v>
      </x:c>
      <x:c r="H154" s="94" t="n">
        <x:v>0.3809523809523809</x:v>
      </x:c>
      <x:c r="I154" s="139" t="n"/>
      <x:c r="J154" s="139" t="n"/>
      <x:c r="K154" s="139" t="n"/>
      <x:c r="L154" s="139" t="n"/>
      <x:c r="M154" s="139" t="n"/>
      <x:c r="N154" s="139" t="n"/>
      <x:c r="O154" s="139" t="n"/>
      <x:c r="P154" s="139" t="n"/>
      <x:c r="Q154" s="139" t="n"/>
      <x:c r="R154" s="139" t="n"/>
      <x:c r="S154" s="139" t="n"/>
      <x:c r="T154" s="139" t="n"/>
      <x:c r="U154" s="139" t="n"/>
      <x:c r="V154" s="139" t="n"/>
      <x:c r="W154" s="139" t="n"/>
      <x:c r="X154" s="139" t="n"/>
      <x:c r="Y154" s="139" t="n"/>
      <x:c r="Z154" s="139" t="n"/>
      <x:c r="AA154" s="139" t="n"/>
      <x:c r="AB154" s="139" t="n"/>
      <x:c r="AC154" s="139" t="n"/>
      <x:c r="AD154" s="139" t="n"/>
      <x:c r="AE154" s="139" t="n"/>
      <x:c r="AF154" s="139" t="n"/>
      <x:c r="AG154" s="139" t="n"/>
      <x:c r="AH154" s="139" t="n"/>
      <x:c r="AI154" s="139" t="n"/>
      <x:c r="AJ154" s="139" t="n"/>
      <x:c r="AK154" s="139" t="n"/>
      <x:c r="AL154" s="139" t="n"/>
      <x:c r="AM154" s="139" t="n"/>
      <x:c r="AN154" s="139" t="n"/>
      <x:c r="AO154" s="139" t="n"/>
      <x:c r="AP154" s="139" t="n"/>
      <x:c r="AQ154" s="139" t="n"/>
      <x:c r="AR154" s="139" t="n"/>
      <x:c r="AS154" s="139" t="n"/>
      <x:c r="AT154" s="139" t="n"/>
      <x:c r="AU154" s="139" t="n"/>
      <x:c r="AV154" s="139" t="n"/>
      <x:c r="AW154" s="139" t="n"/>
      <x:c r="AX154" s="139" t="n"/>
      <x:c r="AY154" s="139" t="n"/>
      <x:c r="AZ154" s="139" t="n"/>
    </x:row>
    <x:row r="155">
      <x:c r="A155" s="139" t="inlineStr">
        <x:is>
          <x:t xml:space="preserve">Ronald</x:t>
        </x:is>
      </x:c>
      <x:c r="B155" s="139" t="inlineStr">
        <x:is>
          <x:t xml:space="preserve">Thohir</x:t>
        </x:is>
      </x:c>
      <x:c r="C155" s="139" t="n">
        <x:v>1</x:v>
      </x:c>
      <x:c r="D155" s="139" t="n">
        <x:v>1</x:v>
      </x:c>
      <x:c r="E155" s="139" t="n">
        <x:v>0</x:v>
      </x:c>
      <x:c r="F155" s="93" t="n">
        <x:v>1</x:v>
      </x:c>
      <x:c r="G155" s="93" t="n">
        <x:v>0.6666666666666666</x:v>
      </x:c>
      <x:c r="H155" s="94" t="n">
        <x:v>0.3333333333333334</x:v>
      </x:c>
      <x:c r="I155" s="139" t="n"/>
      <x:c r="J155" s="139" t="n"/>
      <x:c r="K155" s="139" t="n"/>
      <x:c r="L155" s="139" t="n"/>
      <x:c r="M155" s="139" t="n"/>
      <x:c r="N155" s="139" t="n"/>
      <x:c r="O155" s="139" t="n"/>
      <x:c r="P155" s="139" t="n"/>
      <x:c r="Q155" s="139" t="n"/>
      <x:c r="R155" s="139" t="n"/>
      <x:c r="S155" s="139" t="n"/>
      <x:c r="T155" s="139" t="n"/>
      <x:c r="U155" s="139" t="n"/>
      <x:c r="V155" s="139" t="n"/>
      <x:c r="W155" s="139" t="n"/>
      <x:c r="X155" s="139" t="n"/>
      <x:c r="Y155" s="139" t="n"/>
      <x:c r="Z155" s="139" t="n"/>
      <x:c r="AA155" s="139" t="n"/>
      <x:c r="AB155" s="139" t="n"/>
      <x:c r="AC155" s="139" t="n"/>
      <x:c r="AD155" s="139" t="n"/>
      <x:c r="AE155" s="139" t="n"/>
      <x:c r="AF155" s="139" t="n"/>
      <x:c r="AG155" s="139" t="n"/>
      <x:c r="AH155" s="139" t="n"/>
      <x:c r="AI155" s="139" t="n"/>
      <x:c r="AJ155" s="139" t="n"/>
      <x:c r="AK155" s="139" t="n"/>
      <x:c r="AL155" s="139" t="n"/>
      <x:c r="AM155" s="139" t="n"/>
      <x:c r="AN155" s="139" t="n"/>
      <x:c r="AO155" s="139" t="n"/>
      <x:c r="AP155" s="139" t="n"/>
      <x:c r="AQ155" s="139" t="n"/>
      <x:c r="AR155" s="139" t="n"/>
      <x:c r="AS155" s="139" t="n"/>
      <x:c r="AT155" s="139" t="n"/>
      <x:c r="AU155" s="139" t="n"/>
      <x:c r="AV155" s="139" t="n"/>
      <x:c r="AW155" s="139" t="n"/>
      <x:c r="AX155" s="139" t="n"/>
      <x:c r="AY155" s="139" t="n"/>
      <x:c r="AZ155" s="139" t="n"/>
    </x:row>
    <x:row r="156">
      <x:c r="A156" s="139" t="inlineStr">
        <x:is>
          <x:t xml:space="preserve">Ronald</x:t>
        </x:is>
      </x:c>
      <x:c r="B156" s="139" t="inlineStr">
        <x:is>
          <x:t xml:space="preserve">Sandy</x:t>
        </x:is>
      </x:c>
      <x:c r="C156" s="139" t="n">
        <x:v>1</x:v>
      </x:c>
      <x:c r="D156" s="139" t="n">
        <x:v>1</x:v>
      </x:c>
      <x:c r="E156" s="139" t="n">
        <x:v>0</x:v>
      </x:c>
      <x:c r="F156" s="93" t="n">
        <x:v>1</x:v>
      </x:c>
      <x:c r="G156" s="93" t="n">
        <x:v>0.7142857142857143</x:v>
      </x:c>
      <x:c r="H156" s="94" t="n">
        <x:v>0.2857142857142857</x:v>
      </x:c>
      <x:c r="I156" s="139" t="n"/>
      <x:c r="J156" s="139" t="n"/>
      <x:c r="K156" s="139" t="n"/>
      <x:c r="L156" s="139" t="n"/>
      <x:c r="M156" s="139" t="n"/>
      <x:c r="N156" s="139" t="n"/>
      <x:c r="O156" s="139" t="n"/>
      <x:c r="P156" s="139" t="n"/>
      <x:c r="Q156" s="139" t="n"/>
      <x:c r="R156" s="139" t="n"/>
      <x:c r="S156" s="139" t="n"/>
      <x:c r="T156" s="139" t="n"/>
      <x:c r="U156" s="139" t="n"/>
      <x:c r="V156" s="139" t="n"/>
      <x:c r="W156" s="139" t="n"/>
      <x:c r="X156" s="139" t="n"/>
      <x:c r="Y156" s="139" t="n"/>
      <x:c r="Z156" s="139" t="n"/>
      <x:c r="AA156" s="139" t="n"/>
      <x:c r="AB156" s="139" t="n"/>
      <x:c r="AC156" s="139" t="n"/>
      <x:c r="AD156" s="139" t="n"/>
      <x:c r="AE156" s="139" t="n"/>
      <x:c r="AF156" s="139" t="n"/>
      <x:c r="AG156" s="139" t="n"/>
      <x:c r="AH156" s="139" t="n"/>
      <x:c r="AI156" s="139" t="n"/>
      <x:c r="AJ156" s="139" t="n"/>
      <x:c r="AK156" s="139" t="n"/>
      <x:c r="AL156" s="139" t="n"/>
      <x:c r="AM156" s="139" t="n"/>
      <x:c r="AN156" s="139" t="n"/>
      <x:c r="AO156" s="139" t="n"/>
      <x:c r="AP156" s="139" t="n"/>
      <x:c r="AQ156" s="139" t="n"/>
      <x:c r="AR156" s="139" t="n"/>
      <x:c r="AS156" s="139" t="n"/>
      <x:c r="AT156" s="139" t="n"/>
      <x:c r="AU156" s="139" t="n"/>
      <x:c r="AV156" s="139" t="n"/>
      <x:c r="AW156" s="139" t="n"/>
      <x:c r="AX156" s="139" t="n"/>
      <x:c r="AY156" s="139" t="n"/>
      <x:c r="AZ156" s="139" t="n"/>
    </x:row>
    <x:row r="157">
      <x:c r="A157" s="139" t="inlineStr">
        <x:is>
          <x:t xml:space="preserve">Ronald</x:t>
        </x:is>
      </x:c>
      <x:c r="B157" s="139" t="inlineStr">
        <x:is>
          <x:t xml:space="preserve">Welly</x:t>
        </x:is>
      </x:c>
      <x:c r="C157" s="139" t="n">
        <x:v>1</x:v>
      </x:c>
      <x:c r="D157" s="139" t="n">
        <x:v>0</x:v>
      </x:c>
      <x:c r="E157" s="139" t="n">
        <x:v>1</x:v>
      </x:c>
      <x:c r="F157" s="93" t="n">
        <x:v>0</x:v>
      </x:c>
      <x:c r="G157" s="93" t="n">
        <x:v>0.3333333333333333</x:v>
      </x:c>
      <x:c r="H157" s="94" t="n">
        <x:v>-0.3333333333333333</x:v>
      </x:c>
      <x:c r="I157" s="139" t="n"/>
      <x:c r="J157" s="139" t="n"/>
      <x:c r="K157" s="139" t="n"/>
      <x:c r="L157" s="139" t="n"/>
      <x:c r="M157" s="139" t="n"/>
      <x:c r="N157" s="139" t="n"/>
      <x:c r="O157" s="139" t="n"/>
      <x:c r="P157" s="139" t="n"/>
      <x:c r="Q157" s="139" t="n"/>
      <x:c r="R157" s="139" t="n"/>
      <x:c r="S157" s="139" t="n"/>
      <x:c r="T157" s="139" t="n"/>
      <x:c r="U157" s="139" t="n"/>
      <x:c r="V157" s="139" t="n"/>
      <x:c r="W157" s="139" t="n"/>
      <x:c r="X157" s="139" t="n"/>
      <x:c r="Y157" s="139" t="n"/>
      <x:c r="Z157" s="139" t="n"/>
      <x:c r="AA157" s="139" t="n"/>
      <x:c r="AB157" s="139" t="n"/>
      <x:c r="AC157" s="139" t="n"/>
      <x:c r="AD157" s="139" t="n"/>
      <x:c r="AE157" s="139" t="n"/>
      <x:c r="AF157" s="139" t="n"/>
      <x:c r="AG157" s="139" t="n"/>
      <x:c r="AH157" s="139" t="n"/>
      <x:c r="AI157" s="139" t="n"/>
      <x:c r="AJ157" s="139" t="n"/>
      <x:c r="AK157" s="139" t="n"/>
      <x:c r="AL157" s="139" t="n"/>
      <x:c r="AM157" s="139" t="n"/>
      <x:c r="AN157" s="139" t="n"/>
      <x:c r="AO157" s="139" t="n"/>
      <x:c r="AP157" s="139" t="n"/>
      <x:c r="AQ157" s="139" t="n"/>
      <x:c r="AR157" s="139" t="n"/>
      <x:c r="AS157" s="139" t="n"/>
      <x:c r="AT157" s="139" t="n"/>
      <x:c r="AU157" s="139" t="n"/>
      <x:c r="AV157" s="139" t="n"/>
      <x:c r="AW157" s="139" t="n"/>
      <x:c r="AX157" s="139" t="n"/>
      <x:c r="AY157" s="139" t="n"/>
      <x:c r="AZ157" s="139" t="n"/>
    </x:row>
    <x:row r="158">
      <x:c r="A158" s="139" t="inlineStr">
        <x:is>
          <x:t xml:space="preserve">Ronald</x:t>
        </x:is>
      </x:c>
      <x:c r="B158" s="139" t="inlineStr">
        <x:is>
          <x:t xml:space="preserve">Donny</x:t>
        </x:is>
      </x:c>
      <x:c r="C158" s="139" t="n">
        <x:v>1</x:v>
      </x:c>
      <x:c r="D158" s="139" t="n">
        <x:v>0</x:v>
      </x:c>
      <x:c r="E158" s="139" t="n">
        <x:v>1</x:v>
      </x:c>
      <x:c r="F158" s="93" t="n">
        <x:v>0</x:v>
      </x:c>
      <x:c r="G158" s="93" t="n">
        <x:v>0.4210526315789473</x:v>
      </x:c>
      <x:c r="H158" s="94" t="n">
        <x:v>-0.4210526315789473</x:v>
      </x:c>
      <x:c r="I158" s="139" t="n"/>
      <x:c r="J158" s="139" t="n"/>
      <x:c r="K158" s="139" t="n"/>
      <x:c r="L158" s="139" t="n"/>
      <x:c r="M158" s="139" t="n"/>
      <x:c r="N158" s="139" t="n"/>
      <x:c r="O158" s="139" t="n"/>
      <x:c r="P158" s="139" t="n"/>
      <x:c r="Q158" s="139" t="n"/>
      <x:c r="R158" s="139" t="n"/>
      <x:c r="S158" s="139" t="n"/>
      <x:c r="T158" s="139" t="n"/>
      <x:c r="U158" s="139" t="n"/>
      <x:c r="V158" s="139" t="n"/>
      <x:c r="W158" s="139" t="n"/>
      <x:c r="X158" s="139" t="n"/>
      <x:c r="Y158" s="139" t="n"/>
      <x:c r="Z158" s="139" t="n"/>
      <x:c r="AA158" s="139" t="n"/>
      <x:c r="AB158" s="139" t="n"/>
      <x:c r="AC158" s="139" t="n"/>
      <x:c r="AD158" s="139" t="n"/>
      <x:c r="AE158" s="139" t="n"/>
      <x:c r="AF158" s="139" t="n"/>
      <x:c r="AG158" s="139" t="n"/>
      <x:c r="AH158" s="139" t="n"/>
      <x:c r="AI158" s="139" t="n"/>
      <x:c r="AJ158" s="139" t="n"/>
      <x:c r="AK158" s="139" t="n"/>
      <x:c r="AL158" s="139" t="n"/>
      <x:c r="AM158" s="139" t="n"/>
      <x:c r="AN158" s="139" t="n"/>
      <x:c r="AO158" s="139" t="n"/>
      <x:c r="AP158" s="139" t="n"/>
      <x:c r="AQ158" s="139" t="n"/>
      <x:c r="AR158" s="139" t="n"/>
      <x:c r="AS158" s="139" t="n"/>
      <x:c r="AT158" s="139" t="n"/>
      <x:c r="AU158" s="139" t="n"/>
      <x:c r="AV158" s="139" t="n"/>
      <x:c r="AW158" s="139" t="n"/>
      <x:c r="AX158" s="139" t="n"/>
      <x:c r="AY158" s="139" t="n"/>
      <x:c r="AZ158" s="139" t="n"/>
    </x:row>
    <x:row r="159">
      <x:c r="A159" s="139" t="inlineStr">
        <x:is>
          <x:t xml:space="preserve">Ronald</x:t>
        </x:is>
      </x:c>
      <x:c r="B159" s="139" t="inlineStr">
        <x:is>
          <x:t xml:space="preserve">Ricky</x:t>
        </x:is>
      </x:c>
      <x:c r="C159" s="139" t="n">
        <x:v>1</x:v>
      </x:c>
      <x:c r="D159" s="139" t="n">
        <x:v>0</x:v>
      </x:c>
      <x:c r="E159" s="139" t="n">
        <x:v>1</x:v>
      </x:c>
      <x:c r="F159" s="93" t="n">
        <x:v>0</x:v>
      </x:c>
      <x:c r="G159" s="93" t="n">
        <x:v>0.5882352941176471</x:v>
      </x:c>
      <x:c r="H159" s="94" t="n">
        <x:v>-0.5882352941176471</x:v>
      </x:c>
      <x:c r="I159" s="139" t="n"/>
      <x:c r="J159" s="139" t="n"/>
      <x:c r="K159" s="139" t="n"/>
      <x:c r="L159" s="139" t="n"/>
      <x:c r="M159" s="139" t="n"/>
      <x:c r="N159" s="139" t="n"/>
      <x:c r="O159" s="139" t="n"/>
      <x:c r="P159" s="139" t="n"/>
      <x:c r="Q159" s="139" t="n"/>
      <x:c r="R159" s="139" t="n"/>
      <x:c r="S159" s="139" t="n"/>
      <x:c r="T159" s="139" t="n"/>
      <x:c r="U159" s="139" t="n"/>
      <x:c r="V159" s="139" t="n"/>
      <x:c r="W159" s="139" t="n"/>
      <x:c r="X159" s="139" t="n"/>
      <x:c r="Y159" s="139" t="n"/>
      <x:c r="Z159" s="139" t="n"/>
      <x:c r="AA159" s="139" t="n"/>
      <x:c r="AB159" s="139" t="n"/>
      <x:c r="AC159" s="139" t="n"/>
      <x:c r="AD159" s="139" t="n"/>
      <x:c r="AE159" s="139" t="n"/>
      <x:c r="AF159" s="139" t="n"/>
      <x:c r="AG159" s="139" t="n"/>
      <x:c r="AH159" s="139" t="n"/>
      <x:c r="AI159" s="139" t="n"/>
      <x:c r="AJ159" s="139" t="n"/>
      <x:c r="AK159" s="139" t="n"/>
      <x:c r="AL159" s="139" t="n"/>
      <x:c r="AM159" s="139" t="n"/>
      <x:c r="AN159" s="139" t="n"/>
      <x:c r="AO159" s="139" t="n"/>
      <x:c r="AP159" s="139" t="n"/>
      <x:c r="AQ159" s="139" t="n"/>
      <x:c r="AR159" s="139" t="n"/>
      <x:c r="AS159" s="139" t="n"/>
      <x:c r="AT159" s="139" t="n"/>
      <x:c r="AU159" s="139" t="n"/>
      <x:c r="AV159" s="139" t="n"/>
      <x:c r="AW159" s="139" t="n"/>
      <x:c r="AX159" s="139" t="n"/>
      <x:c r="AY159" s="139" t="n"/>
      <x:c r="AZ159" s="139" t="n"/>
    </x:row>
    <x:row r="160">
      <x:c r="A160" s="139" t="inlineStr">
        <x:is>
          <x:t xml:space="preserve">Sandy</x:t>
        </x:is>
      </x:c>
      <x:c r="B160" s="139" t="inlineStr">
        <x:is>
          <x:t xml:space="preserve">Edy SP</x:t>
        </x:is>
      </x:c>
      <x:c r="C160" s="139" t="n">
        <x:v>2</x:v>
      </x:c>
      <x:c r="D160" s="139" t="n">
        <x:v>2</x:v>
      </x:c>
      <x:c r="E160" s="139" t="n">
        <x:v>0</x:v>
      </x:c>
      <x:c r="F160" s="93" t="n">
        <x:v>1</x:v>
      </x:c>
      <x:c r="G160" s="93" t="n">
        <x:v>0.4736842105263158</x:v>
      </x:c>
      <x:c r="H160" s="94" t="n">
        <x:v>0.5263157894736843</x:v>
      </x:c>
      <x:c r="I160" s="139" t="n"/>
      <x:c r="J160" s="139" t="n"/>
      <x:c r="K160" s="139" t="n"/>
      <x:c r="L160" s="139" t="n"/>
      <x:c r="M160" s="139" t="n"/>
      <x:c r="N160" s="139" t="n"/>
      <x:c r="O160" s="139" t="n"/>
      <x:c r="P160" s="139" t="n"/>
      <x:c r="Q160" s="139" t="n"/>
      <x:c r="R160" s="139" t="n"/>
      <x:c r="S160" s="139" t="n"/>
      <x:c r="T160" s="139" t="n"/>
      <x:c r="U160" s="139" t="n"/>
      <x:c r="V160" s="139" t="n"/>
      <x:c r="W160" s="139" t="n"/>
      <x:c r="X160" s="139" t="n"/>
      <x:c r="Y160" s="139" t="n"/>
      <x:c r="Z160" s="139" t="n"/>
      <x:c r="AA160" s="139" t="n"/>
      <x:c r="AB160" s="139" t="n"/>
      <x:c r="AC160" s="139" t="n"/>
      <x:c r="AD160" s="139" t="n"/>
      <x:c r="AE160" s="139" t="n"/>
      <x:c r="AF160" s="139" t="n"/>
      <x:c r="AG160" s="139" t="n"/>
      <x:c r="AH160" s="139" t="n"/>
      <x:c r="AI160" s="139" t="n"/>
      <x:c r="AJ160" s="139" t="n"/>
      <x:c r="AK160" s="139" t="n"/>
      <x:c r="AL160" s="139" t="n"/>
      <x:c r="AM160" s="139" t="n"/>
      <x:c r="AN160" s="139" t="n"/>
      <x:c r="AO160" s="139" t="n"/>
      <x:c r="AP160" s="139" t="n"/>
      <x:c r="AQ160" s="139" t="n"/>
      <x:c r="AR160" s="139" t="n"/>
      <x:c r="AS160" s="139" t="n"/>
      <x:c r="AT160" s="139" t="n"/>
      <x:c r="AU160" s="139" t="n"/>
      <x:c r="AV160" s="139" t="n"/>
      <x:c r="AW160" s="139" t="n"/>
      <x:c r="AX160" s="139" t="n"/>
      <x:c r="AY160" s="139" t="n"/>
      <x:c r="AZ160" s="139" t="n"/>
    </x:row>
    <x:row r="161">
      <x:c r="A161" s="139" t="inlineStr">
        <x:is>
          <x:t xml:space="preserve">Sandy</x:t>
        </x:is>
      </x:c>
      <x:c r="B161" s="139" t="inlineStr">
        <x:is>
          <x:t xml:space="preserve">Ricky</x:t>
        </x:is>
      </x:c>
      <x:c r="C161" s="139" t="n">
        <x:v>2</x:v>
      </x:c>
      <x:c r="D161" s="139" t="n">
        <x:v>2</x:v>
      </x:c>
      <x:c r="E161" s="139" t="n">
        <x:v>0</x:v>
      </x:c>
      <x:c r="F161" s="93" t="n">
        <x:v>1</x:v>
      </x:c>
      <x:c r="G161" s="93" t="n">
        <x:v>0.5882352941176471</x:v>
      </x:c>
      <x:c r="H161" s="94" t="n">
        <x:v>0.4117647058823529</x:v>
      </x:c>
      <x:c r="I161" s="139" t="n"/>
      <x:c r="J161" s="139" t="n"/>
      <x:c r="K161" s="139" t="n"/>
      <x:c r="L161" s="139" t="n"/>
      <x:c r="M161" s="139" t="n"/>
      <x:c r="N161" s="139" t="n"/>
      <x:c r="O161" s="139" t="n"/>
      <x:c r="P161" s="139" t="n"/>
      <x:c r="Q161" s="139" t="n"/>
      <x:c r="R161" s="139" t="n"/>
      <x:c r="S161" s="139" t="n"/>
      <x:c r="T161" s="139" t="n"/>
      <x:c r="U161" s="139" t="n"/>
      <x:c r="V161" s="139" t="n"/>
      <x:c r="W161" s="139" t="n"/>
      <x:c r="X161" s="139" t="n"/>
      <x:c r="Y161" s="139" t="n"/>
      <x:c r="Z161" s="139" t="n"/>
      <x:c r="AA161" s="139" t="n"/>
      <x:c r="AB161" s="139" t="n"/>
      <x:c r="AC161" s="139" t="n"/>
      <x:c r="AD161" s="139" t="n"/>
      <x:c r="AE161" s="139" t="n"/>
      <x:c r="AF161" s="139" t="n"/>
      <x:c r="AG161" s="139" t="n"/>
      <x:c r="AH161" s="139" t="n"/>
      <x:c r="AI161" s="139" t="n"/>
      <x:c r="AJ161" s="139" t="n"/>
      <x:c r="AK161" s="139" t="n"/>
      <x:c r="AL161" s="139" t="n"/>
      <x:c r="AM161" s="139" t="n"/>
      <x:c r="AN161" s="139" t="n"/>
      <x:c r="AO161" s="139" t="n"/>
      <x:c r="AP161" s="139" t="n"/>
      <x:c r="AQ161" s="139" t="n"/>
      <x:c r="AR161" s="139" t="n"/>
      <x:c r="AS161" s="139" t="n"/>
      <x:c r="AT161" s="139" t="n"/>
      <x:c r="AU161" s="139" t="n"/>
      <x:c r="AV161" s="139" t="n"/>
      <x:c r="AW161" s="139" t="n"/>
      <x:c r="AX161" s="139" t="n"/>
      <x:c r="AY161" s="139" t="n"/>
      <x:c r="AZ161" s="139" t="n"/>
    </x:row>
    <x:row r="162">
      <x:c r="A162" s="139" t="inlineStr">
        <x:is>
          <x:t xml:space="preserve">Sandy</x:t>
        </x:is>
      </x:c>
      <x:c r="B162" s="139" t="inlineStr">
        <x:is>
          <x:t xml:space="preserve">Alwin</x:t>
        </x:is>
      </x:c>
      <x:c r="C162" s="139" t="n">
        <x:v>1</x:v>
      </x:c>
      <x:c r="D162" s="139" t="n">
        <x:v>1</x:v>
      </x:c>
      <x:c r="E162" s="139" t="n">
        <x:v>0</x:v>
      </x:c>
      <x:c r="F162" s="93" t="n">
        <x:v>1</x:v>
      </x:c>
      <x:c r="G162" s="93" t="n">
        <x:v>0.3571428571428572</x:v>
      </x:c>
      <x:c r="H162" s="94" t="n">
        <x:v>0.6428571428571428</x:v>
      </x:c>
      <x:c r="I162" s="139" t="n"/>
      <x:c r="J162" s="139" t="n"/>
      <x:c r="K162" s="139" t="n"/>
      <x:c r="L162" s="139" t="n"/>
      <x:c r="M162" s="139" t="n"/>
      <x:c r="N162" s="139" t="n"/>
      <x:c r="O162" s="139" t="n"/>
      <x:c r="P162" s="139" t="n"/>
      <x:c r="Q162" s="139" t="n"/>
      <x:c r="R162" s="139" t="n"/>
      <x:c r="S162" s="139" t="n"/>
      <x:c r="T162" s="139" t="n"/>
      <x:c r="U162" s="139" t="n"/>
      <x:c r="V162" s="139" t="n"/>
      <x:c r="W162" s="139" t="n"/>
      <x:c r="X162" s="139" t="n"/>
      <x:c r="Y162" s="139" t="n"/>
      <x:c r="Z162" s="139" t="n"/>
      <x:c r="AA162" s="139" t="n"/>
      <x:c r="AB162" s="139" t="n"/>
      <x:c r="AC162" s="139" t="n"/>
      <x:c r="AD162" s="139" t="n"/>
      <x:c r="AE162" s="139" t="n"/>
      <x:c r="AF162" s="139" t="n"/>
      <x:c r="AG162" s="139" t="n"/>
      <x:c r="AH162" s="139" t="n"/>
      <x:c r="AI162" s="139" t="n"/>
      <x:c r="AJ162" s="139" t="n"/>
      <x:c r="AK162" s="139" t="n"/>
      <x:c r="AL162" s="139" t="n"/>
      <x:c r="AM162" s="139" t="n"/>
      <x:c r="AN162" s="139" t="n"/>
      <x:c r="AO162" s="139" t="n"/>
      <x:c r="AP162" s="139" t="n"/>
      <x:c r="AQ162" s="139" t="n"/>
      <x:c r="AR162" s="139" t="n"/>
      <x:c r="AS162" s="139" t="n"/>
      <x:c r="AT162" s="139" t="n"/>
      <x:c r="AU162" s="139" t="n"/>
      <x:c r="AV162" s="139" t="n"/>
      <x:c r="AW162" s="139" t="n"/>
      <x:c r="AX162" s="139" t="n"/>
      <x:c r="AY162" s="139" t="n"/>
      <x:c r="AZ162" s="139" t="n"/>
    </x:row>
    <x:row r="163">
      <x:c r="A163" s="139" t="inlineStr">
        <x:is>
          <x:t xml:space="preserve">Sandy</x:t>
        </x:is>
      </x:c>
      <x:c r="B163" s="139" t="inlineStr">
        <x:is>
          <x:t xml:space="preserve">Donny</x:t>
        </x:is>
      </x:c>
      <x:c r="C163" s="139" t="n">
        <x:v>1</x:v>
      </x:c>
      <x:c r="D163" s="139" t="n">
        <x:v>1</x:v>
      </x:c>
      <x:c r="E163" s="139" t="n">
        <x:v>0</x:v>
      </x:c>
      <x:c r="F163" s="93" t="n">
        <x:v>1</x:v>
      </x:c>
      <x:c r="G163" s="93" t="n">
        <x:v>0.4210526315789473</x:v>
      </x:c>
      <x:c r="H163" s="94" t="n">
        <x:v>0.5789473684210527</x:v>
      </x:c>
      <x:c r="I163" s="139" t="n"/>
      <x:c r="J163" s="139" t="n"/>
      <x:c r="K163" s="139" t="n"/>
      <x:c r="L163" s="139" t="n"/>
      <x:c r="M163" s="139" t="n"/>
      <x:c r="N163" s="139" t="n"/>
      <x:c r="O163" s="139" t="n"/>
      <x:c r="P163" s="139" t="n"/>
      <x:c r="Q163" s="139" t="n"/>
      <x:c r="R163" s="139" t="n"/>
      <x:c r="S163" s="139" t="n"/>
      <x:c r="T163" s="139" t="n"/>
      <x:c r="U163" s="139" t="n"/>
      <x:c r="V163" s="139" t="n"/>
      <x:c r="W163" s="139" t="n"/>
      <x:c r="X163" s="139" t="n"/>
      <x:c r="Y163" s="139" t="n"/>
      <x:c r="Z163" s="139" t="n"/>
      <x:c r="AA163" s="139" t="n"/>
      <x:c r="AB163" s="139" t="n"/>
      <x:c r="AC163" s="139" t="n"/>
      <x:c r="AD163" s="139" t="n"/>
      <x:c r="AE163" s="139" t="n"/>
      <x:c r="AF163" s="139" t="n"/>
      <x:c r="AG163" s="139" t="n"/>
      <x:c r="AH163" s="139" t="n"/>
      <x:c r="AI163" s="139" t="n"/>
      <x:c r="AJ163" s="139" t="n"/>
      <x:c r="AK163" s="139" t="n"/>
      <x:c r="AL163" s="139" t="n"/>
      <x:c r="AM163" s="139" t="n"/>
      <x:c r="AN163" s="139" t="n"/>
      <x:c r="AO163" s="139" t="n"/>
      <x:c r="AP163" s="139" t="n"/>
      <x:c r="AQ163" s="139" t="n"/>
      <x:c r="AR163" s="139" t="n"/>
      <x:c r="AS163" s="139" t="n"/>
      <x:c r="AT163" s="139" t="n"/>
      <x:c r="AU163" s="139" t="n"/>
      <x:c r="AV163" s="139" t="n"/>
      <x:c r="AW163" s="139" t="n"/>
      <x:c r="AX163" s="139" t="n"/>
      <x:c r="AY163" s="139" t="n"/>
      <x:c r="AZ163" s="139" t="n"/>
    </x:row>
    <x:row r="164">
      <x:c r="A164" s="139" t="inlineStr">
        <x:is>
          <x:t xml:space="preserve">Sandy</x:t>
        </x:is>
      </x:c>
      <x:c r="B164" s="139" t="inlineStr">
        <x:is>
          <x:t xml:space="preserve">Reza</x:t>
        </x:is>
      </x:c>
      <x:c r="C164" s="139" t="n">
        <x:v>1</x:v>
      </x:c>
      <x:c r="D164" s="139" t="n">
        <x:v>1</x:v>
      </x:c>
      <x:c r="E164" s="139" t="n">
        <x:v>0</x:v>
      </x:c>
      <x:c r="F164" s="93" t="n">
        <x:v>1</x:v>
      </x:c>
      <x:c r="G164" s="93" t="n">
        <x:v>0.4285714285714285</x:v>
      </x:c>
      <x:c r="H164" s="94" t="n">
        <x:v>0.5714285714285714</x:v>
      </x:c>
      <x:c r="I164" s="139" t="n"/>
      <x:c r="J164" s="139" t="n"/>
      <x:c r="K164" s="139" t="n"/>
      <x:c r="L164" s="139" t="n"/>
      <x:c r="M164" s="139" t="n"/>
      <x:c r="N164" s="139" t="n"/>
      <x:c r="O164" s="139" t="n"/>
      <x:c r="P164" s="139" t="n"/>
      <x:c r="Q164" s="139" t="n"/>
      <x:c r="R164" s="139" t="n"/>
      <x:c r="S164" s="139" t="n"/>
      <x:c r="T164" s="139" t="n"/>
      <x:c r="U164" s="139" t="n"/>
      <x:c r="V164" s="139" t="n"/>
      <x:c r="W164" s="139" t="n"/>
      <x:c r="X164" s="139" t="n"/>
      <x:c r="Y164" s="139" t="n"/>
      <x:c r="Z164" s="139" t="n"/>
      <x:c r="AA164" s="139" t="n"/>
      <x:c r="AB164" s="139" t="n"/>
      <x:c r="AC164" s="139" t="n"/>
      <x:c r="AD164" s="139" t="n"/>
      <x:c r="AE164" s="139" t="n"/>
      <x:c r="AF164" s="139" t="n"/>
      <x:c r="AG164" s="139" t="n"/>
      <x:c r="AH164" s="139" t="n"/>
      <x:c r="AI164" s="139" t="n"/>
      <x:c r="AJ164" s="139" t="n"/>
      <x:c r="AK164" s="139" t="n"/>
      <x:c r="AL164" s="139" t="n"/>
      <x:c r="AM164" s="139" t="n"/>
      <x:c r="AN164" s="139" t="n"/>
      <x:c r="AO164" s="139" t="n"/>
      <x:c r="AP164" s="139" t="n"/>
      <x:c r="AQ164" s="139" t="n"/>
      <x:c r="AR164" s="139" t="n"/>
      <x:c r="AS164" s="139" t="n"/>
      <x:c r="AT164" s="139" t="n"/>
      <x:c r="AU164" s="139" t="n"/>
      <x:c r="AV164" s="139" t="n"/>
      <x:c r="AW164" s="139" t="n"/>
      <x:c r="AX164" s="139" t="n"/>
      <x:c r="AY164" s="139" t="n"/>
      <x:c r="AZ164" s="139" t="n"/>
    </x:row>
    <x:row r="165">
      <x:c r="A165" s="139" t="inlineStr">
        <x:is>
          <x:t xml:space="preserve">Sandy</x:t>
        </x:is>
      </x:c>
      <x:c r="B165" s="139" t="inlineStr">
        <x:is>
          <x:t xml:space="preserve">David</x:t>
        </x:is>
      </x:c>
      <x:c r="C165" s="139" t="n">
        <x:v>1</x:v>
      </x:c>
      <x:c r="D165" s="139" t="n">
        <x:v>1</x:v>
      </x:c>
      <x:c r="E165" s="139" t="n">
        <x:v>0</x:v>
      </x:c>
      <x:c r="F165" s="93" t="n">
        <x:v>1</x:v>
      </x:c>
      <x:c r="G165" s="93" t="n">
        <x:v>0.45</x:v>
      </x:c>
      <x:c r="H165" s="94" t="n">
        <x:v>0.55</x:v>
      </x:c>
      <x:c r="I165" s="139" t="n"/>
      <x:c r="J165" s="139" t="n"/>
      <x:c r="K165" s="139" t="n"/>
      <x:c r="L165" s="139" t="n"/>
      <x:c r="M165" s="139" t="n"/>
      <x:c r="N165" s="139" t="n"/>
      <x:c r="O165" s="139" t="n"/>
      <x:c r="P165" s="139" t="n"/>
      <x:c r="Q165" s="139" t="n"/>
      <x:c r="R165" s="139" t="n"/>
      <x:c r="S165" s="139" t="n"/>
      <x:c r="T165" s="139" t="n"/>
      <x:c r="U165" s="139" t="n"/>
      <x:c r="V165" s="139" t="n"/>
      <x:c r="W165" s="139" t="n"/>
      <x:c r="X165" s="139" t="n"/>
      <x:c r="Y165" s="139" t="n"/>
      <x:c r="Z165" s="139" t="n"/>
      <x:c r="AA165" s="139" t="n"/>
      <x:c r="AB165" s="139" t="n"/>
      <x:c r="AC165" s="139" t="n"/>
      <x:c r="AD165" s="139" t="n"/>
      <x:c r="AE165" s="139" t="n"/>
      <x:c r="AF165" s="139" t="n"/>
      <x:c r="AG165" s="139" t="n"/>
      <x:c r="AH165" s="139" t="n"/>
      <x:c r="AI165" s="139" t="n"/>
      <x:c r="AJ165" s="139" t="n"/>
      <x:c r="AK165" s="139" t="n"/>
      <x:c r="AL165" s="139" t="n"/>
      <x:c r="AM165" s="139" t="n"/>
      <x:c r="AN165" s="139" t="n"/>
      <x:c r="AO165" s="139" t="n"/>
      <x:c r="AP165" s="139" t="n"/>
      <x:c r="AQ165" s="139" t="n"/>
      <x:c r="AR165" s="139" t="n"/>
      <x:c r="AS165" s="139" t="n"/>
      <x:c r="AT165" s="139" t="n"/>
      <x:c r="AU165" s="139" t="n"/>
      <x:c r="AV165" s="139" t="n"/>
      <x:c r="AW165" s="139" t="n"/>
      <x:c r="AX165" s="139" t="n"/>
      <x:c r="AY165" s="139" t="n"/>
      <x:c r="AZ165" s="139" t="n"/>
    </x:row>
    <x:row r="166">
      <x:c r="A166" s="139" t="inlineStr">
        <x:is>
          <x:t xml:space="preserve">Sandy</x:t>
        </x:is>
      </x:c>
      <x:c r="B166" s="139" t="inlineStr">
        <x:is>
          <x:t xml:space="preserve">Michael</x:t>
        </x:is>
      </x:c>
      <x:c r="C166" s="139" t="n">
        <x:v>1</x:v>
      </x:c>
      <x:c r="D166" s="139" t="n">
        <x:v>1</x:v>
      </x:c>
      <x:c r="E166" s="139" t="n">
        <x:v>0</x:v>
      </x:c>
      <x:c r="F166" s="93" t="n">
        <x:v>1</x:v>
      </x:c>
      <x:c r="G166" s="93" t="n">
        <x:v>0.4761904761904762</x:v>
      </x:c>
      <x:c r="H166" s="94" t="n">
        <x:v>0.5238095238095238</x:v>
      </x:c>
      <x:c r="I166" s="139" t="n"/>
      <x:c r="J166" s="139" t="n"/>
      <x:c r="K166" s="139" t="n"/>
      <x:c r="L166" s="139" t="n"/>
      <x:c r="M166" s="139" t="n"/>
      <x:c r="N166" s="139" t="n"/>
      <x:c r="O166" s="139" t="n"/>
      <x:c r="P166" s="139" t="n"/>
      <x:c r="Q166" s="139" t="n"/>
      <x:c r="R166" s="139" t="n"/>
      <x:c r="S166" s="139" t="n"/>
      <x:c r="T166" s="139" t="n"/>
      <x:c r="U166" s="139" t="n"/>
      <x:c r="V166" s="139" t="n"/>
      <x:c r="W166" s="139" t="n"/>
      <x:c r="X166" s="139" t="n"/>
      <x:c r="Y166" s="139" t="n"/>
      <x:c r="Z166" s="139" t="n"/>
      <x:c r="AA166" s="139" t="n"/>
      <x:c r="AB166" s="139" t="n"/>
      <x:c r="AC166" s="139" t="n"/>
      <x:c r="AD166" s="139" t="n"/>
      <x:c r="AE166" s="139" t="n"/>
      <x:c r="AF166" s="139" t="n"/>
      <x:c r="AG166" s="139" t="n"/>
      <x:c r="AH166" s="139" t="n"/>
      <x:c r="AI166" s="139" t="n"/>
      <x:c r="AJ166" s="139" t="n"/>
      <x:c r="AK166" s="139" t="n"/>
      <x:c r="AL166" s="139" t="n"/>
      <x:c r="AM166" s="139" t="n"/>
      <x:c r="AN166" s="139" t="n"/>
      <x:c r="AO166" s="139" t="n"/>
      <x:c r="AP166" s="139" t="n"/>
      <x:c r="AQ166" s="139" t="n"/>
      <x:c r="AR166" s="139" t="n"/>
      <x:c r="AS166" s="139" t="n"/>
      <x:c r="AT166" s="139" t="n"/>
      <x:c r="AU166" s="139" t="n"/>
      <x:c r="AV166" s="139" t="n"/>
      <x:c r="AW166" s="139" t="n"/>
      <x:c r="AX166" s="139" t="n"/>
      <x:c r="AY166" s="139" t="n"/>
      <x:c r="AZ166" s="139" t="n"/>
    </x:row>
    <x:row r="167">
      <x:c r="A167" s="139" t="inlineStr">
        <x:is>
          <x:t xml:space="preserve">Sandy</x:t>
        </x:is>
      </x:c>
      <x:c r="B167" s="139" t="inlineStr">
        <x:is>
          <x:t xml:space="preserve">Austin</x:t>
        </x:is>
      </x:c>
      <x:c r="C167" s="139" t="n">
        <x:v>1</x:v>
      </x:c>
      <x:c r="D167" s="139" t="n">
        <x:v>1</x:v>
      </x:c>
      <x:c r="E167" s="139" t="n">
        <x:v>0</x:v>
      </x:c>
      <x:c r="F167" s="93" t="n">
        <x:v>1</x:v>
      </x:c>
      <x:c r="G167" s="93" t="n">
        <x:v>0.5909090909090909</x:v>
      </x:c>
      <x:c r="H167" s="94" t="n">
        <x:v>0.4090909090909091</x:v>
      </x:c>
      <x:c r="I167" s="139" t="n"/>
      <x:c r="J167" s="139" t="n"/>
      <x:c r="K167" s="139" t="n"/>
      <x:c r="L167" s="139" t="n"/>
      <x:c r="M167" s="139" t="n"/>
      <x:c r="N167" s="139" t="n"/>
      <x:c r="O167" s="139" t="n"/>
      <x:c r="P167" s="139" t="n"/>
      <x:c r="Q167" s="139" t="n"/>
      <x:c r="R167" s="139" t="n"/>
      <x:c r="S167" s="139" t="n"/>
      <x:c r="T167" s="139" t="n"/>
      <x:c r="U167" s="139" t="n"/>
      <x:c r="V167" s="139" t="n"/>
      <x:c r="W167" s="139" t="n"/>
      <x:c r="X167" s="139" t="n"/>
      <x:c r="Y167" s="139" t="n"/>
      <x:c r="Z167" s="139" t="n"/>
      <x:c r="AA167" s="139" t="n"/>
      <x:c r="AB167" s="139" t="n"/>
      <x:c r="AC167" s="139" t="n"/>
      <x:c r="AD167" s="139" t="n"/>
      <x:c r="AE167" s="139" t="n"/>
      <x:c r="AF167" s="139" t="n"/>
      <x:c r="AG167" s="139" t="n"/>
      <x:c r="AH167" s="139" t="n"/>
      <x:c r="AI167" s="139" t="n"/>
      <x:c r="AJ167" s="139" t="n"/>
      <x:c r="AK167" s="139" t="n"/>
      <x:c r="AL167" s="139" t="n"/>
      <x:c r="AM167" s="139" t="n"/>
      <x:c r="AN167" s="139" t="n"/>
      <x:c r="AO167" s="139" t="n"/>
      <x:c r="AP167" s="139" t="n"/>
      <x:c r="AQ167" s="139" t="n"/>
      <x:c r="AR167" s="139" t="n"/>
      <x:c r="AS167" s="139" t="n"/>
      <x:c r="AT167" s="139" t="n"/>
      <x:c r="AU167" s="139" t="n"/>
      <x:c r="AV167" s="139" t="n"/>
      <x:c r="AW167" s="139" t="n"/>
      <x:c r="AX167" s="139" t="n"/>
      <x:c r="AY167" s="139" t="n"/>
      <x:c r="AZ167" s="139" t="n"/>
    </x:row>
    <x:row r="168">
      <x:c r="A168" s="139" t="inlineStr">
        <x:is>
          <x:t xml:space="preserve">Sandy</x:t>
        </x:is>
      </x:c>
      <x:c r="B168" s="139" t="inlineStr">
        <x:is>
          <x:t xml:space="preserve">Ronald</x:t>
        </x:is>
      </x:c>
      <x:c r="C168" s="139" t="n">
        <x:v>1</x:v>
      </x:c>
      <x:c r="D168" s="139" t="n">
        <x:v>1</x:v>
      </x:c>
      <x:c r="E168" s="139" t="n">
        <x:v>0</x:v>
      </x:c>
      <x:c r="F168" s="93" t="n">
        <x:v>1</x:v>
      </x:c>
      <x:c r="G168" s="93" t="n">
        <x:v>0.6153846153846154</x:v>
      </x:c>
      <x:c r="H168" s="94" t="n">
        <x:v>0.3846153846153846</x:v>
      </x:c>
      <x:c r="I168" s="139" t="n"/>
      <x:c r="J168" s="139" t="n"/>
      <x:c r="K168" s="139" t="n"/>
      <x:c r="L168" s="139" t="n"/>
      <x:c r="M168" s="139" t="n"/>
      <x:c r="N168" s="139" t="n"/>
      <x:c r="O168" s="139" t="n"/>
      <x:c r="P168" s="139" t="n"/>
      <x:c r="Q168" s="139" t="n"/>
      <x:c r="R168" s="139" t="n"/>
      <x:c r="S168" s="139" t="n"/>
      <x:c r="T168" s="139" t="n"/>
      <x:c r="U168" s="139" t="n"/>
      <x:c r="V168" s="139" t="n"/>
      <x:c r="W168" s="139" t="n"/>
      <x:c r="X168" s="139" t="n"/>
      <x:c r="Y168" s="139" t="n"/>
      <x:c r="Z168" s="139" t="n"/>
      <x:c r="AA168" s="139" t="n"/>
      <x:c r="AB168" s="139" t="n"/>
      <x:c r="AC168" s="139" t="n"/>
      <x:c r="AD168" s="139" t="n"/>
      <x:c r="AE168" s="139" t="n"/>
      <x:c r="AF168" s="139" t="n"/>
      <x:c r="AG168" s="139" t="n"/>
      <x:c r="AH168" s="139" t="n"/>
      <x:c r="AI168" s="139" t="n"/>
      <x:c r="AJ168" s="139" t="n"/>
      <x:c r="AK168" s="139" t="n"/>
      <x:c r="AL168" s="139" t="n"/>
      <x:c r="AM168" s="139" t="n"/>
      <x:c r="AN168" s="139" t="n"/>
      <x:c r="AO168" s="139" t="n"/>
      <x:c r="AP168" s="139" t="n"/>
      <x:c r="AQ168" s="139" t="n"/>
      <x:c r="AR168" s="139" t="n"/>
      <x:c r="AS168" s="139" t="n"/>
      <x:c r="AT168" s="139" t="n"/>
      <x:c r="AU168" s="139" t="n"/>
      <x:c r="AV168" s="139" t="n"/>
      <x:c r="AW168" s="139" t="n"/>
      <x:c r="AX168" s="139" t="n"/>
      <x:c r="AY168" s="139" t="n"/>
      <x:c r="AZ168" s="139" t="n"/>
    </x:row>
    <x:row r="169">
      <x:c r="A169" s="139" t="inlineStr">
        <x:is>
          <x:t xml:space="preserve">Sandy</x:t>
        </x:is>
      </x:c>
      <x:c r="B169" s="139" t="inlineStr">
        <x:is>
          <x:t xml:space="preserve">Alice</x:t>
        </x:is>
      </x:c>
      <x:c r="C169" s="139" t="n">
        <x:v>1</x:v>
      </x:c>
      <x:c r="D169" s="139" t="n">
        <x:v>0</x:v>
      </x:c>
      <x:c r="E169" s="139" t="n">
        <x:v>1</x:v>
      </x:c>
      <x:c r="F169" s="93" t="n">
        <x:v>0</x:v>
      </x:c>
      <x:c r="G169" s="93" t="n">
        <x:v>0.2272727272727273</x:v>
      </x:c>
      <x:c r="H169" s="94" t="n">
        <x:v>-0.2272727272727273</x:v>
      </x:c>
      <x:c r="I169" s="139" t="n"/>
      <x:c r="J169" s="139" t="n"/>
      <x:c r="K169" s="139" t="n"/>
      <x:c r="L169" s="139" t="n"/>
      <x:c r="M169" s="139" t="n"/>
      <x:c r="N169" s="139" t="n"/>
      <x:c r="O169" s="139" t="n"/>
      <x:c r="P169" s="139" t="n"/>
      <x:c r="Q169" s="139" t="n"/>
      <x:c r="R169" s="139" t="n"/>
      <x:c r="S169" s="139" t="n"/>
      <x:c r="T169" s="139" t="n"/>
      <x:c r="U169" s="139" t="n"/>
      <x:c r="V169" s="139" t="n"/>
      <x:c r="W169" s="139" t="n"/>
      <x:c r="X169" s="139" t="n"/>
      <x:c r="Y169" s="139" t="n"/>
      <x:c r="Z169" s="139" t="n"/>
      <x:c r="AA169" s="139" t="n"/>
      <x:c r="AB169" s="139" t="n"/>
      <x:c r="AC169" s="139" t="n"/>
      <x:c r="AD169" s="139" t="n"/>
      <x:c r="AE169" s="139" t="n"/>
      <x:c r="AF169" s="139" t="n"/>
      <x:c r="AG169" s="139" t="n"/>
      <x:c r="AH169" s="139" t="n"/>
      <x:c r="AI169" s="139" t="n"/>
      <x:c r="AJ169" s="139" t="n"/>
      <x:c r="AK169" s="139" t="n"/>
      <x:c r="AL169" s="139" t="n"/>
      <x:c r="AM169" s="139" t="n"/>
      <x:c r="AN169" s="139" t="n"/>
      <x:c r="AO169" s="139" t="n"/>
      <x:c r="AP169" s="139" t="n"/>
      <x:c r="AQ169" s="139" t="n"/>
      <x:c r="AR169" s="139" t="n"/>
      <x:c r="AS169" s="139" t="n"/>
      <x:c r="AT169" s="139" t="n"/>
      <x:c r="AU169" s="139" t="n"/>
      <x:c r="AV169" s="139" t="n"/>
      <x:c r="AW169" s="139" t="n"/>
      <x:c r="AX169" s="139" t="n"/>
      <x:c r="AY169" s="139" t="n"/>
      <x:c r="AZ169" s="139" t="n"/>
    </x:row>
    <x:row r="170">
      <x:c r="A170" s="139" t="inlineStr">
        <x:is>
          <x:t xml:space="preserve">Sandy</x:t>
        </x:is>
      </x:c>
      <x:c r="B170" s="139" t="inlineStr">
        <x:is>
          <x:t xml:space="preserve">Welly</x:t>
        </x:is>
      </x:c>
      <x:c r="C170" s="139" t="n">
        <x:v>1</x:v>
      </x:c>
      <x:c r="D170" s="139" t="n">
        <x:v>0</x:v>
      </x:c>
      <x:c r="E170" s="139" t="n">
        <x:v>1</x:v>
      </x:c>
      <x:c r="F170" s="93" t="n">
        <x:v>0</x:v>
      </x:c>
      <x:c r="G170" s="93" t="n">
        <x:v>0.3333333333333333</x:v>
      </x:c>
      <x:c r="H170" s="94" t="n">
        <x:v>-0.3333333333333333</x:v>
      </x:c>
      <x:c r="I170" s="139" t="n"/>
      <x:c r="J170" s="139" t="n"/>
      <x:c r="K170" s="139" t="n"/>
      <x:c r="L170" s="139" t="n"/>
      <x:c r="M170" s="139" t="n"/>
      <x:c r="N170" s="139" t="n"/>
      <x:c r="O170" s="139" t="n"/>
      <x:c r="P170" s="139" t="n"/>
      <x:c r="Q170" s="139" t="n"/>
      <x:c r="R170" s="139" t="n"/>
      <x:c r="S170" s="139" t="n"/>
      <x:c r="T170" s="139" t="n"/>
      <x:c r="U170" s="139" t="n"/>
      <x:c r="V170" s="139" t="n"/>
      <x:c r="W170" s="139" t="n"/>
      <x:c r="X170" s="139" t="n"/>
      <x:c r="Y170" s="139" t="n"/>
      <x:c r="Z170" s="139" t="n"/>
      <x:c r="AA170" s="139" t="n"/>
      <x:c r="AB170" s="139" t="n"/>
      <x:c r="AC170" s="139" t="n"/>
      <x:c r="AD170" s="139" t="n"/>
      <x:c r="AE170" s="139" t="n"/>
      <x:c r="AF170" s="139" t="n"/>
      <x:c r="AG170" s="139" t="n"/>
      <x:c r="AH170" s="139" t="n"/>
      <x:c r="AI170" s="139" t="n"/>
      <x:c r="AJ170" s="139" t="n"/>
      <x:c r="AK170" s="139" t="n"/>
      <x:c r="AL170" s="139" t="n"/>
      <x:c r="AM170" s="139" t="n"/>
      <x:c r="AN170" s="139" t="n"/>
      <x:c r="AO170" s="139" t="n"/>
      <x:c r="AP170" s="139" t="n"/>
      <x:c r="AQ170" s="139" t="n"/>
      <x:c r="AR170" s="139" t="n"/>
      <x:c r="AS170" s="139" t="n"/>
      <x:c r="AT170" s="139" t="n"/>
      <x:c r="AU170" s="139" t="n"/>
      <x:c r="AV170" s="139" t="n"/>
      <x:c r="AW170" s="139" t="n"/>
      <x:c r="AX170" s="139" t="n"/>
      <x:c r="AY170" s="139" t="n"/>
      <x:c r="AZ170" s="139" t="n"/>
    </x:row>
    <x:row r="171">
      <x:c r="A171" s="139" t="inlineStr">
        <x:is>
          <x:t xml:space="preserve">Thohir</x:t>
        </x:is>
      </x:c>
      <x:c r="B171" s="139" t="inlineStr">
        <x:is>
          <x:t xml:space="preserve">Welly</x:t>
        </x:is>
      </x:c>
      <x:c r="C171" s="139" t="n">
        <x:v>1</x:v>
      </x:c>
      <x:c r="D171" s="139" t="n">
        <x:v>1</x:v>
      </x:c>
      <x:c r="E171" s="139" t="n">
        <x:v>0</x:v>
      </x:c>
      <x:c r="F171" s="93" t="n">
        <x:v>1</x:v>
      </x:c>
      <x:c r="G171" s="93" t="n">
        <x:v>0.3333333333333333</x:v>
      </x:c>
      <x:c r="H171" s="94" t="n">
        <x:v>0.6666666666666667</x:v>
      </x:c>
      <x:c r="I171" s="139" t="n"/>
      <x:c r="J171" s="139" t="n"/>
      <x:c r="K171" s="139" t="n"/>
      <x:c r="L171" s="139" t="n"/>
      <x:c r="M171" s="139" t="n"/>
      <x:c r="N171" s="139" t="n"/>
      <x:c r="O171" s="139" t="n"/>
      <x:c r="P171" s="139" t="n"/>
      <x:c r="Q171" s="139" t="n"/>
      <x:c r="R171" s="139" t="n"/>
      <x:c r="S171" s="139" t="n"/>
      <x:c r="T171" s="139" t="n"/>
      <x:c r="U171" s="139" t="n"/>
      <x:c r="V171" s="139" t="n"/>
      <x:c r="W171" s="139" t="n"/>
      <x:c r="X171" s="139" t="n"/>
      <x:c r="Y171" s="139" t="n"/>
      <x:c r="Z171" s="139" t="n"/>
      <x:c r="AA171" s="139" t="n"/>
      <x:c r="AB171" s="139" t="n"/>
      <x:c r="AC171" s="139" t="n"/>
      <x:c r="AD171" s="139" t="n"/>
      <x:c r="AE171" s="139" t="n"/>
      <x:c r="AF171" s="139" t="n"/>
      <x:c r="AG171" s="139" t="n"/>
      <x:c r="AH171" s="139" t="n"/>
      <x:c r="AI171" s="139" t="n"/>
      <x:c r="AJ171" s="139" t="n"/>
      <x:c r="AK171" s="139" t="n"/>
      <x:c r="AL171" s="139" t="n"/>
      <x:c r="AM171" s="139" t="n"/>
      <x:c r="AN171" s="139" t="n"/>
      <x:c r="AO171" s="139" t="n"/>
      <x:c r="AP171" s="139" t="n"/>
      <x:c r="AQ171" s="139" t="n"/>
      <x:c r="AR171" s="139" t="n"/>
      <x:c r="AS171" s="139" t="n"/>
      <x:c r="AT171" s="139" t="n"/>
      <x:c r="AU171" s="139" t="n"/>
      <x:c r="AV171" s="139" t="n"/>
      <x:c r="AW171" s="139" t="n"/>
      <x:c r="AX171" s="139" t="n"/>
      <x:c r="AY171" s="139" t="n"/>
      <x:c r="AZ171" s="139" t="n"/>
    </x:row>
    <x:row r="172">
      <x:c r="A172" s="139" t="inlineStr">
        <x:is>
          <x:t xml:space="preserve">Thohir</x:t>
        </x:is>
      </x:c>
      <x:c r="B172" s="139" t="inlineStr">
        <x:is>
          <x:t xml:space="preserve">Donny</x:t>
        </x:is>
      </x:c>
      <x:c r="C172" s="139" t="n">
        <x:v>1</x:v>
      </x:c>
      <x:c r="D172" s="139" t="n">
        <x:v>1</x:v>
      </x:c>
      <x:c r="E172" s="139" t="n">
        <x:v>0</x:v>
      </x:c>
      <x:c r="F172" s="93" t="n">
        <x:v>1</x:v>
      </x:c>
      <x:c r="G172" s="93" t="n">
        <x:v>0.4210526315789473</x:v>
      </x:c>
      <x:c r="H172" s="94" t="n">
        <x:v>0.5789473684210527</x:v>
      </x:c>
      <x:c r="I172" s="139" t="n"/>
      <x:c r="J172" s="139" t="n"/>
      <x:c r="K172" s="139" t="n"/>
      <x:c r="L172" s="139" t="n"/>
      <x:c r="M172" s="139" t="n"/>
      <x:c r="N172" s="139" t="n"/>
      <x:c r="O172" s="139" t="n"/>
      <x:c r="P172" s="139" t="n"/>
      <x:c r="Q172" s="139" t="n"/>
      <x:c r="R172" s="139" t="n"/>
      <x:c r="S172" s="139" t="n"/>
      <x:c r="T172" s="139" t="n"/>
      <x:c r="U172" s="139" t="n"/>
      <x:c r="V172" s="139" t="n"/>
      <x:c r="W172" s="139" t="n"/>
      <x:c r="X172" s="139" t="n"/>
      <x:c r="Y172" s="139" t="n"/>
      <x:c r="Z172" s="139" t="n"/>
      <x:c r="AA172" s="139" t="n"/>
      <x:c r="AB172" s="139" t="n"/>
      <x:c r="AC172" s="139" t="n"/>
      <x:c r="AD172" s="139" t="n"/>
      <x:c r="AE172" s="139" t="n"/>
      <x:c r="AF172" s="139" t="n"/>
      <x:c r="AG172" s="139" t="n"/>
      <x:c r="AH172" s="139" t="n"/>
      <x:c r="AI172" s="139" t="n"/>
      <x:c r="AJ172" s="139" t="n"/>
      <x:c r="AK172" s="139" t="n"/>
      <x:c r="AL172" s="139" t="n"/>
      <x:c r="AM172" s="139" t="n"/>
      <x:c r="AN172" s="139" t="n"/>
      <x:c r="AO172" s="139" t="n"/>
      <x:c r="AP172" s="139" t="n"/>
      <x:c r="AQ172" s="139" t="n"/>
      <x:c r="AR172" s="139" t="n"/>
      <x:c r="AS172" s="139" t="n"/>
      <x:c r="AT172" s="139" t="n"/>
      <x:c r="AU172" s="139" t="n"/>
      <x:c r="AV172" s="139" t="n"/>
      <x:c r="AW172" s="139" t="n"/>
      <x:c r="AX172" s="139" t="n"/>
      <x:c r="AY172" s="139" t="n"/>
      <x:c r="AZ172" s="139" t="n"/>
    </x:row>
    <x:row r="173">
      <x:c r="A173" s="139" t="inlineStr">
        <x:is>
          <x:t xml:space="preserve">Thohir</x:t>
        </x:is>
      </x:c>
      <x:c r="B173" s="139" t="inlineStr">
        <x:is>
          <x:t xml:space="preserve">Edy SP</x:t>
        </x:is>
      </x:c>
      <x:c r="C173" s="139" t="n">
        <x:v>1</x:v>
      </x:c>
      <x:c r="D173" s="139" t="n">
        <x:v>1</x:v>
      </x:c>
      <x:c r="E173" s="139" t="n">
        <x:v>0</x:v>
      </x:c>
      <x:c r="F173" s="93" t="n">
        <x:v>1</x:v>
      </x:c>
      <x:c r="G173" s="93" t="n">
        <x:v>0.4736842105263158</x:v>
      </x:c>
      <x:c r="H173" s="94" t="n">
        <x:v>0.5263157894736843</x:v>
      </x:c>
      <x:c r="I173" s="139" t="n"/>
      <x:c r="J173" s="139" t="n"/>
      <x:c r="K173" s="139" t="n"/>
      <x:c r="L173" s="139" t="n"/>
      <x:c r="M173" s="139" t="n"/>
      <x:c r="N173" s="139" t="n"/>
      <x:c r="O173" s="139" t="n"/>
      <x:c r="P173" s="139" t="n"/>
      <x:c r="Q173" s="139" t="n"/>
      <x:c r="R173" s="139" t="n"/>
      <x:c r="S173" s="139" t="n"/>
      <x:c r="T173" s="139" t="n"/>
      <x:c r="U173" s="139" t="n"/>
      <x:c r="V173" s="139" t="n"/>
      <x:c r="W173" s="139" t="n"/>
      <x:c r="X173" s="139" t="n"/>
      <x:c r="Y173" s="139" t="n"/>
      <x:c r="Z173" s="139" t="n"/>
      <x:c r="AA173" s="139" t="n"/>
      <x:c r="AB173" s="139" t="n"/>
      <x:c r="AC173" s="139" t="n"/>
      <x:c r="AD173" s="139" t="n"/>
      <x:c r="AE173" s="139" t="n"/>
      <x:c r="AF173" s="139" t="n"/>
      <x:c r="AG173" s="139" t="n"/>
      <x:c r="AH173" s="139" t="n"/>
      <x:c r="AI173" s="139" t="n"/>
      <x:c r="AJ173" s="139" t="n"/>
      <x:c r="AK173" s="139" t="n"/>
      <x:c r="AL173" s="139" t="n"/>
      <x:c r="AM173" s="139" t="n"/>
      <x:c r="AN173" s="139" t="n"/>
      <x:c r="AO173" s="139" t="n"/>
      <x:c r="AP173" s="139" t="n"/>
      <x:c r="AQ173" s="139" t="n"/>
      <x:c r="AR173" s="139" t="n"/>
      <x:c r="AS173" s="139" t="n"/>
      <x:c r="AT173" s="139" t="n"/>
      <x:c r="AU173" s="139" t="n"/>
      <x:c r="AV173" s="139" t="n"/>
      <x:c r="AW173" s="139" t="n"/>
      <x:c r="AX173" s="139" t="n"/>
      <x:c r="AY173" s="139" t="n"/>
      <x:c r="AZ173" s="139" t="n"/>
    </x:row>
    <x:row r="174">
      <x:c r="A174" s="139" t="inlineStr">
        <x:is>
          <x:t xml:space="preserve">Thohir</x:t>
        </x:is>
      </x:c>
      <x:c r="B174" s="139" t="inlineStr">
        <x:is>
          <x:t xml:space="preserve">Ronald</x:t>
        </x:is>
      </x:c>
      <x:c r="C174" s="139" t="n">
        <x:v>1</x:v>
      </x:c>
      <x:c r="D174" s="139" t="n">
        <x:v>1</x:v>
      </x:c>
      <x:c r="E174" s="139" t="n">
        <x:v>0</x:v>
      </x:c>
      <x:c r="F174" s="93" t="n">
        <x:v>1</x:v>
      </x:c>
      <x:c r="G174" s="93" t="n">
        <x:v>0.6153846153846154</x:v>
      </x:c>
      <x:c r="H174" s="94" t="n">
        <x:v>0.3846153846153846</x:v>
      </x:c>
      <x:c r="I174" s="139" t="n"/>
      <x:c r="J174" s="139" t="n"/>
      <x:c r="K174" s="139" t="n"/>
      <x:c r="L174" s="139" t="n"/>
      <x:c r="M174" s="139" t="n"/>
      <x:c r="N174" s="139" t="n"/>
      <x:c r="O174" s="139" t="n"/>
      <x:c r="P174" s="139" t="n"/>
      <x:c r="Q174" s="139" t="n"/>
      <x:c r="R174" s="139" t="n"/>
      <x:c r="S174" s="139" t="n"/>
      <x:c r="T174" s="139" t="n"/>
      <x:c r="U174" s="139" t="n"/>
      <x:c r="V174" s="139" t="n"/>
      <x:c r="W174" s="139" t="n"/>
      <x:c r="X174" s="139" t="n"/>
      <x:c r="Y174" s="139" t="n"/>
      <x:c r="Z174" s="139" t="n"/>
      <x:c r="AA174" s="139" t="n"/>
      <x:c r="AB174" s="139" t="n"/>
      <x:c r="AC174" s="139" t="n"/>
      <x:c r="AD174" s="139" t="n"/>
      <x:c r="AE174" s="139" t="n"/>
      <x:c r="AF174" s="139" t="n"/>
      <x:c r="AG174" s="139" t="n"/>
      <x:c r="AH174" s="139" t="n"/>
      <x:c r="AI174" s="139" t="n"/>
      <x:c r="AJ174" s="139" t="n"/>
      <x:c r="AK174" s="139" t="n"/>
      <x:c r="AL174" s="139" t="n"/>
      <x:c r="AM174" s="139" t="n"/>
      <x:c r="AN174" s="139" t="n"/>
      <x:c r="AO174" s="139" t="n"/>
      <x:c r="AP174" s="139" t="n"/>
      <x:c r="AQ174" s="139" t="n"/>
      <x:c r="AR174" s="139" t="n"/>
      <x:c r="AS174" s="139" t="n"/>
      <x:c r="AT174" s="139" t="n"/>
      <x:c r="AU174" s="139" t="n"/>
      <x:c r="AV174" s="139" t="n"/>
      <x:c r="AW174" s="139" t="n"/>
      <x:c r="AX174" s="139" t="n"/>
      <x:c r="AY174" s="139" t="n"/>
      <x:c r="AZ174" s="139" t="n"/>
    </x:row>
    <x:row r="175">
      <x:c r="A175" s="139" t="inlineStr">
        <x:is>
          <x:t xml:space="preserve">Welly</x:t>
        </x:is>
      </x:c>
      <x:c r="B175" s="139" t="inlineStr">
        <x:is>
          <x:t xml:space="preserve">Edy SP</x:t>
        </x:is>
      </x:c>
      <x:c r="C175" s="139" t="n">
        <x:v>2</x:v>
      </x:c>
      <x:c r="D175" s="139" t="n">
        <x:v>0</x:v>
      </x:c>
      <x:c r="E175" s="139" t="n">
        <x:v>2</x:v>
      </x:c>
      <x:c r="F175" s="93" t="n">
        <x:v>0</x:v>
      </x:c>
      <x:c r="G175" s="93" t="n">
        <x:v>0.4736842105263158</x:v>
      </x:c>
      <x:c r="H175" s="94" t="n">
        <x:v>-0.4736842105263158</x:v>
      </x:c>
      <x:c r="I175" s="139" t="n"/>
      <x:c r="J175" s="139" t="n"/>
      <x:c r="K175" s="139" t="n"/>
      <x:c r="L175" s="139" t="n"/>
      <x:c r="M175" s="139" t="n"/>
      <x:c r="N175" s="139" t="n"/>
      <x:c r="O175" s="139" t="n"/>
      <x:c r="P175" s="139" t="n"/>
      <x:c r="Q175" s="139" t="n"/>
      <x:c r="R175" s="139" t="n"/>
      <x:c r="S175" s="139" t="n"/>
      <x:c r="T175" s="139" t="n"/>
      <x:c r="U175" s="139" t="n"/>
      <x:c r="V175" s="139" t="n"/>
      <x:c r="W175" s="139" t="n"/>
      <x:c r="X175" s="139" t="n"/>
      <x:c r="Y175" s="139" t="n"/>
      <x:c r="Z175" s="139" t="n"/>
      <x:c r="AA175" s="139" t="n"/>
      <x:c r="AB175" s="139" t="n"/>
      <x:c r="AC175" s="139" t="n"/>
      <x:c r="AD175" s="139" t="n"/>
      <x:c r="AE175" s="139" t="n"/>
      <x:c r="AF175" s="139" t="n"/>
      <x:c r="AG175" s="139" t="n"/>
      <x:c r="AH175" s="139" t="n"/>
      <x:c r="AI175" s="139" t="n"/>
      <x:c r="AJ175" s="139" t="n"/>
      <x:c r="AK175" s="139" t="n"/>
      <x:c r="AL175" s="139" t="n"/>
      <x:c r="AM175" s="139" t="n"/>
      <x:c r="AN175" s="139" t="n"/>
      <x:c r="AO175" s="139" t="n"/>
      <x:c r="AP175" s="139" t="n"/>
      <x:c r="AQ175" s="139" t="n"/>
      <x:c r="AR175" s="139" t="n"/>
      <x:c r="AS175" s="139" t="n"/>
      <x:c r="AT175" s="139" t="n"/>
      <x:c r="AU175" s="139" t="n"/>
      <x:c r="AV175" s="139" t="n"/>
      <x:c r="AW175" s="139" t="n"/>
      <x:c r="AX175" s="139" t="n"/>
      <x:c r="AY175" s="139" t="n"/>
      <x:c r="AZ175" s="139" t="n"/>
    </x:row>
    <x:row r="176">
      <x:c r="A176" s="139" t="inlineStr">
        <x:is>
          <x:t xml:space="preserve">Welly</x:t>
        </x:is>
      </x:c>
      <x:c r="B176" s="139" t="inlineStr">
        <x:is>
          <x:t xml:space="preserve">Austin</x:t>
        </x:is>
      </x:c>
      <x:c r="C176" s="139" t="n">
        <x:v>1</x:v>
      </x:c>
      <x:c r="D176" s="139" t="n">
        <x:v>1</x:v>
      </x:c>
      <x:c r="E176" s="139" t="n">
        <x:v>0</x:v>
      </x:c>
      <x:c r="F176" s="93" t="n">
        <x:v>1</x:v>
      </x:c>
      <x:c r="G176" s="93" t="n">
        <x:v>0.5909090909090909</x:v>
      </x:c>
      <x:c r="H176" s="94" t="n">
        <x:v>0.4090909090909091</x:v>
      </x:c>
      <x:c r="I176" s="139" t="n"/>
      <x:c r="J176" s="139" t="n"/>
      <x:c r="K176" s="139" t="n"/>
      <x:c r="L176" s="139" t="n"/>
      <x:c r="M176" s="139" t="n"/>
      <x:c r="N176" s="139" t="n"/>
      <x:c r="O176" s="139" t="n"/>
      <x:c r="P176" s="139" t="n"/>
      <x:c r="Q176" s="139" t="n"/>
      <x:c r="R176" s="139" t="n"/>
      <x:c r="S176" s="139" t="n"/>
      <x:c r="T176" s="139" t="n"/>
      <x:c r="U176" s="139" t="n"/>
      <x:c r="V176" s="139" t="n"/>
      <x:c r="W176" s="139" t="n"/>
      <x:c r="X176" s="139" t="n"/>
      <x:c r="Y176" s="139" t="n"/>
      <x:c r="Z176" s="139" t="n"/>
      <x:c r="AA176" s="139" t="n"/>
      <x:c r="AB176" s="139" t="n"/>
      <x:c r="AC176" s="139" t="n"/>
      <x:c r="AD176" s="139" t="n"/>
      <x:c r="AE176" s="139" t="n"/>
      <x:c r="AF176" s="139" t="n"/>
      <x:c r="AG176" s="139" t="n"/>
      <x:c r="AH176" s="139" t="n"/>
      <x:c r="AI176" s="139" t="n"/>
      <x:c r="AJ176" s="139" t="n"/>
      <x:c r="AK176" s="139" t="n"/>
      <x:c r="AL176" s="139" t="n"/>
      <x:c r="AM176" s="139" t="n"/>
      <x:c r="AN176" s="139" t="n"/>
      <x:c r="AO176" s="139" t="n"/>
      <x:c r="AP176" s="139" t="n"/>
      <x:c r="AQ176" s="139" t="n"/>
      <x:c r="AR176" s="139" t="n"/>
      <x:c r="AS176" s="139" t="n"/>
      <x:c r="AT176" s="139" t="n"/>
      <x:c r="AU176" s="139" t="n"/>
      <x:c r="AV176" s="139" t="n"/>
      <x:c r="AW176" s="139" t="n"/>
      <x:c r="AX176" s="139" t="n"/>
      <x:c r="AY176" s="139" t="n"/>
      <x:c r="AZ176" s="139" t="n"/>
    </x:row>
    <x:row r="177">
      <x:c r="A177" s="139" t="inlineStr">
        <x:is>
          <x:t xml:space="preserve">Welly</x:t>
        </x:is>
      </x:c>
      <x:c r="B177" s="139" t="inlineStr">
        <x:is>
          <x:t xml:space="preserve">Thohir</x:t>
        </x:is>
      </x:c>
      <x:c r="C177" s="139" t="n">
        <x:v>1</x:v>
      </x:c>
      <x:c r="D177" s="139" t="n">
        <x:v>1</x:v>
      </x:c>
      <x:c r="E177" s="139" t="n">
        <x:v>0</x:v>
      </x:c>
      <x:c r="F177" s="93" t="n">
        <x:v>1</x:v>
      </x:c>
      <x:c r="G177" s="93" t="n">
        <x:v>0.6666666666666666</x:v>
      </x:c>
      <x:c r="H177" s="94" t="n">
        <x:v>0.3333333333333334</x:v>
      </x:c>
      <x:c r="I177" s="139" t="n"/>
      <x:c r="J177" s="139" t="n"/>
      <x:c r="K177" s="139" t="n"/>
      <x:c r="L177" s="139" t="n"/>
      <x:c r="M177" s="139" t="n"/>
      <x:c r="N177" s="139" t="n"/>
      <x:c r="O177" s="139" t="n"/>
      <x:c r="P177" s="139" t="n"/>
      <x:c r="Q177" s="139" t="n"/>
      <x:c r="R177" s="139" t="n"/>
      <x:c r="S177" s="139" t="n"/>
      <x:c r="T177" s="139" t="n"/>
      <x:c r="U177" s="139" t="n"/>
      <x:c r="V177" s="139" t="n"/>
      <x:c r="W177" s="139" t="n"/>
      <x:c r="X177" s="139" t="n"/>
      <x:c r="Y177" s="139" t="n"/>
      <x:c r="Z177" s="139" t="n"/>
      <x:c r="AA177" s="139" t="n"/>
      <x:c r="AB177" s="139" t="n"/>
      <x:c r="AC177" s="139" t="n"/>
      <x:c r="AD177" s="139" t="n"/>
      <x:c r="AE177" s="139" t="n"/>
      <x:c r="AF177" s="139" t="n"/>
      <x:c r="AG177" s="139" t="n"/>
      <x:c r="AH177" s="139" t="n"/>
      <x:c r="AI177" s="139" t="n"/>
      <x:c r="AJ177" s="139" t="n"/>
      <x:c r="AK177" s="139" t="n"/>
      <x:c r="AL177" s="139" t="n"/>
      <x:c r="AM177" s="139" t="n"/>
      <x:c r="AN177" s="139" t="n"/>
      <x:c r="AO177" s="139" t="n"/>
      <x:c r="AP177" s="139" t="n"/>
      <x:c r="AQ177" s="139" t="n"/>
      <x:c r="AR177" s="139" t="n"/>
      <x:c r="AS177" s="139" t="n"/>
      <x:c r="AT177" s="139" t="n"/>
      <x:c r="AU177" s="139" t="n"/>
      <x:c r="AV177" s="139" t="n"/>
      <x:c r="AW177" s="139" t="n"/>
      <x:c r="AX177" s="139" t="n"/>
      <x:c r="AY177" s="139" t="n"/>
      <x:c r="AZ177" s="139" t="n"/>
    </x:row>
    <x:row r="178">
      <x:c r="A178" s="139" t="inlineStr">
        <x:is>
          <x:t xml:space="preserve">Welly</x:t>
        </x:is>
      </x:c>
      <x:c r="B178" s="139" t="inlineStr">
        <x:is>
          <x:t xml:space="preserve">Donny</x:t>
        </x:is>
      </x:c>
      <x:c r="C178" s="139" t="n">
        <x:v>1</x:v>
      </x:c>
      <x:c r="D178" s="139" t="n">
        <x:v>0</x:v>
      </x:c>
      <x:c r="E178" s="139" t="n">
        <x:v>1</x:v>
      </x:c>
      <x:c r="F178" s="93" t="n">
        <x:v>0</x:v>
      </x:c>
      <x:c r="G178" s="93" t="n">
        <x:v>0.4210526315789473</x:v>
      </x:c>
      <x:c r="H178" s="94" t="n">
        <x:v>-0.4210526315789473</x:v>
      </x:c>
      <x:c r="I178" s="139" t="n"/>
      <x:c r="J178" s="139" t="n"/>
      <x:c r="K178" s="139" t="n"/>
      <x:c r="L178" s="139" t="n"/>
      <x:c r="M178" s="139" t="n"/>
      <x:c r="N178" s="139" t="n"/>
      <x:c r="O178" s="139" t="n"/>
      <x:c r="P178" s="139" t="n"/>
      <x:c r="Q178" s="139" t="n"/>
      <x:c r="R178" s="139" t="n"/>
      <x:c r="S178" s="139" t="n"/>
      <x:c r="T178" s="139" t="n"/>
      <x:c r="U178" s="139" t="n"/>
      <x:c r="V178" s="139" t="n"/>
      <x:c r="W178" s="139" t="n"/>
      <x:c r="X178" s="139" t="n"/>
      <x:c r="Y178" s="139" t="n"/>
      <x:c r="Z178" s="139" t="n"/>
      <x:c r="AA178" s="139" t="n"/>
      <x:c r="AB178" s="139" t="n"/>
      <x:c r="AC178" s="139" t="n"/>
      <x:c r="AD178" s="139" t="n"/>
      <x:c r="AE178" s="139" t="n"/>
      <x:c r="AF178" s="139" t="n"/>
      <x:c r="AG178" s="139" t="n"/>
      <x:c r="AH178" s="139" t="n"/>
      <x:c r="AI178" s="139" t="n"/>
      <x:c r="AJ178" s="139" t="n"/>
      <x:c r="AK178" s="139" t="n"/>
      <x:c r="AL178" s="139" t="n"/>
      <x:c r="AM178" s="139" t="n"/>
      <x:c r="AN178" s="139" t="n"/>
      <x:c r="AO178" s="139" t="n"/>
      <x:c r="AP178" s="139" t="n"/>
      <x:c r="AQ178" s="139" t="n"/>
      <x:c r="AR178" s="139" t="n"/>
      <x:c r="AS178" s="139" t="n"/>
      <x:c r="AT178" s="139" t="n"/>
      <x:c r="AU178" s="139" t="n"/>
      <x:c r="AV178" s="139" t="n"/>
      <x:c r="AW178" s="139" t="n"/>
      <x:c r="AX178" s="139" t="n"/>
      <x:c r="AY178" s="139" t="n"/>
      <x:c r="AZ178" s="139" t="n"/>
    </x:row>
    <x:row r="179">
      <x:c r="A179" s="139" t="inlineStr">
        <x:is>
          <x:t xml:space="preserve">Welly</x:t>
        </x:is>
      </x:c>
      <x:c r="B179" s="139" t="inlineStr">
        <x:is>
          <x:t xml:space="preserve">Reza</x:t>
        </x:is>
      </x:c>
      <x:c r="C179" s="139" t="n">
        <x:v>1</x:v>
      </x:c>
      <x:c r="D179" s="139" t="n">
        <x:v>0</x:v>
      </x:c>
      <x:c r="E179" s="139" t="n">
        <x:v>1</x:v>
      </x:c>
      <x:c r="F179" s="93" t="n">
        <x:v>0</x:v>
      </x:c>
      <x:c r="G179" s="93" t="n">
        <x:v>0.4285714285714285</x:v>
      </x:c>
      <x:c r="H179" s="94" t="n">
        <x:v>-0.4285714285714285</x:v>
      </x:c>
      <x:c r="I179" s="139" t="n"/>
      <x:c r="J179" s="139" t="n"/>
      <x:c r="K179" s="139" t="n"/>
      <x:c r="L179" s="139" t="n"/>
      <x:c r="M179" s="139" t="n"/>
      <x:c r="N179" s="139" t="n"/>
      <x:c r="O179" s="139" t="n"/>
      <x:c r="P179" s="139" t="n"/>
      <x:c r="Q179" s="139" t="n"/>
      <x:c r="R179" s="139" t="n"/>
      <x:c r="S179" s="139" t="n"/>
      <x:c r="T179" s="139" t="n"/>
      <x:c r="U179" s="139" t="n"/>
      <x:c r="V179" s="139" t="n"/>
      <x:c r="W179" s="139" t="n"/>
      <x:c r="X179" s="139" t="n"/>
      <x:c r="Y179" s="139" t="n"/>
      <x:c r="Z179" s="139" t="n"/>
      <x:c r="AA179" s="139" t="n"/>
      <x:c r="AB179" s="139" t="n"/>
      <x:c r="AC179" s="139" t="n"/>
      <x:c r="AD179" s="139" t="n"/>
      <x:c r="AE179" s="139" t="n"/>
      <x:c r="AF179" s="139" t="n"/>
      <x:c r="AG179" s="139" t="n"/>
      <x:c r="AH179" s="139" t="n"/>
      <x:c r="AI179" s="139" t="n"/>
      <x:c r="AJ179" s="139" t="n"/>
      <x:c r="AK179" s="139" t="n"/>
      <x:c r="AL179" s="139" t="n"/>
      <x:c r="AM179" s="139" t="n"/>
      <x:c r="AN179" s="139" t="n"/>
      <x:c r="AO179" s="139" t="n"/>
      <x:c r="AP179" s="139" t="n"/>
      <x:c r="AQ179" s="139" t="n"/>
      <x:c r="AR179" s="139" t="n"/>
      <x:c r="AS179" s="139" t="n"/>
      <x:c r="AT179" s="139" t="n"/>
      <x:c r="AU179" s="139" t="n"/>
      <x:c r="AV179" s="139" t="n"/>
      <x:c r="AW179" s="139" t="n"/>
      <x:c r="AX179" s="139" t="n"/>
      <x:c r="AY179" s="139" t="n"/>
      <x:c r="AZ179" s="139" t="n"/>
    </x:row>
    <x:row r="180">
      <x:c r="A180" s="139" t="inlineStr">
        <x:is>
          <x:t xml:space="preserve">Welly</x:t>
        </x:is>
      </x:c>
      <x:c r="B180" s="139" t="inlineStr">
        <x:is>
          <x:t xml:space="preserve">Ricky</x:t>
        </x:is>
      </x:c>
      <x:c r="C180" s="139" t="n">
        <x:v>1</x:v>
      </x:c>
      <x:c r="D180" s="139" t="n">
        <x:v>0</x:v>
      </x:c>
      <x:c r="E180" s="139" t="n">
        <x:v>1</x:v>
      </x:c>
      <x:c r="F180" s="93" t="n">
        <x:v>0</x:v>
      </x:c>
      <x:c r="G180" s="93" t="n">
        <x:v>0.5882352941176471</x:v>
      </x:c>
      <x:c r="H180" s="94" t="n">
        <x:v>-0.5882352941176471</x:v>
      </x:c>
      <x:c r="I180" s="139" t="n"/>
      <x:c r="J180" s="139" t="n"/>
      <x:c r="K180" s="139" t="n"/>
      <x:c r="L180" s="139" t="n"/>
      <x:c r="M180" s="139" t="n"/>
      <x:c r="N180" s="139" t="n"/>
      <x:c r="O180" s="139" t="n"/>
      <x:c r="P180" s="139" t="n"/>
      <x:c r="Q180" s="139" t="n"/>
      <x:c r="R180" s="139" t="n"/>
      <x:c r="S180" s="139" t="n"/>
      <x:c r="T180" s="139" t="n"/>
      <x:c r="U180" s="139" t="n"/>
      <x:c r="V180" s="139" t="n"/>
      <x:c r="W180" s="139" t="n"/>
      <x:c r="X180" s="139" t="n"/>
      <x:c r="Y180" s="139" t="n"/>
      <x:c r="Z180" s="139" t="n"/>
      <x:c r="AA180" s="139" t="n"/>
      <x:c r="AB180" s="139" t="n"/>
      <x:c r="AC180" s="139" t="n"/>
      <x:c r="AD180" s="139" t="n"/>
      <x:c r="AE180" s="139" t="n"/>
      <x:c r="AF180" s="139" t="n"/>
      <x:c r="AG180" s="139" t="n"/>
      <x:c r="AH180" s="139" t="n"/>
      <x:c r="AI180" s="139" t="n"/>
      <x:c r="AJ180" s="139" t="n"/>
      <x:c r="AK180" s="139" t="n"/>
      <x:c r="AL180" s="139" t="n"/>
      <x:c r="AM180" s="139" t="n"/>
      <x:c r="AN180" s="139" t="n"/>
      <x:c r="AO180" s="139" t="n"/>
      <x:c r="AP180" s="139" t="n"/>
      <x:c r="AQ180" s="139" t="n"/>
      <x:c r="AR180" s="139" t="n"/>
      <x:c r="AS180" s="139" t="n"/>
      <x:c r="AT180" s="139" t="n"/>
      <x:c r="AU180" s="139" t="n"/>
      <x:c r="AV180" s="139" t="n"/>
      <x:c r="AW180" s="139" t="n"/>
      <x:c r="AX180" s="139" t="n"/>
      <x:c r="AY180" s="139" t="n"/>
      <x:c r="AZ180" s="139" t="n"/>
    </x:row>
    <x:row r="181">
      <x:c r="A181" s="139" t="inlineStr">
        <x:is>
          <x:t xml:space="preserve">Welly</x:t>
        </x:is>
      </x:c>
      <x:c r="B181" s="139" t="inlineStr">
        <x:is>
          <x:t xml:space="preserve">Ronald</x:t>
        </x:is>
      </x:c>
      <x:c r="C181" s="139" t="n">
        <x:v>1</x:v>
      </x:c>
      <x:c r="D181" s="139" t="n">
        <x:v>0</x:v>
      </x:c>
      <x:c r="E181" s="139" t="n">
        <x:v>1</x:v>
      </x:c>
      <x:c r="F181" s="93" t="n">
        <x:v>0</x:v>
      </x:c>
      <x:c r="G181" s="93" t="n">
        <x:v>0.6153846153846154</x:v>
      </x:c>
      <x:c r="H181" s="94" t="n">
        <x:v>-0.6153846153846154</x:v>
      </x:c>
      <x:c r="I181" s="139" t="n"/>
      <x:c r="J181" s="139" t="n"/>
      <x:c r="K181" s="139" t="n"/>
      <x:c r="L181" s="139" t="n"/>
      <x:c r="M181" s="139" t="n"/>
      <x:c r="N181" s="139" t="n"/>
      <x:c r="O181" s="139" t="n"/>
      <x:c r="P181" s="139" t="n"/>
      <x:c r="Q181" s="139" t="n"/>
      <x:c r="R181" s="139" t="n"/>
      <x:c r="S181" s="139" t="n"/>
      <x:c r="T181" s="139" t="n"/>
      <x:c r="U181" s="139" t="n"/>
      <x:c r="V181" s="139" t="n"/>
      <x:c r="W181" s="139" t="n"/>
      <x:c r="X181" s="139" t="n"/>
      <x:c r="Y181" s="139" t="n"/>
      <x:c r="Z181" s="139" t="n"/>
      <x:c r="AA181" s="139" t="n"/>
      <x:c r="AB181" s="139" t="n"/>
      <x:c r="AC181" s="139" t="n"/>
      <x:c r="AD181" s="139" t="n"/>
      <x:c r="AE181" s="139" t="n"/>
      <x:c r="AF181" s="139" t="n"/>
      <x:c r="AG181" s="139" t="n"/>
      <x:c r="AH181" s="139" t="n"/>
      <x:c r="AI181" s="139" t="n"/>
      <x:c r="AJ181" s="139" t="n"/>
      <x:c r="AK181" s="139" t="n"/>
      <x:c r="AL181" s="139" t="n"/>
      <x:c r="AM181" s="139" t="n"/>
      <x:c r="AN181" s="139" t="n"/>
      <x:c r="AO181" s="139" t="n"/>
      <x:c r="AP181" s="139" t="n"/>
      <x:c r="AQ181" s="139" t="n"/>
      <x:c r="AR181" s="139" t="n"/>
      <x:c r="AS181" s="139" t="n"/>
      <x:c r="AT181" s="139" t="n"/>
      <x:c r="AU181" s="139" t="n"/>
      <x:c r="AV181" s="139" t="n"/>
      <x:c r="AW181" s="139" t="n"/>
      <x:c r="AX181" s="139" t="n"/>
      <x:c r="AY181" s="139" t="n"/>
      <x:c r="AZ181" s="139" t="n"/>
    </x:row>
    <x:row r="182">
      <x:c r="A182" s="139" t="inlineStr">
        <x:is>
          <x:t xml:space="preserve">Welly</x:t>
        </x:is>
      </x:c>
      <x:c r="B182" s="139" t="inlineStr">
        <x:is>
          <x:t xml:space="preserve">Kennard</x:t>
        </x:is>
      </x:c>
      <x:c r="C182" s="139" t="n">
        <x:v>1</x:v>
      </x:c>
      <x:c r="D182" s="139" t="n">
        <x:v>0</x:v>
      </x:c>
      <x:c r="E182" s="139" t="n">
        <x:v>1</x:v>
      </x:c>
      <x:c r="F182" s="93" t="n">
        <x:v>0</x:v>
      </x:c>
      <x:c r="G182" s="93" t="n">
        <x:v>0.6190476190476191</x:v>
      </x:c>
      <x:c r="H182" s="94" t="n">
        <x:v>-0.6190476190476191</x:v>
      </x:c>
      <x:c r="I182" s="139" t="n"/>
      <x:c r="J182" s="139" t="n"/>
      <x:c r="K182" s="139" t="n"/>
      <x:c r="L182" s="139" t="n"/>
      <x:c r="M182" s="139" t="n"/>
      <x:c r="N182" s="139" t="n"/>
      <x:c r="O182" s="139" t="n"/>
      <x:c r="P182" s="139" t="n"/>
      <x:c r="Q182" s="139" t="n"/>
      <x:c r="R182" s="139" t="n"/>
      <x:c r="S182" s="139" t="n"/>
      <x:c r="T182" s="139" t="n"/>
      <x:c r="U182" s="139" t="n"/>
      <x:c r="V182" s="139" t="n"/>
      <x:c r="W182" s="139" t="n"/>
      <x:c r="X182" s="139" t="n"/>
      <x:c r="Y182" s="139" t="n"/>
      <x:c r="Z182" s="139" t="n"/>
      <x:c r="AA182" s="139" t="n"/>
      <x:c r="AB182" s="139" t="n"/>
      <x:c r="AC182" s="139" t="n"/>
      <x:c r="AD182" s="139" t="n"/>
      <x:c r="AE182" s="139" t="n"/>
      <x:c r="AF182" s="139" t="n"/>
      <x:c r="AG182" s="139" t="n"/>
      <x:c r="AH182" s="139" t="n"/>
      <x:c r="AI182" s="139" t="n"/>
      <x:c r="AJ182" s="139" t="n"/>
      <x:c r="AK182" s="139" t="n"/>
      <x:c r="AL182" s="139" t="n"/>
      <x:c r="AM182" s="139" t="n"/>
      <x:c r="AN182" s="139" t="n"/>
      <x:c r="AO182" s="139" t="n"/>
      <x:c r="AP182" s="139" t="n"/>
      <x:c r="AQ182" s="139" t="n"/>
      <x:c r="AR182" s="139" t="n"/>
      <x:c r="AS182" s="139" t="n"/>
      <x:c r="AT182" s="139" t="n"/>
      <x:c r="AU182" s="139" t="n"/>
      <x:c r="AV182" s="139" t="n"/>
      <x:c r="AW182" s="139" t="n"/>
      <x:c r="AX182" s="139" t="n"/>
      <x:c r="AY182" s="139" t="n"/>
      <x:c r="AZ182" s="139" t="n"/>
    </x:row>
    <x:row r="183">
      <x:c r="A183" s="139" t="inlineStr">
        <x:is>
          <x:t xml:space="preserve">Welly</x:t>
        </x:is>
      </x:c>
      <x:c r="B183" s="139" t="inlineStr">
        <x:is>
          <x:t xml:space="preserve">Sandy</x:t>
        </x:is>
      </x:c>
      <x:c r="C183" s="139" t="n">
        <x:v>1</x:v>
      </x:c>
      <x:c r="D183" s="139" t="n">
        <x:v>0</x:v>
      </x:c>
      <x:c r="E183" s="139" t="n">
        <x:v>1</x:v>
      </x:c>
      <x:c r="F183" s="93" t="n">
        <x:v>0</x:v>
      </x:c>
      <x:c r="G183" s="93" t="n">
        <x:v>0.7142857142857143</x:v>
      </x:c>
      <x:c r="H183" s="94" t="n">
        <x:v>-0.7142857142857143</x:v>
      </x:c>
      <x:c r="I183" s="139" t="n"/>
      <x:c r="J183" s="139" t="n"/>
      <x:c r="K183" s="139" t="n"/>
      <x:c r="L183" s="139" t="n"/>
      <x:c r="M183" s="139" t="n"/>
      <x:c r="N183" s="139" t="n"/>
      <x:c r="O183" s="139" t="n"/>
      <x:c r="P183" s="139" t="n"/>
      <x:c r="Q183" s="139" t="n"/>
      <x:c r="R183" s="139" t="n"/>
      <x:c r="S183" s="139" t="n"/>
      <x:c r="T183" s="139" t="n"/>
      <x:c r="U183" s="139" t="n"/>
      <x:c r="V183" s="139" t="n"/>
      <x:c r="W183" s="139" t="n"/>
      <x:c r="X183" s="139" t="n"/>
      <x:c r="Y183" s="139" t="n"/>
      <x:c r="Z183" s="139" t="n"/>
      <x:c r="AA183" s="139" t="n"/>
      <x:c r="AB183" s="139" t="n"/>
      <x:c r="AC183" s="139" t="n"/>
      <x:c r="AD183" s="139" t="n"/>
      <x:c r="AE183" s="139" t="n"/>
      <x:c r="AF183" s="139" t="n"/>
      <x:c r="AG183" s="139" t="n"/>
      <x:c r="AH183" s="139" t="n"/>
      <x:c r="AI183" s="139" t="n"/>
      <x:c r="AJ183" s="139" t="n"/>
      <x:c r="AK183" s="139" t="n"/>
      <x:c r="AL183" s="139" t="n"/>
      <x:c r="AM183" s="139" t="n"/>
      <x:c r="AN183" s="139" t="n"/>
      <x:c r="AO183" s="139" t="n"/>
      <x:c r="AP183" s="139" t="n"/>
      <x:c r="AQ183" s="139" t="n"/>
      <x:c r="AR183" s="139" t="n"/>
      <x:c r="AS183" s="139" t="n"/>
      <x:c r="AT183" s="139" t="n"/>
      <x:c r="AU183" s="139" t="n"/>
      <x:c r="AV183" s="139" t="n"/>
      <x:c r="AW183" s="139" t="n"/>
      <x:c r="AX183" s="139" t="n"/>
      <x:c r="AY183" s="139" t="n"/>
      <x:c r="AZ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c r="V184" s="139" t="n"/>
      <x:c r="W184" s="139" t="n"/>
      <x:c r="X184" s="139" t="n"/>
      <x:c r="Y184" s="139" t="n"/>
      <x:c r="Z184" s="139" t="n"/>
      <x:c r="AA184" s="139" t="n"/>
      <x:c r="AB184" s="139" t="n"/>
      <x:c r="AC184" s="139" t="n"/>
      <x:c r="AD184" s="139" t="n"/>
      <x:c r="AE184" s="139" t="n"/>
      <x:c r="AF184" s="139" t="n"/>
      <x:c r="AG184" s="139" t="n"/>
      <x:c r="AH184" s="139" t="n"/>
      <x:c r="AI184" s="139" t="n"/>
      <x:c r="AJ184" s="139" t="n"/>
      <x:c r="AK184" s="139" t="n"/>
      <x:c r="AL184" s="139" t="n"/>
      <x:c r="AM184" s="139" t="n"/>
      <x:c r="AN184" s="139" t="n"/>
      <x:c r="AO184" s="139" t="n"/>
      <x:c r="AP184" s="139" t="n"/>
      <x:c r="AQ184" s="139" t="n"/>
      <x:c r="AR184" s="139" t="n"/>
      <x:c r="AS184" s="139" t="n"/>
      <x:c r="AT184" s="139" t="n"/>
      <x:c r="AU184" s="139" t="n"/>
      <x:c r="AV184" s="139" t="n"/>
      <x:c r="AW184" s="139" t="n"/>
      <x:c r="AX184" s="139" t="n"/>
      <x:c r="AY184" s="139" t="n"/>
      <x:c r="AZ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c r="V185" s="139" t="n"/>
      <x:c r="W185" s="139" t="n"/>
      <x:c r="X185" s="139" t="n"/>
      <x:c r="Y185" s="139" t="n"/>
      <x:c r="Z185" s="139" t="n"/>
      <x:c r="AA185" s="139" t="n"/>
      <x:c r="AB185" s="139" t="n"/>
      <x:c r="AC185" s="139" t="n"/>
      <x:c r="AD185" s="139" t="n"/>
      <x:c r="AE185" s="139" t="n"/>
      <x:c r="AF185" s="139" t="n"/>
      <x:c r="AG185" s="139" t="n"/>
      <x:c r="AH185" s="139" t="n"/>
      <x:c r="AI185" s="139" t="n"/>
      <x:c r="AJ185" s="139" t="n"/>
      <x:c r="AK185" s="139" t="n"/>
      <x:c r="AL185" s="139" t="n"/>
      <x:c r="AM185" s="139" t="n"/>
      <x:c r="AN185" s="139" t="n"/>
      <x:c r="AO185" s="139" t="n"/>
      <x:c r="AP185" s="139" t="n"/>
      <x:c r="AQ185" s="139" t="n"/>
      <x:c r="AR185" s="139" t="n"/>
      <x:c r="AS185" s="139" t="n"/>
      <x:c r="AT185" s="139" t="n"/>
      <x:c r="AU185" s="139" t="n"/>
      <x:c r="AV185" s="139" t="n"/>
      <x:c r="AW185" s="139" t="n"/>
      <x:c r="AX185" s="139" t="n"/>
      <x:c r="AY185" s="139" t="n"/>
      <x:c r="AZ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c r="V186" s="139" t="n"/>
      <x:c r="W186" s="139" t="n"/>
      <x:c r="X186" s="139" t="n"/>
      <x:c r="Y186" s="139" t="n"/>
      <x:c r="Z186" s="139" t="n"/>
      <x:c r="AA186" s="139" t="n"/>
      <x:c r="AB186" s="139" t="n"/>
      <x:c r="AC186" s="139" t="n"/>
      <x:c r="AD186" s="139" t="n"/>
      <x:c r="AE186" s="139" t="n"/>
      <x:c r="AF186" s="139" t="n"/>
      <x:c r="AG186" s="139" t="n"/>
      <x:c r="AH186" s="139" t="n"/>
      <x:c r="AI186" s="139" t="n"/>
      <x:c r="AJ186" s="139" t="n"/>
      <x:c r="AK186" s="139" t="n"/>
      <x:c r="AL186" s="139" t="n"/>
      <x:c r="AM186" s="139" t="n"/>
      <x:c r="AN186" s="139" t="n"/>
      <x:c r="AO186" s="139" t="n"/>
      <x:c r="AP186" s="139" t="n"/>
      <x:c r="AQ186" s="139" t="n"/>
      <x:c r="AR186" s="139" t="n"/>
      <x:c r="AS186" s="139" t="n"/>
      <x:c r="AT186" s="139" t="n"/>
      <x:c r="AU186" s="139" t="n"/>
      <x:c r="AV186" s="139" t="n"/>
      <x:c r="AW186" s="139" t="n"/>
      <x:c r="AX186" s="139" t="n"/>
      <x:c r="AY186" s="139" t="n"/>
      <x:c r="AZ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c r="V187" s="139" t="n"/>
      <x:c r="W187" s="139" t="n"/>
      <x:c r="X187" s="139" t="n"/>
      <x:c r="Y187" s="139" t="n"/>
      <x:c r="Z187" s="139" t="n"/>
      <x:c r="AA187" s="139" t="n"/>
      <x:c r="AB187" s="139" t="n"/>
      <x:c r="AC187" s="139" t="n"/>
      <x:c r="AD187" s="139" t="n"/>
      <x:c r="AE187" s="139" t="n"/>
      <x:c r="AF187" s="139" t="n"/>
      <x:c r="AG187" s="139" t="n"/>
      <x:c r="AH187" s="139" t="n"/>
      <x:c r="AI187" s="139" t="n"/>
      <x:c r="AJ187" s="139" t="n"/>
      <x:c r="AK187" s="139" t="n"/>
      <x:c r="AL187" s="139" t="n"/>
      <x:c r="AM187" s="139" t="n"/>
      <x:c r="AN187" s="139" t="n"/>
      <x:c r="AO187" s="139" t="n"/>
      <x:c r="AP187" s="139" t="n"/>
      <x:c r="AQ187" s="139" t="n"/>
      <x:c r="AR187" s="139" t="n"/>
      <x:c r="AS187" s="139" t="n"/>
      <x:c r="AT187" s="139" t="n"/>
      <x:c r="AU187" s="139" t="n"/>
      <x:c r="AV187" s="139" t="n"/>
      <x:c r="AW187" s="139" t="n"/>
      <x:c r="AX187" s="139" t="n"/>
      <x:c r="AY187" s="139" t="n"/>
      <x:c r="AZ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c r="V188" s="139" t="n"/>
      <x:c r="W188" s="139" t="n"/>
      <x:c r="X188" s="139" t="n"/>
      <x:c r="Y188" s="139" t="n"/>
      <x:c r="Z188" s="139" t="n"/>
      <x:c r="AA188" s="139" t="n"/>
      <x:c r="AB188" s="139" t="n"/>
      <x:c r="AC188" s="139" t="n"/>
      <x:c r="AD188" s="139" t="n"/>
      <x:c r="AE188" s="139" t="n"/>
      <x:c r="AF188" s="139" t="n"/>
      <x:c r="AG188" s="139" t="n"/>
      <x:c r="AH188" s="139" t="n"/>
      <x:c r="AI188" s="139" t="n"/>
      <x:c r="AJ188" s="139" t="n"/>
      <x:c r="AK188" s="139" t="n"/>
      <x:c r="AL188" s="139" t="n"/>
      <x:c r="AM188" s="139" t="n"/>
      <x:c r="AN188" s="139" t="n"/>
      <x:c r="AO188" s="139" t="n"/>
      <x:c r="AP188" s="139" t="n"/>
      <x:c r="AQ188" s="139" t="n"/>
      <x:c r="AR188" s="139" t="n"/>
      <x:c r="AS188" s="139" t="n"/>
      <x:c r="AT188" s="139" t="n"/>
      <x:c r="AU188" s="139" t="n"/>
      <x:c r="AV188" s="139" t="n"/>
      <x:c r="AW188" s="139" t="n"/>
      <x:c r="AX188" s="139" t="n"/>
      <x:c r="AY188" s="139" t="n"/>
      <x:c r="AZ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c r="V189" s="139" t="n"/>
      <x:c r="W189" s="139" t="n"/>
      <x:c r="X189" s="139" t="n"/>
      <x:c r="Y189" s="139" t="n"/>
      <x:c r="Z189" s="139" t="n"/>
      <x:c r="AA189" s="139" t="n"/>
      <x:c r="AB189" s="139" t="n"/>
      <x:c r="AC189" s="139" t="n"/>
      <x:c r="AD189" s="139" t="n"/>
      <x:c r="AE189" s="139" t="n"/>
      <x:c r="AF189" s="139" t="n"/>
      <x:c r="AG189" s="139" t="n"/>
      <x:c r="AH189" s="139" t="n"/>
      <x:c r="AI189" s="139" t="n"/>
      <x:c r="AJ189" s="139" t="n"/>
      <x:c r="AK189" s="139" t="n"/>
      <x:c r="AL189" s="139" t="n"/>
      <x:c r="AM189" s="139" t="n"/>
      <x:c r="AN189" s="139" t="n"/>
      <x:c r="AO189" s="139" t="n"/>
      <x:c r="AP189" s="139" t="n"/>
      <x:c r="AQ189" s="139" t="n"/>
      <x:c r="AR189" s="139" t="n"/>
      <x:c r="AS189" s="139" t="n"/>
      <x:c r="AT189" s="139" t="n"/>
      <x:c r="AU189" s="139" t="n"/>
      <x:c r="AV189" s="139" t="n"/>
      <x:c r="AW189" s="139" t="n"/>
      <x:c r="AX189" s="139" t="n"/>
      <x:c r="AY189" s="139" t="n"/>
      <x:c r="AZ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c r="V190" s="139" t="n"/>
      <x:c r="W190" s="139" t="n"/>
      <x:c r="X190" s="139" t="n"/>
      <x:c r="Y190" s="139" t="n"/>
      <x:c r="Z190" s="139" t="n"/>
      <x:c r="AA190" s="139" t="n"/>
      <x:c r="AB190" s="139" t="n"/>
      <x:c r="AC190" s="139" t="n"/>
      <x:c r="AD190" s="139" t="n"/>
      <x:c r="AE190" s="139" t="n"/>
      <x:c r="AF190" s="139" t="n"/>
      <x:c r="AG190" s="139" t="n"/>
      <x:c r="AH190" s="139" t="n"/>
      <x:c r="AI190" s="139" t="n"/>
      <x:c r="AJ190" s="139" t="n"/>
      <x:c r="AK190" s="139" t="n"/>
      <x:c r="AL190" s="139" t="n"/>
      <x:c r="AM190" s="139" t="n"/>
      <x:c r="AN190" s="139" t="n"/>
      <x:c r="AO190" s="139" t="n"/>
      <x:c r="AP190" s="139" t="n"/>
      <x:c r="AQ190" s="139" t="n"/>
      <x:c r="AR190" s="139" t="n"/>
      <x:c r="AS190" s="139" t="n"/>
      <x:c r="AT190" s="139" t="n"/>
      <x:c r="AU190" s="139" t="n"/>
      <x:c r="AV190" s="139" t="n"/>
      <x:c r="AW190" s="139" t="n"/>
      <x:c r="AX190" s="139" t="n"/>
      <x:c r="AY190" s="139" t="n"/>
      <x:c r="AZ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c r="V191" s="139" t="n"/>
      <x:c r="W191" s="139" t="n"/>
      <x:c r="X191" s="139" t="n"/>
      <x:c r="Y191" s="139" t="n"/>
      <x:c r="Z191" s="139" t="n"/>
      <x:c r="AA191" s="139" t="n"/>
      <x:c r="AB191" s="139" t="n"/>
      <x:c r="AC191" s="139" t="n"/>
      <x:c r="AD191" s="139" t="n"/>
      <x:c r="AE191" s="139" t="n"/>
      <x:c r="AF191" s="139" t="n"/>
      <x:c r="AG191" s="139" t="n"/>
      <x:c r="AH191" s="139" t="n"/>
      <x:c r="AI191" s="139" t="n"/>
      <x:c r="AJ191" s="139" t="n"/>
      <x:c r="AK191" s="139" t="n"/>
      <x:c r="AL191" s="139" t="n"/>
      <x:c r="AM191" s="139" t="n"/>
      <x:c r="AN191" s="139" t="n"/>
      <x:c r="AO191" s="139" t="n"/>
      <x:c r="AP191" s="139" t="n"/>
      <x:c r="AQ191" s="139" t="n"/>
      <x:c r="AR191" s="139" t="n"/>
      <x:c r="AS191" s="139" t="n"/>
      <x:c r="AT191" s="139" t="n"/>
      <x:c r="AU191" s="139" t="n"/>
      <x:c r="AV191" s="139" t="n"/>
      <x:c r="AW191" s="139" t="n"/>
      <x:c r="AX191" s="139" t="n"/>
      <x:c r="AY191" s="139" t="n"/>
      <x:c r="AZ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c r="V192" s="139" t="n"/>
      <x:c r="W192" s="139" t="n"/>
      <x:c r="X192" s="139" t="n"/>
      <x:c r="Y192" s="139" t="n"/>
      <x:c r="Z192" s="139" t="n"/>
      <x:c r="AA192" s="139" t="n"/>
      <x:c r="AB192" s="139" t="n"/>
      <x:c r="AC192" s="139" t="n"/>
      <x:c r="AD192" s="139" t="n"/>
      <x:c r="AE192" s="139" t="n"/>
      <x:c r="AF192" s="139" t="n"/>
      <x:c r="AG192" s="139" t="n"/>
      <x:c r="AH192" s="139" t="n"/>
      <x:c r="AI192" s="139" t="n"/>
      <x:c r="AJ192" s="139" t="n"/>
      <x:c r="AK192" s="139" t="n"/>
      <x:c r="AL192" s="139" t="n"/>
      <x:c r="AM192" s="139" t="n"/>
      <x:c r="AN192" s="139" t="n"/>
      <x:c r="AO192" s="139" t="n"/>
      <x:c r="AP192" s="139" t="n"/>
      <x:c r="AQ192" s="139" t="n"/>
      <x:c r="AR192" s="139" t="n"/>
      <x:c r="AS192" s="139" t="n"/>
      <x:c r="AT192" s="139" t="n"/>
      <x:c r="AU192" s="139" t="n"/>
      <x:c r="AV192" s="139" t="n"/>
      <x:c r="AW192" s="139" t="n"/>
      <x:c r="AX192" s="139" t="n"/>
      <x:c r="AY192" s="139" t="n"/>
      <x:c r="AZ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c r="V193" s="139" t="n"/>
      <x:c r="W193" s="139" t="n"/>
      <x:c r="X193" s="139" t="n"/>
      <x:c r="Y193" s="139" t="n"/>
      <x:c r="Z193" s="139" t="n"/>
      <x:c r="AA193" s="139" t="n"/>
      <x:c r="AB193" s="139" t="n"/>
      <x:c r="AC193" s="139" t="n"/>
      <x:c r="AD193" s="139" t="n"/>
      <x:c r="AE193" s="139" t="n"/>
      <x:c r="AF193" s="139" t="n"/>
      <x:c r="AG193" s="139" t="n"/>
      <x:c r="AH193" s="139" t="n"/>
      <x:c r="AI193" s="139" t="n"/>
      <x:c r="AJ193" s="139" t="n"/>
      <x:c r="AK193" s="139" t="n"/>
      <x:c r="AL193" s="139" t="n"/>
      <x:c r="AM193" s="139" t="n"/>
      <x:c r="AN193" s="139" t="n"/>
      <x:c r="AO193" s="139" t="n"/>
      <x:c r="AP193" s="139" t="n"/>
      <x:c r="AQ193" s="139" t="n"/>
      <x:c r="AR193" s="139" t="n"/>
      <x:c r="AS193" s="139" t="n"/>
      <x:c r="AT193" s="139" t="n"/>
      <x:c r="AU193" s="139" t="n"/>
      <x:c r="AV193" s="139" t="n"/>
      <x:c r="AW193" s="139" t="n"/>
      <x:c r="AX193" s="139" t="n"/>
      <x:c r="AY193" s="139" t="n"/>
      <x:c r="AZ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c r="V194" s="139" t="n"/>
      <x:c r="W194" s="139" t="n"/>
      <x:c r="X194" s="139" t="n"/>
      <x:c r="Y194" s="139" t="n"/>
      <x:c r="Z194" s="139" t="n"/>
      <x:c r="AA194" s="139" t="n"/>
      <x:c r="AB194" s="139" t="n"/>
      <x:c r="AC194" s="139" t="n"/>
      <x:c r="AD194" s="139" t="n"/>
      <x:c r="AE194" s="139" t="n"/>
      <x:c r="AF194" s="139" t="n"/>
      <x:c r="AG194" s="139" t="n"/>
      <x:c r="AH194" s="139" t="n"/>
      <x:c r="AI194" s="139" t="n"/>
      <x:c r="AJ194" s="139" t="n"/>
      <x:c r="AK194" s="139" t="n"/>
      <x:c r="AL194" s="139" t="n"/>
      <x:c r="AM194" s="139" t="n"/>
      <x:c r="AN194" s="139" t="n"/>
      <x:c r="AO194" s="139" t="n"/>
      <x:c r="AP194" s="139" t="n"/>
      <x:c r="AQ194" s="139" t="n"/>
      <x:c r="AR194" s="139" t="n"/>
      <x:c r="AS194" s="139" t="n"/>
      <x:c r="AT194" s="139" t="n"/>
      <x:c r="AU194" s="139" t="n"/>
      <x:c r="AV194" s="139" t="n"/>
      <x:c r="AW194" s="139" t="n"/>
      <x:c r="AX194" s="139" t="n"/>
      <x:c r="AY194" s="139" t="n"/>
      <x:c r="AZ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c r="V195" s="139" t="n"/>
      <x:c r="W195" s="139" t="n"/>
      <x:c r="X195" s="139" t="n"/>
      <x:c r="Y195" s="139" t="n"/>
      <x:c r="Z195" s="139" t="n"/>
      <x:c r="AA195" s="139" t="n"/>
      <x:c r="AB195" s="139" t="n"/>
      <x:c r="AC195" s="139" t="n"/>
      <x:c r="AD195" s="139" t="n"/>
      <x:c r="AE195" s="139" t="n"/>
      <x:c r="AF195" s="139" t="n"/>
      <x:c r="AG195" s="139" t="n"/>
      <x:c r="AH195" s="139" t="n"/>
      <x:c r="AI195" s="139" t="n"/>
      <x:c r="AJ195" s="139" t="n"/>
      <x:c r="AK195" s="139" t="n"/>
      <x:c r="AL195" s="139" t="n"/>
      <x:c r="AM195" s="139" t="n"/>
      <x:c r="AN195" s="139" t="n"/>
      <x:c r="AO195" s="139" t="n"/>
      <x:c r="AP195" s="139" t="n"/>
      <x:c r="AQ195" s="139" t="n"/>
      <x:c r="AR195" s="139" t="n"/>
      <x:c r="AS195" s="139" t="n"/>
      <x:c r="AT195" s="139" t="n"/>
      <x:c r="AU195" s="139" t="n"/>
      <x:c r="AV195" s="139" t="n"/>
      <x:c r="AW195" s="139" t="n"/>
      <x:c r="AX195" s="139" t="n"/>
      <x:c r="AY195" s="139" t="n"/>
      <x:c r="AZ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c r="V196" s="139" t="n"/>
      <x:c r="W196" s="139" t="n"/>
      <x:c r="X196" s="139" t="n"/>
      <x:c r="Y196" s="139" t="n"/>
      <x:c r="Z196" s="139" t="n"/>
      <x:c r="AA196" s="139" t="n"/>
      <x:c r="AB196" s="139" t="n"/>
      <x:c r="AC196" s="139" t="n"/>
      <x:c r="AD196" s="139" t="n"/>
      <x:c r="AE196" s="139" t="n"/>
      <x:c r="AF196" s="139" t="n"/>
      <x:c r="AG196" s="139" t="n"/>
      <x:c r="AH196" s="139" t="n"/>
      <x:c r="AI196" s="139" t="n"/>
      <x:c r="AJ196" s="139" t="n"/>
      <x:c r="AK196" s="139" t="n"/>
      <x:c r="AL196" s="139" t="n"/>
      <x:c r="AM196" s="139" t="n"/>
      <x:c r="AN196" s="139" t="n"/>
      <x:c r="AO196" s="139" t="n"/>
      <x:c r="AP196" s="139" t="n"/>
      <x:c r="AQ196" s="139" t="n"/>
      <x:c r="AR196" s="139" t="n"/>
      <x:c r="AS196" s="139" t="n"/>
      <x:c r="AT196" s="139" t="n"/>
      <x:c r="AU196" s="139" t="n"/>
      <x:c r="AV196" s="139" t="n"/>
      <x:c r="AW196" s="139" t="n"/>
      <x:c r="AX196" s="139" t="n"/>
      <x:c r="AY196" s="139" t="n"/>
      <x:c r="AZ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c r="V197" s="139" t="n"/>
      <x:c r="W197" s="139" t="n"/>
      <x:c r="X197" s="139" t="n"/>
      <x:c r="Y197" s="139" t="n"/>
      <x:c r="Z197" s="139" t="n"/>
      <x:c r="AA197" s="139" t="n"/>
      <x:c r="AB197" s="139" t="n"/>
      <x:c r="AC197" s="139" t="n"/>
      <x:c r="AD197" s="139" t="n"/>
      <x:c r="AE197" s="139" t="n"/>
      <x:c r="AF197" s="139" t="n"/>
      <x:c r="AG197" s="139" t="n"/>
      <x:c r="AH197" s="139" t="n"/>
      <x:c r="AI197" s="139" t="n"/>
      <x:c r="AJ197" s="139" t="n"/>
      <x:c r="AK197" s="139" t="n"/>
      <x:c r="AL197" s="139" t="n"/>
      <x:c r="AM197" s="139" t="n"/>
      <x:c r="AN197" s="139" t="n"/>
      <x:c r="AO197" s="139" t="n"/>
      <x:c r="AP197" s="139" t="n"/>
      <x:c r="AQ197" s="139" t="n"/>
      <x:c r="AR197" s="139" t="n"/>
      <x:c r="AS197" s="139" t="n"/>
      <x:c r="AT197" s="139" t="n"/>
      <x:c r="AU197" s="139" t="n"/>
      <x:c r="AV197" s="139" t="n"/>
      <x:c r="AW197" s="139" t="n"/>
      <x:c r="AX197" s="139" t="n"/>
      <x:c r="AY197" s="139" t="n"/>
      <x:c r="AZ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c r="V198" s="139" t="n"/>
      <x:c r="W198" s="139" t="n"/>
      <x:c r="X198" s="139" t="n"/>
      <x:c r="Y198" s="139" t="n"/>
      <x:c r="Z198" s="139" t="n"/>
      <x:c r="AA198" s="139" t="n"/>
      <x:c r="AB198" s="139" t="n"/>
      <x:c r="AC198" s="139" t="n"/>
      <x:c r="AD198" s="139" t="n"/>
      <x:c r="AE198" s="139" t="n"/>
      <x:c r="AF198" s="139" t="n"/>
      <x:c r="AG198" s="139" t="n"/>
      <x:c r="AH198" s="139" t="n"/>
      <x:c r="AI198" s="139" t="n"/>
      <x:c r="AJ198" s="139" t="n"/>
      <x:c r="AK198" s="139" t="n"/>
      <x:c r="AL198" s="139" t="n"/>
      <x:c r="AM198" s="139" t="n"/>
      <x:c r="AN198" s="139" t="n"/>
      <x:c r="AO198" s="139" t="n"/>
      <x:c r="AP198" s="139" t="n"/>
      <x:c r="AQ198" s="139" t="n"/>
      <x:c r="AR198" s="139" t="n"/>
      <x:c r="AS198" s="139" t="n"/>
      <x:c r="AT198" s="139" t="n"/>
      <x:c r="AU198" s="139" t="n"/>
      <x:c r="AV198" s="139" t="n"/>
      <x:c r="AW198" s="139" t="n"/>
      <x:c r="AX198" s="139" t="n"/>
      <x:c r="AY198" s="139" t="n"/>
      <x:c r="AZ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c r="V199" s="139" t="n"/>
      <x:c r="W199" s="139" t="n"/>
      <x:c r="X199" s="139" t="n"/>
      <x:c r="Y199" s="139" t="n"/>
      <x:c r="Z199" s="139" t="n"/>
      <x:c r="AA199" s="139" t="n"/>
      <x:c r="AB199" s="139" t="n"/>
      <x:c r="AC199" s="139" t="n"/>
      <x:c r="AD199" s="139" t="n"/>
      <x:c r="AE199" s="139" t="n"/>
      <x:c r="AF199" s="139" t="n"/>
      <x:c r="AG199" s="139" t="n"/>
      <x:c r="AH199" s="139" t="n"/>
      <x:c r="AI199" s="139" t="n"/>
      <x:c r="AJ199" s="139" t="n"/>
      <x:c r="AK199" s="139" t="n"/>
      <x:c r="AL199" s="139" t="n"/>
      <x:c r="AM199" s="139" t="n"/>
      <x:c r="AN199" s="139" t="n"/>
      <x:c r="AO199" s="139" t="n"/>
      <x:c r="AP199" s="139" t="n"/>
      <x:c r="AQ199" s="139" t="n"/>
      <x:c r="AR199" s="139" t="n"/>
      <x:c r="AS199" s="139" t="n"/>
      <x:c r="AT199" s="139" t="n"/>
      <x:c r="AU199" s="139" t="n"/>
      <x:c r="AV199" s="139" t="n"/>
      <x:c r="AW199" s="139" t="n"/>
      <x:c r="AX199" s="139" t="n"/>
      <x:c r="AY199" s="139" t="n"/>
      <x:c r="AZ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c r="V200" s="139" t="n"/>
      <x:c r="W200" s="139" t="n"/>
      <x:c r="X200" s="139" t="n"/>
      <x:c r="Y200" s="139" t="n"/>
      <x:c r="Z200" s="139" t="n"/>
      <x:c r="AA200" s="139" t="n"/>
      <x:c r="AB200" s="139" t="n"/>
      <x:c r="AC200" s="139" t="n"/>
      <x:c r="AD200" s="139" t="n"/>
      <x:c r="AE200" s="139" t="n"/>
      <x:c r="AF200" s="139" t="n"/>
      <x:c r="AG200" s="139" t="n"/>
      <x:c r="AH200" s="139" t="n"/>
      <x:c r="AI200" s="139" t="n"/>
      <x:c r="AJ200" s="139" t="n"/>
      <x:c r="AK200" s="139" t="n"/>
      <x:c r="AL200" s="139" t="n"/>
      <x:c r="AM200" s="139" t="n"/>
      <x:c r="AN200" s="139" t="n"/>
      <x:c r="AO200" s="139" t="n"/>
      <x:c r="AP200" s="139" t="n"/>
      <x:c r="AQ200" s="139" t="n"/>
      <x:c r="AR200" s="139" t="n"/>
      <x:c r="AS200" s="139" t="n"/>
      <x:c r="AT200" s="139" t="n"/>
      <x:c r="AU200" s="139" t="n"/>
      <x:c r="AV200" s="139" t="n"/>
      <x:c r="AW200" s="139" t="n"/>
      <x:c r="AX200" s="139" t="n"/>
      <x:c r="AY200" s="139" t="n"/>
      <x:c r="AZ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c r="V201" s="139" t="n"/>
      <x:c r="W201" s="139" t="n"/>
      <x:c r="X201" s="139" t="n"/>
      <x:c r="Y201" s="139" t="n"/>
      <x:c r="Z201" s="139" t="n"/>
      <x:c r="AA201" s="139" t="n"/>
      <x:c r="AB201" s="139" t="n"/>
      <x:c r="AC201" s="139" t="n"/>
      <x:c r="AD201" s="139" t="n"/>
      <x:c r="AE201" s="139" t="n"/>
      <x:c r="AF201" s="139" t="n"/>
      <x:c r="AG201" s="139" t="n"/>
      <x:c r="AH201" s="139" t="n"/>
      <x:c r="AI201" s="139" t="n"/>
      <x:c r="AJ201" s="139" t="n"/>
      <x:c r="AK201" s="139" t="n"/>
      <x:c r="AL201" s="139" t="n"/>
      <x:c r="AM201" s="139" t="n"/>
      <x:c r="AN201" s="139" t="n"/>
      <x:c r="AO201" s="139" t="n"/>
      <x:c r="AP201" s="139" t="n"/>
      <x:c r="AQ201" s="139" t="n"/>
      <x:c r="AR201" s="139" t="n"/>
      <x:c r="AS201" s="139" t="n"/>
      <x:c r="AT201" s="139" t="n"/>
      <x:c r="AU201" s="139" t="n"/>
      <x:c r="AV201" s="139" t="n"/>
      <x:c r="AW201" s="139" t="n"/>
      <x:c r="AX201" s="139" t="n"/>
      <x:c r="AY201" s="139" t="n"/>
      <x:c r="AZ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c r="V202" s="139" t="n"/>
      <x:c r="W202" s="139" t="n"/>
      <x:c r="X202" s="139" t="n"/>
      <x:c r="Y202" s="139" t="n"/>
      <x:c r="Z202" s="139" t="n"/>
      <x:c r="AA202" s="139" t="n"/>
      <x:c r="AB202" s="139" t="n"/>
      <x:c r="AC202" s="139" t="n"/>
      <x:c r="AD202" s="139" t="n"/>
      <x:c r="AE202" s="139" t="n"/>
      <x:c r="AF202" s="139" t="n"/>
      <x:c r="AG202" s="139" t="n"/>
      <x:c r="AH202" s="139" t="n"/>
      <x:c r="AI202" s="139" t="n"/>
      <x:c r="AJ202" s="139" t="n"/>
      <x:c r="AK202" s="139" t="n"/>
      <x:c r="AL202" s="139" t="n"/>
      <x:c r="AM202" s="139" t="n"/>
      <x:c r="AN202" s="139" t="n"/>
      <x:c r="AO202" s="139" t="n"/>
      <x:c r="AP202" s="139" t="n"/>
      <x:c r="AQ202" s="139" t="n"/>
      <x:c r="AR202" s="139" t="n"/>
      <x:c r="AS202" s="139" t="n"/>
      <x:c r="AT202" s="139" t="n"/>
      <x:c r="AU202" s="139" t="n"/>
      <x:c r="AV202" s="139" t="n"/>
      <x:c r="AW202" s="139" t="n"/>
      <x:c r="AX202" s="139" t="n"/>
      <x:c r="AY202" s="139" t="n"/>
      <x:c r="AZ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c r="V203" s="139" t="n"/>
      <x:c r="W203" s="139" t="n"/>
      <x:c r="X203" s="139" t="n"/>
      <x:c r="Y203" s="139" t="n"/>
      <x:c r="Z203" s="139" t="n"/>
      <x:c r="AA203" s="139" t="n"/>
      <x:c r="AB203" s="139" t="n"/>
      <x:c r="AC203" s="139" t="n"/>
      <x:c r="AD203" s="139" t="n"/>
      <x:c r="AE203" s="139" t="n"/>
      <x:c r="AF203" s="139" t="n"/>
      <x:c r="AG203" s="139" t="n"/>
      <x:c r="AH203" s="139" t="n"/>
      <x:c r="AI203" s="139" t="n"/>
      <x:c r="AJ203" s="139" t="n"/>
      <x:c r="AK203" s="139" t="n"/>
      <x:c r="AL203" s="139" t="n"/>
      <x:c r="AM203" s="139" t="n"/>
      <x:c r="AN203" s="139" t="n"/>
      <x:c r="AO203" s="139" t="n"/>
      <x:c r="AP203" s="139" t="n"/>
      <x:c r="AQ203" s="139" t="n"/>
      <x:c r="AR203" s="139" t="n"/>
      <x:c r="AS203" s="139" t="n"/>
      <x:c r="AT203" s="139" t="n"/>
      <x:c r="AU203" s="139" t="n"/>
      <x:c r="AV203" s="139" t="n"/>
      <x:c r="AW203" s="139" t="n"/>
      <x:c r="AX203" s="139" t="n"/>
      <x:c r="AY203" s="139" t="n"/>
      <x:c r="AZ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c r="V204" s="139" t="n"/>
      <x:c r="W204" s="139" t="n"/>
      <x:c r="X204" s="139" t="n"/>
      <x:c r="Y204" s="139" t="n"/>
      <x:c r="Z204" s="139" t="n"/>
      <x:c r="AA204" s="139" t="n"/>
      <x:c r="AB204" s="139" t="n"/>
      <x:c r="AC204" s="139" t="n"/>
      <x:c r="AD204" s="139" t="n"/>
      <x:c r="AE204" s="139" t="n"/>
      <x:c r="AF204" s="139" t="n"/>
      <x:c r="AG204" s="139" t="n"/>
      <x:c r="AH204" s="139" t="n"/>
      <x:c r="AI204" s="139" t="n"/>
      <x:c r="AJ204" s="139" t="n"/>
      <x:c r="AK204" s="139" t="n"/>
      <x:c r="AL204" s="139" t="n"/>
      <x:c r="AM204" s="139" t="n"/>
      <x:c r="AN204" s="139" t="n"/>
      <x:c r="AO204" s="139" t="n"/>
      <x:c r="AP204" s="139" t="n"/>
      <x:c r="AQ204" s="139" t="n"/>
      <x:c r="AR204" s="139" t="n"/>
      <x:c r="AS204" s="139" t="n"/>
      <x:c r="AT204" s="139" t="n"/>
      <x:c r="AU204" s="139" t="n"/>
      <x:c r="AV204" s="139" t="n"/>
      <x:c r="AW204" s="139" t="n"/>
      <x:c r="AX204" s="139" t="n"/>
      <x:c r="AY204" s="139" t="n"/>
      <x:c r="AZ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c r="V205" s="139" t="n"/>
      <x:c r="W205" s="139" t="n"/>
      <x:c r="X205" s="139" t="n"/>
      <x:c r="Y205" s="139" t="n"/>
      <x:c r="Z205" s="139" t="n"/>
      <x:c r="AA205" s="139" t="n"/>
      <x:c r="AB205" s="139" t="n"/>
      <x:c r="AC205" s="139" t="n"/>
      <x:c r="AD205" s="139" t="n"/>
      <x:c r="AE205" s="139" t="n"/>
      <x:c r="AF205" s="139" t="n"/>
      <x:c r="AG205" s="139" t="n"/>
      <x:c r="AH205" s="139" t="n"/>
      <x:c r="AI205" s="139" t="n"/>
      <x:c r="AJ205" s="139" t="n"/>
      <x:c r="AK205" s="139" t="n"/>
      <x:c r="AL205" s="139" t="n"/>
      <x:c r="AM205" s="139" t="n"/>
      <x:c r="AN205" s="139" t="n"/>
      <x:c r="AO205" s="139" t="n"/>
      <x:c r="AP205" s="139" t="n"/>
      <x:c r="AQ205" s="139" t="n"/>
      <x:c r="AR205" s="139" t="n"/>
      <x:c r="AS205" s="139" t="n"/>
      <x:c r="AT205" s="139" t="n"/>
      <x:c r="AU205" s="139" t="n"/>
      <x:c r="AV205" s="139" t="n"/>
      <x:c r="AW205" s="139" t="n"/>
      <x:c r="AX205" s="139" t="n"/>
      <x:c r="AY205" s="139" t="n"/>
      <x:c r="AZ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c r="V206" s="139" t="n"/>
      <x:c r="W206" s="139" t="n"/>
      <x:c r="X206" s="139" t="n"/>
      <x:c r="Y206" s="139" t="n"/>
      <x:c r="Z206" s="139" t="n"/>
      <x:c r="AA206" s="139" t="n"/>
      <x:c r="AB206" s="139" t="n"/>
      <x:c r="AC206" s="139" t="n"/>
      <x:c r="AD206" s="139" t="n"/>
      <x:c r="AE206" s="139" t="n"/>
      <x:c r="AF206" s="139" t="n"/>
      <x:c r="AG206" s="139" t="n"/>
      <x:c r="AH206" s="139" t="n"/>
      <x:c r="AI206" s="139" t="n"/>
      <x:c r="AJ206" s="139" t="n"/>
      <x:c r="AK206" s="139" t="n"/>
      <x:c r="AL206" s="139" t="n"/>
      <x:c r="AM206" s="139" t="n"/>
      <x:c r="AN206" s="139" t="n"/>
      <x:c r="AO206" s="139" t="n"/>
      <x:c r="AP206" s="139" t="n"/>
      <x:c r="AQ206" s="139" t="n"/>
      <x:c r="AR206" s="139" t="n"/>
      <x:c r="AS206" s="139" t="n"/>
      <x:c r="AT206" s="139" t="n"/>
      <x:c r="AU206" s="139" t="n"/>
      <x:c r="AV206" s="139" t="n"/>
      <x:c r="AW206" s="139" t="n"/>
      <x:c r="AX206" s="139" t="n"/>
      <x:c r="AY206" s="139" t="n"/>
      <x:c r="AZ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c r="V207" s="139" t="n"/>
      <x:c r="W207" s="139" t="n"/>
      <x:c r="X207" s="139" t="n"/>
      <x:c r="Y207" s="139" t="n"/>
      <x:c r="Z207" s="139" t="n"/>
      <x:c r="AA207" s="139" t="n"/>
      <x:c r="AB207" s="139" t="n"/>
      <x:c r="AC207" s="139" t="n"/>
      <x:c r="AD207" s="139" t="n"/>
      <x:c r="AE207" s="139" t="n"/>
      <x:c r="AF207" s="139" t="n"/>
      <x:c r="AG207" s="139" t="n"/>
      <x:c r="AH207" s="139" t="n"/>
      <x:c r="AI207" s="139" t="n"/>
      <x:c r="AJ207" s="139" t="n"/>
      <x:c r="AK207" s="139" t="n"/>
      <x:c r="AL207" s="139" t="n"/>
      <x:c r="AM207" s="139" t="n"/>
      <x:c r="AN207" s="139" t="n"/>
      <x:c r="AO207" s="139" t="n"/>
      <x:c r="AP207" s="139" t="n"/>
      <x:c r="AQ207" s="139" t="n"/>
      <x:c r="AR207" s="139" t="n"/>
      <x:c r="AS207" s="139" t="n"/>
      <x:c r="AT207" s="139" t="n"/>
      <x:c r="AU207" s="139" t="n"/>
      <x:c r="AV207" s="139" t="n"/>
      <x:c r="AW207" s="139" t="n"/>
      <x:c r="AX207" s="139" t="n"/>
      <x:c r="AY207" s="139" t="n"/>
      <x:c r="AZ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c r="V208" s="139" t="n"/>
      <x:c r="W208" s="139" t="n"/>
      <x:c r="X208" s="139" t="n"/>
      <x:c r="Y208" s="139" t="n"/>
      <x:c r="Z208" s="139" t="n"/>
      <x:c r="AA208" s="139" t="n"/>
      <x:c r="AB208" s="139" t="n"/>
      <x:c r="AC208" s="139" t="n"/>
      <x:c r="AD208" s="139" t="n"/>
      <x:c r="AE208" s="139" t="n"/>
      <x:c r="AF208" s="139" t="n"/>
      <x:c r="AG208" s="139" t="n"/>
      <x:c r="AH208" s="139" t="n"/>
      <x:c r="AI208" s="139" t="n"/>
      <x:c r="AJ208" s="139" t="n"/>
      <x:c r="AK208" s="139" t="n"/>
      <x:c r="AL208" s="139" t="n"/>
      <x:c r="AM208" s="139" t="n"/>
      <x:c r="AN208" s="139" t="n"/>
      <x:c r="AO208" s="139" t="n"/>
      <x:c r="AP208" s="139" t="n"/>
      <x:c r="AQ208" s="139" t="n"/>
      <x:c r="AR208" s="139" t="n"/>
      <x:c r="AS208" s="139" t="n"/>
      <x:c r="AT208" s="139" t="n"/>
      <x:c r="AU208" s="139" t="n"/>
      <x:c r="AV208" s="139" t="n"/>
      <x:c r="AW208" s="139" t="n"/>
      <x:c r="AX208" s="139" t="n"/>
      <x:c r="AY208" s="139" t="n"/>
      <x:c r="AZ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c r="V209" s="139" t="n"/>
      <x:c r="W209" s="139" t="n"/>
      <x:c r="X209" s="139" t="n"/>
      <x:c r="Y209" s="139" t="n"/>
      <x:c r="Z209" s="139" t="n"/>
      <x:c r="AA209" s="139" t="n"/>
      <x:c r="AB209" s="139" t="n"/>
      <x:c r="AC209" s="139" t="n"/>
      <x:c r="AD209" s="139" t="n"/>
      <x:c r="AE209" s="139" t="n"/>
      <x:c r="AF209" s="139" t="n"/>
      <x:c r="AG209" s="139" t="n"/>
      <x:c r="AH209" s="139" t="n"/>
      <x:c r="AI209" s="139" t="n"/>
      <x:c r="AJ209" s="139" t="n"/>
      <x:c r="AK209" s="139" t="n"/>
      <x:c r="AL209" s="139" t="n"/>
      <x:c r="AM209" s="139" t="n"/>
      <x:c r="AN209" s="139" t="n"/>
      <x:c r="AO209" s="139" t="n"/>
      <x:c r="AP209" s="139" t="n"/>
      <x:c r="AQ209" s="139" t="n"/>
      <x:c r="AR209" s="139" t="n"/>
      <x:c r="AS209" s="139" t="n"/>
      <x:c r="AT209" s="139" t="n"/>
      <x:c r="AU209" s="139" t="n"/>
      <x:c r="AV209" s="139" t="n"/>
      <x:c r="AW209" s="139" t="n"/>
      <x:c r="AX209" s="139" t="n"/>
      <x:c r="AY209" s="139" t="n"/>
      <x:c r="AZ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c r="V210" s="139" t="n"/>
      <x:c r="W210" s="139" t="n"/>
      <x:c r="X210" s="139" t="n"/>
      <x:c r="Y210" s="139" t="n"/>
      <x:c r="Z210" s="139" t="n"/>
      <x:c r="AA210" s="139" t="n"/>
      <x:c r="AB210" s="139" t="n"/>
      <x:c r="AC210" s="139" t="n"/>
      <x:c r="AD210" s="139" t="n"/>
      <x:c r="AE210" s="139" t="n"/>
      <x:c r="AF210" s="139" t="n"/>
      <x:c r="AG210" s="139" t="n"/>
      <x:c r="AH210" s="139" t="n"/>
      <x:c r="AI210" s="139" t="n"/>
      <x:c r="AJ210" s="139" t="n"/>
      <x:c r="AK210" s="139" t="n"/>
      <x:c r="AL210" s="139" t="n"/>
      <x:c r="AM210" s="139" t="n"/>
      <x:c r="AN210" s="139" t="n"/>
      <x:c r="AO210" s="139" t="n"/>
      <x:c r="AP210" s="139" t="n"/>
      <x:c r="AQ210" s="139" t="n"/>
      <x:c r="AR210" s="139" t="n"/>
      <x:c r="AS210" s="139" t="n"/>
      <x:c r="AT210" s="139" t="n"/>
      <x:c r="AU210" s="139" t="n"/>
      <x:c r="AV210" s="139" t="n"/>
      <x:c r="AW210" s="139" t="n"/>
      <x:c r="AX210" s="139" t="n"/>
      <x:c r="AY210" s="139" t="n"/>
      <x:c r="AZ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c r="V211" s="139" t="n"/>
      <x:c r="W211" s="139" t="n"/>
      <x:c r="X211" s="139" t="n"/>
      <x:c r="Y211" s="139" t="n"/>
      <x:c r="Z211" s="139" t="n"/>
      <x:c r="AA211" s="139" t="n"/>
      <x:c r="AB211" s="139" t="n"/>
      <x:c r="AC211" s="139" t="n"/>
      <x:c r="AD211" s="139" t="n"/>
      <x:c r="AE211" s="139" t="n"/>
      <x:c r="AF211" s="139" t="n"/>
      <x:c r="AG211" s="139" t="n"/>
      <x:c r="AH211" s="139" t="n"/>
      <x:c r="AI211" s="139" t="n"/>
      <x:c r="AJ211" s="139" t="n"/>
      <x:c r="AK211" s="139" t="n"/>
      <x:c r="AL211" s="139" t="n"/>
      <x:c r="AM211" s="139" t="n"/>
      <x:c r="AN211" s="139" t="n"/>
      <x:c r="AO211" s="139" t="n"/>
      <x:c r="AP211" s="139" t="n"/>
      <x:c r="AQ211" s="139" t="n"/>
      <x:c r="AR211" s="139" t="n"/>
      <x:c r="AS211" s="139" t="n"/>
      <x:c r="AT211" s="139" t="n"/>
      <x:c r="AU211" s="139" t="n"/>
      <x:c r="AV211" s="139" t="n"/>
      <x:c r="AW211" s="139" t="n"/>
      <x:c r="AX211" s="139" t="n"/>
      <x:c r="AY211" s="139" t="n"/>
      <x:c r="AZ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c r="V212" s="139" t="n"/>
      <x:c r="W212" s="139" t="n"/>
      <x:c r="X212" s="139" t="n"/>
      <x:c r="Y212" s="139" t="n"/>
      <x:c r="Z212" s="139" t="n"/>
      <x:c r="AA212" s="139" t="n"/>
      <x:c r="AB212" s="139" t="n"/>
      <x:c r="AC212" s="139" t="n"/>
      <x:c r="AD212" s="139" t="n"/>
      <x:c r="AE212" s="139" t="n"/>
      <x:c r="AF212" s="139" t="n"/>
      <x:c r="AG212" s="139" t="n"/>
      <x:c r="AH212" s="139" t="n"/>
      <x:c r="AI212" s="139" t="n"/>
      <x:c r="AJ212" s="139" t="n"/>
      <x:c r="AK212" s="139" t="n"/>
      <x:c r="AL212" s="139" t="n"/>
      <x:c r="AM212" s="139" t="n"/>
      <x:c r="AN212" s="139" t="n"/>
      <x:c r="AO212" s="139" t="n"/>
      <x:c r="AP212" s="139" t="n"/>
      <x:c r="AQ212" s="139" t="n"/>
      <x:c r="AR212" s="139" t="n"/>
      <x:c r="AS212" s="139" t="n"/>
      <x:c r="AT212" s="139" t="n"/>
      <x:c r="AU212" s="139" t="n"/>
      <x:c r="AV212" s="139" t="n"/>
      <x:c r="AW212" s="139" t="n"/>
      <x:c r="AX212" s="139" t="n"/>
      <x:c r="AY212" s="139" t="n"/>
      <x:c r="AZ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c r="V213" s="139" t="n"/>
      <x:c r="W213" s="139" t="n"/>
      <x:c r="X213" s="139" t="n"/>
      <x:c r="Y213" s="139" t="n"/>
      <x:c r="Z213" s="139" t="n"/>
      <x:c r="AA213" s="139" t="n"/>
      <x:c r="AB213" s="139" t="n"/>
      <x:c r="AC213" s="139" t="n"/>
      <x:c r="AD213" s="139" t="n"/>
      <x:c r="AE213" s="139" t="n"/>
      <x:c r="AF213" s="139" t="n"/>
      <x:c r="AG213" s="139" t="n"/>
      <x:c r="AH213" s="139" t="n"/>
      <x:c r="AI213" s="139" t="n"/>
      <x:c r="AJ213" s="139" t="n"/>
      <x:c r="AK213" s="139" t="n"/>
      <x:c r="AL213" s="139" t="n"/>
      <x:c r="AM213" s="139" t="n"/>
      <x:c r="AN213" s="139" t="n"/>
      <x:c r="AO213" s="139" t="n"/>
      <x:c r="AP213" s="139" t="n"/>
      <x:c r="AQ213" s="139" t="n"/>
      <x:c r="AR213" s="139" t="n"/>
      <x:c r="AS213" s="139" t="n"/>
      <x:c r="AT213" s="139" t="n"/>
      <x:c r="AU213" s="139" t="n"/>
      <x:c r="AV213" s="139" t="n"/>
      <x:c r="AW213" s="139" t="n"/>
      <x:c r="AX213" s="139" t="n"/>
      <x:c r="AY213" s="139" t="n"/>
      <x:c r="AZ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c r="V214" s="139" t="n"/>
      <x:c r="W214" s="139" t="n"/>
      <x:c r="X214" s="139" t="n"/>
      <x:c r="Y214" s="139" t="n"/>
      <x:c r="Z214" s="139" t="n"/>
      <x:c r="AA214" s="139" t="n"/>
      <x:c r="AB214" s="139" t="n"/>
      <x:c r="AC214" s="139" t="n"/>
      <x:c r="AD214" s="139" t="n"/>
      <x:c r="AE214" s="139" t="n"/>
      <x:c r="AF214" s="139" t="n"/>
      <x:c r="AG214" s="139" t="n"/>
      <x:c r="AH214" s="139" t="n"/>
      <x:c r="AI214" s="139" t="n"/>
      <x:c r="AJ214" s="139" t="n"/>
      <x:c r="AK214" s="139" t="n"/>
      <x:c r="AL214" s="139" t="n"/>
      <x:c r="AM214" s="139" t="n"/>
      <x:c r="AN214" s="139" t="n"/>
      <x:c r="AO214" s="139" t="n"/>
      <x:c r="AP214" s="139" t="n"/>
      <x:c r="AQ214" s="139" t="n"/>
      <x:c r="AR214" s="139" t="n"/>
      <x:c r="AS214" s="139" t="n"/>
      <x:c r="AT214" s="139" t="n"/>
      <x:c r="AU214" s="139" t="n"/>
      <x:c r="AV214" s="139" t="n"/>
      <x:c r="AW214" s="139" t="n"/>
      <x:c r="AX214" s="139" t="n"/>
      <x:c r="AY214" s="139" t="n"/>
      <x:c r="AZ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c r="V215" s="139" t="n"/>
      <x:c r="W215" s="139" t="n"/>
      <x:c r="X215" s="139" t="n"/>
      <x:c r="Y215" s="139" t="n"/>
      <x:c r="Z215" s="139" t="n"/>
      <x:c r="AA215" s="139" t="n"/>
      <x:c r="AB215" s="139" t="n"/>
      <x:c r="AC215" s="139" t="n"/>
      <x:c r="AD215" s="139" t="n"/>
      <x:c r="AE215" s="139" t="n"/>
      <x:c r="AF215" s="139" t="n"/>
      <x:c r="AG215" s="139" t="n"/>
      <x:c r="AH215" s="139" t="n"/>
      <x:c r="AI215" s="139" t="n"/>
      <x:c r="AJ215" s="139" t="n"/>
      <x:c r="AK215" s="139" t="n"/>
      <x:c r="AL215" s="139" t="n"/>
      <x:c r="AM215" s="139" t="n"/>
      <x:c r="AN215" s="139" t="n"/>
      <x:c r="AO215" s="139" t="n"/>
      <x:c r="AP215" s="139" t="n"/>
      <x:c r="AQ215" s="139" t="n"/>
      <x:c r="AR215" s="139" t="n"/>
      <x:c r="AS215" s="139" t="n"/>
      <x:c r="AT215" s="139" t="n"/>
      <x:c r="AU215" s="139" t="n"/>
      <x:c r="AV215" s="139" t="n"/>
      <x:c r="AW215" s="139" t="n"/>
      <x:c r="AX215" s="139" t="n"/>
      <x:c r="AY215" s="139" t="n"/>
      <x:c r="AZ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c r="V216" s="139" t="n"/>
      <x:c r="W216" s="139" t="n"/>
      <x:c r="X216" s="139" t="n"/>
      <x:c r="Y216" s="139" t="n"/>
      <x:c r="Z216" s="139" t="n"/>
      <x:c r="AA216" s="139" t="n"/>
      <x:c r="AB216" s="139" t="n"/>
      <x:c r="AC216" s="139" t="n"/>
      <x:c r="AD216" s="139" t="n"/>
      <x:c r="AE216" s="139" t="n"/>
      <x:c r="AF216" s="139" t="n"/>
      <x:c r="AG216" s="139" t="n"/>
      <x:c r="AH216" s="139" t="n"/>
      <x:c r="AI216" s="139" t="n"/>
      <x:c r="AJ216" s="139" t="n"/>
      <x:c r="AK216" s="139" t="n"/>
      <x:c r="AL216" s="139" t="n"/>
      <x:c r="AM216" s="139" t="n"/>
      <x:c r="AN216" s="139" t="n"/>
      <x:c r="AO216" s="139" t="n"/>
      <x:c r="AP216" s="139" t="n"/>
      <x:c r="AQ216" s="139" t="n"/>
      <x:c r="AR216" s="139" t="n"/>
      <x:c r="AS216" s="139" t="n"/>
      <x:c r="AT216" s="139" t="n"/>
      <x:c r="AU216" s="139" t="n"/>
      <x:c r="AV216" s="139" t="n"/>
      <x:c r="AW216" s="139" t="n"/>
      <x:c r="AX216" s="139" t="n"/>
      <x:c r="AY216" s="139" t="n"/>
      <x:c r="AZ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c r="V217" s="139" t="n"/>
      <x:c r="W217" s="139" t="n"/>
      <x:c r="X217" s="139" t="n"/>
      <x:c r="Y217" s="139" t="n"/>
      <x:c r="Z217" s="139" t="n"/>
      <x:c r="AA217" s="139" t="n"/>
      <x:c r="AB217" s="139" t="n"/>
      <x:c r="AC217" s="139" t="n"/>
      <x:c r="AD217" s="139" t="n"/>
      <x:c r="AE217" s="139" t="n"/>
      <x:c r="AF217" s="139" t="n"/>
      <x:c r="AG217" s="139" t="n"/>
      <x:c r="AH217" s="139" t="n"/>
      <x:c r="AI217" s="139" t="n"/>
      <x:c r="AJ217" s="139" t="n"/>
      <x:c r="AK217" s="139" t="n"/>
      <x:c r="AL217" s="139" t="n"/>
      <x:c r="AM217" s="139" t="n"/>
      <x:c r="AN217" s="139" t="n"/>
      <x:c r="AO217" s="139" t="n"/>
      <x:c r="AP217" s="139" t="n"/>
      <x:c r="AQ217" s="139" t="n"/>
      <x:c r="AR217" s="139" t="n"/>
      <x:c r="AS217" s="139" t="n"/>
      <x:c r="AT217" s="139" t="n"/>
      <x:c r="AU217" s="139" t="n"/>
      <x:c r="AV217" s="139" t="n"/>
      <x:c r="AW217" s="139" t="n"/>
      <x:c r="AX217" s="139" t="n"/>
      <x:c r="AY217" s="139" t="n"/>
      <x:c r="AZ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c r="V218" s="139" t="n"/>
      <x:c r="W218" s="139" t="n"/>
      <x:c r="X218" s="139" t="n"/>
      <x:c r="Y218" s="139" t="n"/>
      <x:c r="Z218" s="139" t="n"/>
      <x:c r="AA218" s="139" t="n"/>
      <x:c r="AB218" s="139" t="n"/>
      <x:c r="AC218" s="139" t="n"/>
      <x:c r="AD218" s="139" t="n"/>
      <x:c r="AE218" s="139" t="n"/>
      <x:c r="AF218" s="139" t="n"/>
      <x:c r="AG218" s="139" t="n"/>
      <x:c r="AH218" s="139" t="n"/>
      <x:c r="AI218" s="139" t="n"/>
      <x:c r="AJ218" s="139" t="n"/>
      <x:c r="AK218" s="139" t="n"/>
      <x:c r="AL218" s="139" t="n"/>
      <x:c r="AM218" s="139" t="n"/>
      <x:c r="AN218" s="139" t="n"/>
      <x:c r="AO218" s="139" t="n"/>
      <x:c r="AP218" s="139" t="n"/>
      <x:c r="AQ218" s="139" t="n"/>
      <x:c r="AR218" s="139" t="n"/>
      <x:c r="AS218" s="139" t="n"/>
      <x:c r="AT218" s="139" t="n"/>
      <x:c r="AU218" s="139" t="n"/>
      <x:c r="AV218" s="139" t="n"/>
      <x:c r="AW218" s="139" t="n"/>
      <x:c r="AX218" s="139" t="n"/>
      <x:c r="AY218" s="139" t="n"/>
      <x:c r="AZ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c r="V219" s="139" t="n"/>
      <x:c r="W219" s="139" t="n"/>
      <x:c r="X219" s="139" t="n"/>
      <x:c r="Y219" s="139" t="n"/>
      <x:c r="Z219" s="139" t="n"/>
      <x:c r="AA219" s="139" t="n"/>
      <x:c r="AB219" s="139" t="n"/>
      <x:c r="AC219" s="139" t="n"/>
      <x:c r="AD219" s="139" t="n"/>
      <x:c r="AE219" s="139" t="n"/>
      <x:c r="AF219" s="139" t="n"/>
      <x:c r="AG219" s="139" t="n"/>
      <x:c r="AH219" s="139" t="n"/>
      <x:c r="AI219" s="139" t="n"/>
      <x:c r="AJ219" s="139" t="n"/>
      <x:c r="AK219" s="139" t="n"/>
      <x:c r="AL219" s="139" t="n"/>
      <x:c r="AM219" s="139" t="n"/>
      <x:c r="AN219" s="139" t="n"/>
      <x:c r="AO219" s="139" t="n"/>
      <x:c r="AP219" s="139" t="n"/>
      <x:c r="AQ219" s="139" t="n"/>
      <x:c r="AR219" s="139" t="n"/>
      <x:c r="AS219" s="139" t="n"/>
      <x:c r="AT219" s="139" t="n"/>
      <x:c r="AU219" s="139" t="n"/>
      <x:c r="AV219" s="139" t="n"/>
      <x:c r="AW219" s="139" t="n"/>
      <x:c r="AX219" s="139" t="n"/>
      <x:c r="AY219" s="139" t="n"/>
      <x:c r="AZ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c r="V220" s="139" t="n"/>
      <x:c r="W220" s="139" t="n"/>
      <x:c r="X220" s="139" t="n"/>
      <x:c r="Y220" s="139" t="n"/>
      <x:c r="Z220" s="139" t="n"/>
      <x:c r="AA220" s="139" t="n"/>
      <x:c r="AB220" s="139" t="n"/>
      <x:c r="AC220" s="139" t="n"/>
      <x:c r="AD220" s="139" t="n"/>
      <x:c r="AE220" s="139" t="n"/>
      <x:c r="AF220" s="139" t="n"/>
      <x:c r="AG220" s="139" t="n"/>
      <x:c r="AH220" s="139" t="n"/>
      <x:c r="AI220" s="139" t="n"/>
      <x:c r="AJ220" s="139" t="n"/>
      <x:c r="AK220" s="139" t="n"/>
      <x:c r="AL220" s="139" t="n"/>
      <x:c r="AM220" s="139" t="n"/>
      <x:c r="AN220" s="139" t="n"/>
      <x:c r="AO220" s="139" t="n"/>
      <x:c r="AP220" s="139" t="n"/>
      <x:c r="AQ220" s="139" t="n"/>
      <x:c r="AR220" s="139" t="n"/>
      <x:c r="AS220" s="139" t="n"/>
      <x:c r="AT220" s="139" t="n"/>
      <x:c r="AU220" s="139" t="n"/>
      <x:c r="AV220" s="139" t="n"/>
      <x:c r="AW220" s="139" t="n"/>
      <x:c r="AX220" s="139" t="n"/>
      <x:c r="AY220" s="139" t="n"/>
      <x:c r="AZ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c r="V221" s="139" t="n"/>
      <x:c r="W221" s="139" t="n"/>
      <x:c r="X221" s="139" t="n"/>
      <x:c r="Y221" s="139" t="n"/>
      <x:c r="Z221" s="139" t="n"/>
      <x:c r="AA221" s="139" t="n"/>
      <x:c r="AB221" s="139" t="n"/>
      <x:c r="AC221" s="139" t="n"/>
      <x:c r="AD221" s="139" t="n"/>
      <x:c r="AE221" s="139" t="n"/>
      <x:c r="AF221" s="139" t="n"/>
      <x:c r="AG221" s="139" t="n"/>
      <x:c r="AH221" s="139" t="n"/>
      <x:c r="AI221" s="139" t="n"/>
      <x:c r="AJ221" s="139" t="n"/>
      <x:c r="AK221" s="139" t="n"/>
      <x:c r="AL221" s="139" t="n"/>
      <x:c r="AM221" s="139" t="n"/>
      <x:c r="AN221" s="139" t="n"/>
      <x:c r="AO221" s="139" t="n"/>
      <x:c r="AP221" s="139" t="n"/>
      <x:c r="AQ221" s="139" t="n"/>
      <x:c r="AR221" s="139" t="n"/>
      <x:c r="AS221" s="139" t="n"/>
      <x:c r="AT221" s="139" t="n"/>
      <x:c r="AU221" s="139" t="n"/>
      <x:c r="AV221" s="139" t="n"/>
      <x:c r="AW221" s="139" t="n"/>
      <x:c r="AX221" s="139" t="n"/>
      <x:c r="AY221" s="139" t="n"/>
      <x:c r="AZ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c r="V222" s="139" t="n"/>
      <x:c r="W222" s="139" t="n"/>
      <x:c r="X222" s="139" t="n"/>
      <x:c r="Y222" s="139" t="n"/>
      <x:c r="Z222" s="139" t="n"/>
      <x:c r="AA222" s="139" t="n"/>
      <x:c r="AB222" s="139" t="n"/>
      <x:c r="AC222" s="139" t="n"/>
      <x:c r="AD222" s="139" t="n"/>
      <x:c r="AE222" s="139" t="n"/>
      <x:c r="AF222" s="139" t="n"/>
      <x:c r="AG222" s="139" t="n"/>
      <x:c r="AH222" s="139" t="n"/>
      <x:c r="AI222" s="139" t="n"/>
      <x:c r="AJ222" s="139" t="n"/>
      <x:c r="AK222" s="139" t="n"/>
      <x:c r="AL222" s="139" t="n"/>
      <x:c r="AM222" s="139" t="n"/>
      <x:c r="AN222" s="139" t="n"/>
      <x:c r="AO222" s="139" t="n"/>
      <x:c r="AP222" s="139" t="n"/>
      <x:c r="AQ222" s="139" t="n"/>
      <x:c r="AR222" s="139" t="n"/>
      <x:c r="AS222" s="139" t="n"/>
      <x:c r="AT222" s="139" t="n"/>
      <x:c r="AU222" s="139" t="n"/>
      <x:c r="AV222" s="139" t="n"/>
      <x:c r="AW222" s="139" t="n"/>
      <x:c r="AX222" s="139" t="n"/>
      <x:c r="AY222" s="139" t="n"/>
      <x:c r="AZ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c r="V223" s="139" t="n"/>
      <x:c r="W223" s="139" t="n"/>
      <x:c r="X223" s="139" t="n"/>
      <x:c r="Y223" s="139" t="n"/>
      <x:c r="Z223" s="139" t="n"/>
      <x:c r="AA223" s="139" t="n"/>
      <x:c r="AB223" s="139" t="n"/>
      <x:c r="AC223" s="139" t="n"/>
      <x:c r="AD223" s="139" t="n"/>
      <x:c r="AE223" s="139" t="n"/>
      <x:c r="AF223" s="139" t="n"/>
      <x:c r="AG223" s="139" t="n"/>
      <x:c r="AH223" s="139" t="n"/>
      <x:c r="AI223" s="139" t="n"/>
      <x:c r="AJ223" s="139" t="n"/>
      <x:c r="AK223" s="139" t="n"/>
      <x:c r="AL223" s="139" t="n"/>
      <x:c r="AM223" s="139" t="n"/>
      <x:c r="AN223" s="139" t="n"/>
      <x:c r="AO223" s="139" t="n"/>
      <x:c r="AP223" s="139" t="n"/>
      <x:c r="AQ223" s="139" t="n"/>
      <x:c r="AR223" s="139" t="n"/>
      <x:c r="AS223" s="139" t="n"/>
      <x:c r="AT223" s="139" t="n"/>
      <x:c r="AU223" s="139" t="n"/>
      <x:c r="AV223" s="139" t="n"/>
      <x:c r="AW223" s="139" t="n"/>
      <x:c r="AX223" s="139" t="n"/>
      <x:c r="AY223" s="139" t="n"/>
      <x:c r="AZ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c r="V224" s="139" t="n"/>
      <x:c r="W224" s="139" t="n"/>
      <x:c r="X224" s="139" t="n"/>
      <x:c r="Y224" s="139" t="n"/>
      <x:c r="Z224" s="139" t="n"/>
      <x:c r="AA224" s="139" t="n"/>
      <x:c r="AB224" s="139" t="n"/>
      <x:c r="AC224" s="139" t="n"/>
      <x:c r="AD224" s="139" t="n"/>
      <x:c r="AE224" s="139" t="n"/>
      <x:c r="AF224" s="139" t="n"/>
      <x:c r="AG224" s="139" t="n"/>
      <x:c r="AH224" s="139" t="n"/>
      <x:c r="AI224" s="139" t="n"/>
      <x:c r="AJ224" s="139" t="n"/>
      <x:c r="AK224" s="139" t="n"/>
      <x:c r="AL224" s="139" t="n"/>
      <x:c r="AM224" s="139" t="n"/>
      <x:c r="AN224" s="139" t="n"/>
      <x:c r="AO224" s="139" t="n"/>
      <x:c r="AP224" s="139" t="n"/>
      <x:c r="AQ224" s="139" t="n"/>
      <x:c r="AR224" s="139" t="n"/>
      <x:c r="AS224" s="139" t="n"/>
      <x:c r="AT224" s="139" t="n"/>
      <x:c r="AU224" s="139" t="n"/>
      <x:c r="AV224" s="139" t="n"/>
      <x:c r="AW224" s="139" t="n"/>
      <x:c r="AX224" s="139" t="n"/>
      <x:c r="AY224" s="139" t="n"/>
      <x:c r="AZ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c r="V225" s="139" t="n"/>
      <x:c r="W225" s="139" t="n"/>
      <x:c r="X225" s="139" t="n"/>
      <x:c r="Y225" s="139" t="n"/>
      <x:c r="Z225" s="139" t="n"/>
      <x:c r="AA225" s="139" t="n"/>
      <x:c r="AB225" s="139" t="n"/>
      <x:c r="AC225" s="139" t="n"/>
      <x:c r="AD225" s="139" t="n"/>
      <x:c r="AE225" s="139" t="n"/>
      <x:c r="AF225" s="139" t="n"/>
      <x:c r="AG225" s="139" t="n"/>
      <x:c r="AH225" s="139" t="n"/>
      <x:c r="AI225" s="139" t="n"/>
      <x:c r="AJ225" s="139" t="n"/>
      <x:c r="AK225" s="139" t="n"/>
      <x:c r="AL225" s="139" t="n"/>
      <x:c r="AM225" s="139" t="n"/>
      <x:c r="AN225" s="139" t="n"/>
      <x:c r="AO225" s="139" t="n"/>
      <x:c r="AP225" s="139" t="n"/>
      <x:c r="AQ225" s="139" t="n"/>
      <x:c r="AR225" s="139" t="n"/>
      <x:c r="AS225" s="139" t="n"/>
      <x:c r="AT225" s="139" t="n"/>
      <x:c r="AU225" s="139" t="n"/>
      <x:c r="AV225" s="139" t="n"/>
      <x:c r="AW225" s="139" t="n"/>
      <x:c r="AX225" s="139" t="n"/>
      <x:c r="AY225" s="139" t="n"/>
      <x:c r="AZ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c r="V226" s="139" t="n"/>
      <x:c r="W226" s="139" t="n"/>
      <x:c r="X226" s="139" t="n"/>
      <x:c r="Y226" s="139" t="n"/>
      <x:c r="Z226" s="139" t="n"/>
      <x:c r="AA226" s="139" t="n"/>
      <x:c r="AB226" s="139" t="n"/>
      <x:c r="AC226" s="139" t="n"/>
      <x:c r="AD226" s="139" t="n"/>
      <x:c r="AE226" s="139" t="n"/>
      <x:c r="AF226" s="139" t="n"/>
      <x:c r="AG226" s="139" t="n"/>
      <x:c r="AH226" s="139" t="n"/>
      <x:c r="AI226" s="139" t="n"/>
      <x:c r="AJ226" s="139" t="n"/>
      <x:c r="AK226" s="139" t="n"/>
      <x:c r="AL226" s="139" t="n"/>
      <x:c r="AM226" s="139" t="n"/>
      <x:c r="AN226" s="139" t="n"/>
      <x:c r="AO226" s="139" t="n"/>
      <x:c r="AP226" s="139" t="n"/>
      <x:c r="AQ226" s="139" t="n"/>
      <x:c r="AR226" s="139" t="n"/>
      <x:c r="AS226" s="139" t="n"/>
      <x:c r="AT226" s="139" t="n"/>
      <x:c r="AU226" s="139" t="n"/>
      <x:c r="AV226" s="139" t="n"/>
      <x:c r="AW226" s="139" t="n"/>
      <x:c r="AX226" s="139" t="n"/>
      <x:c r="AY226" s="139" t="n"/>
      <x:c r="AZ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c r="V227" s="139" t="n"/>
      <x:c r="W227" s="139" t="n"/>
      <x:c r="X227" s="139" t="n"/>
      <x:c r="Y227" s="139" t="n"/>
      <x:c r="Z227" s="139" t="n"/>
      <x:c r="AA227" s="139" t="n"/>
      <x:c r="AB227" s="139" t="n"/>
      <x:c r="AC227" s="139" t="n"/>
      <x:c r="AD227" s="139" t="n"/>
      <x:c r="AE227" s="139" t="n"/>
      <x:c r="AF227" s="139" t="n"/>
      <x:c r="AG227" s="139" t="n"/>
      <x:c r="AH227" s="139" t="n"/>
      <x:c r="AI227" s="139" t="n"/>
      <x:c r="AJ227" s="139" t="n"/>
      <x:c r="AK227" s="139" t="n"/>
      <x:c r="AL227" s="139" t="n"/>
      <x:c r="AM227" s="139" t="n"/>
      <x:c r="AN227" s="139" t="n"/>
      <x:c r="AO227" s="139" t="n"/>
      <x:c r="AP227" s="139" t="n"/>
      <x:c r="AQ227" s="139" t="n"/>
      <x:c r="AR227" s="139" t="n"/>
      <x:c r="AS227" s="139" t="n"/>
      <x:c r="AT227" s="139" t="n"/>
      <x:c r="AU227" s="139" t="n"/>
      <x:c r="AV227" s="139" t="n"/>
      <x:c r="AW227" s="139" t="n"/>
      <x:c r="AX227" s="139" t="n"/>
      <x:c r="AY227" s="139" t="n"/>
      <x:c r="AZ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c r="V228" s="139" t="n"/>
      <x:c r="W228" s="139" t="n"/>
      <x:c r="X228" s="139" t="n"/>
      <x:c r="Y228" s="139" t="n"/>
      <x:c r="Z228" s="139" t="n"/>
      <x:c r="AA228" s="139" t="n"/>
      <x:c r="AB228" s="139" t="n"/>
      <x:c r="AC228" s="139" t="n"/>
      <x:c r="AD228" s="139" t="n"/>
      <x:c r="AE228" s="139" t="n"/>
      <x:c r="AF228" s="139" t="n"/>
      <x:c r="AG228" s="139" t="n"/>
      <x:c r="AH228" s="139" t="n"/>
      <x:c r="AI228" s="139" t="n"/>
      <x:c r="AJ228" s="139" t="n"/>
      <x:c r="AK228" s="139" t="n"/>
      <x:c r="AL228" s="139" t="n"/>
      <x:c r="AM228" s="139" t="n"/>
      <x:c r="AN228" s="139" t="n"/>
      <x:c r="AO228" s="139" t="n"/>
      <x:c r="AP228" s="139" t="n"/>
      <x:c r="AQ228" s="139" t="n"/>
      <x:c r="AR228" s="139" t="n"/>
      <x:c r="AS228" s="139" t="n"/>
      <x:c r="AT228" s="139" t="n"/>
      <x:c r="AU228" s="139" t="n"/>
      <x:c r="AV228" s="139" t="n"/>
      <x:c r="AW228" s="139" t="n"/>
      <x:c r="AX228" s="139" t="n"/>
      <x:c r="AY228" s="139" t="n"/>
      <x:c r="AZ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c r="V229" s="139" t="n"/>
      <x:c r="W229" s="139" t="n"/>
      <x:c r="X229" s="139" t="n"/>
      <x:c r="Y229" s="139" t="n"/>
      <x:c r="Z229" s="139" t="n"/>
      <x:c r="AA229" s="139" t="n"/>
      <x:c r="AB229" s="139" t="n"/>
      <x:c r="AC229" s="139" t="n"/>
      <x:c r="AD229" s="139" t="n"/>
      <x:c r="AE229" s="139" t="n"/>
      <x:c r="AF229" s="139" t="n"/>
      <x:c r="AG229" s="139" t="n"/>
      <x:c r="AH229" s="139" t="n"/>
      <x:c r="AI229" s="139" t="n"/>
      <x:c r="AJ229" s="139" t="n"/>
      <x:c r="AK229" s="139" t="n"/>
      <x:c r="AL229" s="139" t="n"/>
      <x:c r="AM229" s="139" t="n"/>
      <x:c r="AN229" s="139" t="n"/>
      <x:c r="AO229" s="139" t="n"/>
      <x:c r="AP229" s="139" t="n"/>
      <x:c r="AQ229" s="139" t="n"/>
      <x:c r="AR229" s="139" t="n"/>
      <x:c r="AS229" s="139" t="n"/>
      <x:c r="AT229" s="139" t="n"/>
      <x:c r="AU229" s="139" t="n"/>
      <x:c r="AV229" s="139" t="n"/>
      <x:c r="AW229" s="139" t="n"/>
      <x:c r="AX229" s="139" t="n"/>
      <x:c r="AY229" s="139" t="n"/>
      <x:c r="AZ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c r="V230" s="139" t="n"/>
      <x:c r="W230" s="139" t="n"/>
      <x:c r="X230" s="139" t="n"/>
      <x:c r="Y230" s="139" t="n"/>
      <x:c r="Z230" s="139" t="n"/>
      <x:c r="AA230" s="139" t="n"/>
      <x:c r="AB230" s="139" t="n"/>
      <x:c r="AC230" s="139" t="n"/>
      <x:c r="AD230" s="139" t="n"/>
      <x:c r="AE230" s="139" t="n"/>
      <x:c r="AF230" s="139" t="n"/>
      <x:c r="AG230" s="139" t="n"/>
      <x:c r="AH230" s="139" t="n"/>
      <x:c r="AI230" s="139" t="n"/>
      <x:c r="AJ230" s="139" t="n"/>
      <x:c r="AK230" s="139" t="n"/>
      <x:c r="AL230" s="139" t="n"/>
      <x:c r="AM230" s="139" t="n"/>
      <x:c r="AN230" s="139" t="n"/>
      <x:c r="AO230" s="139" t="n"/>
      <x:c r="AP230" s="139" t="n"/>
      <x:c r="AQ230" s="139" t="n"/>
      <x:c r="AR230" s="139" t="n"/>
      <x:c r="AS230" s="139" t="n"/>
      <x:c r="AT230" s="139" t="n"/>
      <x:c r="AU230" s="139" t="n"/>
      <x:c r="AV230" s="139" t="n"/>
      <x:c r="AW230" s="139" t="n"/>
      <x:c r="AX230" s="139" t="n"/>
      <x:c r="AY230" s="139" t="n"/>
      <x:c r="AZ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c r="V231" s="139" t="n"/>
      <x:c r="W231" s="139" t="n"/>
      <x:c r="X231" s="139" t="n"/>
      <x:c r="Y231" s="139" t="n"/>
      <x:c r="Z231" s="139" t="n"/>
      <x:c r="AA231" s="139" t="n"/>
      <x:c r="AB231" s="139" t="n"/>
      <x:c r="AC231" s="139" t="n"/>
      <x:c r="AD231" s="139" t="n"/>
      <x:c r="AE231" s="139" t="n"/>
      <x:c r="AF231" s="139" t="n"/>
      <x:c r="AG231" s="139" t="n"/>
      <x:c r="AH231" s="139" t="n"/>
      <x:c r="AI231" s="139" t="n"/>
      <x:c r="AJ231" s="139" t="n"/>
      <x:c r="AK231" s="139" t="n"/>
      <x:c r="AL231" s="139" t="n"/>
      <x:c r="AM231" s="139" t="n"/>
      <x:c r="AN231" s="139" t="n"/>
      <x:c r="AO231" s="139" t="n"/>
      <x:c r="AP231" s="139" t="n"/>
      <x:c r="AQ231" s="139" t="n"/>
      <x:c r="AR231" s="139" t="n"/>
      <x:c r="AS231" s="139" t="n"/>
      <x:c r="AT231" s="139" t="n"/>
      <x:c r="AU231" s="139" t="n"/>
      <x:c r="AV231" s="139" t="n"/>
      <x:c r="AW231" s="139" t="n"/>
      <x:c r="AX231" s="139" t="n"/>
      <x:c r="AY231" s="139" t="n"/>
      <x:c r="AZ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c r="V232" s="139" t="n"/>
      <x:c r="W232" s="139" t="n"/>
      <x:c r="X232" s="139" t="n"/>
      <x:c r="Y232" s="139" t="n"/>
      <x:c r="Z232" s="139" t="n"/>
      <x:c r="AA232" s="139" t="n"/>
      <x:c r="AB232" s="139" t="n"/>
      <x:c r="AC232" s="139" t="n"/>
      <x:c r="AD232" s="139" t="n"/>
      <x:c r="AE232" s="139" t="n"/>
      <x:c r="AF232" s="139" t="n"/>
      <x:c r="AG232" s="139" t="n"/>
      <x:c r="AH232" s="139" t="n"/>
      <x:c r="AI232" s="139" t="n"/>
      <x:c r="AJ232" s="139" t="n"/>
      <x:c r="AK232" s="139" t="n"/>
      <x:c r="AL232" s="139" t="n"/>
      <x:c r="AM232" s="139" t="n"/>
      <x:c r="AN232" s="139" t="n"/>
      <x:c r="AO232" s="139" t="n"/>
      <x:c r="AP232" s="139" t="n"/>
      <x:c r="AQ232" s="139" t="n"/>
      <x:c r="AR232" s="139" t="n"/>
      <x:c r="AS232" s="139" t="n"/>
      <x:c r="AT232" s="139" t="n"/>
      <x:c r="AU232" s="139" t="n"/>
      <x:c r="AV232" s="139" t="n"/>
      <x:c r="AW232" s="139" t="n"/>
      <x:c r="AX232" s="139" t="n"/>
      <x:c r="AY232" s="139" t="n"/>
      <x:c r="AZ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c r="V233" s="139" t="n"/>
      <x:c r="W233" s="139" t="n"/>
      <x:c r="X233" s="139" t="n"/>
      <x:c r="Y233" s="139" t="n"/>
      <x:c r="Z233" s="139" t="n"/>
      <x:c r="AA233" s="139" t="n"/>
      <x:c r="AB233" s="139" t="n"/>
      <x:c r="AC233" s="139" t="n"/>
      <x:c r="AD233" s="139" t="n"/>
      <x:c r="AE233" s="139" t="n"/>
      <x:c r="AF233" s="139" t="n"/>
      <x:c r="AG233" s="139" t="n"/>
      <x:c r="AH233" s="139" t="n"/>
      <x:c r="AI233" s="139" t="n"/>
      <x:c r="AJ233" s="139" t="n"/>
      <x:c r="AK233" s="139" t="n"/>
      <x:c r="AL233" s="139" t="n"/>
      <x:c r="AM233" s="139" t="n"/>
      <x:c r="AN233" s="139" t="n"/>
      <x:c r="AO233" s="139" t="n"/>
      <x:c r="AP233" s="139" t="n"/>
      <x:c r="AQ233" s="139" t="n"/>
      <x:c r="AR233" s="139" t="n"/>
      <x:c r="AS233" s="139" t="n"/>
      <x:c r="AT233" s="139" t="n"/>
      <x:c r="AU233" s="139" t="n"/>
      <x:c r="AV233" s="139" t="n"/>
      <x:c r="AW233" s="139" t="n"/>
      <x:c r="AX233" s="139" t="n"/>
      <x:c r="AY233" s="139" t="n"/>
      <x:c r="AZ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c r="V234" s="139" t="n"/>
      <x:c r="W234" s="139" t="n"/>
      <x:c r="X234" s="139" t="n"/>
      <x:c r="Y234" s="139" t="n"/>
      <x:c r="Z234" s="139" t="n"/>
      <x:c r="AA234" s="139" t="n"/>
      <x:c r="AB234" s="139" t="n"/>
      <x:c r="AC234" s="139" t="n"/>
      <x:c r="AD234" s="139" t="n"/>
      <x:c r="AE234" s="139" t="n"/>
      <x:c r="AF234" s="139" t="n"/>
      <x:c r="AG234" s="139" t="n"/>
      <x:c r="AH234" s="139" t="n"/>
      <x:c r="AI234" s="139" t="n"/>
      <x:c r="AJ234" s="139" t="n"/>
      <x:c r="AK234" s="139" t="n"/>
      <x:c r="AL234" s="139" t="n"/>
      <x:c r="AM234" s="139" t="n"/>
      <x:c r="AN234" s="139" t="n"/>
      <x:c r="AO234" s="139" t="n"/>
      <x:c r="AP234" s="139" t="n"/>
      <x:c r="AQ234" s="139" t="n"/>
      <x:c r="AR234" s="139" t="n"/>
      <x:c r="AS234" s="139" t="n"/>
      <x:c r="AT234" s="139" t="n"/>
      <x:c r="AU234" s="139" t="n"/>
      <x:c r="AV234" s="139" t="n"/>
      <x:c r="AW234" s="139" t="n"/>
      <x:c r="AX234" s="139" t="n"/>
      <x:c r="AY234" s="139" t="n"/>
      <x:c r="AZ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c r="V235" s="139" t="n"/>
      <x:c r="W235" s="139" t="n"/>
      <x:c r="X235" s="139" t="n"/>
      <x:c r="Y235" s="139" t="n"/>
      <x:c r="Z235" s="139" t="n"/>
      <x:c r="AA235" s="139" t="n"/>
      <x:c r="AB235" s="139" t="n"/>
      <x:c r="AC235" s="139" t="n"/>
      <x:c r="AD235" s="139" t="n"/>
      <x:c r="AE235" s="139" t="n"/>
      <x:c r="AF235" s="139" t="n"/>
      <x:c r="AG235" s="139" t="n"/>
      <x:c r="AH235" s="139" t="n"/>
      <x:c r="AI235" s="139" t="n"/>
      <x:c r="AJ235" s="139" t="n"/>
      <x:c r="AK235" s="139" t="n"/>
      <x:c r="AL235" s="139" t="n"/>
      <x:c r="AM235" s="139" t="n"/>
      <x:c r="AN235" s="139" t="n"/>
      <x:c r="AO235" s="139" t="n"/>
      <x:c r="AP235" s="139" t="n"/>
      <x:c r="AQ235" s="139" t="n"/>
      <x:c r="AR235" s="139" t="n"/>
      <x:c r="AS235" s="139" t="n"/>
      <x:c r="AT235" s="139" t="n"/>
      <x:c r="AU235" s="139" t="n"/>
      <x:c r="AV235" s="139" t="n"/>
      <x:c r="AW235" s="139" t="n"/>
      <x:c r="AX235" s="139" t="n"/>
      <x:c r="AY235" s="139" t="n"/>
      <x:c r="AZ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c r="V236" s="139" t="n"/>
      <x:c r="W236" s="139" t="n"/>
      <x:c r="X236" s="139" t="n"/>
      <x:c r="Y236" s="139" t="n"/>
      <x:c r="Z236" s="139" t="n"/>
      <x:c r="AA236" s="139" t="n"/>
      <x:c r="AB236" s="139" t="n"/>
      <x:c r="AC236" s="139" t="n"/>
      <x:c r="AD236" s="139" t="n"/>
      <x:c r="AE236" s="139" t="n"/>
      <x:c r="AF236" s="139" t="n"/>
      <x:c r="AG236" s="139" t="n"/>
      <x:c r="AH236" s="139" t="n"/>
      <x:c r="AI236" s="139" t="n"/>
      <x:c r="AJ236" s="139" t="n"/>
      <x:c r="AK236" s="139" t="n"/>
      <x:c r="AL236" s="139" t="n"/>
      <x:c r="AM236" s="139" t="n"/>
      <x:c r="AN236" s="139" t="n"/>
      <x:c r="AO236" s="139" t="n"/>
      <x:c r="AP236" s="139" t="n"/>
      <x:c r="AQ236" s="139" t="n"/>
      <x:c r="AR236" s="139" t="n"/>
      <x:c r="AS236" s="139" t="n"/>
      <x:c r="AT236" s="139" t="n"/>
      <x:c r="AU236" s="139" t="n"/>
      <x:c r="AV236" s="139" t="n"/>
      <x:c r="AW236" s="139" t="n"/>
      <x:c r="AX236" s="139" t="n"/>
      <x:c r="AY236" s="139" t="n"/>
      <x:c r="AZ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c r="V237" s="139" t="n"/>
      <x:c r="W237" s="139" t="n"/>
      <x:c r="X237" s="139" t="n"/>
      <x:c r="Y237" s="139" t="n"/>
      <x:c r="Z237" s="139" t="n"/>
      <x:c r="AA237" s="139" t="n"/>
      <x:c r="AB237" s="139" t="n"/>
      <x:c r="AC237" s="139" t="n"/>
      <x:c r="AD237" s="139" t="n"/>
      <x:c r="AE237" s="139" t="n"/>
      <x:c r="AF237" s="139" t="n"/>
      <x:c r="AG237" s="139" t="n"/>
      <x:c r="AH237" s="139" t="n"/>
      <x:c r="AI237" s="139" t="n"/>
      <x:c r="AJ237" s="139" t="n"/>
      <x:c r="AK237" s="139" t="n"/>
      <x:c r="AL237" s="139" t="n"/>
      <x:c r="AM237" s="139" t="n"/>
      <x:c r="AN237" s="139" t="n"/>
      <x:c r="AO237" s="139" t="n"/>
      <x:c r="AP237" s="139" t="n"/>
      <x:c r="AQ237" s="139" t="n"/>
      <x:c r="AR237" s="139" t="n"/>
      <x:c r="AS237" s="139" t="n"/>
      <x:c r="AT237" s="139" t="n"/>
      <x:c r="AU237" s="139" t="n"/>
      <x:c r="AV237" s="139" t="n"/>
      <x:c r="AW237" s="139" t="n"/>
      <x:c r="AX237" s="139" t="n"/>
      <x:c r="AY237" s="139" t="n"/>
      <x:c r="AZ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c r="V238" s="139" t="n"/>
      <x:c r="W238" s="139" t="n"/>
      <x:c r="X238" s="139" t="n"/>
      <x:c r="Y238" s="139" t="n"/>
      <x:c r="Z238" s="139" t="n"/>
      <x:c r="AA238" s="139" t="n"/>
      <x:c r="AB238" s="139" t="n"/>
      <x:c r="AC238" s="139" t="n"/>
      <x:c r="AD238" s="139" t="n"/>
      <x:c r="AE238" s="139" t="n"/>
      <x:c r="AF238" s="139" t="n"/>
      <x:c r="AG238" s="139" t="n"/>
      <x:c r="AH238" s="139" t="n"/>
      <x:c r="AI238" s="139" t="n"/>
      <x:c r="AJ238" s="139" t="n"/>
      <x:c r="AK238" s="139" t="n"/>
      <x:c r="AL238" s="139" t="n"/>
      <x:c r="AM238" s="139" t="n"/>
      <x:c r="AN238" s="139" t="n"/>
      <x:c r="AO238" s="139" t="n"/>
      <x:c r="AP238" s="139" t="n"/>
      <x:c r="AQ238" s="139" t="n"/>
      <x:c r="AR238" s="139" t="n"/>
      <x:c r="AS238" s="139" t="n"/>
      <x:c r="AT238" s="139" t="n"/>
      <x:c r="AU238" s="139" t="n"/>
      <x:c r="AV238" s="139" t="n"/>
      <x:c r="AW238" s="139" t="n"/>
      <x:c r="AX238" s="139" t="n"/>
      <x:c r="AY238" s="139" t="n"/>
      <x:c r="AZ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c r="V239" s="139" t="n"/>
      <x:c r="W239" s="139" t="n"/>
      <x:c r="X239" s="139" t="n"/>
      <x:c r="Y239" s="139" t="n"/>
      <x:c r="Z239" s="139" t="n"/>
      <x:c r="AA239" s="139" t="n"/>
      <x:c r="AB239" s="139" t="n"/>
      <x:c r="AC239" s="139" t="n"/>
      <x:c r="AD239" s="139" t="n"/>
      <x:c r="AE239" s="139" t="n"/>
      <x:c r="AF239" s="139" t="n"/>
      <x:c r="AG239" s="139" t="n"/>
      <x:c r="AH239" s="139" t="n"/>
      <x:c r="AI239" s="139" t="n"/>
      <x:c r="AJ239" s="139" t="n"/>
      <x:c r="AK239" s="139" t="n"/>
      <x:c r="AL239" s="139" t="n"/>
      <x:c r="AM239" s="139" t="n"/>
      <x:c r="AN239" s="139" t="n"/>
      <x:c r="AO239" s="139" t="n"/>
      <x:c r="AP239" s="139" t="n"/>
      <x:c r="AQ239" s="139" t="n"/>
      <x:c r="AR239" s="139" t="n"/>
      <x:c r="AS239" s="139" t="n"/>
      <x:c r="AT239" s="139" t="n"/>
      <x:c r="AU239" s="139" t="n"/>
      <x:c r="AV239" s="139" t="n"/>
      <x:c r="AW239" s="139" t="n"/>
      <x:c r="AX239" s="139" t="n"/>
      <x:c r="AY239" s="139" t="n"/>
      <x:c r="AZ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c r="V240" s="139" t="n"/>
      <x:c r="W240" s="139" t="n"/>
      <x:c r="X240" s="139" t="n"/>
      <x:c r="Y240" s="139" t="n"/>
      <x:c r="Z240" s="139" t="n"/>
      <x:c r="AA240" s="139" t="n"/>
      <x:c r="AB240" s="139" t="n"/>
      <x:c r="AC240" s="139" t="n"/>
      <x:c r="AD240" s="139" t="n"/>
      <x:c r="AE240" s="139" t="n"/>
      <x:c r="AF240" s="139" t="n"/>
      <x:c r="AG240" s="139" t="n"/>
      <x:c r="AH240" s="139" t="n"/>
      <x:c r="AI240" s="139" t="n"/>
      <x:c r="AJ240" s="139" t="n"/>
      <x:c r="AK240" s="139" t="n"/>
      <x:c r="AL240" s="139" t="n"/>
      <x:c r="AM240" s="139" t="n"/>
      <x:c r="AN240" s="139" t="n"/>
      <x:c r="AO240" s="139" t="n"/>
      <x:c r="AP240" s="139" t="n"/>
      <x:c r="AQ240" s="139" t="n"/>
      <x:c r="AR240" s="139" t="n"/>
      <x:c r="AS240" s="139" t="n"/>
      <x:c r="AT240" s="139" t="n"/>
      <x:c r="AU240" s="139" t="n"/>
      <x:c r="AV240" s="139" t="n"/>
      <x:c r="AW240" s="139" t="n"/>
      <x:c r="AX240" s="139" t="n"/>
      <x:c r="AY240" s="139" t="n"/>
      <x:c r="AZ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c r="V241" s="139" t="n"/>
      <x:c r="W241" s="139" t="n"/>
      <x:c r="X241" s="139" t="n"/>
      <x:c r="Y241" s="139" t="n"/>
      <x:c r="Z241" s="139" t="n"/>
      <x:c r="AA241" s="139" t="n"/>
      <x:c r="AB241" s="139" t="n"/>
      <x:c r="AC241" s="139" t="n"/>
      <x:c r="AD241" s="139" t="n"/>
      <x:c r="AE241" s="139" t="n"/>
      <x:c r="AF241" s="139" t="n"/>
      <x:c r="AG241" s="139" t="n"/>
      <x:c r="AH241" s="139" t="n"/>
      <x:c r="AI241" s="139" t="n"/>
      <x:c r="AJ241" s="139" t="n"/>
      <x:c r="AK241" s="139" t="n"/>
      <x:c r="AL241" s="139" t="n"/>
      <x:c r="AM241" s="139" t="n"/>
      <x:c r="AN241" s="139" t="n"/>
      <x:c r="AO241" s="139" t="n"/>
      <x:c r="AP241" s="139" t="n"/>
      <x:c r="AQ241" s="139" t="n"/>
      <x:c r="AR241" s="139" t="n"/>
      <x:c r="AS241" s="139" t="n"/>
      <x:c r="AT241" s="139" t="n"/>
      <x:c r="AU241" s="139" t="n"/>
      <x:c r="AV241" s="139" t="n"/>
      <x:c r="AW241" s="139" t="n"/>
      <x:c r="AX241" s="139" t="n"/>
      <x:c r="AY241" s="139" t="n"/>
      <x:c r="AZ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c r="V242" s="139" t="n"/>
      <x:c r="W242" s="139" t="n"/>
      <x:c r="X242" s="139" t="n"/>
      <x:c r="Y242" s="139" t="n"/>
      <x:c r="Z242" s="139" t="n"/>
      <x:c r="AA242" s="139" t="n"/>
      <x:c r="AB242" s="139" t="n"/>
      <x:c r="AC242" s="139" t="n"/>
      <x:c r="AD242" s="139" t="n"/>
      <x:c r="AE242" s="139" t="n"/>
      <x:c r="AF242" s="139" t="n"/>
      <x:c r="AG242" s="139" t="n"/>
      <x:c r="AH242" s="139" t="n"/>
      <x:c r="AI242" s="139" t="n"/>
      <x:c r="AJ242" s="139" t="n"/>
      <x:c r="AK242" s="139" t="n"/>
      <x:c r="AL242" s="139" t="n"/>
      <x:c r="AM242" s="139" t="n"/>
      <x:c r="AN242" s="139" t="n"/>
      <x:c r="AO242" s="139" t="n"/>
      <x:c r="AP242" s="139" t="n"/>
      <x:c r="AQ242" s="139" t="n"/>
      <x:c r="AR242" s="139" t="n"/>
      <x:c r="AS242" s="139" t="n"/>
      <x:c r="AT242" s="139" t="n"/>
      <x:c r="AU242" s="139" t="n"/>
      <x:c r="AV242" s="139" t="n"/>
      <x:c r="AW242" s="139" t="n"/>
      <x:c r="AX242" s="139" t="n"/>
      <x:c r="AY242" s="139" t="n"/>
      <x:c r="AZ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c r="V243" s="139" t="n"/>
      <x:c r="W243" s="139" t="n"/>
      <x:c r="X243" s="139" t="n"/>
      <x:c r="Y243" s="139" t="n"/>
      <x:c r="Z243" s="139" t="n"/>
      <x:c r="AA243" s="139" t="n"/>
      <x:c r="AB243" s="139" t="n"/>
      <x:c r="AC243" s="139" t="n"/>
      <x:c r="AD243" s="139" t="n"/>
      <x:c r="AE243" s="139" t="n"/>
      <x:c r="AF243" s="139" t="n"/>
      <x:c r="AG243" s="139" t="n"/>
      <x:c r="AH243" s="139" t="n"/>
      <x:c r="AI243" s="139" t="n"/>
      <x:c r="AJ243" s="139" t="n"/>
      <x:c r="AK243" s="139" t="n"/>
      <x:c r="AL243" s="139" t="n"/>
      <x:c r="AM243" s="139" t="n"/>
      <x:c r="AN243" s="139" t="n"/>
      <x:c r="AO243" s="139" t="n"/>
      <x:c r="AP243" s="139" t="n"/>
      <x:c r="AQ243" s="139" t="n"/>
      <x:c r="AR243" s="139" t="n"/>
      <x:c r="AS243" s="139" t="n"/>
      <x:c r="AT243" s="139" t="n"/>
      <x:c r="AU243" s="139" t="n"/>
      <x:c r="AV243" s="139" t="n"/>
      <x:c r="AW243" s="139" t="n"/>
      <x:c r="AX243" s="139" t="n"/>
      <x:c r="AY243" s="139" t="n"/>
      <x:c r="AZ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c r="V244" s="139" t="n"/>
      <x:c r="W244" s="139" t="n"/>
      <x:c r="X244" s="139" t="n"/>
      <x:c r="Y244" s="139" t="n"/>
      <x:c r="Z244" s="139" t="n"/>
      <x:c r="AA244" s="139" t="n"/>
      <x:c r="AB244" s="139" t="n"/>
      <x:c r="AC244" s="139" t="n"/>
      <x:c r="AD244" s="139" t="n"/>
      <x:c r="AE244" s="139" t="n"/>
      <x:c r="AF244" s="139" t="n"/>
      <x:c r="AG244" s="139" t="n"/>
      <x:c r="AH244" s="139" t="n"/>
      <x:c r="AI244" s="139" t="n"/>
      <x:c r="AJ244" s="139" t="n"/>
      <x:c r="AK244" s="139" t="n"/>
      <x:c r="AL244" s="139" t="n"/>
      <x:c r="AM244" s="139" t="n"/>
      <x:c r="AN244" s="139" t="n"/>
      <x:c r="AO244" s="139" t="n"/>
      <x:c r="AP244" s="139" t="n"/>
      <x:c r="AQ244" s="139" t="n"/>
      <x:c r="AR244" s="139" t="n"/>
      <x:c r="AS244" s="139" t="n"/>
      <x:c r="AT244" s="139" t="n"/>
      <x:c r="AU244" s="139" t="n"/>
      <x:c r="AV244" s="139" t="n"/>
      <x:c r="AW244" s="139" t="n"/>
      <x:c r="AX244" s="139" t="n"/>
      <x:c r="AY244" s="139" t="n"/>
      <x:c r="AZ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c r="V245" s="139" t="n"/>
      <x:c r="W245" s="139" t="n"/>
      <x:c r="X245" s="139" t="n"/>
      <x:c r="Y245" s="139" t="n"/>
      <x:c r="Z245" s="139" t="n"/>
      <x:c r="AA245" s="139" t="n"/>
      <x:c r="AB245" s="139" t="n"/>
      <x:c r="AC245" s="139" t="n"/>
      <x:c r="AD245" s="139" t="n"/>
      <x:c r="AE245" s="139" t="n"/>
      <x:c r="AF245" s="139" t="n"/>
      <x:c r="AG245" s="139" t="n"/>
      <x:c r="AH245" s="139" t="n"/>
      <x:c r="AI245" s="139" t="n"/>
      <x:c r="AJ245" s="139" t="n"/>
      <x:c r="AK245" s="139" t="n"/>
      <x:c r="AL245" s="139" t="n"/>
      <x:c r="AM245" s="139" t="n"/>
      <x:c r="AN245" s="139" t="n"/>
      <x:c r="AO245" s="139" t="n"/>
      <x:c r="AP245" s="139" t="n"/>
      <x:c r="AQ245" s="139" t="n"/>
      <x:c r="AR245" s="139" t="n"/>
      <x:c r="AS245" s="139" t="n"/>
      <x:c r="AT245" s="139" t="n"/>
      <x:c r="AU245" s="139" t="n"/>
      <x:c r="AV245" s="139" t="n"/>
      <x:c r="AW245" s="139" t="n"/>
      <x:c r="AX245" s="139" t="n"/>
      <x:c r="AY245" s="139" t="n"/>
      <x:c r="AZ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c r="V246" s="139" t="n"/>
      <x:c r="W246" s="139" t="n"/>
      <x:c r="X246" s="139" t="n"/>
      <x:c r="Y246" s="139" t="n"/>
      <x:c r="Z246" s="139" t="n"/>
      <x:c r="AA246" s="139" t="n"/>
      <x:c r="AB246" s="139" t="n"/>
      <x:c r="AC246" s="139" t="n"/>
      <x:c r="AD246" s="139" t="n"/>
      <x:c r="AE246" s="139" t="n"/>
      <x:c r="AF246" s="139" t="n"/>
      <x:c r="AG246" s="139" t="n"/>
      <x:c r="AH246" s="139" t="n"/>
      <x:c r="AI246" s="139" t="n"/>
      <x:c r="AJ246" s="139" t="n"/>
      <x:c r="AK246" s="139" t="n"/>
      <x:c r="AL246" s="139" t="n"/>
      <x:c r="AM246" s="139" t="n"/>
      <x:c r="AN246" s="139" t="n"/>
      <x:c r="AO246" s="139" t="n"/>
      <x:c r="AP246" s="139" t="n"/>
      <x:c r="AQ246" s="139" t="n"/>
      <x:c r="AR246" s="139" t="n"/>
      <x:c r="AS246" s="139" t="n"/>
      <x:c r="AT246" s="139" t="n"/>
      <x:c r="AU246" s="139" t="n"/>
      <x:c r="AV246" s="139" t="n"/>
      <x:c r="AW246" s="139" t="n"/>
      <x:c r="AX246" s="139" t="n"/>
      <x:c r="AY246" s="139" t="n"/>
      <x:c r="AZ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c r="V247" s="139" t="n"/>
      <x:c r="W247" s="139" t="n"/>
      <x:c r="X247" s="139" t="n"/>
      <x:c r="Y247" s="139" t="n"/>
      <x:c r="Z247" s="139" t="n"/>
      <x:c r="AA247" s="139" t="n"/>
      <x:c r="AB247" s="139" t="n"/>
      <x:c r="AC247" s="139" t="n"/>
      <x:c r="AD247" s="139" t="n"/>
      <x:c r="AE247" s="139" t="n"/>
      <x:c r="AF247" s="139" t="n"/>
      <x:c r="AG247" s="139" t="n"/>
      <x:c r="AH247" s="139" t="n"/>
      <x:c r="AI247" s="139" t="n"/>
      <x:c r="AJ247" s="139" t="n"/>
      <x:c r="AK247" s="139" t="n"/>
      <x:c r="AL247" s="139" t="n"/>
      <x:c r="AM247" s="139" t="n"/>
      <x:c r="AN247" s="139" t="n"/>
      <x:c r="AO247" s="139" t="n"/>
      <x:c r="AP247" s="139" t="n"/>
      <x:c r="AQ247" s="139" t="n"/>
      <x:c r="AR247" s="139" t="n"/>
      <x:c r="AS247" s="139" t="n"/>
      <x:c r="AT247" s="139" t="n"/>
      <x:c r="AU247" s="139" t="n"/>
      <x:c r="AV247" s="139" t="n"/>
      <x:c r="AW247" s="139" t="n"/>
      <x:c r="AX247" s="139" t="n"/>
      <x:c r="AY247" s="139" t="n"/>
      <x:c r="AZ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c r="V248" s="139" t="n"/>
      <x:c r="W248" s="139" t="n"/>
      <x:c r="X248" s="139" t="n"/>
      <x:c r="Y248" s="139" t="n"/>
      <x:c r="Z248" s="139" t="n"/>
      <x:c r="AA248" s="139" t="n"/>
      <x:c r="AB248" s="139" t="n"/>
      <x:c r="AC248" s="139" t="n"/>
      <x:c r="AD248" s="139" t="n"/>
      <x:c r="AE248" s="139" t="n"/>
      <x:c r="AF248" s="139" t="n"/>
      <x:c r="AG248" s="139" t="n"/>
      <x:c r="AH248" s="139" t="n"/>
      <x:c r="AI248" s="139" t="n"/>
      <x:c r="AJ248" s="139" t="n"/>
      <x:c r="AK248" s="139" t="n"/>
      <x:c r="AL248" s="139" t="n"/>
      <x:c r="AM248" s="139" t="n"/>
      <x:c r="AN248" s="139" t="n"/>
      <x:c r="AO248" s="139" t="n"/>
      <x:c r="AP248" s="139" t="n"/>
      <x:c r="AQ248" s="139" t="n"/>
      <x:c r="AR248" s="139" t="n"/>
      <x:c r="AS248" s="139" t="n"/>
      <x:c r="AT248" s="139" t="n"/>
      <x:c r="AU248" s="139" t="n"/>
      <x:c r="AV248" s="139" t="n"/>
      <x:c r="AW248" s="139" t="n"/>
      <x:c r="AX248" s="139" t="n"/>
      <x:c r="AY248" s="139" t="n"/>
      <x:c r="AZ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c r="V249" s="139" t="n"/>
      <x:c r="W249" s="139" t="n"/>
      <x:c r="X249" s="139" t="n"/>
      <x:c r="Y249" s="139" t="n"/>
      <x:c r="Z249" s="139" t="n"/>
      <x:c r="AA249" s="139" t="n"/>
      <x:c r="AB249" s="139" t="n"/>
      <x:c r="AC249" s="139" t="n"/>
      <x:c r="AD249" s="139" t="n"/>
      <x:c r="AE249" s="139" t="n"/>
      <x:c r="AF249" s="139" t="n"/>
      <x:c r="AG249" s="139" t="n"/>
      <x:c r="AH249" s="139" t="n"/>
      <x:c r="AI249" s="139" t="n"/>
      <x:c r="AJ249" s="139" t="n"/>
      <x:c r="AK249" s="139" t="n"/>
      <x:c r="AL249" s="139" t="n"/>
      <x:c r="AM249" s="139" t="n"/>
      <x:c r="AN249" s="139" t="n"/>
      <x:c r="AO249" s="139" t="n"/>
      <x:c r="AP249" s="139" t="n"/>
      <x:c r="AQ249" s="139" t="n"/>
      <x:c r="AR249" s="139" t="n"/>
      <x:c r="AS249" s="139" t="n"/>
      <x:c r="AT249" s="139" t="n"/>
      <x:c r="AU249" s="139" t="n"/>
      <x:c r="AV249" s="139" t="n"/>
      <x:c r="AW249" s="139" t="n"/>
      <x:c r="AX249" s="139" t="n"/>
      <x:c r="AY249" s="139" t="n"/>
      <x:c r="AZ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c r="V250" s="139" t="n"/>
      <x:c r="W250" s="139" t="n"/>
      <x:c r="X250" s="139" t="n"/>
      <x:c r="Y250" s="139" t="n"/>
      <x:c r="Z250" s="139" t="n"/>
      <x:c r="AA250" s="139" t="n"/>
      <x:c r="AB250" s="139" t="n"/>
      <x:c r="AC250" s="139" t="n"/>
      <x:c r="AD250" s="139" t="n"/>
      <x:c r="AE250" s="139" t="n"/>
      <x:c r="AF250" s="139" t="n"/>
      <x:c r="AG250" s="139" t="n"/>
      <x:c r="AH250" s="139" t="n"/>
      <x:c r="AI250" s="139" t="n"/>
      <x:c r="AJ250" s="139" t="n"/>
      <x:c r="AK250" s="139" t="n"/>
      <x:c r="AL250" s="139" t="n"/>
      <x:c r="AM250" s="139" t="n"/>
      <x:c r="AN250" s="139" t="n"/>
      <x:c r="AO250" s="139" t="n"/>
      <x:c r="AP250" s="139" t="n"/>
      <x:c r="AQ250" s="139" t="n"/>
      <x:c r="AR250" s="139" t="n"/>
      <x:c r="AS250" s="139" t="n"/>
      <x:c r="AT250" s="139" t="n"/>
      <x:c r="AU250" s="139" t="n"/>
      <x:c r="AV250" s="139" t="n"/>
      <x:c r="AW250" s="139" t="n"/>
      <x:c r="AX250" s="139" t="n"/>
      <x:c r="AY250" s="139" t="n"/>
      <x:c r="AZ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c r="V251" s="139" t="n"/>
      <x:c r="W251" s="139" t="n"/>
      <x:c r="X251" s="139" t="n"/>
      <x:c r="Y251" s="139" t="n"/>
      <x:c r="Z251" s="139" t="n"/>
      <x:c r="AA251" s="139" t="n"/>
      <x:c r="AB251" s="139" t="n"/>
      <x:c r="AC251" s="139" t="n"/>
      <x:c r="AD251" s="139" t="n"/>
      <x:c r="AE251" s="139" t="n"/>
      <x:c r="AF251" s="139" t="n"/>
      <x:c r="AG251" s="139" t="n"/>
      <x:c r="AH251" s="139" t="n"/>
      <x:c r="AI251" s="139" t="n"/>
      <x:c r="AJ251" s="139" t="n"/>
      <x:c r="AK251" s="139" t="n"/>
      <x:c r="AL251" s="139" t="n"/>
      <x:c r="AM251" s="139" t="n"/>
      <x:c r="AN251" s="139" t="n"/>
      <x:c r="AO251" s="139" t="n"/>
      <x:c r="AP251" s="139" t="n"/>
      <x:c r="AQ251" s="139" t="n"/>
      <x:c r="AR251" s="139" t="n"/>
      <x:c r="AS251" s="139" t="n"/>
      <x:c r="AT251" s="139" t="n"/>
      <x:c r="AU251" s="139" t="n"/>
      <x:c r="AV251" s="139" t="n"/>
      <x:c r="AW251" s="139" t="n"/>
      <x:c r="AX251" s="139" t="n"/>
      <x:c r="AY251" s="139" t="n"/>
      <x:c r="AZ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c r="V252" s="139" t="n"/>
      <x:c r="W252" s="139" t="n"/>
      <x:c r="X252" s="139" t="n"/>
      <x:c r="Y252" s="139" t="n"/>
      <x:c r="Z252" s="139" t="n"/>
      <x:c r="AA252" s="139" t="n"/>
      <x:c r="AB252" s="139" t="n"/>
      <x:c r="AC252" s="139" t="n"/>
      <x:c r="AD252" s="139" t="n"/>
      <x:c r="AE252" s="139" t="n"/>
      <x:c r="AF252" s="139" t="n"/>
      <x:c r="AG252" s="139" t="n"/>
      <x:c r="AH252" s="139" t="n"/>
      <x:c r="AI252" s="139" t="n"/>
      <x:c r="AJ252" s="139" t="n"/>
      <x:c r="AK252" s="139" t="n"/>
      <x:c r="AL252" s="139" t="n"/>
      <x:c r="AM252" s="139" t="n"/>
      <x:c r="AN252" s="139" t="n"/>
      <x:c r="AO252" s="139" t="n"/>
      <x:c r="AP252" s="139" t="n"/>
      <x:c r="AQ252" s="139" t="n"/>
      <x:c r="AR252" s="139" t="n"/>
      <x:c r="AS252" s="139" t="n"/>
      <x:c r="AT252" s="139" t="n"/>
      <x:c r="AU252" s="139" t="n"/>
      <x:c r="AV252" s="139" t="n"/>
      <x:c r="AW252" s="139" t="n"/>
      <x:c r="AX252" s="139" t="n"/>
      <x:c r="AY252" s="139" t="n"/>
      <x:c r="AZ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c r="V253" s="139" t="n"/>
      <x:c r="W253" s="139" t="n"/>
      <x:c r="X253" s="139" t="n"/>
      <x:c r="Y253" s="139" t="n"/>
      <x:c r="Z253" s="139" t="n"/>
      <x:c r="AA253" s="139" t="n"/>
      <x:c r="AB253" s="139" t="n"/>
      <x:c r="AC253" s="139" t="n"/>
      <x:c r="AD253" s="139" t="n"/>
      <x:c r="AE253" s="139" t="n"/>
      <x:c r="AF253" s="139" t="n"/>
      <x:c r="AG253" s="139" t="n"/>
      <x:c r="AH253" s="139" t="n"/>
      <x:c r="AI253" s="139" t="n"/>
      <x:c r="AJ253" s="139" t="n"/>
      <x:c r="AK253" s="139" t="n"/>
      <x:c r="AL253" s="139" t="n"/>
      <x:c r="AM253" s="139" t="n"/>
      <x:c r="AN253" s="139" t="n"/>
      <x:c r="AO253" s="139" t="n"/>
      <x:c r="AP253" s="139" t="n"/>
      <x:c r="AQ253" s="139" t="n"/>
      <x:c r="AR253" s="139" t="n"/>
      <x:c r="AS253" s="139" t="n"/>
      <x:c r="AT253" s="139" t="n"/>
      <x:c r="AU253" s="139" t="n"/>
      <x:c r="AV253" s="139" t="n"/>
      <x:c r="AW253" s="139" t="n"/>
      <x:c r="AX253" s="139" t="n"/>
      <x:c r="AY253" s="139" t="n"/>
      <x:c r="AZ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c r="V254" s="139" t="n"/>
      <x:c r="W254" s="139" t="n"/>
      <x:c r="X254" s="139" t="n"/>
      <x:c r="Y254" s="139" t="n"/>
      <x:c r="Z254" s="139" t="n"/>
      <x:c r="AA254" s="139" t="n"/>
      <x:c r="AB254" s="139" t="n"/>
      <x:c r="AC254" s="139" t="n"/>
      <x:c r="AD254" s="139" t="n"/>
      <x:c r="AE254" s="139" t="n"/>
      <x:c r="AF254" s="139" t="n"/>
      <x:c r="AG254" s="139" t="n"/>
      <x:c r="AH254" s="139" t="n"/>
      <x:c r="AI254" s="139" t="n"/>
      <x:c r="AJ254" s="139" t="n"/>
      <x:c r="AK254" s="139" t="n"/>
      <x:c r="AL254" s="139" t="n"/>
      <x:c r="AM254" s="139" t="n"/>
      <x:c r="AN254" s="139" t="n"/>
      <x:c r="AO254" s="139" t="n"/>
      <x:c r="AP254" s="139" t="n"/>
      <x:c r="AQ254" s="139" t="n"/>
      <x:c r="AR254" s="139" t="n"/>
      <x:c r="AS254" s="139" t="n"/>
      <x:c r="AT254" s="139" t="n"/>
      <x:c r="AU254" s="139" t="n"/>
      <x:c r="AV254" s="139" t="n"/>
      <x:c r="AW254" s="139" t="n"/>
      <x:c r="AX254" s="139" t="n"/>
      <x:c r="AY254" s="139" t="n"/>
      <x:c r="AZ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c r="V255" s="139" t="n"/>
      <x:c r="W255" s="139" t="n"/>
      <x:c r="X255" s="139" t="n"/>
      <x:c r="Y255" s="139" t="n"/>
      <x:c r="Z255" s="139" t="n"/>
      <x:c r="AA255" s="139" t="n"/>
      <x:c r="AB255" s="139" t="n"/>
      <x:c r="AC255" s="139" t="n"/>
      <x:c r="AD255" s="139" t="n"/>
      <x:c r="AE255" s="139" t="n"/>
      <x:c r="AF255" s="139" t="n"/>
      <x:c r="AG255" s="139" t="n"/>
      <x:c r="AH255" s="139" t="n"/>
      <x:c r="AI255" s="139" t="n"/>
      <x:c r="AJ255" s="139" t="n"/>
      <x:c r="AK255" s="139" t="n"/>
      <x:c r="AL255" s="139" t="n"/>
      <x:c r="AM255" s="139" t="n"/>
      <x:c r="AN255" s="139" t="n"/>
      <x:c r="AO255" s="139" t="n"/>
      <x:c r="AP255" s="139" t="n"/>
      <x:c r="AQ255" s="139" t="n"/>
      <x:c r="AR255" s="139" t="n"/>
      <x:c r="AS255" s="139" t="n"/>
      <x:c r="AT255" s="139" t="n"/>
      <x:c r="AU255" s="139" t="n"/>
      <x:c r="AV255" s="139" t="n"/>
      <x:c r="AW255" s="139" t="n"/>
      <x:c r="AX255" s="139" t="n"/>
      <x:c r="AY255" s="139" t="n"/>
      <x:c r="AZ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c r="V256" s="139" t="n"/>
      <x:c r="W256" s="139" t="n"/>
      <x:c r="X256" s="139" t="n"/>
      <x:c r="Y256" s="139" t="n"/>
      <x:c r="Z256" s="139" t="n"/>
      <x:c r="AA256" s="139" t="n"/>
      <x:c r="AB256" s="139" t="n"/>
      <x:c r="AC256" s="139" t="n"/>
      <x:c r="AD256" s="139" t="n"/>
      <x:c r="AE256" s="139" t="n"/>
      <x:c r="AF256" s="139" t="n"/>
      <x:c r="AG256" s="139" t="n"/>
      <x:c r="AH256" s="139" t="n"/>
      <x:c r="AI256" s="139" t="n"/>
      <x:c r="AJ256" s="139" t="n"/>
      <x:c r="AK256" s="139" t="n"/>
      <x:c r="AL256" s="139" t="n"/>
      <x:c r="AM256" s="139" t="n"/>
      <x:c r="AN256" s="139" t="n"/>
      <x:c r="AO256" s="139" t="n"/>
      <x:c r="AP256" s="139" t="n"/>
      <x:c r="AQ256" s="139" t="n"/>
      <x:c r="AR256" s="139" t="n"/>
      <x:c r="AS256" s="139" t="n"/>
      <x:c r="AT256" s="139" t="n"/>
      <x:c r="AU256" s="139" t="n"/>
      <x:c r="AV256" s="139" t="n"/>
      <x:c r="AW256" s="139" t="n"/>
      <x:c r="AX256" s="139" t="n"/>
      <x:c r="AY256" s="139" t="n"/>
      <x:c r="AZ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c r="V257" s="139" t="n"/>
      <x:c r="W257" s="139" t="n"/>
      <x:c r="X257" s="139" t="n"/>
      <x:c r="Y257" s="139" t="n"/>
      <x:c r="Z257" s="139" t="n"/>
      <x:c r="AA257" s="139" t="n"/>
      <x:c r="AB257" s="139" t="n"/>
      <x:c r="AC257" s="139" t="n"/>
      <x:c r="AD257" s="139" t="n"/>
      <x:c r="AE257" s="139" t="n"/>
      <x:c r="AF257" s="139" t="n"/>
      <x:c r="AG257" s="139" t="n"/>
      <x:c r="AH257" s="139" t="n"/>
      <x:c r="AI257" s="139" t="n"/>
      <x:c r="AJ257" s="139" t="n"/>
      <x:c r="AK257" s="139" t="n"/>
      <x:c r="AL257" s="139" t="n"/>
      <x:c r="AM257" s="139" t="n"/>
      <x:c r="AN257" s="139" t="n"/>
      <x:c r="AO257" s="139" t="n"/>
      <x:c r="AP257" s="139" t="n"/>
      <x:c r="AQ257" s="139" t="n"/>
      <x:c r="AR257" s="139" t="n"/>
      <x:c r="AS257" s="139" t="n"/>
      <x:c r="AT257" s="139" t="n"/>
      <x:c r="AU257" s="139" t="n"/>
      <x:c r="AV257" s="139" t="n"/>
      <x:c r="AW257" s="139" t="n"/>
      <x:c r="AX257" s="139" t="n"/>
      <x:c r="AY257" s="139" t="n"/>
      <x:c r="AZ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c r="V258" s="139" t="n"/>
      <x:c r="W258" s="139" t="n"/>
      <x:c r="X258" s="139" t="n"/>
      <x:c r="Y258" s="139" t="n"/>
      <x:c r="Z258" s="139" t="n"/>
      <x:c r="AA258" s="139" t="n"/>
      <x:c r="AB258" s="139" t="n"/>
      <x:c r="AC258" s="139" t="n"/>
      <x:c r="AD258" s="139" t="n"/>
      <x:c r="AE258" s="139" t="n"/>
      <x:c r="AF258" s="139" t="n"/>
      <x:c r="AG258" s="139" t="n"/>
      <x:c r="AH258" s="139" t="n"/>
      <x:c r="AI258" s="139" t="n"/>
      <x:c r="AJ258" s="139" t="n"/>
      <x:c r="AK258" s="139" t="n"/>
      <x:c r="AL258" s="139" t="n"/>
      <x:c r="AM258" s="139" t="n"/>
      <x:c r="AN258" s="139" t="n"/>
      <x:c r="AO258" s="139" t="n"/>
      <x:c r="AP258" s="139" t="n"/>
      <x:c r="AQ258" s="139" t="n"/>
      <x:c r="AR258" s="139" t="n"/>
      <x:c r="AS258" s="139" t="n"/>
      <x:c r="AT258" s="139" t="n"/>
      <x:c r="AU258" s="139" t="n"/>
      <x:c r="AV258" s="139" t="n"/>
      <x:c r="AW258" s="139" t="n"/>
      <x:c r="AX258" s="139" t="n"/>
      <x:c r="AY258" s="139" t="n"/>
      <x:c r="AZ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c r="V259" s="139" t="n"/>
      <x:c r="W259" s="139" t="n"/>
      <x:c r="X259" s="139" t="n"/>
      <x:c r="Y259" s="139" t="n"/>
      <x:c r="Z259" s="139" t="n"/>
      <x:c r="AA259" s="139" t="n"/>
      <x:c r="AB259" s="139" t="n"/>
      <x:c r="AC259" s="139" t="n"/>
      <x:c r="AD259" s="139" t="n"/>
      <x:c r="AE259" s="139" t="n"/>
      <x:c r="AF259" s="139" t="n"/>
      <x:c r="AG259" s="139" t="n"/>
      <x:c r="AH259" s="139" t="n"/>
      <x:c r="AI259" s="139" t="n"/>
      <x:c r="AJ259" s="139" t="n"/>
      <x:c r="AK259" s="139" t="n"/>
      <x:c r="AL259" s="139" t="n"/>
      <x:c r="AM259" s="139" t="n"/>
      <x:c r="AN259" s="139" t="n"/>
      <x:c r="AO259" s="139" t="n"/>
      <x:c r="AP259" s="139" t="n"/>
      <x:c r="AQ259" s="139" t="n"/>
      <x:c r="AR259" s="139" t="n"/>
      <x:c r="AS259" s="139" t="n"/>
      <x:c r="AT259" s="139" t="n"/>
      <x:c r="AU259" s="139" t="n"/>
      <x:c r="AV259" s="139" t="n"/>
      <x:c r="AW259" s="139" t="n"/>
      <x:c r="AX259" s="139" t="n"/>
      <x:c r="AY259" s="139" t="n"/>
      <x:c r="AZ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c r="V260" s="139" t="n"/>
      <x:c r="W260" s="139" t="n"/>
      <x:c r="X260" s="139" t="n"/>
      <x:c r="Y260" s="139" t="n"/>
      <x:c r="Z260" s="139" t="n"/>
      <x:c r="AA260" s="139" t="n"/>
      <x:c r="AB260" s="139" t="n"/>
      <x:c r="AC260" s="139" t="n"/>
      <x:c r="AD260" s="139" t="n"/>
      <x:c r="AE260" s="139" t="n"/>
      <x:c r="AF260" s="139" t="n"/>
      <x:c r="AG260" s="139" t="n"/>
      <x:c r="AH260" s="139" t="n"/>
      <x:c r="AI260" s="139" t="n"/>
      <x:c r="AJ260" s="139" t="n"/>
      <x:c r="AK260" s="139" t="n"/>
      <x:c r="AL260" s="139" t="n"/>
      <x:c r="AM260" s="139" t="n"/>
      <x:c r="AN260" s="139" t="n"/>
      <x:c r="AO260" s="139" t="n"/>
      <x:c r="AP260" s="139" t="n"/>
      <x:c r="AQ260" s="139" t="n"/>
      <x:c r="AR260" s="139" t="n"/>
      <x:c r="AS260" s="139" t="n"/>
      <x:c r="AT260" s="139" t="n"/>
      <x:c r="AU260" s="139" t="n"/>
      <x:c r="AV260" s="139" t="n"/>
      <x:c r="AW260" s="139" t="n"/>
      <x:c r="AX260" s="139" t="n"/>
      <x:c r="AY260" s="139" t="n"/>
      <x:c r="AZ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c r="V261" s="139" t="n"/>
      <x:c r="W261" s="139" t="n"/>
      <x:c r="X261" s="139" t="n"/>
      <x:c r="Y261" s="139" t="n"/>
      <x:c r="Z261" s="139" t="n"/>
      <x:c r="AA261" s="139" t="n"/>
      <x:c r="AB261" s="139" t="n"/>
      <x:c r="AC261" s="139" t="n"/>
      <x:c r="AD261" s="139" t="n"/>
      <x:c r="AE261" s="139" t="n"/>
      <x:c r="AF261" s="139" t="n"/>
      <x:c r="AG261" s="139" t="n"/>
      <x:c r="AH261" s="139" t="n"/>
      <x:c r="AI261" s="139" t="n"/>
      <x:c r="AJ261" s="139" t="n"/>
      <x:c r="AK261" s="139" t="n"/>
      <x:c r="AL261" s="139" t="n"/>
      <x:c r="AM261" s="139" t="n"/>
      <x:c r="AN261" s="139" t="n"/>
      <x:c r="AO261" s="139" t="n"/>
      <x:c r="AP261" s="139" t="n"/>
      <x:c r="AQ261" s="139" t="n"/>
      <x:c r="AR261" s="139" t="n"/>
      <x:c r="AS261" s="139" t="n"/>
      <x:c r="AT261" s="139" t="n"/>
      <x:c r="AU261" s="139" t="n"/>
      <x:c r="AV261" s="139" t="n"/>
      <x:c r="AW261" s="139" t="n"/>
      <x:c r="AX261" s="139" t="n"/>
      <x:c r="AY261" s="139" t="n"/>
      <x:c r="AZ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c r="V262" s="139" t="n"/>
      <x:c r="W262" s="139" t="n"/>
      <x:c r="X262" s="139" t="n"/>
      <x:c r="Y262" s="139" t="n"/>
      <x:c r="Z262" s="139" t="n"/>
      <x:c r="AA262" s="139" t="n"/>
      <x:c r="AB262" s="139" t="n"/>
      <x:c r="AC262" s="139" t="n"/>
      <x:c r="AD262" s="139" t="n"/>
      <x:c r="AE262" s="139" t="n"/>
      <x:c r="AF262" s="139" t="n"/>
      <x:c r="AG262" s="139" t="n"/>
      <x:c r="AH262" s="139" t="n"/>
      <x:c r="AI262" s="139" t="n"/>
      <x:c r="AJ262" s="139" t="n"/>
      <x:c r="AK262" s="139" t="n"/>
      <x:c r="AL262" s="139" t="n"/>
      <x:c r="AM262" s="139" t="n"/>
      <x:c r="AN262" s="139" t="n"/>
      <x:c r="AO262" s="139" t="n"/>
      <x:c r="AP262" s="139" t="n"/>
      <x:c r="AQ262" s="139" t="n"/>
      <x:c r="AR262" s="139" t="n"/>
      <x:c r="AS262" s="139" t="n"/>
      <x:c r="AT262" s="139" t="n"/>
      <x:c r="AU262" s="139" t="n"/>
      <x:c r="AV262" s="139" t="n"/>
      <x:c r="AW262" s="139" t="n"/>
      <x:c r="AX262" s="139" t="n"/>
      <x:c r="AY262" s="139" t="n"/>
      <x:c r="AZ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c r="V263" s="139" t="n"/>
      <x:c r="W263" s="139" t="n"/>
      <x:c r="X263" s="139" t="n"/>
      <x:c r="Y263" s="139" t="n"/>
      <x:c r="Z263" s="139" t="n"/>
      <x:c r="AA263" s="139" t="n"/>
      <x:c r="AB263" s="139" t="n"/>
      <x:c r="AC263" s="139" t="n"/>
      <x:c r="AD263" s="139" t="n"/>
      <x:c r="AE263" s="139" t="n"/>
      <x:c r="AF263" s="139" t="n"/>
      <x:c r="AG263" s="139" t="n"/>
      <x:c r="AH263" s="139" t="n"/>
      <x:c r="AI263" s="139" t="n"/>
      <x:c r="AJ263" s="139" t="n"/>
      <x:c r="AK263" s="139" t="n"/>
      <x:c r="AL263" s="139" t="n"/>
      <x:c r="AM263" s="139" t="n"/>
      <x:c r="AN263" s="139" t="n"/>
      <x:c r="AO263" s="139" t="n"/>
      <x:c r="AP263" s="139" t="n"/>
      <x:c r="AQ263" s="139" t="n"/>
      <x:c r="AR263" s="139" t="n"/>
      <x:c r="AS263" s="139" t="n"/>
      <x:c r="AT263" s="139" t="n"/>
      <x:c r="AU263" s="139" t="n"/>
      <x:c r="AV263" s="139" t="n"/>
      <x:c r="AW263" s="139" t="n"/>
      <x:c r="AX263" s="139" t="n"/>
      <x:c r="AY263" s="139" t="n"/>
      <x:c r="AZ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c r="V264" s="139" t="n"/>
      <x:c r="W264" s="139" t="n"/>
      <x:c r="X264" s="139" t="n"/>
      <x:c r="Y264" s="139" t="n"/>
      <x:c r="Z264" s="139" t="n"/>
      <x:c r="AA264" s="139" t="n"/>
      <x:c r="AB264" s="139" t="n"/>
      <x:c r="AC264" s="139" t="n"/>
      <x:c r="AD264" s="139" t="n"/>
      <x:c r="AE264" s="139" t="n"/>
      <x:c r="AF264" s="139" t="n"/>
      <x:c r="AG264" s="139" t="n"/>
      <x:c r="AH264" s="139" t="n"/>
      <x:c r="AI264" s="139" t="n"/>
      <x:c r="AJ264" s="139" t="n"/>
      <x:c r="AK264" s="139" t="n"/>
      <x:c r="AL264" s="139" t="n"/>
      <x:c r="AM264" s="139" t="n"/>
      <x:c r="AN264" s="139" t="n"/>
      <x:c r="AO264" s="139" t="n"/>
      <x:c r="AP264" s="139" t="n"/>
      <x:c r="AQ264" s="139" t="n"/>
      <x:c r="AR264" s="139" t="n"/>
      <x:c r="AS264" s="139" t="n"/>
      <x:c r="AT264" s="139" t="n"/>
      <x:c r="AU264" s="139" t="n"/>
      <x:c r="AV264" s="139" t="n"/>
      <x:c r="AW264" s="139" t="n"/>
      <x:c r="AX264" s="139" t="n"/>
      <x:c r="AY264" s="139" t="n"/>
      <x:c r="AZ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c r="V265" s="139" t="n"/>
      <x:c r="W265" s="139" t="n"/>
      <x:c r="X265" s="139" t="n"/>
      <x:c r="Y265" s="139" t="n"/>
      <x:c r="Z265" s="139" t="n"/>
      <x:c r="AA265" s="139" t="n"/>
      <x:c r="AB265" s="139" t="n"/>
      <x:c r="AC265" s="139" t="n"/>
      <x:c r="AD265" s="139" t="n"/>
      <x:c r="AE265" s="139" t="n"/>
      <x:c r="AF265" s="139" t="n"/>
      <x:c r="AG265" s="139" t="n"/>
      <x:c r="AH265" s="139" t="n"/>
      <x:c r="AI265" s="139" t="n"/>
      <x:c r="AJ265" s="139" t="n"/>
      <x:c r="AK265" s="139" t="n"/>
      <x:c r="AL265" s="139" t="n"/>
      <x:c r="AM265" s="139" t="n"/>
      <x:c r="AN265" s="139" t="n"/>
      <x:c r="AO265" s="139" t="n"/>
      <x:c r="AP265" s="139" t="n"/>
      <x:c r="AQ265" s="139" t="n"/>
      <x:c r="AR265" s="139" t="n"/>
      <x:c r="AS265" s="139" t="n"/>
      <x:c r="AT265" s="139" t="n"/>
      <x:c r="AU265" s="139" t="n"/>
      <x:c r="AV265" s="139" t="n"/>
      <x:c r="AW265" s="139" t="n"/>
      <x:c r="AX265" s="139" t="n"/>
      <x:c r="AY265" s="139" t="n"/>
      <x:c r="AZ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c r="V266" s="139" t="n"/>
      <x:c r="W266" s="139" t="n"/>
      <x:c r="X266" s="139" t="n"/>
      <x:c r="Y266" s="139" t="n"/>
      <x:c r="Z266" s="139" t="n"/>
      <x:c r="AA266" s="139" t="n"/>
      <x:c r="AB266" s="139" t="n"/>
      <x:c r="AC266" s="139" t="n"/>
      <x:c r="AD266" s="139" t="n"/>
      <x:c r="AE266" s="139" t="n"/>
      <x:c r="AF266" s="139" t="n"/>
      <x:c r="AG266" s="139" t="n"/>
      <x:c r="AH266" s="139" t="n"/>
      <x:c r="AI266" s="139" t="n"/>
      <x:c r="AJ266" s="139" t="n"/>
      <x:c r="AK266" s="139" t="n"/>
      <x:c r="AL266" s="139" t="n"/>
      <x:c r="AM266" s="139" t="n"/>
      <x:c r="AN266" s="139" t="n"/>
      <x:c r="AO266" s="139" t="n"/>
      <x:c r="AP266" s="139" t="n"/>
      <x:c r="AQ266" s="139" t="n"/>
      <x:c r="AR266" s="139" t="n"/>
      <x:c r="AS266" s="139" t="n"/>
      <x:c r="AT266" s="139" t="n"/>
      <x:c r="AU266" s="139" t="n"/>
      <x:c r="AV266" s="139" t="n"/>
      <x:c r="AW266" s="139" t="n"/>
      <x:c r="AX266" s="139" t="n"/>
      <x:c r="AY266" s="139" t="n"/>
      <x:c r="AZ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c r="V267" s="139" t="n"/>
      <x:c r="W267" s="139" t="n"/>
      <x:c r="X267" s="139" t="n"/>
      <x:c r="Y267" s="139" t="n"/>
      <x:c r="Z267" s="139" t="n"/>
      <x:c r="AA267" s="139" t="n"/>
      <x:c r="AB267" s="139" t="n"/>
      <x:c r="AC267" s="139" t="n"/>
      <x:c r="AD267" s="139" t="n"/>
      <x:c r="AE267" s="139" t="n"/>
      <x:c r="AF267" s="139" t="n"/>
      <x:c r="AG267" s="139" t="n"/>
      <x:c r="AH267" s="139" t="n"/>
      <x:c r="AI267" s="139" t="n"/>
      <x:c r="AJ267" s="139" t="n"/>
      <x:c r="AK267" s="139" t="n"/>
      <x:c r="AL267" s="139" t="n"/>
      <x:c r="AM267" s="139" t="n"/>
      <x:c r="AN267" s="139" t="n"/>
      <x:c r="AO267" s="139" t="n"/>
      <x:c r="AP267" s="139" t="n"/>
      <x:c r="AQ267" s="139" t="n"/>
      <x:c r="AR267" s="139" t="n"/>
      <x:c r="AS267" s="139" t="n"/>
      <x:c r="AT267" s="139" t="n"/>
      <x:c r="AU267" s="139" t="n"/>
      <x:c r="AV267" s="139" t="n"/>
      <x:c r="AW267" s="139" t="n"/>
      <x:c r="AX267" s="139" t="n"/>
      <x:c r="AY267" s="139" t="n"/>
      <x:c r="AZ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c r="V268" s="139" t="n"/>
      <x:c r="W268" s="139" t="n"/>
      <x:c r="X268" s="139" t="n"/>
      <x:c r="Y268" s="139" t="n"/>
      <x:c r="Z268" s="139" t="n"/>
      <x:c r="AA268" s="139" t="n"/>
      <x:c r="AB268" s="139" t="n"/>
      <x:c r="AC268" s="139" t="n"/>
      <x:c r="AD268" s="139" t="n"/>
      <x:c r="AE268" s="139" t="n"/>
      <x:c r="AF268" s="139" t="n"/>
      <x:c r="AG268" s="139" t="n"/>
      <x:c r="AH268" s="139" t="n"/>
      <x:c r="AI268" s="139" t="n"/>
      <x:c r="AJ268" s="139" t="n"/>
      <x:c r="AK268" s="139" t="n"/>
      <x:c r="AL268" s="139" t="n"/>
      <x:c r="AM268" s="139" t="n"/>
      <x:c r="AN268" s="139" t="n"/>
      <x:c r="AO268" s="139" t="n"/>
      <x:c r="AP268" s="139" t="n"/>
      <x:c r="AQ268" s="139" t="n"/>
      <x:c r="AR268" s="139" t="n"/>
      <x:c r="AS268" s="139" t="n"/>
      <x:c r="AT268" s="139" t="n"/>
      <x:c r="AU268" s="139" t="n"/>
      <x:c r="AV268" s="139" t="n"/>
      <x:c r="AW268" s="139" t="n"/>
      <x:c r="AX268" s="139" t="n"/>
      <x:c r="AY268" s="139" t="n"/>
      <x:c r="AZ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c r="V269" s="139" t="n"/>
      <x:c r="W269" s="139" t="n"/>
      <x:c r="X269" s="139" t="n"/>
      <x:c r="Y269" s="139" t="n"/>
      <x:c r="Z269" s="139" t="n"/>
      <x:c r="AA269" s="139" t="n"/>
      <x:c r="AB269" s="139" t="n"/>
      <x:c r="AC269" s="139" t="n"/>
      <x:c r="AD269" s="139" t="n"/>
      <x:c r="AE269" s="139" t="n"/>
      <x:c r="AF269" s="139" t="n"/>
      <x:c r="AG269" s="139" t="n"/>
      <x:c r="AH269" s="139" t="n"/>
      <x:c r="AI269" s="139" t="n"/>
      <x:c r="AJ269" s="139" t="n"/>
      <x:c r="AK269" s="139" t="n"/>
      <x:c r="AL269" s="139" t="n"/>
      <x:c r="AM269" s="139" t="n"/>
      <x:c r="AN269" s="139" t="n"/>
      <x:c r="AO269" s="139" t="n"/>
      <x:c r="AP269" s="139" t="n"/>
      <x:c r="AQ269" s="139" t="n"/>
      <x:c r="AR269" s="139" t="n"/>
      <x:c r="AS269" s="139" t="n"/>
      <x:c r="AT269" s="139" t="n"/>
      <x:c r="AU269" s="139" t="n"/>
      <x:c r="AV269" s="139" t="n"/>
      <x:c r="AW269" s="139" t="n"/>
      <x:c r="AX269" s="139" t="n"/>
      <x:c r="AY269" s="139" t="n"/>
      <x:c r="AZ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c r="V270" s="139" t="n"/>
      <x:c r="W270" s="139" t="n"/>
      <x:c r="X270" s="139" t="n"/>
      <x:c r="Y270" s="139" t="n"/>
      <x:c r="Z270" s="139" t="n"/>
      <x:c r="AA270" s="139" t="n"/>
      <x:c r="AB270" s="139" t="n"/>
      <x:c r="AC270" s="139" t="n"/>
      <x:c r="AD270" s="139" t="n"/>
      <x:c r="AE270" s="139" t="n"/>
      <x:c r="AF270" s="139" t="n"/>
      <x:c r="AG270" s="139" t="n"/>
      <x:c r="AH270" s="139" t="n"/>
      <x:c r="AI270" s="139" t="n"/>
      <x:c r="AJ270" s="139" t="n"/>
      <x:c r="AK270" s="139" t="n"/>
      <x:c r="AL270" s="139" t="n"/>
      <x:c r="AM270" s="139" t="n"/>
      <x:c r="AN270" s="139" t="n"/>
      <x:c r="AO270" s="139" t="n"/>
      <x:c r="AP270" s="139" t="n"/>
      <x:c r="AQ270" s="139" t="n"/>
      <x:c r="AR270" s="139" t="n"/>
      <x:c r="AS270" s="139" t="n"/>
      <x:c r="AT270" s="139" t="n"/>
      <x:c r="AU270" s="139" t="n"/>
      <x:c r="AV270" s="139" t="n"/>
      <x:c r="AW270" s="139" t="n"/>
      <x:c r="AX270" s="139" t="n"/>
      <x:c r="AY270" s="139" t="n"/>
      <x:c r="AZ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c r="V271" s="139" t="n"/>
      <x:c r="W271" s="139" t="n"/>
      <x:c r="X271" s="139" t="n"/>
      <x:c r="Y271" s="139" t="n"/>
      <x:c r="Z271" s="139" t="n"/>
      <x:c r="AA271" s="139" t="n"/>
      <x:c r="AB271" s="139" t="n"/>
      <x:c r="AC271" s="139" t="n"/>
      <x:c r="AD271" s="139" t="n"/>
      <x:c r="AE271" s="139" t="n"/>
      <x:c r="AF271" s="139" t="n"/>
      <x:c r="AG271" s="139" t="n"/>
      <x:c r="AH271" s="139" t="n"/>
      <x:c r="AI271" s="139" t="n"/>
      <x:c r="AJ271" s="139" t="n"/>
      <x:c r="AK271" s="139" t="n"/>
      <x:c r="AL271" s="139" t="n"/>
      <x:c r="AM271" s="139" t="n"/>
      <x:c r="AN271" s="139" t="n"/>
      <x:c r="AO271" s="139" t="n"/>
      <x:c r="AP271" s="139" t="n"/>
      <x:c r="AQ271" s="139" t="n"/>
      <x:c r="AR271" s="139" t="n"/>
      <x:c r="AS271" s="139" t="n"/>
      <x:c r="AT271" s="139" t="n"/>
      <x:c r="AU271" s="139" t="n"/>
      <x:c r="AV271" s="139" t="n"/>
      <x:c r="AW271" s="139" t="n"/>
      <x:c r="AX271" s="139" t="n"/>
      <x:c r="AY271" s="139" t="n"/>
      <x:c r="AZ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c r="V272" s="139" t="n"/>
      <x:c r="W272" s="139" t="n"/>
      <x:c r="X272" s="139" t="n"/>
      <x:c r="Y272" s="139" t="n"/>
      <x:c r="Z272" s="139" t="n"/>
      <x:c r="AA272" s="139" t="n"/>
      <x:c r="AB272" s="139" t="n"/>
      <x:c r="AC272" s="139" t="n"/>
      <x:c r="AD272" s="139" t="n"/>
      <x:c r="AE272" s="139" t="n"/>
      <x:c r="AF272" s="139" t="n"/>
      <x:c r="AG272" s="139" t="n"/>
      <x:c r="AH272" s="139" t="n"/>
      <x:c r="AI272" s="139" t="n"/>
      <x:c r="AJ272" s="139" t="n"/>
      <x:c r="AK272" s="139" t="n"/>
      <x:c r="AL272" s="139" t="n"/>
      <x:c r="AM272" s="139" t="n"/>
      <x:c r="AN272" s="139" t="n"/>
      <x:c r="AO272" s="139" t="n"/>
      <x:c r="AP272" s="139" t="n"/>
      <x:c r="AQ272" s="139" t="n"/>
      <x:c r="AR272" s="139" t="n"/>
      <x:c r="AS272" s="139" t="n"/>
      <x:c r="AT272" s="139" t="n"/>
      <x:c r="AU272" s="139" t="n"/>
      <x:c r="AV272" s="139" t="n"/>
      <x:c r="AW272" s="139" t="n"/>
      <x:c r="AX272" s="139" t="n"/>
      <x:c r="AY272" s="139" t="n"/>
      <x:c r="AZ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c r="V273" s="139" t="n"/>
      <x:c r="W273" s="139" t="n"/>
      <x:c r="X273" s="139" t="n"/>
      <x:c r="Y273" s="139" t="n"/>
      <x:c r="Z273" s="139" t="n"/>
      <x:c r="AA273" s="139" t="n"/>
      <x:c r="AB273" s="139" t="n"/>
      <x:c r="AC273" s="139" t="n"/>
      <x:c r="AD273" s="139" t="n"/>
      <x:c r="AE273" s="139" t="n"/>
      <x:c r="AF273" s="139" t="n"/>
      <x:c r="AG273" s="139" t="n"/>
      <x:c r="AH273" s="139" t="n"/>
      <x:c r="AI273" s="139" t="n"/>
      <x:c r="AJ273" s="139" t="n"/>
      <x:c r="AK273" s="139" t="n"/>
      <x:c r="AL273" s="139" t="n"/>
      <x:c r="AM273" s="139" t="n"/>
      <x:c r="AN273" s="139" t="n"/>
      <x:c r="AO273" s="139" t="n"/>
      <x:c r="AP273" s="139" t="n"/>
      <x:c r="AQ273" s="139" t="n"/>
      <x:c r="AR273" s="139" t="n"/>
      <x:c r="AS273" s="139" t="n"/>
      <x:c r="AT273" s="139" t="n"/>
      <x:c r="AU273" s="139" t="n"/>
      <x:c r="AV273" s="139" t="n"/>
      <x:c r="AW273" s="139" t="n"/>
      <x:c r="AX273" s="139" t="n"/>
      <x:c r="AY273" s="139" t="n"/>
      <x:c r="AZ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c r="V274" s="139" t="n"/>
      <x:c r="W274" s="139" t="n"/>
      <x:c r="X274" s="139" t="n"/>
      <x:c r="Y274" s="139" t="n"/>
      <x:c r="Z274" s="139" t="n"/>
      <x:c r="AA274" s="139" t="n"/>
      <x:c r="AB274" s="139" t="n"/>
      <x:c r="AC274" s="139" t="n"/>
      <x:c r="AD274" s="139" t="n"/>
      <x:c r="AE274" s="139" t="n"/>
      <x:c r="AF274" s="139" t="n"/>
      <x:c r="AG274" s="139" t="n"/>
      <x:c r="AH274" s="139" t="n"/>
      <x:c r="AI274" s="139" t="n"/>
      <x:c r="AJ274" s="139" t="n"/>
      <x:c r="AK274" s="139" t="n"/>
      <x:c r="AL274" s="139" t="n"/>
      <x:c r="AM274" s="139" t="n"/>
      <x:c r="AN274" s="139" t="n"/>
      <x:c r="AO274" s="139" t="n"/>
      <x:c r="AP274" s="139" t="n"/>
      <x:c r="AQ274" s="139" t="n"/>
      <x:c r="AR274" s="139" t="n"/>
      <x:c r="AS274" s="139" t="n"/>
      <x:c r="AT274" s="139" t="n"/>
      <x:c r="AU274" s="139" t="n"/>
      <x:c r="AV274" s="139" t="n"/>
      <x:c r="AW274" s="139" t="n"/>
      <x:c r="AX274" s="139" t="n"/>
      <x:c r="AY274" s="139" t="n"/>
      <x:c r="AZ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c r="V275" s="139" t="n"/>
      <x:c r="W275" s="139" t="n"/>
      <x:c r="X275" s="139" t="n"/>
      <x:c r="Y275" s="139" t="n"/>
      <x:c r="Z275" s="139" t="n"/>
      <x:c r="AA275" s="139" t="n"/>
      <x:c r="AB275" s="139" t="n"/>
      <x:c r="AC275" s="139" t="n"/>
      <x:c r="AD275" s="139" t="n"/>
      <x:c r="AE275" s="139" t="n"/>
      <x:c r="AF275" s="139" t="n"/>
      <x:c r="AG275" s="139" t="n"/>
      <x:c r="AH275" s="139" t="n"/>
      <x:c r="AI275" s="139" t="n"/>
      <x:c r="AJ275" s="139" t="n"/>
      <x:c r="AK275" s="139" t="n"/>
      <x:c r="AL275" s="139" t="n"/>
      <x:c r="AM275" s="139" t="n"/>
      <x:c r="AN275" s="139" t="n"/>
      <x:c r="AO275" s="139" t="n"/>
      <x:c r="AP275" s="139" t="n"/>
      <x:c r="AQ275" s="139" t="n"/>
      <x:c r="AR275" s="139" t="n"/>
      <x:c r="AS275" s="139" t="n"/>
      <x:c r="AT275" s="139" t="n"/>
      <x:c r="AU275" s="139" t="n"/>
      <x:c r="AV275" s="139" t="n"/>
      <x:c r="AW275" s="139" t="n"/>
      <x:c r="AX275" s="139" t="n"/>
      <x:c r="AY275" s="139" t="n"/>
      <x:c r="AZ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c r="V276" s="139" t="n"/>
      <x:c r="W276" s="139" t="n"/>
      <x:c r="X276" s="139" t="n"/>
      <x:c r="Y276" s="139" t="n"/>
      <x:c r="Z276" s="139" t="n"/>
      <x:c r="AA276" s="139" t="n"/>
      <x:c r="AB276" s="139" t="n"/>
      <x:c r="AC276" s="139" t="n"/>
      <x:c r="AD276" s="139" t="n"/>
      <x:c r="AE276" s="139" t="n"/>
      <x:c r="AF276" s="139" t="n"/>
      <x:c r="AG276" s="139" t="n"/>
      <x:c r="AH276" s="139" t="n"/>
      <x:c r="AI276" s="139" t="n"/>
      <x:c r="AJ276" s="139" t="n"/>
      <x:c r="AK276" s="139" t="n"/>
      <x:c r="AL276" s="139" t="n"/>
      <x:c r="AM276" s="139" t="n"/>
      <x:c r="AN276" s="139" t="n"/>
      <x:c r="AO276" s="139" t="n"/>
      <x:c r="AP276" s="139" t="n"/>
      <x:c r="AQ276" s="139" t="n"/>
      <x:c r="AR276" s="139" t="n"/>
      <x:c r="AS276" s="139" t="n"/>
      <x:c r="AT276" s="139" t="n"/>
      <x:c r="AU276" s="139" t="n"/>
      <x:c r="AV276" s="139" t="n"/>
      <x:c r="AW276" s="139" t="n"/>
      <x:c r="AX276" s="139" t="n"/>
      <x:c r="AY276" s="139" t="n"/>
      <x:c r="AZ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c r="V277" s="139" t="n"/>
      <x:c r="W277" s="139" t="n"/>
      <x:c r="X277" s="139" t="n"/>
      <x:c r="Y277" s="139" t="n"/>
      <x:c r="Z277" s="139" t="n"/>
      <x:c r="AA277" s="139" t="n"/>
      <x:c r="AB277" s="139" t="n"/>
      <x:c r="AC277" s="139" t="n"/>
      <x:c r="AD277" s="139" t="n"/>
      <x:c r="AE277" s="139" t="n"/>
      <x:c r="AF277" s="139" t="n"/>
      <x:c r="AG277" s="139" t="n"/>
      <x:c r="AH277" s="139" t="n"/>
      <x:c r="AI277" s="139" t="n"/>
      <x:c r="AJ277" s="139" t="n"/>
      <x:c r="AK277" s="139" t="n"/>
      <x:c r="AL277" s="139" t="n"/>
      <x:c r="AM277" s="139" t="n"/>
      <x:c r="AN277" s="139" t="n"/>
      <x:c r="AO277" s="139" t="n"/>
      <x:c r="AP277" s="139" t="n"/>
      <x:c r="AQ277" s="139" t="n"/>
      <x:c r="AR277" s="139" t="n"/>
      <x:c r="AS277" s="139" t="n"/>
      <x:c r="AT277" s="139" t="n"/>
      <x:c r="AU277" s="139" t="n"/>
      <x:c r="AV277" s="139" t="n"/>
      <x:c r="AW277" s="139" t="n"/>
      <x:c r="AX277" s="139" t="n"/>
      <x:c r="AY277" s="139" t="n"/>
      <x:c r="AZ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c r="V278" s="139" t="n"/>
      <x:c r="W278" s="139" t="n"/>
      <x:c r="X278" s="139" t="n"/>
      <x:c r="Y278" s="139" t="n"/>
      <x:c r="Z278" s="139" t="n"/>
      <x:c r="AA278" s="139" t="n"/>
      <x:c r="AB278" s="139" t="n"/>
      <x:c r="AC278" s="139" t="n"/>
      <x:c r="AD278" s="139" t="n"/>
      <x:c r="AE278" s="139" t="n"/>
      <x:c r="AF278" s="139" t="n"/>
      <x:c r="AG278" s="139" t="n"/>
      <x:c r="AH278" s="139" t="n"/>
      <x:c r="AI278" s="139" t="n"/>
      <x:c r="AJ278" s="139" t="n"/>
      <x:c r="AK278" s="139" t="n"/>
      <x:c r="AL278" s="139" t="n"/>
      <x:c r="AM278" s="139" t="n"/>
      <x:c r="AN278" s="139" t="n"/>
      <x:c r="AO278" s="139" t="n"/>
      <x:c r="AP278" s="139" t="n"/>
      <x:c r="AQ278" s="139" t="n"/>
      <x:c r="AR278" s="139" t="n"/>
      <x:c r="AS278" s="139" t="n"/>
      <x:c r="AT278" s="139" t="n"/>
      <x:c r="AU278" s="139" t="n"/>
      <x:c r="AV278" s="139" t="n"/>
      <x:c r="AW278" s="139" t="n"/>
      <x:c r="AX278" s="139" t="n"/>
      <x:c r="AY278" s="139" t="n"/>
      <x:c r="AZ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c r="V279" s="139" t="n"/>
      <x:c r="W279" s="139" t="n"/>
      <x:c r="X279" s="139" t="n"/>
      <x:c r="Y279" s="139" t="n"/>
      <x:c r="Z279" s="139" t="n"/>
      <x:c r="AA279" s="139" t="n"/>
      <x:c r="AB279" s="139" t="n"/>
      <x:c r="AC279" s="139" t="n"/>
      <x:c r="AD279" s="139" t="n"/>
      <x:c r="AE279" s="139" t="n"/>
      <x:c r="AF279" s="139" t="n"/>
      <x:c r="AG279" s="139" t="n"/>
      <x:c r="AH279" s="139" t="n"/>
      <x:c r="AI279" s="139" t="n"/>
      <x:c r="AJ279" s="139" t="n"/>
      <x:c r="AK279" s="139" t="n"/>
      <x:c r="AL279" s="139" t="n"/>
      <x:c r="AM279" s="139" t="n"/>
      <x:c r="AN279" s="139" t="n"/>
      <x:c r="AO279" s="139" t="n"/>
      <x:c r="AP279" s="139" t="n"/>
      <x:c r="AQ279" s="139" t="n"/>
      <x:c r="AR279" s="139" t="n"/>
      <x:c r="AS279" s="139" t="n"/>
      <x:c r="AT279" s="139" t="n"/>
      <x:c r="AU279" s="139" t="n"/>
      <x:c r="AV279" s="139" t="n"/>
      <x:c r="AW279" s="139" t="n"/>
      <x:c r="AX279" s="139" t="n"/>
      <x:c r="AY279" s="139" t="n"/>
      <x:c r="AZ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c r="V280" s="139" t="n"/>
      <x:c r="W280" s="139" t="n"/>
      <x:c r="X280" s="139" t="n"/>
      <x:c r="Y280" s="139" t="n"/>
      <x:c r="Z280" s="139" t="n"/>
      <x:c r="AA280" s="139" t="n"/>
      <x:c r="AB280" s="139" t="n"/>
      <x:c r="AC280" s="139" t="n"/>
      <x:c r="AD280" s="139" t="n"/>
      <x:c r="AE280" s="139" t="n"/>
      <x:c r="AF280" s="139" t="n"/>
      <x:c r="AG280" s="139" t="n"/>
      <x:c r="AH280" s="139" t="n"/>
      <x:c r="AI280" s="139" t="n"/>
      <x:c r="AJ280" s="139" t="n"/>
      <x:c r="AK280" s="139" t="n"/>
      <x:c r="AL280" s="139" t="n"/>
      <x:c r="AM280" s="139" t="n"/>
      <x:c r="AN280" s="139" t="n"/>
      <x:c r="AO280" s="139" t="n"/>
      <x:c r="AP280" s="139" t="n"/>
      <x:c r="AQ280" s="139" t="n"/>
      <x:c r="AR280" s="139" t="n"/>
      <x:c r="AS280" s="139" t="n"/>
      <x:c r="AT280" s="139" t="n"/>
      <x:c r="AU280" s="139" t="n"/>
      <x:c r="AV280" s="139" t="n"/>
      <x:c r="AW280" s="139" t="n"/>
      <x:c r="AX280" s="139" t="n"/>
      <x:c r="AY280" s="139" t="n"/>
      <x:c r="AZ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c r="V281" s="139" t="n"/>
      <x:c r="W281" s="139" t="n"/>
      <x:c r="X281" s="139" t="n"/>
      <x:c r="Y281" s="139" t="n"/>
      <x:c r="Z281" s="139" t="n"/>
      <x:c r="AA281" s="139" t="n"/>
      <x:c r="AB281" s="139" t="n"/>
      <x:c r="AC281" s="139" t="n"/>
      <x:c r="AD281" s="139" t="n"/>
      <x:c r="AE281" s="139" t="n"/>
      <x:c r="AF281" s="139" t="n"/>
      <x:c r="AG281" s="139" t="n"/>
      <x:c r="AH281" s="139" t="n"/>
      <x:c r="AI281" s="139" t="n"/>
      <x:c r="AJ281" s="139" t="n"/>
      <x:c r="AK281" s="139" t="n"/>
      <x:c r="AL281" s="139" t="n"/>
      <x:c r="AM281" s="139" t="n"/>
      <x:c r="AN281" s="139" t="n"/>
      <x:c r="AO281" s="139" t="n"/>
      <x:c r="AP281" s="139" t="n"/>
      <x:c r="AQ281" s="139" t="n"/>
      <x:c r="AR281" s="139" t="n"/>
      <x:c r="AS281" s="139" t="n"/>
      <x:c r="AT281" s="139" t="n"/>
      <x:c r="AU281" s="139" t="n"/>
      <x:c r="AV281" s="139" t="n"/>
      <x:c r="AW281" s="139" t="n"/>
      <x:c r="AX281" s="139" t="n"/>
      <x:c r="AY281" s="139" t="n"/>
      <x:c r="AZ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c r="V282" s="139" t="n"/>
      <x:c r="W282" s="139" t="n"/>
      <x:c r="X282" s="139" t="n"/>
      <x:c r="Y282" s="139" t="n"/>
      <x:c r="Z282" s="139" t="n"/>
      <x:c r="AA282" s="139" t="n"/>
      <x:c r="AB282" s="139" t="n"/>
      <x:c r="AC282" s="139" t="n"/>
      <x:c r="AD282" s="139" t="n"/>
      <x:c r="AE282" s="139" t="n"/>
      <x:c r="AF282" s="139" t="n"/>
      <x:c r="AG282" s="139" t="n"/>
      <x:c r="AH282" s="139" t="n"/>
      <x:c r="AI282" s="139" t="n"/>
      <x:c r="AJ282" s="139" t="n"/>
      <x:c r="AK282" s="139" t="n"/>
      <x:c r="AL282" s="139" t="n"/>
      <x:c r="AM282" s="139" t="n"/>
      <x:c r="AN282" s="139" t="n"/>
      <x:c r="AO282" s="139" t="n"/>
      <x:c r="AP282" s="139" t="n"/>
      <x:c r="AQ282" s="139" t="n"/>
      <x:c r="AR282" s="139" t="n"/>
      <x:c r="AS282" s="139" t="n"/>
      <x:c r="AT282" s="139" t="n"/>
      <x:c r="AU282" s="139" t="n"/>
      <x:c r="AV282" s="139" t="n"/>
      <x:c r="AW282" s="139" t="n"/>
      <x:c r="AX282" s="139" t="n"/>
      <x:c r="AY282" s="139" t="n"/>
      <x:c r="AZ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c r="V283" s="139" t="n"/>
      <x:c r="W283" s="139" t="n"/>
      <x:c r="X283" s="139" t="n"/>
      <x:c r="Y283" s="139" t="n"/>
      <x:c r="Z283" s="139" t="n"/>
      <x:c r="AA283" s="139" t="n"/>
      <x:c r="AB283" s="139" t="n"/>
      <x:c r="AC283" s="139" t="n"/>
      <x:c r="AD283" s="139" t="n"/>
      <x:c r="AE283" s="139" t="n"/>
      <x:c r="AF283" s="139" t="n"/>
      <x:c r="AG283" s="139" t="n"/>
      <x:c r="AH283" s="139" t="n"/>
      <x:c r="AI283" s="139" t="n"/>
      <x:c r="AJ283" s="139" t="n"/>
      <x:c r="AK283" s="139" t="n"/>
      <x:c r="AL283" s="139" t="n"/>
      <x:c r="AM283" s="139" t="n"/>
      <x:c r="AN283" s="139" t="n"/>
      <x:c r="AO283" s="139" t="n"/>
      <x:c r="AP283" s="139" t="n"/>
      <x:c r="AQ283" s="139" t="n"/>
      <x:c r="AR283" s="139" t="n"/>
      <x:c r="AS283" s="139" t="n"/>
      <x:c r="AT283" s="139" t="n"/>
      <x:c r="AU283" s="139" t="n"/>
      <x:c r="AV283" s="139" t="n"/>
      <x:c r="AW283" s="139" t="n"/>
      <x:c r="AX283" s="139" t="n"/>
      <x:c r="AY283" s="139" t="n"/>
      <x:c r="AZ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c r="V284" s="139" t="n"/>
      <x:c r="W284" s="139" t="n"/>
      <x:c r="X284" s="139" t="n"/>
      <x:c r="Y284" s="139" t="n"/>
      <x:c r="Z284" s="139" t="n"/>
      <x:c r="AA284" s="139" t="n"/>
      <x:c r="AB284" s="139" t="n"/>
      <x:c r="AC284" s="139" t="n"/>
      <x:c r="AD284" s="139" t="n"/>
      <x:c r="AE284" s="139" t="n"/>
      <x:c r="AF284" s="139" t="n"/>
      <x:c r="AG284" s="139" t="n"/>
      <x:c r="AH284" s="139" t="n"/>
      <x:c r="AI284" s="139" t="n"/>
      <x:c r="AJ284" s="139" t="n"/>
      <x:c r="AK284" s="139" t="n"/>
      <x:c r="AL284" s="139" t="n"/>
      <x:c r="AM284" s="139" t="n"/>
      <x:c r="AN284" s="139" t="n"/>
      <x:c r="AO284" s="139" t="n"/>
      <x:c r="AP284" s="139" t="n"/>
      <x:c r="AQ284" s="139" t="n"/>
      <x:c r="AR284" s="139" t="n"/>
      <x:c r="AS284" s="139" t="n"/>
      <x:c r="AT284" s="139" t="n"/>
      <x:c r="AU284" s="139" t="n"/>
      <x:c r="AV284" s="139" t="n"/>
      <x:c r="AW284" s="139" t="n"/>
      <x:c r="AX284" s="139" t="n"/>
      <x:c r="AY284" s="139" t="n"/>
      <x:c r="AZ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c r="V285" s="139" t="n"/>
      <x:c r="W285" s="139" t="n"/>
      <x:c r="X285" s="139" t="n"/>
      <x:c r="Y285" s="139" t="n"/>
      <x:c r="Z285" s="139" t="n"/>
      <x:c r="AA285" s="139" t="n"/>
      <x:c r="AB285" s="139" t="n"/>
      <x:c r="AC285" s="139" t="n"/>
      <x:c r="AD285" s="139" t="n"/>
      <x:c r="AE285" s="139" t="n"/>
      <x:c r="AF285" s="139" t="n"/>
      <x:c r="AG285" s="139" t="n"/>
      <x:c r="AH285" s="139" t="n"/>
      <x:c r="AI285" s="139" t="n"/>
      <x:c r="AJ285" s="139" t="n"/>
      <x:c r="AK285" s="139" t="n"/>
      <x:c r="AL285" s="139" t="n"/>
      <x:c r="AM285" s="139" t="n"/>
      <x:c r="AN285" s="139" t="n"/>
      <x:c r="AO285" s="139" t="n"/>
      <x:c r="AP285" s="139" t="n"/>
      <x:c r="AQ285" s="139" t="n"/>
      <x:c r="AR285" s="139" t="n"/>
      <x:c r="AS285" s="139" t="n"/>
      <x:c r="AT285" s="139" t="n"/>
      <x:c r="AU285" s="139" t="n"/>
      <x:c r="AV285" s="139" t="n"/>
      <x:c r="AW285" s="139" t="n"/>
      <x:c r="AX285" s="139" t="n"/>
      <x:c r="AY285" s="139" t="n"/>
      <x:c r="AZ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c r="V286" s="139" t="n"/>
      <x:c r="W286" s="139" t="n"/>
      <x:c r="X286" s="139" t="n"/>
      <x:c r="Y286" s="139" t="n"/>
      <x:c r="Z286" s="139" t="n"/>
      <x:c r="AA286" s="139" t="n"/>
      <x:c r="AB286" s="139" t="n"/>
      <x:c r="AC286" s="139" t="n"/>
      <x:c r="AD286" s="139" t="n"/>
      <x:c r="AE286" s="139" t="n"/>
      <x:c r="AF286" s="139" t="n"/>
      <x:c r="AG286" s="139" t="n"/>
      <x:c r="AH286" s="139" t="n"/>
      <x:c r="AI286" s="139" t="n"/>
      <x:c r="AJ286" s="139" t="n"/>
      <x:c r="AK286" s="139" t="n"/>
      <x:c r="AL286" s="139" t="n"/>
      <x:c r="AM286" s="139" t="n"/>
      <x:c r="AN286" s="139" t="n"/>
      <x:c r="AO286" s="139" t="n"/>
      <x:c r="AP286" s="139" t="n"/>
      <x:c r="AQ286" s="139" t="n"/>
      <x:c r="AR286" s="139" t="n"/>
      <x:c r="AS286" s="139" t="n"/>
      <x:c r="AT286" s="139" t="n"/>
      <x:c r="AU286" s="139" t="n"/>
      <x:c r="AV286" s="139" t="n"/>
      <x:c r="AW286" s="139" t="n"/>
      <x:c r="AX286" s="139" t="n"/>
      <x:c r="AY286" s="139" t="n"/>
      <x:c r="AZ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c r="V287" s="139" t="n"/>
      <x:c r="W287" s="139" t="n"/>
      <x:c r="X287" s="139" t="n"/>
      <x:c r="Y287" s="139" t="n"/>
      <x:c r="Z287" s="139" t="n"/>
      <x:c r="AA287" s="139" t="n"/>
      <x:c r="AB287" s="139" t="n"/>
      <x:c r="AC287" s="139" t="n"/>
      <x:c r="AD287" s="139" t="n"/>
      <x:c r="AE287" s="139" t="n"/>
      <x:c r="AF287" s="139" t="n"/>
      <x:c r="AG287" s="139" t="n"/>
      <x:c r="AH287" s="139" t="n"/>
      <x:c r="AI287" s="139" t="n"/>
      <x:c r="AJ287" s="139" t="n"/>
      <x:c r="AK287" s="139" t="n"/>
      <x:c r="AL287" s="139" t="n"/>
      <x:c r="AM287" s="139" t="n"/>
      <x:c r="AN287" s="139" t="n"/>
      <x:c r="AO287" s="139" t="n"/>
      <x:c r="AP287" s="139" t="n"/>
      <x:c r="AQ287" s="139" t="n"/>
      <x:c r="AR287" s="139" t="n"/>
      <x:c r="AS287" s="139" t="n"/>
      <x:c r="AT287" s="139" t="n"/>
      <x:c r="AU287" s="139" t="n"/>
      <x:c r="AV287" s="139" t="n"/>
      <x:c r="AW287" s="139" t="n"/>
      <x:c r="AX287" s="139" t="n"/>
      <x:c r="AY287" s="139" t="n"/>
      <x:c r="AZ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c r="V288" s="139" t="n"/>
      <x:c r="W288" s="139" t="n"/>
      <x:c r="X288" s="139" t="n"/>
      <x:c r="Y288" s="139" t="n"/>
      <x:c r="Z288" s="139" t="n"/>
      <x:c r="AA288" s="139" t="n"/>
      <x:c r="AB288" s="139" t="n"/>
      <x:c r="AC288" s="139" t="n"/>
      <x:c r="AD288" s="139" t="n"/>
      <x:c r="AE288" s="139" t="n"/>
      <x:c r="AF288" s="139" t="n"/>
      <x:c r="AG288" s="139" t="n"/>
      <x:c r="AH288" s="139" t="n"/>
      <x:c r="AI288" s="139" t="n"/>
      <x:c r="AJ288" s="139" t="n"/>
      <x:c r="AK288" s="139" t="n"/>
      <x:c r="AL288" s="139" t="n"/>
      <x:c r="AM288" s="139" t="n"/>
      <x:c r="AN288" s="139" t="n"/>
      <x:c r="AO288" s="139" t="n"/>
      <x:c r="AP288" s="139" t="n"/>
      <x:c r="AQ288" s="139" t="n"/>
      <x:c r="AR288" s="139" t="n"/>
      <x:c r="AS288" s="139" t="n"/>
      <x:c r="AT288" s="139" t="n"/>
      <x:c r="AU288" s="139" t="n"/>
      <x:c r="AV288" s="139" t="n"/>
      <x:c r="AW288" s="139" t="n"/>
      <x:c r="AX288" s="139" t="n"/>
      <x:c r="AY288" s="139" t="n"/>
      <x:c r="AZ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c r="V289" s="139" t="n"/>
      <x:c r="W289" s="139" t="n"/>
      <x:c r="X289" s="139" t="n"/>
      <x:c r="Y289" s="139" t="n"/>
      <x:c r="Z289" s="139" t="n"/>
      <x:c r="AA289" s="139" t="n"/>
      <x:c r="AB289" s="139" t="n"/>
      <x:c r="AC289" s="139" t="n"/>
      <x:c r="AD289" s="139" t="n"/>
      <x:c r="AE289" s="139" t="n"/>
      <x:c r="AF289" s="139" t="n"/>
      <x:c r="AG289" s="139" t="n"/>
      <x:c r="AH289" s="139" t="n"/>
      <x:c r="AI289" s="139" t="n"/>
      <x:c r="AJ289" s="139" t="n"/>
      <x:c r="AK289" s="139" t="n"/>
      <x:c r="AL289" s="139" t="n"/>
      <x:c r="AM289" s="139" t="n"/>
      <x:c r="AN289" s="139" t="n"/>
      <x:c r="AO289" s="139" t="n"/>
      <x:c r="AP289" s="139" t="n"/>
      <x:c r="AQ289" s="139" t="n"/>
      <x:c r="AR289" s="139" t="n"/>
      <x:c r="AS289" s="139" t="n"/>
      <x:c r="AT289" s="139" t="n"/>
      <x:c r="AU289" s="139" t="n"/>
      <x:c r="AV289" s="139" t="n"/>
      <x:c r="AW289" s="139" t="n"/>
      <x:c r="AX289" s="139" t="n"/>
      <x:c r="AY289" s="139" t="n"/>
      <x:c r="AZ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c r="V290" s="139" t="n"/>
      <x:c r="W290" s="139" t="n"/>
      <x:c r="X290" s="139" t="n"/>
      <x:c r="Y290" s="139" t="n"/>
      <x:c r="Z290" s="139" t="n"/>
      <x:c r="AA290" s="139" t="n"/>
      <x:c r="AB290" s="139" t="n"/>
      <x:c r="AC290" s="139" t="n"/>
      <x:c r="AD290" s="139" t="n"/>
      <x:c r="AE290" s="139" t="n"/>
      <x:c r="AF290" s="139" t="n"/>
      <x:c r="AG290" s="139" t="n"/>
      <x:c r="AH290" s="139" t="n"/>
      <x:c r="AI290" s="139" t="n"/>
      <x:c r="AJ290" s="139" t="n"/>
      <x:c r="AK290" s="139" t="n"/>
      <x:c r="AL290" s="139" t="n"/>
      <x:c r="AM290" s="139" t="n"/>
      <x:c r="AN290" s="139" t="n"/>
      <x:c r="AO290" s="139" t="n"/>
      <x:c r="AP290" s="139" t="n"/>
      <x:c r="AQ290" s="139" t="n"/>
      <x:c r="AR290" s="139" t="n"/>
      <x:c r="AS290" s="139" t="n"/>
      <x:c r="AT290" s="139" t="n"/>
      <x:c r="AU290" s="139" t="n"/>
      <x:c r="AV290" s="139" t="n"/>
      <x:c r="AW290" s="139" t="n"/>
      <x:c r="AX290" s="139" t="n"/>
      <x:c r="AY290" s="139" t="n"/>
      <x:c r="AZ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c r="V291" s="139" t="n"/>
      <x:c r="W291" s="139" t="n"/>
      <x:c r="X291" s="139" t="n"/>
      <x:c r="Y291" s="139" t="n"/>
      <x:c r="Z291" s="139" t="n"/>
      <x:c r="AA291" s="139" t="n"/>
      <x:c r="AB291" s="139" t="n"/>
      <x:c r="AC291" s="139" t="n"/>
      <x:c r="AD291" s="139" t="n"/>
      <x:c r="AE291" s="139" t="n"/>
      <x:c r="AF291" s="139" t="n"/>
      <x:c r="AG291" s="139" t="n"/>
      <x:c r="AH291" s="139" t="n"/>
      <x:c r="AI291" s="139" t="n"/>
      <x:c r="AJ291" s="139" t="n"/>
      <x:c r="AK291" s="139" t="n"/>
      <x:c r="AL291" s="139" t="n"/>
      <x:c r="AM291" s="139" t="n"/>
      <x:c r="AN291" s="139" t="n"/>
      <x:c r="AO291" s="139" t="n"/>
      <x:c r="AP291" s="139" t="n"/>
      <x:c r="AQ291" s="139" t="n"/>
      <x:c r="AR291" s="139" t="n"/>
      <x:c r="AS291" s="139" t="n"/>
      <x:c r="AT291" s="139" t="n"/>
      <x:c r="AU291" s="139" t="n"/>
      <x:c r="AV291" s="139" t="n"/>
      <x:c r="AW291" s="139" t="n"/>
      <x:c r="AX291" s="139" t="n"/>
      <x:c r="AY291" s="139" t="n"/>
      <x:c r="AZ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c r="V292" s="139" t="n"/>
      <x:c r="W292" s="139" t="n"/>
      <x:c r="X292" s="139" t="n"/>
      <x:c r="Y292" s="139" t="n"/>
      <x:c r="Z292" s="139" t="n"/>
      <x:c r="AA292" s="139" t="n"/>
      <x:c r="AB292" s="139" t="n"/>
      <x:c r="AC292" s="139" t="n"/>
      <x:c r="AD292" s="139" t="n"/>
      <x:c r="AE292" s="139" t="n"/>
      <x:c r="AF292" s="139" t="n"/>
      <x:c r="AG292" s="139" t="n"/>
      <x:c r="AH292" s="139" t="n"/>
      <x:c r="AI292" s="139" t="n"/>
      <x:c r="AJ292" s="139" t="n"/>
      <x:c r="AK292" s="139" t="n"/>
      <x:c r="AL292" s="139" t="n"/>
      <x:c r="AM292" s="139" t="n"/>
      <x:c r="AN292" s="139" t="n"/>
      <x:c r="AO292" s="139" t="n"/>
      <x:c r="AP292" s="139" t="n"/>
      <x:c r="AQ292" s="139" t="n"/>
      <x:c r="AR292" s="139" t="n"/>
      <x:c r="AS292" s="139" t="n"/>
      <x:c r="AT292" s="139" t="n"/>
      <x:c r="AU292" s="139" t="n"/>
      <x:c r="AV292" s="139" t="n"/>
      <x:c r="AW292" s="139" t="n"/>
      <x:c r="AX292" s="139" t="n"/>
      <x:c r="AY292" s="139" t="n"/>
      <x:c r="AZ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c r="V293" s="139" t="n"/>
      <x:c r="W293" s="139" t="n"/>
      <x:c r="X293" s="139" t="n"/>
      <x:c r="Y293" s="139" t="n"/>
      <x:c r="Z293" s="139" t="n"/>
      <x:c r="AA293" s="139" t="n"/>
      <x:c r="AB293" s="139" t="n"/>
      <x:c r="AC293" s="139" t="n"/>
      <x:c r="AD293" s="139" t="n"/>
      <x:c r="AE293" s="139" t="n"/>
      <x:c r="AF293" s="139" t="n"/>
      <x:c r="AG293" s="139" t="n"/>
      <x:c r="AH293" s="139" t="n"/>
      <x:c r="AI293" s="139" t="n"/>
      <x:c r="AJ293" s="139" t="n"/>
      <x:c r="AK293" s="139" t="n"/>
      <x:c r="AL293" s="139" t="n"/>
      <x:c r="AM293" s="139" t="n"/>
      <x:c r="AN293" s="139" t="n"/>
      <x:c r="AO293" s="139" t="n"/>
      <x:c r="AP293" s="139" t="n"/>
      <x:c r="AQ293" s="139" t="n"/>
      <x:c r="AR293" s="139" t="n"/>
      <x:c r="AS293" s="139" t="n"/>
      <x:c r="AT293" s="139" t="n"/>
      <x:c r="AU293" s="139" t="n"/>
      <x:c r="AV293" s="139" t="n"/>
      <x:c r="AW293" s="139" t="n"/>
      <x:c r="AX293" s="139" t="n"/>
      <x:c r="AY293" s="139" t="n"/>
      <x:c r="AZ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c r="V294" s="139" t="n"/>
      <x:c r="W294" s="139" t="n"/>
      <x:c r="X294" s="139" t="n"/>
      <x:c r="Y294" s="139" t="n"/>
      <x:c r="Z294" s="139" t="n"/>
      <x:c r="AA294" s="139" t="n"/>
      <x:c r="AB294" s="139" t="n"/>
      <x:c r="AC294" s="139" t="n"/>
      <x:c r="AD294" s="139" t="n"/>
      <x:c r="AE294" s="139" t="n"/>
      <x:c r="AF294" s="139" t="n"/>
      <x:c r="AG294" s="139" t="n"/>
      <x:c r="AH294" s="139" t="n"/>
      <x:c r="AI294" s="139" t="n"/>
      <x:c r="AJ294" s="139" t="n"/>
      <x:c r="AK294" s="139" t="n"/>
      <x:c r="AL294" s="139" t="n"/>
      <x:c r="AM294" s="139" t="n"/>
      <x:c r="AN294" s="139" t="n"/>
      <x:c r="AO294" s="139" t="n"/>
      <x:c r="AP294" s="139" t="n"/>
      <x:c r="AQ294" s="139" t="n"/>
      <x:c r="AR294" s="139" t="n"/>
      <x:c r="AS294" s="139" t="n"/>
      <x:c r="AT294" s="139" t="n"/>
      <x:c r="AU294" s="139" t="n"/>
      <x:c r="AV294" s="139" t="n"/>
      <x:c r="AW294" s="139" t="n"/>
      <x:c r="AX294" s="139" t="n"/>
      <x:c r="AY294" s="139" t="n"/>
      <x:c r="AZ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c r="V295" s="139" t="n"/>
      <x:c r="W295" s="139" t="n"/>
      <x:c r="X295" s="139" t="n"/>
      <x:c r="Y295" s="139" t="n"/>
      <x:c r="Z295" s="139" t="n"/>
      <x:c r="AA295" s="139" t="n"/>
      <x:c r="AB295" s="139" t="n"/>
      <x:c r="AC295" s="139" t="n"/>
      <x:c r="AD295" s="139" t="n"/>
      <x:c r="AE295" s="139" t="n"/>
      <x:c r="AF295" s="139" t="n"/>
      <x:c r="AG295" s="139" t="n"/>
      <x:c r="AH295" s="139" t="n"/>
      <x:c r="AI295" s="139" t="n"/>
      <x:c r="AJ295" s="139" t="n"/>
      <x:c r="AK295" s="139" t="n"/>
      <x:c r="AL295" s="139" t="n"/>
      <x:c r="AM295" s="139" t="n"/>
      <x:c r="AN295" s="139" t="n"/>
      <x:c r="AO295" s="139" t="n"/>
      <x:c r="AP295" s="139" t="n"/>
      <x:c r="AQ295" s="139" t="n"/>
      <x:c r="AR295" s="139" t="n"/>
      <x:c r="AS295" s="139" t="n"/>
      <x:c r="AT295" s="139" t="n"/>
      <x:c r="AU295" s="139" t="n"/>
      <x:c r="AV295" s="139" t="n"/>
      <x:c r="AW295" s="139" t="n"/>
      <x:c r="AX295" s="139" t="n"/>
      <x:c r="AY295" s="139" t="n"/>
      <x:c r="AZ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c r="V296" s="139" t="n"/>
      <x:c r="W296" s="139" t="n"/>
      <x:c r="X296" s="139" t="n"/>
      <x:c r="Y296" s="139" t="n"/>
      <x:c r="Z296" s="139" t="n"/>
      <x:c r="AA296" s="139" t="n"/>
      <x:c r="AB296" s="139" t="n"/>
      <x:c r="AC296" s="139" t="n"/>
      <x:c r="AD296" s="139" t="n"/>
      <x:c r="AE296" s="139" t="n"/>
      <x:c r="AF296" s="139" t="n"/>
      <x:c r="AG296" s="139" t="n"/>
      <x:c r="AH296" s="139" t="n"/>
      <x:c r="AI296" s="139" t="n"/>
      <x:c r="AJ296" s="139" t="n"/>
      <x:c r="AK296" s="139" t="n"/>
      <x:c r="AL296" s="139" t="n"/>
      <x:c r="AM296" s="139" t="n"/>
      <x:c r="AN296" s="139" t="n"/>
      <x:c r="AO296" s="139" t="n"/>
      <x:c r="AP296" s="139" t="n"/>
      <x:c r="AQ296" s="139" t="n"/>
      <x:c r="AR296" s="139" t="n"/>
      <x:c r="AS296" s="139" t="n"/>
      <x:c r="AT296" s="139" t="n"/>
      <x:c r="AU296" s="139" t="n"/>
      <x:c r="AV296" s="139" t="n"/>
      <x:c r="AW296" s="139" t="n"/>
      <x:c r="AX296" s="139" t="n"/>
      <x:c r="AY296" s="139" t="n"/>
      <x:c r="AZ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c r="V297" s="139" t="n"/>
      <x:c r="W297" s="139" t="n"/>
      <x:c r="X297" s="139" t="n"/>
      <x:c r="Y297" s="139" t="n"/>
      <x:c r="Z297" s="139" t="n"/>
      <x:c r="AA297" s="139" t="n"/>
      <x:c r="AB297" s="139" t="n"/>
      <x:c r="AC297" s="139" t="n"/>
      <x:c r="AD297" s="139" t="n"/>
      <x:c r="AE297" s="139" t="n"/>
      <x:c r="AF297" s="139" t="n"/>
      <x:c r="AG297" s="139" t="n"/>
      <x:c r="AH297" s="139" t="n"/>
      <x:c r="AI297" s="139" t="n"/>
      <x:c r="AJ297" s="139" t="n"/>
      <x:c r="AK297" s="139" t="n"/>
      <x:c r="AL297" s="139" t="n"/>
      <x:c r="AM297" s="139" t="n"/>
      <x:c r="AN297" s="139" t="n"/>
      <x:c r="AO297" s="139" t="n"/>
      <x:c r="AP297" s="139" t="n"/>
      <x:c r="AQ297" s="139" t="n"/>
      <x:c r="AR297" s="139" t="n"/>
      <x:c r="AS297" s="139" t="n"/>
      <x:c r="AT297" s="139" t="n"/>
      <x:c r="AU297" s="139" t="n"/>
      <x:c r="AV297" s="139" t="n"/>
      <x:c r="AW297" s="139" t="n"/>
      <x:c r="AX297" s="139" t="n"/>
      <x:c r="AY297" s="139" t="n"/>
      <x:c r="AZ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c r="V298" s="139" t="n"/>
      <x:c r="W298" s="139" t="n"/>
      <x:c r="X298" s="139" t="n"/>
      <x:c r="Y298" s="139" t="n"/>
      <x:c r="Z298" s="139" t="n"/>
      <x:c r="AA298" s="139" t="n"/>
      <x:c r="AB298" s="139" t="n"/>
      <x:c r="AC298" s="139" t="n"/>
      <x:c r="AD298" s="139" t="n"/>
      <x:c r="AE298" s="139" t="n"/>
      <x:c r="AF298" s="139" t="n"/>
      <x:c r="AG298" s="139" t="n"/>
      <x:c r="AH298" s="139" t="n"/>
      <x:c r="AI298" s="139" t="n"/>
      <x:c r="AJ298" s="139" t="n"/>
      <x:c r="AK298" s="139" t="n"/>
      <x:c r="AL298" s="139" t="n"/>
      <x:c r="AM298" s="139" t="n"/>
      <x:c r="AN298" s="139" t="n"/>
      <x:c r="AO298" s="139" t="n"/>
      <x:c r="AP298" s="139" t="n"/>
      <x:c r="AQ298" s="139" t="n"/>
      <x:c r="AR298" s="139" t="n"/>
      <x:c r="AS298" s="139" t="n"/>
      <x:c r="AT298" s="139" t="n"/>
      <x:c r="AU298" s="139" t="n"/>
      <x:c r="AV298" s="139" t="n"/>
      <x:c r="AW298" s="139" t="n"/>
      <x:c r="AX298" s="139" t="n"/>
      <x:c r="AY298" s="139" t="n"/>
      <x:c r="AZ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c r="V299" s="139" t="n"/>
      <x:c r="W299" s="139" t="n"/>
      <x:c r="X299" s="139" t="n"/>
      <x:c r="Y299" s="139" t="n"/>
      <x:c r="Z299" s="139" t="n"/>
      <x:c r="AA299" s="139" t="n"/>
      <x:c r="AB299" s="139" t="n"/>
      <x:c r="AC299" s="139" t="n"/>
      <x:c r="AD299" s="139" t="n"/>
      <x:c r="AE299" s="139" t="n"/>
      <x:c r="AF299" s="139" t="n"/>
      <x:c r="AG299" s="139" t="n"/>
      <x:c r="AH299" s="139" t="n"/>
      <x:c r="AI299" s="139" t="n"/>
      <x:c r="AJ299" s="139" t="n"/>
      <x:c r="AK299" s="139" t="n"/>
      <x:c r="AL299" s="139" t="n"/>
      <x:c r="AM299" s="139" t="n"/>
      <x:c r="AN299" s="139" t="n"/>
      <x:c r="AO299" s="139" t="n"/>
      <x:c r="AP299" s="139" t="n"/>
      <x:c r="AQ299" s="139" t="n"/>
      <x:c r="AR299" s="139" t="n"/>
      <x:c r="AS299" s="139" t="n"/>
      <x:c r="AT299" s="139" t="n"/>
      <x:c r="AU299" s="139" t="n"/>
      <x:c r="AV299" s="139" t="n"/>
      <x:c r="AW299" s="139" t="n"/>
      <x:c r="AX299" s="139" t="n"/>
      <x:c r="AY299" s="139" t="n"/>
      <x:c r="AZ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c r="V300" s="139" t="n"/>
      <x:c r="W300" s="139" t="n"/>
      <x:c r="X300" s="139" t="n"/>
      <x:c r="Y300" s="139" t="n"/>
      <x:c r="Z300" s="139" t="n"/>
      <x:c r="AA300" s="139" t="n"/>
      <x:c r="AB300" s="139" t="n"/>
      <x:c r="AC300" s="139" t="n"/>
      <x:c r="AD300" s="139" t="n"/>
      <x:c r="AE300" s="139" t="n"/>
      <x:c r="AF300" s="139" t="n"/>
      <x:c r="AG300" s="139" t="n"/>
      <x:c r="AH300" s="139" t="n"/>
      <x:c r="AI300" s="139" t="n"/>
      <x:c r="AJ300" s="139" t="n"/>
      <x:c r="AK300" s="139" t="n"/>
      <x:c r="AL300" s="139" t="n"/>
      <x:c r="AM300" s="139" t="n"/>
      <x:c r="AN300" s="139" t="n"/>
      <x:c r="AO300" s="139" t="n"/>
      <x:c r="AP300" s="139" t="n"/>
      <x:c r="AQ300" s="139" t="n"/>
      <x:c r="AR300" s="139" t="n"/>
      <x:c r="AS300" s="139" t="n"/>
      <x:c r="AT300" s="139" t="n"/>
      <x:c r="AU300" s="139" t="n"/>
      <x:c r="AV300" s="139" t="n"/>
      <x:c r="AW300" s="139" t="n"/>
      <x:c r="AX300" s="139" t="n"/>
      <x:c r="AY300" s="139" t="n"/>
      <x:c r="AZ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c r="V301" s="139" t="n"/>
      <x:c r="W301" s="139" t="n"/>
      <x:c r="X301" s="139" t="n"/>
      <x:c r="Y301" s="139" t="n"/>
      <x:c r="Z301" s="139" t="n"/>
      <x:c r="AA301" s="139" t="n"/>
      <x:c r="AB301" s="139" t="n"/>
      <x:c r="AC301" s="139" t="n"/>
      <x:c r="AD301" s="139" t="n"/>
      <x:c r="AE301" s="139" t="n"/>
      <x:c r="AF301" s="139" t="n"/>
      <x:c r="AG301" s="139" t="n"/>
      <x:c r="AH301" s="139" t="n"/>
      <x:c r="AI301" s="139" t="n"/>
      <x:c r="AJ301" s="139" t="n"/>
      <x:c r="AK301" s="139" t="n"/>
      <x:c r="AL301" s="139" t="n"/>
      <x:c r="AM301" s="139" t="n"/>
      <x:c r="AN301" s="139" t="n"/>
      <x:c r="AO301" s="139" t="n"/>
      <x:c r="AP301" s="139" t="n"/>
      <x:c r="AQ301" s="139" t="n"/>
      <x:c r="AR301" s="139" t="n"/>
      <x:c r="AS301" s="139" t="n"/>
      <x:c r="AT301" s="139" t="n"/>
      <x:c r="AU301" s="139" t="n"/>
      <x:c r="AV301" s="139" t="n"/>
      <x:c r="AW301" s="139" t="n"/>
      <x:c r="AX301" s="139" t="n"/>
      <x:c r="AY301" s="139" t="n"/>
      <x:c r="AZ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c r="V302" s="139" t="n"/>
      <x:c r="W302" s="139" t="n"/>
      <x:c r="X302" s="139" t="n"/>
      <x:c r="Y302" s="139" t="n"/>
      <x:c r="Z302" s="139" t="n"/>
      <x:c r="AA302" s="139" t="n"/>
      <x:c r="AB302" s="139" t="n"/>
      <x:c r="AC302" s="139" t="n"/>
      <x:c r="AD302" s="139" t="n"/>
      <x:c r="AE302" s="139" t="n"/>
      <x:c r="AF302" s="139" t="n"/>
      <x:c r="AG302" s="139" t="n"/>
      <x:c r="AH302" s="139" t="n"/>
      <x:c r="AI302" s="139" t="n"/>
      <x:c r="AJ302" s="139" t="n"/>
      <x:c r="AK302" s="139" t="n"/>
      <x:c r="AL302" s="139" t="n"/>
      <x:c r="AM302" s="139" t="n"/>
      <x:c r="AN302" s="139" t="n"/>
      <x:c r="AO302" s="139" t="n"/>
      <x:c r="AP302" s="139" t="n"/>
      <x:c r="AQ302" s="139" t="n"/>
      <x:c r="AR302" s="139" t="n"/>
      <x:c r="AS302" s="139" t="n"/>
      <x:c r="AT302" s="139" t="n"/>
      <x:c r="AU302" s="139" t="n"/>
      <x:c r="AV302" s="139" t="n"/>
      <x:c r="AW302" s="139" t="n"/>
      <x:c r="AX302" s="139" t="n"/>
      <x:c r="AY302" s="139" t="n"/>
      <x:c r="AZ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c r="V303" s="139" t="n"/>
      <x:c r="W303" s="139" t="n"/>
      <x:c r="X303" s="139" t="n"/>
      <x:c r="Y303" s="139" t="n"/>
      <x:c r="Z303" s="139" t="n"/>
      <x:c r="AA303" s="139" t="n"/>
      <x:c r="AB303" s="139" t="n"/>
      <x:c r="AC303" s="139" t="n"/>
      <x:c r="AD303" s="139" t="n"/>
      <x:c r="AE303" s="139" t="n"/>
      <x:c r="AF303" s="139" t="n"/>
      <x:c r="AG303" s="139" t="n"/>
      <x:c r="AH303" s="139" t="n"/>
      <x:c r="AI303" s="139" t="n"/>
      <x:c r="AJ303" s="139" t="n"/>
      <x:c r="AK303" s="139" t="n"/>
      <x:c r="AL303" s="139" t="n"/>
      <x:c r="AM303" s="139" t="n"/>
      <x:c r="AN303" s="139" t="n"/>
      <x:c r="AO303" s="139" t="n"/>
      <x:c r="AP303" s="139" t="n"/>
      <x:c r="AQ303" s="139" t="n"/>
      <x:c r="AR303" s="139" t="n"/>
      <x:c r="AS303" s="139" t="n"/>
      <x:c r="AT303" s="139" t="n"/>
      <x:c r="AU303" s="139" t="n"/>
      <x:c r="AV303" s="139" t="n"/>
      <x:c r="AW303" s="139" t="n"/>
      <x:c r="AX303" s="139" t="n"/>
      <x:c r="AY303" s="139" t="n"/>
      <x:c r="AZ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c r="V304" s="139" t="n"/>
      <x:c r="W304" s="139" t="n"/>
      <x:c r="X304" s="139" t="n"/>
      <x:c r="Y304" s="139" t="n"/>
      <x:c r="Z304" s="139" t="n"/>
      <x:c r="AA304" s="139" t="n"/>
      <x:c r="AB304" s="139" t="n"/>
      <x:c r="AC304" s="139" t="n"/>
      <x:c r="AD304" s="139" t="n"/>
      <x:c r="AE304" s="139" t="n"/>
      <x:c r="AF304" s="139" t="n"/>
      <x:c r="AG304" s="139" t="n"/>
      <x:c r="AH304" s="139" t="n"/>
      <x:c r="AI304" s="139" t="n"/>
      <x:c r="AJ304" s="139" t="n"/>
      <x:c r="AK304" s="139" t="n"/>
      <x:c r="AL304" s="139" t="n"/>
      <x:c r="AM304" s="139" t="n"/>
      <x:c r="AN304" s="139" t="n"/>
      <x:c r="AO304" s="139" t="n"/>
      <x:c r="AP304" s="139" t="n"/>
      <x:c r="AQ304" s="139" t="n"/>
      <x:c r="AR304" s="139" t="n"/>
      <x:c r="AS304" s="139" t="n"/>
      <x:c r="AT304" s="139" t="n"/>
      <x:c r="AU304" s="139" t="n"/>
      <x:c r="AV304" s="139" t="n"/>
      <x:c r="AW304" s="139" t="n"/>
      <x:c r="AX304" s="139" t="n"/>
      <x:c r="AY304" s="139" t="n"/>
      <x:c r="AZ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c r="V305" s="139" t="n"/>
      <x:c r="W305" s="139" t="n"/>
      <x:c r="X305" s="139" t="n"/>
      <x:c r="Y305" s="139" t="n"/>
      <x:c r="Z305" s="139" t="n"/>
      <x:c r="AA305" s="139" t="n"/>
      <x:c r="AB305" s="139" t="n"/>
      <x:c r="AC305" s="139" t="n"/>
      <x:c r="AD305" s="139" t="n"/>
      <x:c r="AE305" s="139" t="n"/>
      <x:c r="AF305" s="139" t="n"/>
      <x:c r="AG305" s="139" t="n"/>
      <x:c r="AH305" s="139" t="n"/>
      <x:c r="AI305" s="139" t="n"/>
      <x:c r="AJ305" s="139" t="n"/>
      <x:c r="AK305" s="139" t="n"/>
      <x:c r="AL305" s="139" t="n"/>
      <x:c r="AM305" s="139" t="n"/>
      <x:c r="AN305" s="139" t="n"/>
      <x:c r="AO305" s="139" t="n"/>
      <x:c r="AP305" s="139" t="n"/>
      <x:c r="AQ305" s="139" t="n"/>
      <x:c r="AR305" s="139" t="n"/>
      <x:c r="AS305" s="139" t="n"/>
      <x:c r="AT305" s="139" t="n"/>
      <x:c r="AU305" s="139" t="n"/>
      <x:c r="AV305" s="139" t="n"/>
      <x:c r="AW305" s="139" t="n"/>
      <x:c r="AX305" s="139" t="n"/>
      <x:c r="AY305" s="139" t="n"/>
      <x:c r="AZ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c r="V306" s="139" t="n"/>
      <x:c r="W306" s="139" t="n"/>
      <x:c r="X306" s="139" t="n"/>
      <x:c r="Y306" s="139" t="n"/>
      <x:c r="Z306" s="139" t="n"/>
      <x:c r="AA306" s="139" t="n"/>
      <x:c r="AB306" s="139" t="n"/>
      <x:c r="AC306" s="139" t="n"/>
      <x:c r="AD306" s="139" t="n"/>
      <x:c r="AE306" s="139" t="n"/>
      <x:c r="AF306" s="139" t="n"/>
      <x:c r="AG306" s="139" t="n"/>
      <x:c r="AH306" s="139" t="n"/>
      <x:c r="AI306" s="139" t="n"/>
      <x:c r="AJ306" s="139" t="n"/>
      <x:c r="AK306" s="139" t="n"/>
      <x:c r="AL306" s="139" t="n"/>
      <x:c r="AM306" s="139" t="n"/>
      <x:c r="AN306" s="139" t="n"/>
      <x:c r="AO306" s="139" t="n"/>
      <x:c r="AP306" s="139" t="n"/>
      <x:c r="AQ306" s="139" t="n"/>
      <x:c r="AR306" s="139" t="n"/>
      <x:c r="AS306" s="139" t="n"/>
      <x:c r="AT306" s="139" t="n"/>
      <x:c r="AU306" s="139" t="n"/>
      <x:c r="AV306" s="139" t="n"/>
      <x:c r="AW306" s="139" t="n"/>
      <x:c r="AX306" s="139" t="n"/>
      <x:c r="AY306" s="139" t="n"/>
      <x:c r="AZ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c r="V307" s="139" t="n"/>
      <x:c r="W307" s="139" t="n"/>
      <x:c r="X307" s="139" t="n"/>
      <x:c r="Y307" s="139" t="n"/>
      <x:c r="Z307" s="139" t="n"/>
      <x:c r="AA307" s="139" t="n"/>
      <x:c r="AB307" s="139" t="n"/>
      <x:c r="AC307" s="139" t="n"/>
      <x:c r="AD307" s="139" t="n"/>
      <x:c r="AE307" s="139" t="n"/>
      <x:c r="AF307" s="139" t="n"/>
      <x:c r="AG307" s="139" t="n"/>
      <x:c r="AH307" s="139" t="n"/>
      <x:c r="AI307" s="139" t="n"/>
      <x:c r="AJ307" s="139" t="n"/>
      <x:c r="AK307" s="139" t="n"/>
      <x:c r="AL307" s="139" t="n"/>
      <x:c r="AM307" s="139" t="n"/>
      <x:c r="AN307" s="139" t="n"/>
      <x:c r="AO307" s="139" t="n"/>
      <x:c r="AP307" s="139" t="n"/>
      <x:c r="AQ307" s="139" t="n"/>
      <x:c r="AR307" s="139" t="n"/>
      <x:c r="AS307" s="139" t="n"/>
      <x:c r="AT307" s="139" t="n"/>
      <x:c r="AU307" s="139" t="n"/>
      <x:c r="AV307" s="139" t="n"/>
      <x:c r="AW307" s="139" t="n"/>
      <x:c r="AX307" s="139" t="n"/>
      <x:c r="AY307" s="139" t="n"/>
      <x:c r="AZ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c r="V308" s="139" t="n"/>
      <x:c r="W308" s="139" t="n"/>
      <x:c r="X308" s="139" t="n"/>
      <x:c r="Y308" s="139" t="n"/>
      <x:c r="Z308" s="139" t="n"/>
      <x:c r="AA308" s="139" t="n"/>
      <x:c r="AB308" s="139" t="n"/>
      <x:c r="AC308" s="139" t="n"/>
      <x:c r="AD308" s="139" t="n"/>
      <x:c r="AE308" s="139" t="n"/>
      <x:c r="AF308" s="139" t="n"/>
      <x:c r="AG308" s="139" t="n"/>
      <x:c r="AH308" s="139" t="n"/>
      <x:c r="AI308" s="139" t="n"/>
      <x:c r="AJ308" s="139" t="n"/>
      <x:c r="AK308" s="139" t="n"/>
      <x:c r="AL308" s="139" t="n"/>
      <x:c r="AM308" s="139" t="n"/>
      <x:c r="AN308" s="139" t="n"/>
      <x:c r="AO308" s="139" t="n"/>
      <x:c r="AP308" s="139" t="n"/>
      <x:c r="AQ308" s="139" t="n"/>
      <x:c r="AR308" s="139" t="n"/>
      <x:c r="AS308" s="139" t="n"/>
      <x:c r="AT308" s="139" t="n"/>
      <x:c r="AU308" s="139" t="n"/>
      <x:c r="AV308" s="139" t="n"/>
      <x:c r="AW308" s="139" t="n"/>
      <x:c r="AX308" s="139" t="n"/>
      <x:c r="AY308" s="139" t="n"/>
      <x:c r="AZ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c r="V309" s="139" t="n"/>
      <x:c r="W309" s="139" t="n"/>
      <x:c r="X309" s="139" t="n"/>
      <x:c r="Y309" s="139" t="n"/>
      <x:c r="Z309" s="139" t="n"/>
      <x:c r="AA309" s="139" t="n"/>
      <x:c r="AB309" s="139" t="n"/>
      <x:c r="AC309" s="139" t="n"/>
      <x:c r="AD309" s="139" t="n"/>
      <x:c r="AE309" s="139" t="n"/>
      <x:c r="AF309" s="139" t="n"/>
      <x:c r="AG309" s="139" t="n"/>
      <x:c r="AH309" s="139" t="n"/>
      <x:c r="AI309" s="139" t="n"/>
      <x:c r="AJ309" s="139" t="n"/>
      <x:c r="AK309" s="139" t="n"/>
      <x:c r="AL309" s="139" t="n"/>
      <x:c r="AM309" s="139" t="n"/>
      <x:c r="AN309" s="139" t="n"/>
      <x:c r="AO309" s="139" t="n"/>
      <x:c r="AP309" s="139" t="n"/>
      <x:c r="AQ309" s="139" t="n"/>
      <x:c r="AR309" s="139" t="n"/>
      <x:c r="AS309" s="139" t="n"/>
      <x:c r="AT309" s="139" t="n"/>
      <x:c r="AU309" s="139" t="n"/>
      <x:c r="AV309" s="139" t="n"/>
      <x:c r="AW309" s="139" t="n"/>
      <x:c r="AX309" s="139" t="n"/>
      <x:c r="AY309" s="139" t="n"/>
      <x:c r="AZ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c r="V310" s="139" t="n"/>
      <x:c r="W310" s="139" t="n"/>
      <x:c r="X310" s="139" t="n"/>
      <x:c r="Y310" s="139" t="n"/>
      <x:c r="Z310" s="139" t="n"/>
      <x:c r="AA310" s="139" t="n"/>
      <x:c r="AB310" s="139" t="n"/>
      <x:c r="AC310" s="139" t="n"/>
      <x:c r="AD310" s="139" t="n"/>
      <x:c r="AE310" s="139" t="n"/>
      <x:c r="AF310" s="139" t="n"/>
      <x:c r="AG310" s="139" t="n"/>
      <x:c r="AH310" s="139" t="n"/>
      <x:c r="AI310" s="139" t="n"/>
      <x:c r="AJ310" s="139" t="n"/>
      <x:c r="AK310" s="139" t="n"/>
      <x:c r="AL310" s="139" t="n"/>
      <x:c r="AM310" s="139" t="n"/>
      <x:c r="AN310" s="139" t="n"/>
      <x:c r="AO310" s="139" t="n"/>
      <x:c r="AP310" s="139" t="n"/>
      <x:c r="AQ310" s="139" t="n"/>
      <x:c r="AR310" s="139" t="n"/>
      <x:c r="AS310" s="139" t="n"/>
      <x:c r="AT310" s="139" t="n"/>
      <x:c r="AU310" s="139" t="n"/>
      <x:c r="AV310" s="139" t="n"/>
      <x:c r="AW310" s="139" t="n"/>
      <x:c r="AX310" s="139" t="n"/>
      <x:c r="AY310" s="139" t="n"/>
      <x:c r="AZ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c r="V311" s="139" t="n"/>
      <x:c r="W311" s="139" t="n"/>
      <x:c r="X311" s="139" t="n"/>
      <x:c r="Y311" s="139" t="n"/>
      <x:c r="Z311" s="139" t="n"/>
      <x:c r="AA311" s="139" t="n"/>
      <x:c r="AB311" s="139" t="n"/>
      <x:c r="AC311" s="139" t="n"/>
      <x:c r="AD311" s="139" t="n"/>
      <x:c r="AE311" s="139" t="n"/>
      <x:c r="AF311" s="139" t="n"/>
      <x:c r="AG311" s="139" t="n"/>
      <x:c r="AH311" s="139" t="n"/>
      <x:c r="AI311" s="139" t="n"/>
      <x:c r="AJ311" s="139" t="n"/>
      <x:c r="AK311" s="139" t="n"/>
      <x:c r="AL311" s="139" t="n"/>
      <x:c r="AM311" s="139" t="n"/>
      <x:c r="AN311" s="139" t="n"/>
      <x:c r="AO311" s="139" t="n"/>
      <x:c r="AP311" s="139" t="n"/>
      <x:c r="AQ311" s="139" t="n"/>
      <x:c r="AR311" s="139" t="n"/>
      <x:c r="AS311" s="139" t="n"/>
      <x:c r="AT311" s="139" t="n"/>
      <x:c r="AU311" s="139" t="n"/>
      <x:c r="AV311" s="139" t="n"/>
      <x:c r="AW311" s="139" t="n"/>
      <x:c r="AX311" s="139" t="n"/>
      <x:c r="AY311" s="139" t="n"/>
      <x:c r="AZ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c r="V312" s="139" t="n"/>
      <x:c r="W312" s="139" t="n"/>
      <x:c r="X312" s="139" t="n"/>
      <x:c r="Y312" s="139" t="n"/>
      <x:c r="Z312" s="139" t="n"/>
      <x:c r="AA312" s="139" t="n"/>
      <x:c r="AB312" s="139" t="n"/>
      <x:c r="AC312" s="139" t="n"/>
      <x:c r="AD312" s="139" t="n"/>
      <x:c r="AE312" s="139" t="n"/>
      <x:c r="AF312" s="139" t="n"/>
      <x:c r="AG312" s="139" t="n"/>
      <x:c r="AH312" s="139" t="n"/>
      <x:c r="AI312" s="139" t="n"/>
      <x:c r="AJ312" s="139" t="n"/>
      <x:c r="AK312" s="139" t="n"/>
      <x:c r="AL312" s="139" t="n"/>
      <x:c r="AM312" s="139" t="n"/>
      <x:c r="AN312" s="139" t="n"/>
      <x:c r="AO312" s="139" t="n"/>
      <x:c r="AP312" s="139" t="n"/>
      <x:c r="AQ312" s="139" t="n"/>
      <x:c r="AR312" s="139" t="n"/>
      <x:c r="AS312" s="139" t="n"/>
      <x:c r="AT312" s="139" t="n"/>
      <x:c r="AU312" s="139" t="n"/>
      <x:c r="AV312" s="139" t="n"/>
      <x:c r="AW312" s="139" t="n"/>
      <x:c r="AX312" s="139" t="n"/>
      <x:c r="AY312" s="139" t="n"/>
      <x:c r="AZ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c r="V313" s="139" t="n"/>
      <x:c r="W313" s="139" t="n"/>
      <x:c r="X313" s="139" t="n"/>
      <x:c r="Y313" s="139" t="n"/>
      <x:c r="Z313" s="139" t="n"/>
      <x:c r="AA313" s="139" t="n"/>
      <x:c r="AB313" s="139" t="n"/>
      <x:c r="AC313" s="139" t="n"/>
      <x:c r="AD313" s="139" t="n"/>
      <x:c r="AE313" s="139" t="n"/>
      <x:c r="AF313" s="139" t="n"/>
      <x:c r="AG313" s="139" t="n"/>
      <x:c r="AH313" s="139" t="n"/>
      <x:c r="AI313" s="139" t="n"/>
      <x:c r="AJ313" s="139" t="n"/>
      <x:c r="AK313" s="139" t="n"/>
      <x:c r="AL313" s="139" t="n"/>
      <x:c r="AM313" s="139" t="n"/>
      <x:c r="AN313" s="139" t="n"/>
      <x:c r="AO313" s="139" t="n"/>
      <x:c r="AP313" s="139" t="n"/>
      <x:c r="AQ313" s="139" t="n"/>
      <x:c r="AR313" s="139" t="n"/>
      <x:c r="AS313" s="139" t="n"/>
      <x:c r="AT313" s="139" t="n"/>
      <x:c r="AU313" s="139" t="n"/>
      <x:c r="AV313" s="139" t="n"/>
      <x:c r="AW313" s="139" t="n"/>
      <x:c r="AX313" s="139" t="n"/>
      <x:c r="AY313" s="139" t="n"/>
      <x:c r="AZ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c r="V314" s="139" t="n"/>
      <x:c r="W314" s="139" t="n"/>
      <x:c r="X314" s="139" t="n"/>
      <x:c r="Y314" s="139" t="n"/>
      <x:c r="Z314" s="139" t="n"/>
      <x:c r="AA314" s="139" t="n"/>
      <x:c r="AB314" s="139" t="n"/>
      <x:c r="AC314" s="139" t="n"/>
      <x:c r="AD314" s="139" t="n"/>
      <x:c r="AE314" s="139" t="n"/>
      <x:c r="AF314" s="139" t="n"/>
      <x:c r="AG314" s="139" t="n"/>
      <x:c r="AH314" s="139" t="n"/>
      <x:c r="AI314" s="139" t="n"/>
      <x:c r="AJ314" s="139" t="n"/>
      <x:c r="AK314" s="139" t="n"/>
      <x:c r="AL314" s="139" t="n"/>
      <x:c r="AM314" s="139" t="n"/>
      <x:c r="AN314" s="139" t="n"/>
      <x:c r="AO314" s="139" t="n"/>
      <x:c r="AP314" s="139" t="n"/>
      <x:c r="AQ314" s="139" t="n"/>
      <x:c r="AR314" s="139" t="n"/>
      <x:c r="AS314" s="139" t="n"/>
      <x:c r="AT314" s="139" t="n"/>
      <x:c r="AU314" s="139" t="n"/>
      <x:c r="AV314" s="139" t="n"/>
      <x:c r="AW314" s="139" t="n"/>
      <x:c r="AX314" s="139" t="n"/>
      <x:c r="AY314" s="139" t="n"/>
      <x:c r="AZ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c r="V315" s="139" t="n"/>
      <x:c r="W315" s="139" t="n"/>
      <x:c r="X315" s="139" t="n"/>
      <x:c r="Y315" s="139" t="n"/>
      <x:c r="Z315" s="139" t="n"/>
      <x:c r="AA315" s="139" t="n"/>
      <x:c r="AB315" s="139" t="n"/>
      <x:c r="AC315" s="139" t="n"/>
      <x:c r="AD315" s="139" t="n"/>
      <x:c r="AE315" s="139" t="n"/>
      <x:c r="AF315" s="139" t="n"/>
      <x:c r="AG315" s="139" t="n"/>
      <x:c r="AH315" s="139" t="n"/>
      <x:c r="AI315" s="139" t="n"/>
      <x:c r="AJ315" s="139" t="n"/>
      <x:c r="AK315" s="139" t="n"/>
      <x:c r="AL315" s="139" t="n"/>
      <x:c r="AM315" s="139" t="n"/>
      <x:c r="AN315" s="139" t="n"/>
      <x:c r="AO315" s="139" t="n"/>
      <x:c r="AP315" s="139" t="n"/>
      <x:c r="AQ315" s="139" t="n"/>
      <x:c r="AR315" s="139" t="n"/>
      <x:c r="AS315" s="139" t="n"/>
      <x:c r="AT315" s="139" t="n"/>
      <x:c r="AU315" s="139" t="n"/>
      <x:c r="AV315" s="139" t="n"/>
      <x:c r="AW315" s="139" t="n"/>
      <x:c r="AX315" s="139" t="n"/>
      <x:c r="AY315" s="139" t="n"/>
      <x:c r="AZ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c r="V316" s="139" t="n"/>
      <x:c r="W316" s="139" t="n"/>
      <x:c r="X316" s="139" t="n"/>
      <x:c r="Y316" s="139" t="n"/>
      <x:c r="Z316" s="139" t="n"/>
      <x:c r="AA316" s="139" t="n"/>
      <x:c r="AB316" s="139" t="n"/>
      <x:c r="AC316" s="139" t="n"/>
      <x:c r="AD316" s="139" t="n"/>
      <x:c r="AE316" s="139" t="n"/>
      <x:c r="AF316" s="139" t="n"/>
      <x:c r="AG316" s="139" t="n"/>
      <x:c r="AH316" s="139" t="n"/>
      <x:c r="AI316" s="139" t="n"/>
      <x:c r="AJ316" s="139" t="n"/>
      <x:c r="AK316" s="139" t="n"/>
      <x:c r="AL316" s="139" t="n"/>
      <x:c r="AM316" s="139" t="n"/>
      <x:c r="AN316" s="139" t="n"/>
      <x:c r="AO316" s="139" t="n"/>
      <x:c r="AP316" s="139" t="n"/>
      <x:c r="AQ316" s="139" t="n"/>
      <x:c r="AR316" s="139" t="n"/>
      <x:c r="AS316" s="139" t="n"/>
      <x:c r="AT316" s="139" t="n"/>
      <x:c r="AU316" s="139" t="n"/>
      <x:c r="AV316" s="139" t="n"/>
      <x:c r="AW316" s="139" t="n"/>
      <x:c r="AX316" s="139" t="n"/>
      <x:c r="AY316" s="139" t="n"/>
      <x:c r="AZ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c r="V317" s="139" t="n"/>
      <x:c r="W317" s="139" t="n"/>
      <x:c r="X317" s="139" t="n"/>
      <x:c r="Y317" s="139" t="n"/>
      <x:c r="Z317" s="139" t="n"/>
      <x:c r="AA317" s="139" t="n"/>
      <x:c r="AB317" s="139" t="n"/>
      <x:c r="AC317" s="139" t="n"/>
      <x:c r="AD317" s="139" t="n"/>
      <x:c r="AE317" s="139" t="n"/>
      <x:c r="AF317" s="139" t="n"/>
      <x:c r="AG317" s="139" t="n"/>
      <x:c r="AH317" s="139" t="n"/>
      <x:c r="AI317" s="139" t="n"/>
      <x:c r="AJ317" s="139" t="n"/>
      <x:c r="AK317" s="139" t="n"/>
      <x:c r="AL317" s="139" t="n"/>
      <x:c r="AM317" s="139" t="n"/>
      <x:c r="AN317" s="139" t="n"/>
      <x:c r="AO317" s="139" t="n"/>
      <x:c r="AP317" s="139" t="n"/>
      <x:c r="AQ317" s="139" t="n"/>
      <x:c r="AR317" s="139" t="n"/>
      <x:c r="AS317" s="139" t="n"/>
      <x:c r="AT317" s="139" t="n"/>
      <x:c r="AU317" s="139" t="n"/>
      <x:c r="AV317" s="139" t="n"/>
      <x:c r="AW317" s="139" t="n"/>
      <x:c r="AX317" s="139" t="n"/>
      <x:c r="AY317" s="139" t="n"/>
      <x:c r="AZ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c r="V318" s="139" t="n"/>
      <x:c r="W318" s="139" t="n"/>
      <x:c r="X318" s="139" t="n"/>
      <x:c r="Y318" s="139" t="n"/>
      <x:c r="Z318" s="139" t="n"/>
      <x:c r="AA318" s="139" t="n"/>
      <x:c r="AB318" s="139" t="n"/>
      <x:c r="AC318" s="139" t="n"/>
      <x:c r="AD318" s="139" t="n"/>
      <x:c r="AE318" s="139" t="n"/>
      <x:c r="AF318" s="139" t="n"/>
      <x:c r="AG318" s="139" t="n"/>
      <x:c r="AH318" s="139" t="n"/>
      <x:c r="AI318" s="139" t="n"/>
      <x:c r="AJ318" s="139" t="n"/>
      <x:c r="AK318" s="139" t="n"/>
      <x:c r="AL318" s="139" t="n"/>
      <x:c r="AM318" s="139" t="n"/>
      <x:c r="AN318" s="139" t="n"/>
      <x:c r="AO318" s="139" t="n"/>
      <x:c r="AP318" s="139" t="n"/>
      <x:c r="AQ318" s="139" t="n"/>
      <x:c r="AR318" s="139" t="n"/>
      <x:c r="AS318" s="139" t="n"/>
      <x:c r="AT318" s="139" t="n"/>
      <x:c r="AU318" s="139" t="n"/>
      <x:c r="AV318" s="139" t="n"/>
      <x:c r="AW318" s="139" t="n"/>
      <x:c r="AX318" s="139" t="n"/>
      <x:c r="AY318" s="139" t="n"/>
      <x:c r="AZ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c r="V319" s="139" t="n"/>
      <x:c r="W319" s="139" t="n"/>
      <x:c r="X319" s="139" t="n"/>
      <x:c r="Y319" s="139" t="n"/>
      <x:c r="Z319" s="139" t="n"/>
      <x:c r="AA319" s="139" t="n"/>
      <x:c r="AB319" s="139" t="n"/>
      <x:c r="AC319" s="139" t="n"/>
      <x:c r="AD319" s="139" t="n"/>
      <x:c r="AE319" s="139" t="n"/>
      <x:c r="AF319" s="139" t="n"/>
      <x:c r="AG319" s="139" t="n"/>
      <x:c r="AH319" s="139" t="n"/>
      <x:c r="AI319" s="139" t="n"/>
      <x:c r="AJ319" s="139" t="n"/>
      <x:c r="AK319" s="139" t="n"/>
      <x:c r="AL319" s="139" t="n"/>
      <x:c r="AM319" s="139" t="n"/>
      <x:c r="AN319" s="139" t="n"/>
      <x:c r="AO319" s="139" t="n"/>
      <x:c r="AP319" s="139" t="n"/>
      <x:c r="AQ319" s="139" t="n"/>
      <x:c r="AR319" s="139" t="n"/>
      <x:c r="AS319" s="139" t="n"/>
      <x:c r="AT319" s="139" t="n"/>
      <x:c r="AU319" s="139" t="n"/>
      <x:c r="AV319" s="139" t="n"/>
      <x:c r="AW319" s="139" t="n"/>
      <x:c r="AX319" s="139" t="n"/>
      <x:c r="AY319" s="139" t="n"/>
      <x:c r="AZ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c r="V320" s="139" t="n"/>
      <x:c r="W320" s="139" t="n"/>
      <x:c r="X320" s="139" t="n"/>
      <x:c r="Y320" s="139" t="n"/>
      <x:c r="Z320" s="139" t="n"/>
      <x:c r="AA320" s="139" t="n"/>
      <x:c r="AB320" s="139" t="n"/>
      <x:c r="AC320" s="139" t="n"/>
      <x:c r="AD320" s="139" t="n"/>
      <x:c r="AE320" s="139" t="n"/>
      <x:c r="AF320" s="139" t="n"/>
      <x:c r="AG320" s="139" t="n"/>
      <x:c r="AH320" s="139" t="n"/>
      <x:c r="AI320" s="139" t="n"/>
      <x:c r="AJ320" s="139" t="n"/>
      <x:c r="AK320" s="139" t="n"/>
      <x:c r="AL320" s="139" t="n"/>
      <x:c r="AM320" s="139" t="n"/>
      <x:c r="AN320" s="139" t="n"/>
      <x:c r="AO320" s="139" t="n"/>
      <x:c r="AP320" s="139" t="n"/>
      <x:c r="AQ320" s="139" t="n"/>
      <x:c r="AR320" s="139" t="n"/>
      <x:c r="AS320" s="139" t="n"/>
      <x:c r="AT320" s="139" t="n"/>
      <x:c r="AU320" s="139" t="n"/>
      <x:c r="AV320" s="139" t="n"/>
      <x:c r="AW320" s="139" t="n"/>
      <x:c r="AX320" s="139" t="n"/>
      <x:c r="AY320" s="139" t="n"/>
      <x:c r="AZ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c r="V321" s="139" t="n"/>
      <x:c r="W321" s="139" t="n"/>
      <x:c r="X321" s="139" t="n"/>
      <x:c r="Y321" s="139" t="n"/>
      <x:c r="Z321" s="139" t="n"/>
      <x:c r="AA321" s="139" t="n"/>
      <x:c r="AB321" s="139" t="n"/>
      <x:c r="AC321" s="139" t="n"/>
      <x:c r="AD321" s="139" t="n"/>
      <x:c r="AE321" s="139" t="n"/>
      <x:c r="AF321" s="139" t="n"/>
      <x:c r="AG321" s="139" t="n"/>
      <x:c r="AH321" s="139" t="n"/>
      <x:c r="AI321" s="139" t="n"/>
      <x:c r="AJ321" s="139" t="n"/>
      <x:c r="AK321" s="139" t="n"/>
      <x:c r="AL321" s="139" t="n"/>
      <x:c r="AM321" s="139" t="n"/>
      <x:c r="AN321" s="139" t="n"/>
      <x:c r="AO321" s="139" t="n"/>
      <x:c r="AP321" s="139" t="n"/>
      <x:c r="AQ321" s="139" t="n"/>
      <x:c r="AR321" s="139" t="n"/>
      <x:c r="AS321" s="139" t="n"/>
      <x:c r="AT321" s="139" t="n"/>
      <x:c r="AU321" s="139" t="n"/>
      <x:c r="AV321" s="139" t="n"/>
      <x:c r="AW321" s="139" t="n"/>
      <x:c r="AX321" s="139" t="n"/>
      <x:c r="AY321" s="139" t="n"/>
      <x:c r="AZ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c r="V322" s="139" t="n"/>
      <x:c r="W322" s="139" t="n"/>
      <x:c r="X322" s="139" t="n"/>
      <x:c r="Y322" s="139" t="n"/>
      <x:c r="Z322" s="139" t="n"/>
      <x:c r="AA322" s="139" t="n"/>
      <x:c r="AB322" s="139" t="n"/>
      <x:c r="AC322" s="139" t="n"/>
      <x:c r="AD322" s="139" t="n"/>
      <x:c r="AE322" s="139" t="n"/>
      <x:c r="AF322" s="139" t="n"/>
      <x:c r="AG322" s="139" t="n"/>
      <x:c r="AH322" s="139" t="n"/>
      <x:c r="AI322" s="139" t="n"/>
      <x:c r="AJ322" s="139" t="n"/>
      <x:c r="AK322" s="139" t="n"/>
      <x:c r="AL322" s="139" t="n"/>
      <x:c r="AM322" s="139" t="n"/>
      <x:c r="AN322" s="139" t="n"/>
      <x:c r="AO322" s="139" t="n"/>
      <x:c r="AP322" s="139" t="n"/>
      <x:c r="AQ322" s="139" t="n"/>
      <x:c r="AR322" s="139" t="n"/>
      <x:c r="AS322" s="139" t="n"/>
      <x:c r="AT322" s="139" t="n"/>
      <x:c r="AU322" s="139" t="n"/>
      <x:c r="AV322" s="139" t="n"/>
      <x:c r="AW322" s="139" t="n"/>
      <x:c r="AX322" s="139" t="n"/>
      <x:c r="AY322" s="139" t="n"/>
      <x:c r="AZ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c r="V323" s="139" t="n"/>
      <x:c r="W323" s="139" t="n"/>
      <x:c r="X323" s="139" t="n"/>
      <x:c r="Y323" s="139" t="n"/>
      <x:c r="Z323" s="139" t="n"/>
      <x:c r="AA323" s="139" t="n"/>
      <x:c r="AB323" s="139" t="n"/>
      <x:c r="AC323" s="139" t="n"/>
      <x:c r="AD323" s="139" t="n"/>
      <x:c r="AE323" s="139" t="n"/>
      <x:c r="AF323" s="139" t="n"/>
      <x:c r="AG323" s="139" t="n"/>
      <x:c r="AH323" s="139" t="n"/>
      <x:c r="AI323" s="139" t="n"/>
      <x:c r="AJ323" s="139" t="n"/>
      <x:c r="AK323" s="139" t="n"/>
      <x:c r="AL323" s="139" t="n"/>
      <x:c r="AM323" s="139" t="n"/>
      <x:c r="AN323" s="139" t="n"/>
      <x:c r="AO323" s="139" t="n"/>
      <x:c r="AP323" s="139" t="n"/>
      <x:c r="AQ323" s="139" t="n"/>
      <x:c r="AR323" s="139" t="n"/>
      <x:c r="AS323" s="139" t="n"/>
      <x:c r="AT323" s="139" t="n"/>
      <x:c r="AU323" s="139" t="n"/>
      <x:c r="AV323" s="139" t="n"/>
      <x:c r="AW323" s="139" t="n"/>
      <x:c r="AX323" s="139" t="n"/>
      <x:c r="AY323" s="139" t="n"/>
      <x:c r="AZ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c r="V324" s="139" t="n"/>
      <x:c r="W324" s="139" t="n"/>
      <x:c r="X324" s="139" t="n"/>
      <x:c r="Y324" s="139" t="n"/>
      <x:c r="Z324" s="139" t="n"/>
      <x:c r="AA324" s="139" t="n"/>
      <x:c r="AB324" s="139" t="n"/>
      <x:c r="AC324" s="139" t="n"/>
      <x:c r="AD324" s="139" t="n"/>
      <x:c r="AE324" s="139" t="n"/>
      <x:c r="AF324" s="139" t="n"/>
      <x:c r="AG324" s="139" t="n"/>
      <x:c r="AH324" s="139" t="n"/>
      <x:c r="AI324" s="139" t="n"/>
      <x:c r="AJ324" s="139" t="n"/>
      <x:c r="AK324" s="139" t="n"/>
      <x:c r="AL324" s="139" t="n"/>
      <x:c r="AM324" s="139" t="n"/>
      <x:c r="AN324" s="139" t="n"/>
      <x:c r="AO324" s="139" t="n"/>
      <x:c r="AP324" s="139" t="n"/>
      <x:c r="AQ324" s="139" t="n"/>
      <x:c r="AR324" s="139" t="n"/>
      <x:c r="AS324" s="139" t="n"/>
      <x:c r="AT324" s="139" t="n"/>
      <x:c r="AU324" s="139" t="n"/>
      <x:c r="AV324" s="139" t="n"/>
      <x:c r="AW324" s="139" t="n"/>
      <x:c r="AX324" s="139" t="n"/>
      <x:c r="AY324" s="139" t="n"/>
      <x:c r="AZ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c r="V325" s="139" t="n"/>
      <x:c r="W325" s="139" t="n"/>
      <x:c r="X325" s="139" t="n"/>
      <x:c r="Y325" s="139" t="n"/>
      <x:c r="Z325" s="139" t="n"/>
      <x:c r="AA325" s="139" t="n"/>
      <x:c r="AB325" s="139" t="n"/>
      <x:c r="AC325" s="139" t="n"/>
      <x:c r="AD325" s="139" t="n"/>
      <x:c r="AE325" s="139" t="n"/>
      <x:c r="AF325" s="139" t="n"/>
      <x:c r="AG325" s="139" t="n"/>
      <x:c r="AH325" s="139" t="n"/>
      <x:c r="AI325" s="139" t="n"/>
      <x:c r="AJ325" s="139" t="n"/>
      <x:c r="AK325" s="139" t="n"/>
      <x:c r="AL325" s="139" t="n"/>
      <x:c r="AM325" s="139" t="n"/>
      <x:c r="AN325" s="139" t="n"/>
      <x:c r="AO325" s="139" t="n"/>
      <x:c r="AP325" s="139" t="n"/>
      <x:c r="AQ325" s="139" t="n"/>
      <x:c r="AR325" s="139" t="n"/>
      <x:c r="AS325" s="139" t="n"/>
      <x:c r="AT325" s="139" t="n"/>
      <x:c r="AU325" s="139" t="n"/>
      <x:c r="AV325" s="139" t="n"/>
      <x:c r="AW325" s="139" t="n"/>
      <x:c r="AX325" s="139" t="n"/>
      <x:c r="AY325" s="139" t="n"/>
      <x:c r="AZ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c r="V326" s="139" t="n"/>
      <x:c r="W326" s="139" t="n"/>
      <x:c r="X326" s="139" t="n"/>
      <x:c r="Y326" s="139" t="n"/>
      <x:c r="Z326" s="139" t="n"/>
      <x:c r="AA326" s="139" t="n"/>
      <x:c r="AB326" s="139" t="n"/>
      <x:c r="AC326" s="139" t="n"/>
      <x:c r="AD326" s="139" t="n"/>
      <x:c r="AE326" s="139" t="n"/>
      <x:c r="AF326" s="139" t="n"/>
      <x:c r="AG326" s="139" t="n"/>
      <x:c r="AH326" s="139" t="n"/>
      <x:c r="AI326" s="139" t="n"/>
      <x:c r="AJ326" s="139" t="n"/>
      <x:c r="AK326" s="139" t="n"/>
      <x:c r="AL326" s="139" t="n"/>
      <x:c r="AM326" s="139" t="n"/>
      <x:c r="AN326" s="139" t="n"/>
      <x:c r="AO326" s="139" t="n"/>
      <x:c r="AP326" s="139" t="n"/>
      <x:c r="AQ326" s="139" t="n"/>
      <x:c r="AR326" s="139" t="n"/>
      <x:c r="AS326" s="139" t="n"/>
      <x:c r="AT326" s="139" t="n"/>
      <x:c r="AU326" s="139" t="n"/>
      <x:c r="AV326" s="139" t="n"/>
      <x:c r="AW326" s="139" t="n"/>
      <x:c r="AX326" s="139" t="n"/>
      <x:c r="AY326" s="139" t="n"/>
      <x:c r="AZ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c r="V327" s="139" t="n"/>
      <x:c r="W327" s="139" t="n"/>
      <x:c r="X327" s="139" t="n"/>
      <x:c r="Y327" s="139" t="n"/>
      <x:c r="Z327" s="139" t="n"/>
      <x:c r="AA327" s="139" t="n"/>
      <x:c r="AB327" s="139" t="n"/>
      <x:c r="AC327" s="139" t="n"/>
      <x:c r="AD327" s="139" t="n"/>
      <x:c r="AE327" s="139" t="n"/>
      <x:c r="AF327" s="139" t="n"/>
      <x:c r="AG327" s="139" t="n"/>
      <x:c r="AH327" s="139" t="n"/>
      <x:c r="AI327" s="139" t="n"/>
      <x:c r="AJ327" s="139" t="n"/>
      <x:c r="AK327" s="139" t="n"/>
      <x:c r="AL327" s="139" t="n"/>
      <x:c r="AM327" s="139" t="n"/>
      <x:c r="AN327" s="139" t="n"/>
      <x:c r="AO327" s="139" t="n"/>
      <x:c r="AP327" s="139" t="n"/>
      <x:c r="AQ327" s="139" t="n"/>
      <x:c r="AR327" s="139" t="n"/>
      <x:c r="AS327" s="139" t="n"/>
      <x:c r="AT327" s="139" t="n"/>
      <x:c r="AU327" s="139" t="n"/>
      <x:c r="AV327" s="139" t="n"/>
      <x:c r="AW327" s="139" t="n"/>
      <x:c r="AX327" s="139" t="n"/>
      <x:c r="AY327" s="139" t="n"/>
      <x:c r="AZ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c r="V328" s="139" t="n"/>
      <x:c r="W328" s="139" t="n"/>
      <x:c r="X328" s="139" t="n"/>
      <x:c r="Y328" s="139" t="n"/>
      <x:c r="Z328" s="139" t="n"/>
      <x:c r="AA328" s="139" t="n"/>
      <x:c r="AB328" s="139" t="n"/>
      <x:c r="AC328" s="139" t="n"/>
      <x:c r="AD328" s="139" t="n"/>
      <x:c r="AE328" s="139" t="n"/>
      <x:c r="AF328" s="139" t="n"/>
      <x:c r="AG328" s="139" t="n"/>
      <x:c r="AH328" s="139" t="n"/>
      <x:c r="AI328" s="139" t="n"/>
      <x:c r="AJ328" s="139" t="n"/>
      <x:c r="AK328" s="139" t="n"/>
      <x:c r="AL328" s="139" t="n"/>
      <x:c r="AM328" s="139" t="n"/>
      <x:c r="AN328" s="139" t="n"/>
      <x:c r="AO328" s="139" t="n"/>
      <x:c r="AP328" s="139" t="n"/>
      <x:c r="AQ328" s="139" t="n"/>
      <x:c r="AR328" s="139" t="n"/>
      <x:c r="AS328" s="139" t="n"/>
      <x:c r="AT328" s="139" t="n"/>
      <x:c r="AU328" s="139" t="n"/>
      <x:c r="AV328" s="139" t="n"/>
      <x:c r="AW328" s="139" t="n"/>
      <x:c r="AX328" s="139" t="n"/>
      <x:c r="AY328" s="139" t="n"/>
      <x:c r="AZ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c r="V329" s="139" t="n"/>
      <x:c r="W329" s="139" t="n"/>
      <x:c r="X329" s="139" t="n"/>
      <x:c r="Y329" s="139" t="n"/>
      <x:c r="Z329" s="139" t="n"/>
      <x:c r="AA329" s="139" t="n"/>
      <x:c r="AB329" s="139" t="n"/>
      <x:c r="AC329" s="139" t="n"/>
      <x:c r="AD329" s="139" t="n"/>
      <x:c r="AE329" s="139" t="n"/>
      <x:c r="AF329" s="139" t="n"/>
      <x:c r="AG329" s="139" t="n"/>
      <x:c r="AH329" s="139" t="n"/>
      <x:c r="AI329" s="139" t="n"/>
      <x:c r="AJ329" s="139" t="n"/>
      <x:c r="AK329" s="139" t="n"/>
      <x:c r="AL329" s="139" t="n"/>
      <x:c r="AM329" s="139" t="n"/>
      <x:c r="AN329" s="139" t="n"/>
      <x:c r="AO329" s="139" t="n"/>
      <x:c r="AP329" s="139" t="n"/>
      <x:c r="AQ329" s="139" t="n"/>
      <x:c r="AR329" s="139" t="n"/>
      <x:c r="AS329" s="139" t="n"/>
      <x:c r="AT329" s="139" t="n"/>
      <x:c r="AU329" s="139" t="n"/>
      <x:c r="AV329" s="139" t="n"/>
      <x:c r="AW329" s="139" t="n"/>
      <x:c r="AX329" s="139" t="n"/>
      <x:c r="AY329" s="139" t="n"/>
      <x:c r="AZ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c r="V330" s="139" t="n"/>
      <x:c r="W330" s="139" t="n"/>
      <x:c r="X330" s="139" t="n"/>
      <x:c r="Y330" s="139" t="n"/>
      <x:c r="Z330" s="139" t="n"/>
      <x:c r="AA330" s="139" t="n"/>
      <x:c r="AB330" s="139" t="n"/>
      <x:c r="AC330" s="139" t="n"/>
      <x:c r="AD330" s="139" t="n"/>
      <x:c r="AE330" s="139" t="n"/>
      <x:c r="AF330" s="139" t="n"/>
      <x:c r="AG330" s="139" t="n"/>
      <x:c r="AH330" s="139" t="n"/>
      <x:c r="AI330" s="139" t="n"/>
      <x:c r="AJ330" s="139" t="n"/>
      <x:c r="AK330" s="139" t="n"/>
      <x:c r="AL330" s="139" t="n"/>
      <x:c r="AM330" s="139" t="n"/>
      <x:c r="AN330" s="139" t="n"/>
      <x:c r="AO330" s="139" t="n"/>
      <x:c r="AP330" s="139" t="n"/>
      <x:c r="AQ330" s="139" t="n"/>
      <x:c r="AR330" s="139" t="n"/>
      <x:c r="AS330" s="139" t="n"/>
      <x:c r="AT330" s="139" t="n"/>
      <x:c r="AU330" s="139" t="n"/>
      <x:c r="AV330" s="139" t="n"/>
      <x:c r="AW330" s="139" t="n"/>
      <x:c r="AX330" s="139" t="n"/>
      <x:c r="AY330" s="139" t="n"/>
      <x:c r="AZ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c r="V331" s="139" t="n"/>
      <x:c r="W331" s="139" t="n"/>
      <x:c r="X331" s="139" t="n"/>
      <x:c r="Y331" s="139" t="n"/>
      <x:c r="Z331" s="139" t="n"/>
      <x:c r="AA331" s="139" t="n"/>
      <x:c r="AB331" s="139" t="n"/>
      <x:c r="AC331" s="139" t="n"/>
      <x:c r="AD331" s="139" t="n"/>
      <x:c r="AE331" s="139" t="n"/>
      <x:c r="AF331" s="139" t="n"/>
      <x:c r="AG331" s="139" t="n"/>
      <x:c r="AH331" s="139" t="n"/>
      <x:c r="AI331" s="139" t="n"/>
      <x:c r="AJ331" s="139" t="n"/>
      <x:c r="AK331" s="139" t="n"/>
      <x:c r="AL331" s="139" t="n"/>
      <x:c r="AM331" s="139" t="n"/>
      <x:c r="AN331" s="139" t="n"/>
      <x:c r="AO331" s="139" t="n"/>
      <x:c r="AP331" s="139" t="n"/>
      <x:c r="AQ331" s="139" t="n"/>
      <x:c r="AR331" s="139" t="n"/>
      <x:c r="AS331" s="139" t="n"/>
      <x:c r="AT331" s="139" t="n"/>
      <x:c r="AU331" s="139" t="n"/>
      <x:c r="AV331" s="139" t="n"/>
      <x:c r="AW331" s="139" t="n"/>
      <x:c r="AX331" s="139" t="n"/>
      <x:c r="AY331" s="139" t="n"/>
      <x:c r="AZ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c r="V332" s="139" t="n"/>
      <x:c r="W332" s="139" t="n"/>
      <x:c r="X332" s="139" t="n"/>
      <x:c r="Y332" s="139" t="n"/>
      <x:c r="Z332" s="139" t="n"/>
      <x:c r="AA332" s="139" t="n"/>
      <x:c r="AB332" s="139" t="n"/>
      <x:c r="AC332" s="139" t="n"/>
      <x:c r="AD332" s="139" t="n"/>
      <x:c r="AE332" s="139" t="n"/>
      <x:c r="AF332" s="139" t="n"/>
      <x:c r="AG332" s="139" t="n"/>
      <x:c r="AH332" s="139" t="n"/>
      <x:c r="AI332" s="139" t="n"/>
      <x:c r="AJ332" s="139" t="n"/>
      <x:c r="AK332" s="139" t="n"/>
      <x:c r="AL332" s="139" t="n"/>
      <x:c r="AM332" s="139" t="n"/>
      <x:c r="AN332" s="139" t="n"/>
      <x:c r="AO332" s="139" t="n"/>
      <x:c r="AP332" s="139" t="n"/>
      <x:c r="AQ332" s="139" t="n"/>
      <x:c r="AR332" s="139" t="n"/>
      <x:c r="AS332" s="139" t="n"/>
      <x:c r="AT332" s="139" t="n"/>
      <x:c r="AU332" s="139" t="n"/>
      <x:c r="AV332" s="139" t="n"/>
      <x:c r="AW332" s="139" t="n"/>
      <x:c r="AX332" s="139" t="n"/>
      <x:c r="AY332" s="139" t="n"/>
      <x:c r="AZ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c r="V333" s="139" t="n"/>
      <x:c r="W333" s="139" t="n"/>
      <x:c r="X333" s="139" t="n"/>
      <x:c r="Y333" s="139" t="n"/>
      <x:c r="Z333" s="139" t="n"/>
      <x:c r="AA333" s="139" t="n"/>
      <x:c r="AB333" s="139" t="n"/>
      <x:c r="AC333" s="139" t="n"/>
      <x:c r="AD333" s="139" t="n"/>
      <x:c r="AE333" s="139" t="n"/>
      <x:c r="AF333" s="139" t="n"/>
      <x:c r="AG333" s="139" t="n"/>
      <x:c r="AH333" s="139" t="n"/>
      <x:c r="AI333" s="139" t="n"/>
      <x:c r="AJ333" s="139" t="n"/>
      <x:c r="AK333" s="139" t="n"/>
      <x:c r="AL333" s="139" t="n"/>
      <x:c r="AM333" s="139" t="n"/>
      <x:c r="AN333" s="139" t="n"/>
      <x:c r="AO333" s="139" t="n"/>
      <x:c r="AP333" s="139" t="n"/>
      <x:c r="AQ333" s="139" t="n"/>
      <x:c r="AR333" s="139" t="n"/>
      <x:c r="AS333" s="139" t="n"/>
      <x:c r="AT333" s="139" t="n"/>
      <x:c r="AU333" s="139" t="n"/>
      <x:c r="AV333" s="139" t="n"/>
      <x:c r="AW333" s="139" t="n"/>
      <x:c r="AX333" s="139" t="n"/>
      <x:c r="AY333" s="139" t="n"/>
      <x:c r="AZ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c r="V334" s="139" t="n"/>
      <x:c r="W334" s="139" t="n"/>
      <x:c r="X334" s="139" t="n"/>
      <x:c r="Y334" s="139" t="n"/>
      <x:c r="Z334" s="139" t="n"/>
      <x:c r="AA334" s="139" t="n"/>
      <x:c r="AB334" s="139" t="n"/>
      <x:c r="AC334" s="139" t="n"/>
      <x:c r="AD334" s="139" t="n"/>
      <x:c r="AE334" s="139" t="n"/>
      <x:c r="AF334" s="139" t="n"/>
      <x:c r="AG334" s="139" t="n"/>
      <x:c r="AH334" s="139" t="n"/>
      <x:c r="AI334" s="139" t="n"/>
      <x:c r="AJ334" s="139" t="n"/>
      <x:c r="AK334" s="139" t="n"/>
      <x:c r="AL334" s="139" t="n"/>
      <x:c r="AM334" s="139" t="n"/>
      <x:c r="AN334" s="139" t="n"/>
      <x:c r="AO334" s="139" t="n"/>
      <x:c r="AP334" s="139" t="n"/>
      <x:c r="AQ334" s="139" t="n"/>
      <x:c r="AR334" s="139" t="n"/>
      <x:c r="AS334" s="139" t="n"/>
      <x:c r="AT334" s="139" t="n"/>
      <x:c r="AU334" s="139" t="n"/>
      <x:c r="AV334" s="139" t="n"/>
      <x:c r="AW334" s="139" t="n"/>
      <x:c r="AX334" s="139" t="n"/>
      <x:c r="AY334" s="139" t="n"/>
      <x:c r="AZ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c r="V335" s="139" t="n"/>
      <x:c r="W335" s="139" t="n"/>
      <x:c r="X335" s="139" t="n"/>
      <x:c r="Y335" s="139" t="n"/>
      <x:c r="Z335" s="139" t="n"/>
      <x:c r="AA335" s="139" t="n"/>
      <x:c r="AB335" s="139" t="n"/>
      <x:c r="AC335" s="139" t="n"/>
      <x:c r="AD335" s="139" t="n"/>
      <x:c r="AE335" s="139" t="n"/>
      <x:c r="AF335" s="139" t="n"/>
      <x:c r="AG335" s="139" t="n"/>
      <x:c r="AH335" s="139" t="n"/>
      <x:c r="AI335" s="139" t="n"/>
      <x:c r="AJ335" s="139" t="n"/>
      <x:c r="AK335" s="139" t="n"/>
      <x:c r="AL335" s="139" t="n"/>
      <x:c r="AM335" s="139" t="n"/>
      <x:c r="AN335" s="139" t="n"/>
      <x:c r="AO335" s="139" t="n"/>
      <x:c r="AP335" s="139" t="n"/>
      <x:c r="AQ335" s="139" t="n"/>
      <x:c r="AR335" s="139" t="n"/>
      <x:c r="AS335" s="139" t="n"/>
      <x:c r="AT335" s="139" t="n"/>
      <x:c r="AU335" s="139" t="n"/>
      <x:c r="AV335" s="139" t="n"/>
      <x:c r="AW335" s="139" t="n"/>
      <x:c r="AX335" s="139" t="n"/>
      <x:c r="AY335" s="139" t="n"/>
      <x:c r="AZ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c r="V336" s="139" t="n"/>
      <x:c r="W336" s="139" t="n"/>
      <x:c r="X336" s="139" t="n"/>
      <x:c r="Y336" s="139" t="n"/>
      <x:c r="Z336" s="139" t="n"/>
      <x:c r="AA336" s="139" t="n"/>
      <x:c r="AB336" s="139" t="n"/>
      <x:c r="AC336" s="139" t="n"/>
      <x:c r="AD336" s="139" t="n"/>
      <x:c r="AE336" s="139" t="n"/>
      <x:c r="AF336" s="139" t="n"/>
      <x:c r="AG336" s="139" t="n"/>
      <x:c r="AH336" s="139" t="n"/>
      <x:c r="AI336" s="139" t="n"/>
      <x:c r="AJ336" s="139" t="n"/>
      <x:c r="AK336" s="139" t="n"/>
      <x:c r="AL336" s="139" t="n"/>
      <x:c r="AM336" s="139" t="n"/>
      <x:c r="AN336" s="139" t="n"/>
      <x:c r="AO336" s="139" t="n"/>
      <x:c r="AP336" s="139" t="n"/>
      <x:c r="AQ336" s="139" t="n"/>
      <x:c r="AR336" s="139" t="n"/>
      <x:c r="AS336" s="139" t="n"/>
      <x:c r="AT336" s="139" t="n"/>
      <x:c r="AU336" s="139" t="n"/>
      <x:c r="AV336" s="139" t="n"/>
      <x:c r="AW336" s="139" t="n"/>
      <x:c r="AX336" s="139" t="n"/>
      <x:c r="AY336" s="139" t="n"/>
      <x:c r="AZ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c r="V337" s="139" t="n"/>
      <x:c r="W337" s="139" t="n"/>
      <x:c r="X337" s="139" t="n"/>
      <x:c r="Y337" s="139" t="n"/>
      <x:c r="Z337" s="139" t="n"/>
      <x:c r="AA337" s="139" t="n"/>
      <x:c r="AB337" s="139" t="n"/>
      <x:c r="AC337" s="139" t="n"/>
      <x:c r="AD337" s="139" t="n"/>
      <x:c r="AE337" s="139" t="n"/>
      <x:c r="AF337" s="139" t="n"/>
      <x:c r="AG337" s="139" t="n"/>
      <x:c r="AH337" s="139" t="n"/>
      <x:c r="AI337" s="139" t="n"/>
      <x:c r="AJ337" s="139" t="n"/>
      <x:c r="AK337" s="139" t="n"/>
      <x:c r="AL337" s="139" t="n"/>
      <x:c r="AM337" s="139" t="n"/>
      <x:c r="AN337" s="139" t="n"/>
      <x:c r="AO337" s="139" t="n"/>
      <x:c r="AP337" s="139" t="n"/>
      <x:c r="AQ337" s="139" t="n"/>
      <x:c r="AR337" s="139" t="n"/>
      <x:c r="AS337" s="139" t="n"/>
      <x:c r="AT337" s="139" t="n"/>
      <x:c r="AU337" s="139" t="n"/>
      <x:c r="AV337" s="139" t="n"/>
      <x:c r="AW337" s="139" t="n"/>
      <x:c r="AX337" s="139" t="n"/>
      <x:c r="AY337" s="139" t="n"/>
      <x:c r="AZ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c r="V338" s="139" t="n"/>
      <x:c r="W338" s="139" t="n"/>
      <x:c r="X338" s="139" t="n"/>
      <x:c r="Y338" s="139" t="n"/>
      <x:c r="Z338" s="139" t="n"/>
      <x:c r="AA338" s="139" t="n"/>
      <x:c r="AB338" s="139" t="n"/>
      <x:c r="AC338" s="139" t="n"/>
      <x:c r="AD338" s="139" t="n"/>
      <x:c r="AE338" s="139" t="n"/>
      <x:c r="AF338" s="139" t="n"/>
      <x:c r="AG338" s="139" t="n"/>
      <x:c r="AH338" s="139" t="n"/>
      <x:c r="AI338" s="139" t="n"/>
      <x:c r="AJ338" s="139" t="n"/>
      <x:c r="AK338" s="139" t="n"/>
      <x:c r="AL338" s="139" t="n"/>
      <x:c r="AM338" s="139" t="n"/>
      <x:c r="AN338" s="139" t="n"/>
      <x:c r="AO338" s="139" t="n"/>
      <x:c r="AP338" s="139" t="n"/>
      <x:c r="AQ338" s="139" t="n"/>
      <x:c r="AR338" s="139" t="n"/>
      <x:c r="AS338" s="139" t="n"/>
      <x:c r="AT338" s="139" t="n"/>
      <x:c r="AU338" s="139" t="n"/>
      <x:c r="AV338" s="139" t="n"/>
      <x:c r="AW338" s="139" t="n"/>
      <x:c r="AX338" s="139" t="n"/>
      <x:c r="AY338" s="139" t="n"/>
      <x:c r="AZ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c r="V339" s="139" t="n"/>
      <x:c r="W339" s="139" t="n"/>
      <x:c r="X339" s="139" t="n"/>
      <x:c r="Y339" s="139" t="n"/>
      <x:c r="Z339" s="139" t="n"/>
      <x:c r="AA339" s="139" t="n"/>
      <x:c r="AB339" s="139" t="n"/>
      <x:c r="AC339" s="139" t="n"/>
      <x:c r="AD339" s="139" t="n"/>
      <x:c r="AE339" s="139" t="n"/>
      <x:c r="AF339" s="139" t="n"/>
      <x:c r="AG339" s="139" t="n"/>
      <x:c r="AH339" s="139" t="n"/>
      <x:c r="AI339" s="139" t="n"/>
      <x:c r="AJ339" s="139" t="n"/>
      <x:c r="AK339" s="139" t="n"/>
      <x:c r="AL339" s="139" t="n"/>
      <x:c r="AM339" s="139" t="n"/>
      <x:c r="AN339" s="139" t="n"/>
      <x:c r="AO339" s="139" t="n"/>
      <x:c r="AP339" s="139" t="n"/>
      <x:c r="AQ339" s="139" t="n"/>
      <x:c r="AR339" s="139" t="n"/>
      <x:c r="AS339" s="139" t="n"/>
      <x:c r="AT339" s="139" t="n"/>
      <x:c r="AU339" s="139" t="n"/>
      <x:c r="AV339" s="139" t="n"/>
      <x:c r="AW339" s="139" t="n"/>
      <x:c r="AX339" s="139" t="n"/>
      <x:c r="AY339" s="139" t="n"/>
      <x:c r="AZ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c r="V340" s="139" t="n"/>
      <x:c r="W340" s="139" t="n"/>
      <x:c r="X340" s="139" t="n"/>
      <x:c r="Y340" s="139" t="n"/>
      <x:c r="Z340" s="139" t="n"/>
      <x:c r="AA340" s="139" t="n"/>
      <x:c r="AB340" s="139" t="n"/>
      <x:c r="AC340" s="139" t="n"/>
      <x:c r="AD340" s="139" t="n"/>
      <x:c r="AE340" s="139" t="n"/>
      <x:c r="AF340" s="139" t="n"/>
      <x:c r="AG340" s="139" t="n"/>
      <x:c r="AH340" s="139" t="n"/>
      <x:c r="AI340" s="139" t="n"/>
      <x:c r="AJ340" s="139" t="n"/>
      <x:c r="AK340" s="139" t="n"/>
      <x:c r="AL340" s="139" t="n"/>
      <x:c r="AM340" s="139" t="n"/>
      <x:c r="AN340" s="139" t="n"/>
      <x:c r="AO340" s="139" t="n"/>
      <x:c r="AP340" s="139" t="n"/>
      <x:c r="AQ340" s="139" t="n"/>
      <x:c r="AR340" s="139" t="n"/>
      <x:c r="AS340" s="139" t="n"/>
      <x:c r="AT340" s="139" t="n"/>
      <x:c r="AU340" s="139" t="n"/>
      <x:c r="AV340" s="139" t="n"/>
      <x:c r="AW340" s="139" t="n"/>
      <x:c r="AX340" s="139" t="n"/>
      <x:c r="AY340" s="139" t="n"/>
      <x:c r="AZ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c r="V341" s="139" t="n"/>
      <x:c r="W341" s="139" t="n"/>
      <x:c r="X341" s="139" t="n"/>
      <x:c r="Y341" s="139" t="n"/>
      <x:c r="Z341" s="139" t="n"/>
      <x:c r="AA341" s="139" t="n"/>
      <x:c r="AB341" s="139" t="n"/>
      <x:c r="AC341" s="139" t="n"/>
      <x:c r="AD341" s="139" t="n"/>
      <x:c r="AE341" s="139" t="n"/>
      <x:c r="AF341" s="139" t="n"/>
      <x:c r="AG341" s="139" t="n"/>
      <x:c r="AH341" s="139" t="n"/>
      <x:c r="AI341" s="139" t="n"/>
      <x:c r="AJ341" s="139" t="n"/>
      <x:c r="AK341" s="139" t="n"/>
      <x:c r="AL341" s="139" t="n"/>
      <x:c r="AM341" s="139" t="n"/>
      <x:c r="AN341" s="139" t="n"/>
      <x:c r="AO341" s="139" t="n"/>
      <x:c r="AP341" s="139" t="n"/>
      <x:c r="AQ341" s="139" t="n"/>
      <x:c r="AR341" s="139" t="n"/>
      <x:c r="AS341" s="139" t="n"/>
      <x:c r="AT341" s="139" t="n"/>
      <x:c r="AU341" s="139" t="n"/>
      <x:c r="AV341" s="139" t="n"/>
      <x:c r="AW341" s="139" t="n"/>
      <x:c r="AX341" s="139" t="n"/>
      <x:c r="AY341" s="139" t="n"/>
      <x:c r="AZ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c r="V342" s="139" t="n"/>
      <x:c r="W342" s="139" t="n"/>
      <x:c r="X342" s="139" t="n"/>
      <x:c r="Y342" s="139" t="n"/>
      <x:c r="Z342" s="139" t="n"/>
      <x:c r="AA342" s="139" t="n"/>
      <x:c r="AB342" s="139" t="n"/>
      <x:c r="AC342" s="139" t="n"/>
      <x:c r="AD342" s="139" t="n"/>
      <x:c r="AE342" s="139" t="n"/>
      <x:c r="AF342" s="139" t="n"/>
      <x:c r="AG342" s="139" t="n"/>
      <x:c r="AH342" s="139" t="n"/>
      <x:c r="AI342" s="139" t="n"/>
      <x:c r="AJ342" s="139" t="n"/>
      <x:c r="AK342" s="139" t="n"/>
      <x:c r="AL342" s="139" t="n"/>
      <x:c r="AM342" s="139" t="n"/>
      <x:c r="AN342" s="139" t="n"/>
      <x:c r="AO342" s="139" t="n"/>
      <x:c r="AP342" s="139" t="n"/>
      <x:c r="AQ342" s="139" t="n"/>
      <x:c r="AR342" s="139" t="n"/>
      <x:c r="AS342" s="139" t="n"/>
      <x:c r="AT342" s="139" t="n"/>
      <x:c r="AU342" s="139" t="n"/>
      <x:c r="AV342" s="139" t="n"/>
      <x:c r="AW342" s="139" t="n"/>
      <x:c r="AX342" s="139" t="n"/>
      <x:c r="AY342" s="139" t="n"/>
      <x:c r="AZ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c r="V343" s="139" t="n"/>
      <x:c r="W343" s="139" t="n"/>
      <x:c r="X343" s="139" t="n"/>
      <x:c r="Y343" s="139" t="n"/>
      <x:c r="Z343" s="139" t="n"/>
      <x:c r="AA343" s="139" t="n"/>
      <x:c r="AB343" s="139" t="n"/>
      <x:c r="AC343" s="139" t="n"/>
      <x:c r="AD343" s="139" t="n"/>
      <x:c r="AE343" s="139" t="n"/>
      <x:c r="AF343" s="139" t="n"/>
      <x:c r="AG343" s="139" t="n"/>
      <x:c r="AH343" s="139" t="n"/>
      <x:c r="AI343" s="139" t="n"/>
      <x:c r="AJ343" s="139" t="n"/>
      <x:c r="AK343" s="139" t="n"/>
      <x:c r="AL343" s="139" t="n"/>
      <x:c r="AM343" s="139" t="n"/>
      <x:c r="AN343" s="139" t="n"/>
      <x:c r="AO343" s="139" t="n"/>
      <x:c r="AP343" s="139" t="n"/>
      <x:c r="AQ343" s="139" t="n"/>
      <x:c r="AR343" s="139" t="n"/>
      <x:c r="AS343" s="139" t="n"/>
      <x:c r="AT343" s="139" t="n"/>
      <x:c r="AU343" s="139" t="n"/>
      <x:c r="AV343" s="139" t="n"/>
      <x:c r="AW343" s="139" t="n"/>
      <x:c r="AX343" s="139" t="n"/>
      <x:c r="AY343" s="139" t="n"/>
      <x:c r="AZ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c r="V344" s="139" t="n"/>
      <x:c r="W344" s="139" t="n"/>
      <x:c r="X344" s="139" t="n"/>
      <x:c r="Y344" s="139" t="n"/>
      <x:c r="Z344" s="139" t="n"/>
      <x:c r="AA344" s="139" t="n"/>
      <x:c r="AB344" s="139" t="n"/>
      <x:c r="AC344" s="139" t="n"/>
      <x:c r="AD344" s="139" t="n"/>
      <x:c r="AE344" s="139" t="n"/>
      <x:c r="AF344" s="139" t="n"/>
      <x:c r="AG344" s="139" t="n"/>
      <x:c r="AH344" s="139" t="n"/>
      <x:c r="AI344" s="139" t="n"/>
      <x:c r="AJ344" s="139" t="n"/>
      <x:c r="AK344" s="139" t="n"/>
      <x:c r="AL344" s="139" t="n"/>
      <x:c r="AM344" s="139" t="n"/>
      <x:c r="AN344" s="139" t="n"/>
      <x:c r="AO344" s="139" t="n"/>
      <x:c r="AP344" s="139" t="n"/>
      <x:c r="AQ344" s="139" t="n"/>
      <x:c r="AR344" s="139" t="n"/>
      <x:c r="AS344" s="139" t="n"/>
      <x:c r="AT344" s="139" t="n"/>
      <x:c r="AU344" s="139" t="n"/>
      <x:c r="AV344" s="139" t="n"/>
      <x:c r="AW344" s="139" t="n"/>
      <x:c r="AX344" s="139" t="n"/>
      <x:c r="AY344" s="139" t="n"/>
      <x:c r="AZ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c r="V345" s="139" t="n"/>
      <x:c r="W345" s="139" t="n"/>
      <x:c r="X345" s="139" t="n"/>
      <x:c r="Y345" s="139" t="n"/>
      <x:c r="Z345" s="139" t="n"/>
      <x:c r="AA345" s="139" t="n"/>
      <x:c r="AB345" s="139" t="n"/>
      <x:c r="AC345" s="139" t="n"/>
      <x:c r="AD345" s="139" t="n"/>
      <x:c r="AE345" s="139" t="n"/>
      <x:c r="AF345" s="139" t="n"/>
      <x:c r="AG345" s="139" t="n"/>
      <x:c r="AH345" s="139" t="n"/>
      <x:c r="AI345" s="139" t="n"/>
      <x:c r="AJ345" s="139" t="n"/>
      <x:c r="AK345" s="139" t="n"/>
      <x:c r="AL345" s="139" t="n"/>
      <x:c r="AM345" s="139" t="n"/>
      <x:c r="AN345" s="139" t="n"/>
      <x:c r="AO345" s="139" t="n"/>
      <x:c r="AP345" s="139" t="n"/>
      <x:c r="AQ345" s="139" t="n"/>
      <x:c r="AR345" s="139" t="n"/>
      <x:c r="AS345" s="139" t="n"/>
      <x:c r="AT345" s="139" t="n"/>
      <x:c r="AU345" s="139" t="n"/>
      <x:c r="AV345" s="139" t="n"/>
      <x:c r="AW345" s="139" t="n"/>
      <x:c r="AX345" s="139" t="n"/>
      <x:c r="AY345" s="139" t="n"/>
      <x:c r="AZ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c r="V346" s="139" t="n"/>
      <x:c r="W346" s="139" t="n"/>
      <x:c r="X346" s="139" t="n"/>
      <x:c r="Y346" s="139" t="n"/>
      <x:c r="Z346" s="139" t="n"/>
      <x:c r="AA346" s="139" t="n"/>
      <x:c r="AB346" s="139" t="n"/>
      <x:c r="AC346" s="139" t="n"/>
      <x:c r="AD346" s="139" t="n"/>
      <x:c r="AE346" s="139" t="n"/>
      <x:c r="AF346" s="139" t="n"/>
      <x:c r="AG346" s="139" t="n"/>
      <x:c r="AH346" s="139" t="n"/>
      <x:c r="AI346" s="139" t="n"/>
      <x:c r="AJ346" s="139" t="n"/>
      <x:c r="AK346" s="139" t="n"/>
      <x:c r="AL346" s="139" t="n"/>
      <x:c r="AM346" s="139" t="n"/>
      <x:c r="AN346" s="139" t="n"/>
      <x:c r="AO346" s="139" t="n"/>
      <x:c r="AP346" s="139" t="n"/>
      <x:c r="AQ346" s="139" t="n"/>
      <x:c r="AR346" s="139" t="n"/>
      <x:c r="AS346" s="139" t="n"/>
      <x:c r="AT346" s="139" t="n"/>
      <x:c r="AU346" s="139" t="n"/>
      <x:c r="AV346" s="139" t="n"/>
      <x:c r="AW346" s="139" t="n"/>
      <x:c r="AX346" s="139" t="n"/>
      <x:c r="AY346" s="139" t="n"/>
      <x:c r="AZ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c r="V347" s="139" t="n"/>
      <x:c r="W347" s="139" t="n"/>
      <x:c r="X347" s="139" t="n"/>
      <x:c r="Y347" s="139" t="n"/>
      <x:c r="Z347" s="139" t="n"/>
      <x:c r="AA347" s="139" t="n"/>
      <x:c r="AB347" s="139" t="n"/>
      <x:c r="AC347" s="139" t="n"/>
      <x:c r="AD347" s="139" t="n"/>
      <x:c r="AE347" s="139" t="n"/>
      <x:c r="AF347" s="139" t="n"/>
      <x:c r="AG347" s="139" t="n"/>
      <x:c r="AH347" s="139" t="n"/>
      <x:c r="AI347" s="139" t="n"/>
      <x:c r="AJ347" s="139" t="n"/>
      <x:c r="AK347" s="139" t="n"/>
      <x:c r="AL347" s="139" t="n"/>
      <x:c r="AM347" s="139" t="n"/>
      <x:c r="AN347" s="139" t="n"/>
      <x:c r="AO347" s="139" t="n"/>
      <x:c r="AP347" s="139" t="n"/>
      <x:c r="AQ347" s="139" t="n"/>
      <x:c r="AR347" s="139" t="n"/>
      <x:c r="AS347" s="139" t="n"/>
      <x:c r="AT347" s="139" t="n"/>
      <x:c r="AU347" s="139" t="n"/>
      <x:c r="AV347" s="139" t="n"/>
      <x:c r="AW347" s="139" t="n"/>
      <x:c r="AX347" s="139" t="n"/>
      <x:c r="AY347" s="139" t="n"/>
      <x:c r="AZ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c r="V348" s="139" t="n"/>
      <x:c r="W348" s="139" t="n"/>
      <x:c r="X348" s="139" t="n"/>
      <x:c r="Y348" s="139" t="n"/>
      <x:c r="Z348" s="139" t="n"/>
      <x:c r="AA348" s="139" t="n"/>
      <x:c r="AB348" s="139" t="n"/>
      <x:c r="AC348" s="139" t="n"/>
      <x:c r="AD348" s="139" t="n"/>
      <x:c r="AE348" s="139" t="n"/>
      <x:c r="AF348" s="139" t="n"/>
      <x:c r="AG348" s="139" t="n"/>
      <x:c r="AH348" s="139" t="n"/>
      <x:c r="AI348" s="139" t="n"/>
      <x:c r="AJ348" s="139" t="n"/>
      <x:c r="AK348" s="139" t="n"/>
      <x:c r="AL348" s="139" t="n"/>
      <x:c r="AM348" s="139" t="n"/>
      <x:c r="AN348" s="139" t="n"/>
      <x:c r="AO348" s="139" t="n"/>
      <x:c r="AP348" s="139" t="n"/>
      <x:c r="AQ348" s="139" t="n"/>
      <x:c r="AR348" s="139" t="n"/>
      <x:c r="AS348" s="139" t="n"/>
      <x:c r="AT348" s="139" t="n"/>
      <x:c r="AU348" s="139" t="n"/>
      <x:c r="AV348" s="139" t="n"/>
      <x:c r="AW348" s="139" t="n"/>
      <x:c r="AX348" s="139" t="n"/>
      <x:c r="AY348" s="139" t="n"/>
      <x:c r="AZ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c r="V349" s="139" t="n"/>
      <x:c r="W349" s="139" t="n"/>
      <x:c r="X349" s="139" t="n"/>
      <x:c r="Y349" s="139" t="n"/>
      <x:c r="Z349" s="139" t="n"/>
      <x:c r="AA349" s="139" t="n"/>
      <x:c r="AB349" s="139" t="n"/>
      <x:c r="AC349" s="139" t="n"/>
      <x:c r="AD349" s="139" t="n"/>
      <x:c r="AE349" s="139" t="n"/>
      <x:c r="AF349" s="139" t="n"/>
      <x:c r="AG349" s="139" t="n"/>
      <x:c r="AH349" s="139" t="n"/>
      <x:c r="AI349" s="139" t="n"/>
      <x:c r="AJ349" s="139" t="n"/>
      <x:c r="AK349" s="139" t="n"/>
      <x:c r="AL349" s="139" t="n"/>
      <x:c r="AM349" s="139" t="n"/>
      <x:c r="AN349" s="139" t="n"/>
      <x:c r="AO349" s="139" t="n"/>
      <x:c r="AP349" s="139" t="n"/>
      <x:c r="AQ349" s="139" t="n"/>
      <x:c r="AR349" s="139" t="n"/>
      <x:c r="AS349" s="139" t="n"/>
      <x:c r="AT349" s="139" t="n"/>
      <x:c r="AU349" s="139" t="n"/>
      <x:c r="AV349" s="139" t="n"/>
      <x:c r="AW349" s="139" t="n"/>
      <x:c r="AX349" s="139" t="n"/>
      <x:c r="AY349" s="139" t="n"/>
      <x:c r="AZ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c r="V350" s="139" t="n"/>
      <x:c r="W350" s="139" t="n"/>
      <x:c r="X350" s="139" t="n"/>
      <x:c r="Y350" s="139" t="n"/>
      <x:c r="Z350" s="139" t="n"/>
      <x:c r="AA350" s="139" t="n"/>
      <x:c r="AB350" s="139" t="n"/>
      <x:c r="AC350" s="139" t="n"/>
      <x:c r="AD350" s="139" t="n"/>
      <x:c r="AE350" s="139" t="n"/>
      <x:c r="AF350" s="139" t="n"/>
      <x:c r="AG350" s="139" t="n"/>
      <x:c r="AH350" s="139" t="n"/>
      <x:c r="AI350" s="139" t="n"/>
      <x:c r="AJ350" s="139" t="n"/>
      <x:c r="AK350" s="139" t="n"/>
      <x:c r="AL350" s="139" t="n"/>
      <x:c r="AM350" s="139" t="n"/>
      <x:c r="AN350" s="139" t="n"/>
      <x:c r="AO350" s="139" t="n"/>
      <x:c r="AP350" s="139" t="n"/>
      <x:c r="AQ350" s="139" t="n"/>
      <x:c r="AR350" s="139" t="n"/>
      <x:c r="AS350" s="139" t="n"/>
      <x:c r="AT350" s="139" t="n"/>
      <x:c r="AU350" s="139" t="n"/>
      <x:c r="AV350" s="139" t="n"/>
      <x:c r="AW350" s="139" t="n"/>
      <x:c r="AX350" s="139" t="n"/>
      <x:c r="AY350" s="139" t="n"/>
      <x:c r="AZ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c r="V351" s="139" t="n"/>
      <x:c r="W351" s="139" t="n"/>
      <x:c r="X351" s="139" t="n"/>
      <x:c r="Y351" s="139" t="n"/>
      <x:c r="Z351" s="139" t="n"/>
      <x:c r="AA351" s="139" t="n"/>
      <x:c r="AB351" s="139" t="n"/>
      <x:c r="AC351" s="139" t="n"/>
      <x:c r="AD351" s="139" t="n"/>
      <x:c r="AE351" s="139" t="n"/>
      <x:c r="AF351" s="139" t="n"/>
      <x:c r="AG351" s="139" t="n"/>
      <x:c r="AH351" s="139" t="n"/>
      <x:c r="AI351" s="139" t="n"/>
      <x:c r="AJ351" s="139" t="n"/>
      <x:c r="AK351" s="139" t="n"/>
      <x:c r="AL351" s="139" t="n"/>
      <x:c r="AM351" s="139" t="n"/>
      <x:c r="AN351" s="139" t="n"/>
      <x:c r="AO351" s="139" t="n"/>
      <x:c r="AP351" s="139" t="n"/>
      <x:c r="AQ351" s="139" t="n"/>
      <x:c r="AR351" s="139" t="n"/>
      <x:c r="AS351" s="139" t="n"/>
      <x:c r="AT351" s="139" t="n"/>
      <x:c r="AU351" s="139" t="n"/>
      <x:c r="AV351" s="139" t="n"/>
      <x:c r="AW351" s="139" t="n"/>
      <x:c r="AX351" s="139" t="n"/>
      <x:c r="AY351" s="139" t="n"/>
      <x:c r="AZ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c r="V352" s="139" t="n"/>
      <x:c r="W352" s="139" t="n"/>
      <x:c r="X352" s="139" t="n"/>
      <x:c r="Y352" s="139" t="n"/>
      <x:c r="Z352" s="139" t="n"/>
      <x:c r="AA352" s="139" t="n"/>
      <x:c r="AB352" s="139" t="n"/>
      <x:c r="AC352" s="139" t="n"/>
      <x:c r="AD352" s="139" t="n"/>
      <x:c r="AE352" s="139" t="n"/>
      <x:c r="AF352" s="139" t="n"/>
      <x:c r="AG352" s="139" t="n"/>
      <x:c r="AH352" s="139" t="n"/>
      <x:c r="AI352" s="139" t="n"/>
      <x:c r="AJ352" s="139" t="n"/>
      <x:c r="AK352" s="139" t="n"/>
      <x:c r="AL352" s="139" t="n"/>
      <x:c r="AM352" s="139" t="n"/>
      <x:c r="AN352" s="139" t="n"/>
      <x:c r="AO352" s="139" t="n"/>
      <x:c r="AP352" s="139" t="n"/>
      <x:c r="AQ352" s="139" t="n"/>
      <x:c r="AR352" s="139" t="n"/>
      <x:c r="AS352" s="139" t="n"/>
      <x:c r="AT352" s="139" t="n"/>
      <x:c r="AU352" s="139" t="n"/>
      <x:c r="AV352" s="139" t="n"/>
      <x:c r="AW352" s="139" t="n"/>
      <x:c r="AX352" s="139" t="n"/>
      <x:c r="AY352" s="139" t="n"/>
      <x:c r="AZ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c r="V353" s="139" t="n"/>
      <x:c r="W353" s="139" t="n"/>
      <x:c r="X353" s="139" t="n"/>
      <x:c r="Y353" s="139" t="n"/>
      <x:c r="Z353" s="139" t="n"/>
      <x:c r="AA353" s="139" t="n"/>
      <x:c r="AB353" s="139" t="n"/>
      <x:c r="AC353" s="139" t="n"/>
      <x:c r="AD353" s="139" t="n"/>
      <x:c r="AE353" s="139" t="n"/>
      <x:c r="AF353" s="139" t="n"/>
      <x:c r="AG353" s="139" t="n"/>
      <x:c r="AH353" s="139" t="n"/>
      <x:c r="AI353" s="139" t="n"/>
      <x:c r="AJ353" s="139" t="n"/>
      <x:c r="AK353" s="139" t="n"/>
      <x:c r="AL353" s="139" t="n"/>
      <x:c r="AM353" s="139" t="n"/>
      <x:c r="AN353" s="139" t="n"/>
      <x:c r="AO353" s="139" t="n"/>
      <x:c r="AP353" s="139" t="n"/>
      <x:c r="AQ353" s="139" t="n"/>
      <x:c r="AR353" s="139" t="n"/>
      <x:c r="AS353" s="139" t="n"/>
      <x:c r="AT353" s="139" t="n"/>
      <x:c r="AU353" s="139" t="n"/>
      <x:c r="AV353" s="139" t="n"/>
      <x:c r="AW353" s="139" t="n"/>
      <x:c r="AX353" s="139" t="n"/>
      <x:c r="AY353" s="139" t="n"/>
      <x:c r="AZ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c r="V354" s="139" t="n"/>
      <x:c r="W354" s="139" t="n"/>
      <x:c r="X354" s="139" t="n"/>
      <x:c r="Y354" s="139" t="n"/>
      <x:c r="Z354" s="139" t="n"/>
      <x:c r="AA354" s="139" t="n"/>
      <x:c r="AB354" s="139" t="n"/>
      <x:c r="AC354" s="139" t="n"/>
      <x:c r="AD354" s="139" t="n"/>
      <x:c r="AE354" s="139" t="n"/>
      <x:c r="AF354" s="139" t="n"/>
      <x:c r="AG354" s="139" t="n"/>
      <x:c r="AH354" s="139" t="n"/>
      <x:c r="AI354" s="139" t="n"/>
      <x:c r="AJ354" s="139" t="n"/>
      <x:c r="AK354" s="139" t="n"/>
      <x:c r="AL354" s="139" t="n"/>
      <x:c r="AM354" s="139" t="n"/>
      <x:c r="AN354" s="139" t="n"/>
      <x:c r="AO354" s="139" t="n"/>
      <x:c r="AP354" s="139" t="n"/>
      <x:c r="AQ354" s="139" t="n"/>
      <x:c r="AR354" s="139" t="n"/>
      <x:c r="AS354" s="139" t="n"/>
      <x:c r="AT354" s="139" t="n"/>
      <x:c r="AU354" s="139" t="n"/>
      <x:c r="AV354" s="139" t="n"/>
      <x:c r="AW354" s="139" t="n"/>
      <x:c r="AX354" s="139" t="n"/>
      <x:c r="AY354" s="139" t="n"/>
      <x:c r="AZ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c r="V355" s="139" t="n"/>
      <x:c r="W355" s="139" t="n"/>
      <x:c r="X355" s="139" t="n"/>
      <x:c r="Y355" s="139" t="n"/>
      <x:c r="Z355" s="139" t="n"/>
      <x:c r="AA355" s="139" t="n"/>
      <x:c r="AB355" s="139" t="n"/>
      <x:c r="AC355" s="139" t="n"/>
      <x:c r="AD355" s="139" t="n"/>
      <x:c r="AE355" s="139" t="n"/>
      <x:c r="AF355" s="139" t="n"/>
      <x:c r="AG355" s="139" t="n"/>
      <x:c r="AH355" s="139" t="n"/>
      <x:c r="AI355" s="139" t="n"/>
      <x:c r="AJ355" s="139" t="n"/>
      <x:c r="AK355" s="139" t="n"/>
      <x:c r="AL355" s="139" t="n"/>
      <x:c r="AM355" s="139" t="n"/>
      <x:c r="AN355" s="139" t="n"/>
      <x:c r="AO355" s="139" t="n"/>
      <x:c r="AP355" s="139" t="n"/>
      <x:c r="AQ355" s="139" t="n"/>
      <x:c r="AR355" s="139" t="n"/>
      <x:c r="AS355" s="139" t="n"/>
      <x:c r="AT355" s="139" t="n"/>
      <x:c r="AU355" s="139" t="n"/>
      <x:c r="AV355" s="139" t="n"/>
      <x:c r="AW355" s="139" t="n"/>
      <x:c r="AX355" s="139" t="n"/>
      <x:c r="AY355" s="139" t="n"/>
      <x:c r="AZ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c r="V356" s="139" t="n"/>
      <x:c r="W356" s="139" t="n"/>
      <x:c r="X356" s="139" t="n"/>
      <x:c r="Y356" s="139" t="n"/>
      <x:c r="Z356" s="139" t="n"/>
      <x:c r="AA356" s="139" t="n"/>
      <x:c r="AB356" s="139" t="n"/>
      <x:c r="AC356" s="139" t="n"/>
      <x:c r="AD356" s="139" t="n"/>
      <x:c r="AE356" s="139" t="n"/>
      <x:c r="AF356" s="139" t="n"/>
      <x:c r="AG356" s="139" t="n"/>
      <x:c r="AH356" s="139" t="n"/>
      <x:c r="AI356" s="139" t="n"/>
      <x:c r="AJ356" s="139" t="n"/>
      <x:c r="AK356" s="139" t="n"/>
      <x:c r="AL356" s="139" t="n"/>
      <x:c r="AM356" s="139" t="n"/>
      <x:c r="AN356" s="139" t="n"/>
      <x:c r="AO356" s="139" t="n"/>
      <x:c r="AP356" s="139" t="n"/>
      <x:c r="AQ356" s="139" t="n"/>
      <x:c r="AR356" s="139" t="n"/>
      <x:c r="AS356" s="139" t="n"/>
      <x:c r="AT356" s="139" t="n"/>
      <x:c r="AU356" s="139" t="n"/>
      <x:c r="AV356" s="139" t="n"/>
      <x:c r="AW356" s="139" t="n"/>
      <x:c r="AX356" s="139" t="n"/>
      <x:c r="AY356" s="139" t="n"/>
      <x:c r="AZ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c r="V357" s="139" t="n"/>
      <x:c r="W357" s="139" t="n"/>
      <x:c r="X357" s="139" t="n"/>
      <x:c r="Y357" s="139" t="n"/>
      <x:c r="Z357" s="139" t="n"/>
      <x:c r="AA357" s="139" t="n"/>
      <x:c r="AB357" s="139" t="n"/>
      <x:c r="AC357" s="139" t="n"/>
      <x:c r="AD357" s="139" t="n"/>
      <x:c r="AE357" s="139" t="n"/>
      <x:c r="AF357" s="139" t="n"/>
      <x:c r="AG357" s="139" t="n"/>
      <x:c r="AH357" s="139" t="n"/>
      <x:c r="AI357" s="139" t="n"/>
      <x:c r="AJ357" s="139" t="n"/>
      <x:c r="AK357" s="139" t="n"/>
      <x:c r="AL357" s="139" t="n"/>
      <x:c r="AM357" s="139" t="n"/>
      <x:c r="AN357" s="139" t="n"/>
      <x:c r="AO357" s="139" t="n"/>
      <x:c r="AP357" s="139" t="n"/>
      <x:c r="AQ357" s="139" t="n"/>
      <x:c r="AR357" s="139" t="n"/>
      <x:c r="AS357" s="139" t="n"/>
      <x:c r="AT357" s="139" t="n"/>
      <x:c r="AU357" s="139" t="n"/>
      <x:c r="AV357" s="139" t="n"/>
      <x:c r="AW357" s="139" t="n"/>
      <x:c r="AX357" s="139" t="n"/>
      <x:c r="AY357" s="139" t="n"/>
      <x:c r="AZ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c r="V358" s="139" t="n"/>
      <x:c r="W358" s="139" t="n"/>
      <x:c r="X358" s="139" t="n"/>
      <x:c r="Y358" s="139" t="n"/>
      <x:c r="Z358" s="139" t="n"/>
      <x:c r="AA358" s="139" t="n"/>
      <x:c r="AB358" s="139" t="n"/>
      <x:c r="AC358" s="139" t="n"/>
      <x:c r="AD358" s="139" t="n"/>
      <x:c r="AE358" s="139" t="n"/>
      <x:c r="AF358" s="139" t="n"/>
      <x:c r="AG358" s="139" t="n"/>
      <x:c r="AH358" s="139" t="n"/>
      <x:c r="AI358" s="139" t="n"/>
      <x:c r="AJ358" s="139" t="n"/>
      <x:c r="AK358" s="139" t="n"/>
      <x:c r="AL358" s="139" t="n"/>
      <x:c r="AM358" s="139" t="n"/>
      <x:c r="AN358" s="139" t="n"/>
      <x:c r="AO358" s="139" t="n"/>
      <x:c r="AP358" s="139" t="n"/>
      <x:c r="AQ358" s="139" t="n"/>
      <x:c r="AR358" s="139" t="n"/>
      <x:c r="AS358" s="139" t="n"/>
      <x:c r="AT358" s="139" t="n"/>
      <x:c r="AU358" s="139" t="n"/>
      <x:c r="AV358" s="139" t="n"/>
      <x:c r="AW358" s="139" t="n"/>
      <x:c r="AX358" s="139" t="n"/>
      <x:c r="AY358" s="139" t="n"/>
      <x:c r="AZ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c r="V359" s="139" t="n"/>
      <x:c r="W359" s="139" t="n"/>
      <x:c r="X359" s="139" t="n"/>
      <x:c r="Y359" s="139" t="n"/>
      <x:c r="Z359" s="139" t="n"/>
      <x:c r="AA359" s="139" t="n"/>
      <x:c r="AB359" s="139" t="n"/>
      <x:c r="AC359" s="139" t="n"/>
      <x:c r="AD359" s="139" t="n"/>
      <x:c r="AE359" s="139" t="n"/>
      <x:c r="AF359" s="139" t="n"/>
      <x:c r="AG359" s="139" t="n"/>
      <x:c r="AH359" s="139" t="n"/>
      <x:c r="AI359" s="139" t="n"/>
      <x:c r="AJ359" s="139" t="n"/>
      <x:c r="AK359" s="139" t="n"/>
      <x:c r="AL359" s="139" t="n"/>
      <x:c r="AM359" s="139" t="n"/>
      <x:c r="AN359" s="139" t="n"/>
      <x:c r="AO359" s="139" t="n"/>
      <x:c r="AP359" s="139" t="n"/>
      <x:c r="AQ359" s="139" t="n"/>
      <x:c r="AR359" s="139" t="n"/>
      <x:c r="AS359" s="139" t="n"/>
      <x:c r="AT359" s="139" t="n"/>
      <x:c r="AU359" s="139" t="n"/>
      <x:c r="AV359" s="139" t="n"/>
      <x:c r="AW359" s="139" t="n"/>
      <x:c r="AX359" s="139" t="n"/>
      <x:c r="AY359" s="139" t="n"/>
      <x:c r="AZ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c r="V360" s="139" t="n"/>
      <x:c r="W360" s="139" t="n"/>
      <x:c r="X360" s="139" t="n"/>
      <x:c r="Y360" s="139" t="n"/>
      <x:c r="Z360" s="139" t="n"/>
      <x:c r="AA360" s="139" t="n"/>
      <x:c r="AB360" s="139" t="n"/>
      <x:c r="AC360" s="139" t="n"/>
      <x:c r="AD360" s="139" t="n"/>
      <x:c r="AE360" s="139" t="n"/>
      <x:c r="AF360" s="139" t="n"/>
      <x:c r="AG360" s="139" t="n"/>
      <x:c r="AH360" s="139" t="n"/>
      <x:c r="AI360" s="139" t="n"/>
      <x:c r="AJ360" s="139" t="n"/>
      <x:c r="AK360" s="139" t="n"/>
      <x:c r="AL360" s="139" t="n"/>
      <x:c r="AM360" s="139" t="n"/>
      <x:c r="AN360" s="139" t="n"/>
      <x:c r="AO360" s="139" t="n"/>
      <x:c r="AP360" s="139" t="n"/>
      <x:c r="AQ360" s="139" t="n"/>
      <x:c r="AR360" s="139" t="n"/>
      <x:c r="AS360" s="139" t="n"/>
      <x:c r="AT360" s="139" t="n"/>
      <x:c r="AU360" s="139" t="n"/>
      <x:c r="AV360" s="139" t="n"/>
      <x:c r="AW360" s="139" t="n"/>
      <x:c r="AX360" s="139" t="n"/>
      <x:c r="AY360" s="139" t="n"/>
      <x:c r="AZ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c r="V361" s="139" t="n"/>
      <x:c r="W361" s="139" t="n"/>
      <x:c r="X361" s="139" t="n"/>
      <x:c r="Y361" s="139" t="n"/>
      <x:c r="Z361" s="139" t="n"/>
      <x:c r="AA361" s="139" t="n"/>
      <x:c r="AB361" s="139" t="n"/>
      <x:c r="AC361" s="139" t="n"/>
      <x:c r="AD361" s="139" t="n"/>
      <x:c r="AE361" s="139" t="n"/>
      <x:c r="AF361" s="139" t="n"/>
      <x:c r="AG361" s="139" t="n"/>
      <x:c r="AH361" s="139" t="n"/>
      <x:c r="AI361" s="139" t="n"/>
      <x:c r="AJ361" s="139" t="n"/>
      <x:c r="AK361" s="139" t="n"/>
      <x:c r="AL361" s="139" t="n"/>
      <x:c r="AM361" s="139" t="n"/>
      <x:c r="AN361" s="139" t="n"/>
      <x:c r="AO361" s="139" t="n"/>
      <x:c r="AP361" s="139" t="n"/>
      <x:c r="AQ361" s="139" t="n"/>
      <x:c r="AR361" s="139" t="n"/>
      <x:c r="AS361" s="139" t="n"/>
      <x:c r="AT361" s="139" t="n"/>
      <x:c r="AU361" s="139" t="n"/>
      <x:c r="AV361" s="139" t="n"/>
      <x:c r="AW361" s="139" t="n"/>
      <x:c r="AX361" s="139" t="n"/>
      <x:c r="AY361" s="139" t="n"/>
      <x:c r="AZ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c r="V362" s="139" t="n"/>
      <x:c r="W362" s="139" t="n"/>
      <x:c r="X362" s="139" t="n"/>
      <x:c r="Y362" s="139" t="n"/>
      <x:c r="Z362" s="139" t="n"/>
      <x:c r="AA362" s="139" t="n"/>
      <x:c r="AB362" s="139" t="n"/>
      <x:c r="AC362" s="139" t="n"/>
      <x:c r="AD362" s="139" t="n"/>
      <x:c r="AE362" s="139" t="n"/>
      <x:c r="AF362" s="139" t="n"/>
      <x:c r="AG362" s="139" t="n"/>
      <x:c r="AH362" s="139" t="n"/>
      <x:c r="AI362" s="139" t="n"/>
      <x:c r="AJ362" s="139" t="n"/>
      <x:c r="AK362" s="139" t="n"/>
      <x:c r="AL362" s="139" t="n"/>
      <x:c r="AM362" s="139" t="n"/>
      <x:c r="AN362" s="139" t="n"/>
      <x:c r="AO362" s="139" t="n"/>
      <x:c r="AP362" s="139" t="n"/>
      <x:c r="AQ362" s="139" t="n"/>
      <x:c r="AR362" s="139" t="n"/>
      <x:c r="AS362" s="139" t="n"/>
      <x:c r="AT362" s="139" t="n"/>
      <x:c r="AU362" s="139" t="n"/>
      <x:c r="AV362" s="139" t="n"/>
      <x:c r="AW362" s="139" t="n"/>
      <x:c r="AX362" s="139" t="n"/>
      <x:c r="AY362" s="139" t="n"/>
      <x:c r="AZ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c r="V363" s="139" t="n"/>
      <x:c r="W363" s="139" t="n"/>
      <x:c r="X363" s="139" t="n"/>
      <x:c r="Y363" s="139" t="n"/>
      <x:c r="Z363" s="139" t="n"/>
      <x:c r="AA363" s="139" t="n"/>
      <x:c r="AB363" s="139" t="n"/>
      <x:c r="AC363" s="139" t="n"/>
      <x:c r="AD363" s="139" t="n"/>
      <x:c r="AE363" s="139" t="n"/>
      <x:c r="AF363" s="139" t="n"/>
      <x:c r="AG363" s="139" t="n"/>
      <x:c r="AH363" s="139" t="n"/>
      <x:c r="AI363" s="139" t="n"/>
      <x:c r="AJ363" s="139" t="n"/>
      <x:c r="AK363" s="139" t="n"/>
      <x:c r="AL363" s="139" t="n"/>
      <x:c r="AM363" s="139" t="n"/>
      <x:c r="AN363" s="139" t="n"/>
      <x:c r="AO363" s="139" t="n"/>
      <x:c r="AP363" s="139" t="n"/>
      <x:c r="AQ363" s="139" t="n"/>
      <x:c r="AR363" s="139" t="n"/>
      <x:c r="AS363" s="139" t="n"/>
      <x:c r="AT363" s="139" t="n"/>
      <x:c r="AU363" s="139" t="n"/>
      <x:c r="AV363" s="139" t="n"/>
      <x:c r="AW363" s="139" t="n"/>
      <x:c r="AX363" s="139" t="n"/>
      <x:c r="AY363" s="139" t="n"/>
      <x:c r="AZ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c r="V364" s="139" t="n"/>
      <x:c r="W364" s="139" t="n"/>
      <x:c r="X364" s="139" t="n"/>
      <x:c r="Y364" s="139" t="n"/>
      <x:c r="Z364" s="139" t="n"/>
      <x:c r="AA364" s="139" t="n"/>
      <x:c r="AB364" s="139" t="n"/>
      <x:c r="AC364" s="139" t="n"/>
      <x:c r="AD364" s="139" t="n"/>
      <x:c r="AE364" s="139" t="n"/>
      <x:c r="AF364" s="139" t="n"/>
      <x:c r="AG364" s="139" t="n"/>
      <x:c r="AH364" s="139" t="n"/>
      <x:c r="AI364" s="139" t="n"/>
      <x:c r="AJ364" s="139" t="n"/>
      <x:c r="AK364" s="139" t="n"/>
      <x:c r="AL364" s="139" t="n"/>
      <x:c r="AM364" s="139" t="n"/>
      <x:c r="AN364" s="139" t="n"/>
      <x:c r="AO364" s="139" t="n"/>
      <x:c r="AP364" s="139" t="n"/>
      <x:c r="AQ364" s="139" t="n"/>
      <x:c r="AR364" s="139" t="n"/>
      <x:c r="AS364" s="139" t="n"/>
      <x:c r="AT364" s="139" t="n"/>
      <x:c r="AU364" s="139" t="n"/>
      <x:c r="AV364" s="139" t="n"/>
      <x:c r="AW364" s="139" t="n"/>
      <x:c r="AX364" s="139" t="n"/>
      <x:c r="AY364" s="139" t="n"/>
      <x:c r="AZ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c r="V365" s="139" t="n"/>
      <x:c r="W365" s="139" t="n"/>
      <x:c r="X365" s="139" t="n"/>
      <x:c r="Y365" s="139" t="n"/>
      <x:c r="Z365" s="139" t="n"/>
      <x:c r="AA365" s="139" t="n"/>
      <x:c r="AB365" s="139" t="n"/>
      <x:c r="AC365" s="139" t="n"/>
      <x:c r="AD365" s="139" t="n"/>
      <x:c r="AE365" s="139" t="n"/>
      <x:c r="AF365" s="139" t="n"/>
      <x:c r="AG365" s="139" t="n"/>
      <x:c r="AH365" s="139" t="n"/>
      <x:c r="AI365" s="139" t="n"/>
      <x:c r="AJ365" s="139" t="n"/>
      <x:c r="AK365" s="139" t="n"/>
      <x:c r="AL365" s="139" t="n"/>
      <x:c r="AM365" s="139" t="n"/>
      <x:c r="AN365" s="139" t="n"/>
      <x:c r="AO365" s="139" t="n"/>
      <x:c r="AP365" s="139" t="n"/>
      <x:c r="AQ365" s="139" t="n"/>
      <x:c r="AR365" s="139" t="n"/>
      <x:c r="AS365" s="139" t="n"/>
      <x:c r="AT365" s="139" t="n"/>
      <x:c r="AU365" s="139" t="n"/>
      <x:c r="AV365" s="139" t="n"/>
      <x:c r="AW365" s="139" t="n"/>
      <x:c r="AX365" s="139" t="n"/>
      <x:c r="AY365" s="139" t="n"/>
      <x:c r="AZ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c r="V366" s="139" t="n"/>
      <x:c r="W366" s="139" t="n"/>
      <x:c r="X366" s="139" t="n"/>
      <x:c r="Y366" s="139" t="n"/>
      <x:c r="Z366" s="139" t="n"/>
      <x:c r="AA366" s="139" t="n"/>
      <x:c r="AB366" s="139" t="n"/>
      <x:c r="AC366" s="139" t="n"/>
      <x:c r="AD366" s="139" t="n"/>
      <x:c r="AE366" s="139" t="n"/>
      <x:c r="AF366" s="139" t="n"/>
      <x:c r="AG366" s="139" t="n"/>
      <x:c r="AH366" s="139" t="n"/>
      <x:c r="AI366" s="139" t="n"/>
      <x:c r="AJ366" s="139" t="n"/>
      <x:c r="AK366" s="139" t="n"/>
      <x:c r="AL366" s="139" t="n"/>
      <x:c r="AM366" s="139" t="n"/>
      <x:c r="AN366" s="139" t="n"/>
      <x:c r="AO366" s="139" t="n"/>
      <x:c r="AP366" s="139" t="n"/>
      <x:c r="AQ366" s="139" t="n"/>
      <x:c r="AR366" s="139" t="n"/>
      <x:c r="AS366" s="139" t="n"/>
      <x:c r="AT366" s="139" t="n"/>
      <x:c r="AU366" s="139" t="n"/>
      <x:c r="AV366" s="139" t="n"/>
      <x:c r="AW366" s="139" t="n"/>
      <x:c r="AX366" s="139" t="n"/>
      <x:c r="AY366" s="139" t="n"/>
      <x:c r="AZ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c r="V367" s="139" t="n"/>
      <x:c r="W367" s="139" t="n"/>
      <x:c r="X367" s="139" t="n"/>
      <x:c r="Y367" s="139" t="n"/>
      <x:c r="Z367" s="139" t="n"/>
      <x:c r="AA367" s="139" t="n"/>
      <x:c r="AB367" s="139" t="n"/>
      <x:c r="AC367" s="139" t="n"/>
      <x:c r="AD367" s="139" t="n"/>
      <x:c r="AE367" s="139" t="n"/>
      <x:c r="AF367" s="139" t="n"/>
      <x:c r="AG367" s="139" t="n"/>
      <x:c r="AH367" s="139" t="n"/>
      <x:c r="AI367" s="139" t="n"/>
      <x:c r="AJ367" s="139" t="n"/>
      <x:c r="AK367" s="139" t="n"/>
      <x:c r="AL367" s="139" t="n"/>
      <x:c r="AM367" s="139" t="n"/>
      <x:c r="AN367" s="139" t="n"/>
      <x:c r="AO367" s="139" t="n"/>
      <x:c r="AP367" s="139" t="n"/>
      <x:c r="AQ367" s="139" t="n"/>
      <x:c r="AR367" s="139" t="n"/>
      <x:c r="AS367" s="139" t="n"/>
      <x:c r="AT367" s="139" t="n"/>
      <x:c r="AU367" s="139" t="n"/>
      <x:c r="AV367" s="139" t="n"/>
      <x:c r="AW367" s="139" t="n"/>
      <x:c r="AX367" s="139" t="n"/>
      <x:c r="AY367" s="139" t="n"/>
      <x:c r="AZ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c r="V368" s="139" t="n"/>
      <x:c r="W368" s="139" t="n"/>
      <x:c r="X368" s="139" t="n"/>
      <x:c r="Y368" s="139" t="n"/>
      <x:c r="Z368" s="139" t="n"/>
      <x:c r="AA368" s="139" t="n"/>
      <x:c r="AB368" s="139" t="n"/>
      <x:c r="AC368" s="139" t="n"/>
      <x:c r="AD368" s="139" t="n"/>
      <x:c r="AE368" s="139" t="n"/>
      <x:c r="AF368" s="139" t="n"/>
      <x:c r="AG368" s="139" t="n"/>
      <x:c r="AH368" s="139" t="n"/>
      <x:c r="AI368" s="139" t="n"/>
      <x:c r="AJ368" s="139" t="n"/>
      <x:c r="AK368" s="139" t="n"/>
      <x:c r="AL368" s="139" t="n"/>
      <x:c r="AM368" s="139" t="n"/>
      <x:c r="AN368" s="139" t="n"/>
      <x:c r="AO368" s="139" t="n"/>
      <x:c r="AP368" s="139" t="n"/>
      <x:c r="AQ368" s="139" t="n"/>
      <x:c r="AR368" s="139" t="n"/>
      <x:c r="AS368" s="139" t="n"/>
      <x:c r="AT368" s="139" t="n"/>
      <x:c r="AU368" s="139" t="n"/>
      <x:c r="AV368" s="139" t="n"/>
      <x:c r="AW368" s="139" t="n"/>
      <x:c r="AX368" s="139" t="n"/>
      <x:c r="AY368" s="139" t="n"/>
      <x:c r="AZ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c r="V369" s="139" t="n"/>
      <x:c r="W369" s="139" t="n"/>
      <x:c r="X369" s="139" t="n"/>
      <x:c r="Y369" s="139" t="n"/>
      <x:c r="Z369" s="139" t="n"/>
      <x:c r="AA369" s="139" t="n"/>
      <x:c r="AB369" s="139" t="n"/>
      <x:c r="AC369" s="139" t="n"/>
      <x:c r="AD369" s="139" t="n"/>
      <x:c r="AE369" s="139" t="n"/>
      <x:c r="AF369" s="139" t="n"/>
      <x:c r="AG369" s="139" t="n"/>
      <x:c r="AH369" s="139" t="n"/>
      <x:c r="AI369" s="139" t="n"/>
      <x:c r="AJ369" s="139" t="n"/>
      <x:c r="AK369" s="139" t="n"/>
      <x:c r="AL369" s="139" t="n"/>
      <x:c r="AM369" s="139" t="n"/>
      <x:c r="AN369" s="139" t="n"/>
      <x:c r="AO369" s="139" t="n"/>
      <x:c r="AP369" s="139" t="n"/>
      <x:c r="AQ369" s="139" t="n"/>
      <x:c r="AR369" s="139" t="n"/>
      <x:c r="AS369" s="139" t="n"/>
      <x:c r="AT369" s="139" t="n"/>
      <x:c r="AU369" s="139" t="n"/>
      <x:c r="AV369" s="139" t="n"/>
      <x:c r="AW369" s="139" t="n"/>
      <x:c r="AX369" s="139" t="n"/>
      <x:c r="AY369" s="139" t="n"/>
      <x:c r="AZ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c r="V370" s="139" t="n"/>
      <x:c r="W370" s="139" t="n"/>
      <x:c r="X370" s="139" t="n"/>
      <x:c r="Y370" s="139" t="n"/>
      <x:c r="Z370" s="139" t="n"/>
      <x:c r="AA370" s="139" t="n"/>
      <x:c r="AB370" s="139" t="n"/>
      <x:c r="AC370" s="139" t="n"/>
      <x:c r="AD370" s="139" t="n"/>
      <x:c r="AE370" s="139" t="n"/>
      <x:c r="AF370" s="139" t="n"/>
      <x:c r="AG370" s="139" t="n"/>
      <x:c r="AH370" s="139" t="n"/>
      <x:c r="AI370" s="139" t="n"/>
      <x:c r="AJ370" s="139" t="n"/>
      <x:c r="AK370" s="139" t="n"/>
      <x:c r="AL370" s="139" t="n"/>
      <x:c r="AM370" s="139" t="n"/>
      <x:c r="AN370" s="139" t="n"/>
      <x:c r="AO370" s="139" t="n"/>
      <x:c r="AP370" s="139" t="n"/>
      <x:c r="AQ370" s="139" t="n"/>
      <x:c r="AR370" s="139" t="n"/>
      <x:c r="AS370" s="139" t="n"/>
      <x:c r="AT370" s="139" t="n"/>
      <x:c r="AU370" s="139" t="n"/>
      <x:c r="AV370" s="139" t="n"/>
      <x:c r="AW370" s="139" t="n"/>
      <x:c r="AX370" s="139" t="n"/>
      <x:c r="AY370" s="139" t="n"/>
      <x:c r="AZ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c r="V371" s="139" t="n"/>
      <x:c r="W371" s="139" t="n"/>
      <x:c r="X371" s="139" t="n"/>
      <x:c r="Y371" s="139" t="n"/>
      <x:c r="Z371" s="139" t="n"/>
      <x:c r="AA371" s="139" t="n"/>
      <x:c r="AB371" s="139" t="n"/>
      <x:c r="AC371" s="139" t="n"/>
      <x:c r="AD371" s="139" t="n"/>
      <x:c r="AE371" s="139" t="n"/>
      <x:c r="AF371" s="139" t="n"/>
      <x:c r="AG371" s="139" t="n"/>
      <x:c r="AH371" s="139" t="n"/>
      <x:c r="AI371" s="139" t="n"/>
      <x:c r="AJ371" s="139" t="n"/>
      <x:c r="AK371" s="139" t="n"/>
      <x:c r="AL371" s="139" t="n"/>
      <x:c r="AM371" s="139" t="n"/>
      <x:c r="AN371" s="139" t="n"/>
      <x:c r="AO371" s="139" t="n"/>
      <x:c r="AP371" s="139" t="n"/>
      <x:c r="AQ371" s="139" t="n"/>
      <x:c r="AR371" s="139" t="n"/>
      <x:c r="AS371" s="139" t="n"/>
      <x:c r="AT371" s="139" t="n"/>
      <x:c r="AU371" s="139" t="n"/>
      <x:c r="AV371" s="139" t="n"/>
      <x:c r="AW371" s="139" t="n"/>
      <x:c r="AX371" s="139" t="n"/>
      <x:c r="AY371" s="139" t="n"/>
      <x:c r="AZ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c r="V372" s="139" t="n"/>
      <x:c r="W372" s="139" t="n"/>
      <x:c r="X372" s="139" t="n"/>
      <x:c r="Y372" s="139" t="n"/>
      <x:c r="Z372" s="139" t="n"/>
      <x:c r="AA372" s="139" t="n"/>
      <x:c r="AB372" s="139" t="n"/>
      <x:c r="AC372" s="139" t="n"/>
      <x:c r="AD372" s="139" t="n"/>
      <x:c r="AE372" s="139" t="n"/>
      <x:c r="AF372" s="139" t="n"/>
      <x:c r="AG372" s="139" t="n"/>
      <x:c r="AH372" s="139" t="n"/>
      <x:c r="AI372" s="139" t="n"/>
      <x:c r="AJ372" s="139" t="n"/>
      <x:c r="AK372" s="139" t="n"/>
      <x:c r="AL372" s="139" t="n"/>
      <x:c r="AM372" s="139" t="n"/>
      <x:c r="AN372" s="139" t="n"/>
      <x:c r="AO372" s="139" t="n"/>
      <x:c r="AP372" s="139" t="n"/>
      <x:c r="AQ372" s="139" t="n"/>
      <x:c r="AR372" s="139" t="n"/>
      <x:c r="AS372" s="139" t="n"/>
      <x:c r="AT372" s="139" t="n"/>
      <x:c r="AU372" s="139" t="n"/>
      <x:c r="AV372" s="139" t="n"/>
      <x:c r="AW372" s="139" t="n"/>
      <x:c r="AX372" s="139" t="n"/>
      <x:c r="AY372" s="139" t="n"/>
      <x:c r="AZ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c r="V373" s="139" t="n"/>
      <x:c r="W373" s="139" t="n"/>
      <x:c r="X373" s="139" t="n"/>
      <x:c r="Y373" s="139" t="n"/>
      <x:c r="Z373" s="139" t="n"/>
      <x:c r="AA373" s="139" t="n"/>
      <x:c r="AB373" s="139" t="n"/>
      <x:c r="AC373" s="139" t="n"/>
      <x:c r="AD373" s="139" t="n"/>
      <x:c r="AE373" s="139" t="n"/>
      <x:c r="AF373" s="139" t="n"/>
      <x:c r="AG373" s="139" t="n"/>
      <x:c r="AH373" s="139" t="n"/>
      <x:c r="AI373" s="139" t="n"/>
      <x:c r="AJ373" s="139" t="n"/>
      <x:c r="AK373" s="139" t="n"/>
      <x:c r="AL373" s="139" t="n"/>
      <x:c r="AM373" s="139" t="n"/>
      <x:c r="AN373" s="139" t="n"/>
      <x:c r="AO373" s="139" t="n"/>
      <x:c r="AP373" s="139" t="n"/>
      <x:c r="AQ373" s="139" t="n"/>
      <x:c r="AR373" s="139" t="n"/>
      <x:c r="AS373" s="139" t="n"/>
      <x:c r="AT373" s="139" t="n"/>
      <x:c r="AU373" s="139" t="n"/>
      <x:c r="AV373" s="139" t="n"/>
      <x:c r="AW373" s="139" t="n"/>
      <x:c r="AX373" s="139" t="n"/>
      <x:c r="AY373" s="139" t="n"/>
      <x:c r="AZ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c r="V374" s="139" t="n"/>
      <x:c r="W374" s="139" t="n"/>
      <x:c r="X374" s="139" t="n"/>
      <x:c r="Y374" s="139" t="n"/>
      <x:c r="Z374" s="139" t="n"/>
      <x:c r="AA374" s="139" t="n"/>
      <x:c r="AB374" s="139" t="n"/>
      <x:c r="AC374" s="139" t="n"/>
      <x:c r="AD374" s="139" t="n"/>
      <x:c r="AE374" s="139" t="n"/>
      <x:c r="AF374" s="139" t="n"/>
      <x:c r="AG374" s="139" t="n"/>
      <x:c r="AH374" s="139" t="n"/>
      <x:c r="AI374" s="139" t="n"/>
      <x:c r="AJ374" s="139" t="n"/>
      <x:c r="AK374" s="139" t="n"/>
      <x:c r="AL374" s="139" t="n"/>
      <x:c r="AM374" s="139" t="n"/>
      <x:c r="AN374" s="139" t="n"/>
      <x:c r="AO374" s="139" t="n"/>
      <x:c r="AP374" s="139" t="n"/>
      <x:c r="AQ374" s="139" t="n"/>
      <x:c r="AR374" s="139" t="n"/>
      <x:c r="AS374" s="139" t="n"/>
      <x:c r="AT374" s="139" t="n"/>
      <x:c r="AU374" s="139" t="n"/>
      <x:c r="AV374" s="139" t="n"/>
      <x:c r="AW374" s="139" t="n"/>
      <x:c r="AX374" s="139" t="n"/>
      <x:c r="AY374" s="139" t="n"/>
      <x:c r="AZ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c r="V375" s="139" t="n"/>
      <x:c r="W375" s="139" t="n"/>
      <x:c r="X375" s="139" t="n"/>
      <x:c r="Y375" s="139" t="n"/>
      <x:c r="Z375" s="139" t="n"/>
      <x:c r="AA375" s="139" t="n"/>
      <x:c r="AB375" s="139" t="n"/>
      <x:c r="AC375" s="139" t="n"/>
      <x:c r="AD375" s="139" t="n"/>
      <x:c r="AE375" s="139" t="n"/>
      <x:c r="AF375" s="139" t="n"/>
      <x:c r="AG375" s="139" t="n"/>
      <x:c r="AH375" s="139" t="n"/>
      <x:c r="AI375" s="139" t="n"/>
      <x:c r="AJ375" s="139" t="n"/>
      <x:c r="AK375" s="139" t="n"/>
      <x:c r="AL375" s="139" t="n"/>
      <x:c r="AM375" s="139" t="n"/>
      <x:c r="AN375" s="139" t="n"/>
      <x:c r="AO375" s="139" t="n"/>
      <x:c r="AP375" s="139" t="n"/>
      <x:c r="AQ375" s="139" t="n"/>
      <x:c r="AR375" s="139" t="n"/>
      <x:c r="AS375" s="139" t="n"/>
      <x:c r="AT375" s="139" t="n"/>
      <x:c r="AU375" s="139" t="n"/>
      <x:c r="AV375" s="139" t="n"/>
      <x:c r="AW375" s="139" t="n"/>
      <x:c r="AX375" s="139" t="n"/>
      <x:c r="AY375" s="139" t="n"/>
      <x:c r="AZ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c r="V376" s="139" t="n"/>
      <x:c r="W376" s="139" t="n"/>
      <x:c r="X376" s="139" t="n"/>
      <x:c r="Y376" s="139" t="n"/>
      <x:c r="Z376" s="139" t="n"/>
      <x:c r="AA376" s="139" t="n"/>
      <x:c r="AB376" s="139" t="n"/>
      <x:c r="AC376" s="139" t="n"/>
      <x:c r="AD376" s="139" t="n"/>
      <x:c r="AE376" s="139" t="n"/>
      <x:c r="AF376" s="139" t="n"/>
      <x:c r="AG376" s="139" t="n"/>
      <x:c r="AH376" s="139" t="n"/>
      <x:c r="AI376" s="139" t="n"/>
      <x:c r="AJ376" s="139" t="n"/>
      <x:c r="AK376" s="139" t="n"/>
      <x:c r="AL376" s="139" t="n"/>
      <x:c r="AM376" s="139" t="n"/>
      <x:c r="AN376" s="139" t="n"/>
      <x:c r="AO376" s="139" t="n"/>
      <x:c r="AP376" s="139" t="n"/>
      <x:c r="AQ376" s="139" t="n"/>
      <x:c r="AR376" s="139" t="n"/>
      <x:c r="AS376" s="139" t="n"/>
      <x:c r="AT376" s="139" t="n"/>
      <x:c r="AU376" s="139" t="n"/>
      <x:c r="AV376" s="139" t="n"/>
      <x:c r="AW376" s="139" t="n"/>
      <x:c r="AX376" s="139" t="n"/>
      <x:c r="AY376" s="139" t="n"/>
      <x:c r="AZ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c r="V377" s="139" t="n"/>
      <x:c r="W377" s="139" t="n"/>
      <x:c r="X377" s="139" t="n"/>
      <x:c r="Y377" s="139" t="n"/>
      <x:c r="Z377" s="139" t="n"/>
      <x:c r="AA377" s="139" t="n"/>
      <x:c r="AB377" s="139" t="n"/>
      <x:c r="AC377" s="139" t="n"/>
      <x:c r="AD377" s="139" t="n"/>
      <x:c r="AE377" s="139" t="n"/>
      <x:c r="AF377" s="139" t="n"/>
      <x:c r="AG377" s="139" t="n"/>
      <x:c r="AH377" s="139" t="n"/>
      <x:c r="AI377" s="139" t="n"/>
      <x:c r="AJ377" s="139" t="n"/>
      <x:c r="AK377" s="139" t="n"/>
      <x:c r="AL377" s="139" t="n"/>
      <x:c r="AM377" s="139" t="n"/>
      <x:c r="AN377" s="139" t="n"/>
      <x:c r="AO377" s="139" t="n"/>
      <x:c r="AP377" s="139" t="n"/>
      <x:c r="AQ377" s="139" t="n"/>
      <x:c r="AR377" s="139" t="n"/>
      <x:c r="AS377" s="139" t="n"/>
      <x:c r="AT377" s="139" t="n"/>
      <x:c r="AU377" s="139" t="n"/>
      <x:c r="AV377" s="139" t="n"/>
      <x:c r="AW377" s="139" t="n"/>
      <x:c r="AX377" s="139" t="n"/>
      <x:c r="AY377" s="139" t="n"/>
      <x:c r="AZ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c r="V378" s="139" t="n"/>
      <x:c r="W378" s="139" t="n"/>
      <x:c r="X378" s="139" t="n"/>
      <x:c r="Y378" s="139" t="n"/>
      <x:c r="Z378" s="139" t="n"/>
      <x:c r="AA378" s="139" t="n"/>
      <x:c r="AB378" s="139" t="n"/>
      <x:c r="AC378" s="139" t="n"/>
      <x:c r="AD378" s="139" t="n"/>
      <x:c r="AE378" s="139" t="n"/>
      <x:c r="AF378" s="139" t="n"/>
      <x:c r="AG378" s="139" t="n"/>
      <x:c r="AH378" s="139" t="n"/>
      <x:c r="AI378" s="139" t="n"/>
      <x:c r="AJ378" s="139" t="n"/>
      <x:c r="AK378" s="139" t="n"/>
      <x:c r="AL378" s="139" t="n"/>
      <x:c r="AM378" s="139" t="n"/>
      <x:c r="AN378" s="139" t="n"/>
      <x:c r="AO378" s="139" t="n"/>
      <x:c r="AP378" s="139" t="n"/>
      <x:c r="AQ378" s="139" t="n"/>
      <x:c r="AR378" s="139" t="n"/>
      <x:c r="AS378" s="139" t="n"/>
      <x:c r="AT378" s="139" t="n"/>
      <x:c r="AU378" s="139" t="n"/>
      <x:c r="AV378" s="139" t="n"/>
      <x:c r="AW378" s="139" t="n"/>
      <x:c r="AX378" s="139" t="n"/>
      <x:c r="AY378" s="139" t="n"/>
      <x:c r="AZ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c r="V379" s="139" t="n"/>
      <x:c r="W379" s="139" t="n"/>
      <x:c r="X379" s="139" t="n"/>
      <x:c r="Y379" s="139" t="n"/>
      <x:c r="Z379" s="139" t="n"/>
      <x:c r="AA379" s="139" t="n"/>
      <x:c r="AB379" s="139" t="n"/>
      <x:c r="AC379" s="139" t="n"/>
      <x:c r="AD379" s="139" t="n"/>
      <x:c r="AE379" s="139" t="n"/>
      <x:c r="AF379" s="139" t="n"/>
      <x:c r="AG379" s="139" t="n"/>
      <x:c r="AH379" s="139" t="n"/>
      <x:c r="AI379" s="139" t="n"/>
      <x:c r="AJ379" s="139" t="n"/>
      <x:c r="AK379" s="139" t="n"/>
      <x:c r="AL379" s="139" t="n"/>
      <x:c r="AM379" s="139" t="n"/>
      <x:c r="AN379" s="139" t="n"/>
      <x:c r="AO379" s="139" t="n"/>
      <x:c r="AP379" s="139" t="n"/>
      <x:c r="AQ379" s="139" t="n"/>
      <x:c r="AR379" s="139" t="n"/>
      <x:c r="AS379" s="139" t="n"/>
      <x:c r="AT379" s="139" t="n"/>
      <x:c r="AU379" s="139" t="n"/>
      <x:c r="AV379" s="139" t="n"/>
      <x:c r="AW379" s="139" t="n"/>
      <x:c r="AX379" s="139" t="n"/>
      <x:c r="AY379" s="139" t="n"/>
      <x:c r="AZ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c r="V380" s="139" t="n"/>
      <x:c r="W380" s="139" t="n"/>
      <x:c r="X380" s="139" t="n"/>
      <x:c r="Y380" s="139" t="n"/>
      <x:c r="Z380" s="139" t="n"/>
      <x:c r="AA380" s="139" t="n"/>
      <x:c r="AB380" s="139" t="n"/>
      <x:c r="AC380" s="139" t="n"/>
      <x:c r="AD380" s="139" t="n"/>
      <x:c r="AE380" s="139" t="n"/>
      <x:c r="AF380" s="139" t="n"/>
      <x:c r="AG380" s="139" t="n"/>
      <x:c r="AH380" s="139" t="n"/>
      <x:c r="AI380" s="139" t="n"/>
      <x:c r="AJ380" s="139" t="n"/>
      <x:c r="AK380" s="139" t="n"/>
      <x:c r="AL380" s="139" t="n"/>
      <x:c r="AM380" s="139" t="n"/>
      <x:c r="AN380" s="139" t="n"/>
      <x:c r="AO380" s="139" t="n"/>
      <x:c r="AP380" s="139" t="n"/>
      <x:c r="AQ380" s="139" t="n"/>
      <x:c r="AR380" s="139" t="n"/>
      <x:c r="AS380" s="139" t="n"/>
      <x:c r="AT380" s="139" t="n"/>
      <x:c r="AU380" s="139" t="n"/>
      <x:c r="AV380" s="139" t="n"/>
      <x:c r="AW380" s="139" t="n"/>
      <x:c r="AX380" s="139" t="n"/>
      <x:c r="AY380" s="139" t="n"/>
      <x:c r="AZ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c r="V381" s="139" t="n"/>
      <x:c r="W381" s="139" t="n"/>
      <x:c r="X381" s="139" t="n"/>
      <x:c r="Y381" s="139" t="n"/>
      <x:c r="Z381" s="139" t="n"/>
      <x:c r="AA381" s="139" t="n"/>
      <x:c r="AB381" s="139" t="n"/>
      <x:c r="AC381" s="139" t="n"/>
      <x:c r="AD381" s="139" t="n"/>
      <x:c r="AE381" s="139" t="n"/>
      <x:c r="AF381" s="139" t="n"/>
      <x:c r="AG381" s="139" t="n"/>
      <x:c r="AH381" s="139" t="n"/>
      <x:c r="AI381" s="139" t="n"/>
      <x:c r="AJ381" s="139" t="n"/>
      <x:c r="AK381" s="139" t="n"/>
      <x:c r="AL381" s="139" t="n"/>
      <x:c r="AM381" s="139" t="n"/>
      <x:c r="AN381" s="139" t="n"/>
      <x:c r="AO381" s="139" t="n"/>
      <x:c r="AP381" s="139" t="n"/>
      <x:c r="AQ381" s="139" t="n"/>
      <x:c r="AR381" s="139" t="n"/>
      <x:c r="AS381" s="139" t="n"/>
      <x:c r="AT381" s="139" t="n"/>
      <x:c r="AU381" s="139" t="n"/>
      <x:c r="AV381" s="139" t="n"/>
      <x:c r="AW381" s="139" t="n"/>
      <x:c r="AX381" s="139" t="n"/>
      <x:c r="AY381" s="139" t="n"/>
      <x:c r="AZ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c r="V382" s="139" t="n"/>
      <x:c r="W382" s="139" t="n"/>
      <x:c r="X382" s="139" t="n"/>
      <x:c r="Y382" s="139" t="n"/>
      <x:c r="Z382" s="139" t="n"/>
      <x:c r="AA382" s="139" t="n"/>
      <x:c r="AB382" s="139" t="n"/>
      <x:c r="AC382" s="139" t="n"/>
      <x:c r="AD382" s="139" t="n"/>
      <x:c r="AE382" s="139" t="n"/>
      <x:c r="AF382" s="139" t="n"/>
      <x:c r="AG382" s="139" t="n"/>
      <x:c r="AH382" s="139" t="n"/>
      <x:c r="AI382" s="139" t="n"/>
      <x:c r="AJ382" s="139" t="n"/>
      <x:c r="AK382" s="139" t="n"/>
      <x:c r="AL382" s="139" t="n"/>
      <x:c r="AM382" s="139" t="n"/>
      <x:c r="AN382" s="139" t="n"/>
      <x:c r="AO382" s="139" t="n"/>
      <x:c r="AP382" s="139" t="n"/>
      <x:c r="AQ382" s="139" t="n"/>
      <x:c r="AR382" s="139" t="n"/>
      <x:c r="AS382" s="139" t="n"/>
      <x:c r="AT382" s="139" t="n"/>
      <x:c r="AU382" s="139" t="n"/>
      <x:c r="AV382" s="139" t="n"/>
      <x:c r="AW382" s="139" t="n"/>
      <x:c r="AX382" s="139" t="n"/>
      <x:c r="AY382" s="139" t="n"/>
      <x:c r="AZ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c r="V383" s="139" t="n"/>
      <x:c r="W383" s="139" t="n"/>
      <x:c r="X383" s="139" t="n"/>
      <x:c r="Y383" s="139" t="n"/>
      <x:c r="Z383" s="139" t="n"/>
      <x:c r="AA383" s="139" t="n"/>
      <x:c r="AB383" s="139" t="n"/>
      <x:c r="AC383" s="139" t="n"/>
      <x:c r="AD383" s="139" t="n"/>
      <x:c r="AE383" s="139" t="n"/>
      <x:c r="AF383" s="139" t="n"/>
      <x:c r="AG383" s="139" t="n"/>
      <x:c r="AH383" s="139" t="n"/>
      <x:c r="AI383" s="139" t="n"/>
      <x:c r="AJ383" s="139" t="n"/>
      <x:c r="AK383" s="139" t="n"/>
      <x:c r="AL383" s="139" t="n"/>
      <x:c r="AM383" s="139" t="n"/>
      <x:c r="AN383" s="139" t="n"/>
      <x:c r="AO383" s="139" t="n"/>
      <x:c r="AP383" s="139" t="n"/>
      <x:c r="AQ383" s="139" t="n"/>
      <x:c r="AR383" s="139" t="n"/>
      <x:c r="AS383" s="139" t="n"/>
      <x:c r="AT383" s="139" t="n"/>
      <x:c r="AU383" s="139" t="n"/>
      <x:c r="AV383" s="139" t="n"/>
      <x:c r="AW383" s="139" t="n"/>
      <x:c r="AX383" s="139" t="n"/>
      <x:c r="AY383" s="139" t="n"/>
      <x:c r="AZ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c r="V384" s="139" t="n"/>
      <x:c r="W384" s="139" t="n"/>
      <x:c r="X384" s="139" t="n"/>
      <x:c r="Y384" s="139" t="n"/>
      <x:c r="Z384" s="139" t="n"/>
      <x:c r="AA384" s="139" t="n"/>
      <x:c r="AB384" s="139" t="n"/>
      <x:c r="AC384" s="139" t="n"/>
      <x:c r="AD384" s="139" t="n"/>
      <x:c r="AE384" s="139" t="n"/>
      <x:c r="AF384" s="139" t="n"/>
      <x:c r="AG384" s="139" t="n"/>
      <x:c r="AH384" s="139" t="n"/>
      <x:c r="AI384" s="139" t="n"/>
      <x:c r="AJ384" s="139" t="n"/>
      <x:c r="AK384" s="139" t="n"/>
      <x:c r="AL384" s="139" t="n"/>
      <x:c r="AM384" s="139" t="n"/>
      <x:c r="AN384" s="139" t="n"/>
      <x:c r="AO384" s="139" t="n"/>
      <x:c r="AP384" s="139" t="n"/>
      <x:c r="AQ384" s="139" t="n"/>
      <x:c r="AR384" s="139" t="n"/>
      <x:c r="AS384" s="139" t="n"/>
      <x:c r="AT384" s="139" t="n"/>
      <x:c r="AU384" s="139" t="n"/>
      <x:c r="AV384" s="139" t="n"/>
      <x:c r="AW384" s="139" t="n"/>
      <x:c r="AX384" s="139" t="n"/>
      <x:c r="AY384" s="139" t="n"/>
      <x:c r="AZ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c r="V385" s="139" t="n"/>
      <x:c r="W385" s="139" t="n"/>
      <x:c r="X385" s="139" t="n"/>
      <x:c r="Y385" s="139" t="n"/>
      <x:c r="Z385" s="139" t="n"/>
      <x:c r="AA385" s="139" t="n"/>
      <x:c r="AB385" s="139" t="n"/>
      <x:c r="AC385" s="139" t="n"/>
      <x:c r="AD385" s="139" t="n"/>
      <x:c r="AE385" s="139" t="n"/>
      <x:c r="AF385" s="139" t="n"/>
      <x:c r="AG385" s="139" t="n"/>
      <x:c r="AH385" s="139" t="n"/>
      <x:c r="AI385" s="139" t="n"/>
      <x:c r="AJ385" s="139" t="n"/>
      <x:c r="AK385" s="139" t="n"/>
      <x:c r="AL385" s="139" t="n"/>
      <x:c r="AM385" s="139" t="n"/>
      <x:c r="AN385" s="139" t="n"/>
      <x:c r="AO385" s="139" t="n"/>
      <x:c r="AP385" s="139" t="n"/>
      <x:c r="AQ385" s="139" t="n"/>
      <x:c r="AR385" s="139" t="n"/>
      <x:c r="AS385" s="139" t="n"/>
      <x:c r="AT385" s="139" t="n"/>
      <x:c r="AU385" s="139" t="n"/>
      <x:c r="AV385" s="139" t="n"/>
      <x:c r="AW385" s="139" t="n"/>
      <x:c r="AX385" s="139" t="n"/>
      <x:c r="AY385" s="139" t="n"/>
      <x:c r="AZ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c r="V386" s="139" t="n"/>
      <x:c r="W386" s="139" t="n"/>
      <x:c r="X386" s="139" t="n"/>
      <x:c r="Y386" s="139" t="n"/>
      <x:c r="Z386" s="139" t="n"/>
      <x:c r="AA386" s="139" t="n"/>
      <x:c r="AB386" s="139" t="n"/>
      <x:c r="AC386" s="139" t="n"/>
      <x:c r="AD386" s="139" t="n"/>
      <x:c r="AE386" s="139" t="n"/>
      <x:c r="AF386" s="139" t="n"/>
      <x:c r="AG386" s="139" t="n"/>
      <x:c r="AH386" s="139" t="n"/>
      <x:c r="AI386" s="139" t="n"/>
      <x:c r="AJ386" s="139" t="n"/>
      <x:c r="AK386" s="139" t="n"/>
      <x:c r="AL386" s="139" t="n"/>
      <x:c r="AM386" s="139" t="n"/>
      <x:c r="AN386" s="139" t="n"/>
      <x:c r="AO386" s="139" t="n"/>
      <x:c r="AP386" s="139" t="n"/>
      <x:c r="AQ386" s="139" t="n"/>
      <x:c r="AR386" s="139" t="n"/>
      <x:c r="AS386" s="139" t="n"/>
      <x:c r="AT386" s="139" t="n"/>
      <x:c r="AU386" s="139" t="n"/>
      <x:c r="AV386" s="139" t="n"/>
      <x:c r="AW386" s="139" t="n"/>
      <x:c r="AX386" s="139" t="n"/>
      <x:c r="AY386" s="139" t="n"/>
      <x:c r="AZ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c r="V387" s="139" t="n"/>
      <x:c r="W387" s="139" t="n"/>
      <x:c r="X387" s="139" t="n"/>
      <x:c r="Y387" s="139" t="n"/>
      <x:c r="Z387" s="139" t="n"/>
      <x:c r="AA387" s="139" t="n"/>
      <x:c r="AB387" s="139" t="n"/>
      <x:c r="AC387" s="139" t="n"/>
      <x:c r="AD387" s="139" t="n"/>
      <x:c r="AE387" s="139" t="n"/>
      <x:c r="AF387" s="139" t="n"/>
      <x:c r="AG387" s="139" t="n"/>
      <x:c r="AH387" s="139" t="n"/>
      <x:c r="AI387" s="139" t="n"/>
      <x:c r="AJ387" s="139" t="n"/>
      <x:c r="AK387" s="139" t="n"/>
      <x:c r="AL387" s="139" t="n"/>
      <x:c r="AM387" s="139" t="n"/>
      <x:c r="AN387" s="139" t="n"/>
      <x:c r="AO387" s="139" t="n"/>
      <x:c r="AP387" s="139" t="n"/>
      <x:c r="AQ387" s="139" t="n"/>
      <x:c r="AR387" s="139" t="n"/>
      <x:c r="AS387" s="139" t="n"/>
      <x:c r="AT387" s="139" t="n"/>
      <x:c r="AU387" s="139" t="n"/>
      <x:c r="AV387" s="139" t="n"/>
      <x:c r="AW387" s="139" t="n"/>
      <x:c r="AX387" s="139" t="n"/>
      <x:c r="AY387" s="139" t="n"/>
      <x:c r="AZ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c r="V388" s="139" t="n"/>
      <x:c r="W388" s="139" t="n"/>
      <x:c r="X388" s="139" t="n"/>
      <x:c r="Y388" s="139" t="n"/>
      <x:c r="Z388" s="139" t="n"/>
      <x:c r="AA388" s="139" t="n"/>
      <x:c r="AB388" s="139" t="n"/>
      <x:c r="AC388" s="139" t="n"/>
      <x:c r="AD388" s="139" t="n"/>
      <x:c r="AE388" s="139" t="n"/>
      <x:c r="AF388" s="139" t="n"/>
      <x:c r="AG388" s="139" t="n"/>
      <x:c r="AH388" s="139" t="n"/>
      <x:c r="AI388" s="139" t="n"/>
      <x:c r="AJ388" s="139" t="n"/>
      <x:c r="AK388" s="139" t="n"/>
      <x:c r="AL388" s="139" t="n"/>
      <x:c r="AM388" s="139" t="n"/>
      <x:c r="AN388" s="139" t="n"/>
      <x:c r="AO388" s="139" t="n"/>
      <x:c r="AP388" s="139" t="n"/>
      <x:c r="AQ388" s="139" t="n"/>
      <x:c r="AR388" s="139" t="n"/>
      <x:c r="AS388" s="139" t="n"/>
      <x:c r="AT388" s="139" t="n"/>
      <x:c r="AU388" s="139" t="n"/>
      <x:c r="AV388" s="139" t="n"/>
      <x:c r="AW388" s="139" t="n"/>
      <x:c r="AX388" s="139" t="n"/>
      <x:c r="AY388" s="139" t="n"/>
      <x:c r="AZ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c r="V389" s="139" t="n"/>
      <x:c r="W389" s="139" t="n"/>
      <x:c r="X389" s="139" t="n"/>
      <x:c r="Y389" s="139" t="n"/>
      <x:c r="Z389" s="139" t="n"/>
      <x:c r="AA389" s="139" t="n"/>
      <x:c r="AB389" s="139" t="n"/>
      <x:c r="AC389" s="139" t="n"/>
      <x:c r="AD389" s="139" t="n"/>
      <x:c r="AE389" s="139" t="n"/>
      <x:c r="AF389" s="139" t="n"/>
      <x:c r="AG389" s="139" t="n"/>
      <x:c r="AH389" s="139" t="n"/>
      <x:c r="AI389" s="139" t="n"/>
      <x:c r="AJ389" s="139" t="n"/>
      <x:c r="AK389" s="139" t="n"/>
      <x:c r="AL389" s="139" t="n"/>
      <x:c r="AM389" s="139" t="n"/>
      <x:c r="AN389" s="139" t="n"/>
      <x:c r="AO389" s="139" t="n"/>
      <x:c r="AP389" s="139" t="n"/>
      <x:c r="AQ389" s="139" t="n"/>
      <x:c r="AR389" s="139" t="n"/>
      <x:c r="AS389" s="139" t="n"/>
      <x:c r="AT389" s="139" t="n"/>
      <x:c r="AU389" s="139" t="n"/>
      <x:c r="AV389" s="139" t="n"/>
      <x:c r="AW389" s="139" t="n"/>
      <x:c r="AX389" s="139" t="n"/>
      <x:c r="AY389" s="139" t="n"/>
      <x:c r="AZ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c r="V390" s="139" t="n"/>
      <x:c r="W390" s="139" t="n"/>
      <x:c r="X390" s="139" t="n"/>
      <x:c r="Y390" s="139" t="n"/>
      <x:c r="Z390" s="139" t="n"/>
      <x:c r="AA390" s="139" t="n"/>
      <x:c r="AB390" s="139" t="n"/>
      <x:c r="AC390" s="139" t="n"/>
      <x:c r="AD390" s="139" t="n"/>
      <x:c r="AE390" s="139" t="n"/>
      <x:c r="AF390" s="139" t="n"/>
      <x:c r="AG390" s="139" t="n"/>
      <x:c r="AH390" s="139" t="n"/>
      <x:c r="AI390" s="139" t="n"/>
      <x:c r="AJ390" s="139" t="n"/>
      <x:c r="AK390" s="139" t="n"/>
      <x:c r="AL390" s="139" t="n"/>
      <x:c r="AM390" s="139" t="n"/>
      <x:c r="AN390" s="139" t="n"/>
      <x:c r="AO390" s="139" t="n"/>
      <x:c r="AP390" s="139" t="n"/>
      <x:c r="AQ390" s="139" t="n"/>
      <x:c r="AR390" s="139" t="n"/>
      <x:c r="AS390" s="139" t="n"/>
      <x:c r="AT390" s="139" t="n"/>
      <x:c r="AU390" s="139" t="n"/>
      <x:c r="AV390" s="139" t="n"/>
      <x:c r="AW390" s="139" t="n"/>
      <x:c r="AX390" s="139" t="n"/>
      <x:c r="AY390" s="139" t="n"/>
      <x:c r="AZ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c r="V391" s="139" t="n"/>
      <x:c r="W391" s="139" t="n"/>
      <x:c r="X391" s="139" t="n"/>
      <x:c r="Y391" s="139" t="n"/>
      <x:c r="Z391" s="139" t="n"/>
      <x:c r="AA391" s="139" t="n"/>
      <x:c r="AB391" s="139" t="n"/>
      <x:c r="AC391" s="139" t="n"/>
      <x:c r="AD391" s="139" t="n"/>
      <x:c r="AE391" s="139" t="n"/>
      <x:c r="AF391" s="139" t="n"/>
      <x:c r="AG391" s="139" t="n"/>
      <x:c r="AH391" s="139" t="n"/>
      <x:c r="AI391" s="139" t="n"/>
      <x:c r="AJ391" s="139" t="n"/>
      <x:c r="AK391" s="139" t="n"/>
      <x:c r="AL391" s="139" t="n"/>
      <x:c r="AM391" s="139" t="n"/>
      <x:c r="AN391" s="139" t="n"/>
      <x:c r="AO391" s="139" t="n"/>
      <x:c r="AP391" s="139" t="n"/>
      <x:c r="AQ391" s="139" t="n"/>
      <x:c r="AR391" s="139" t="n"/>
      <x:c r="AS391" s="139" t="n"/>
      <x:c r="AT391" s="139" t="n"/>
      <x:c r="AU391" s="139" t="n"/>
      <x:c r="AV391" s="139" t="n"/>
      <x:c r="AW391" s="139" t="n"/>
      <x:c r="AX391" s="139" t="n"/>
      <x:c r="AY391" s="139" t="n"/>
      <x:c r="AZ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c r="V392" s="139" t="n"/>
      <x:c r="W392" s="139" t="n"/>
      <x:c r="X392" s="139" t="n"/>
      <x:c r="Y392" s="139" t="n"/>
      <x:c r="Z392" s="139" t="n"/>
      <x:c r="AA392" s="139" t="n"/>
      <x:c r="AB392" s="139" t="n"/>
      <x:c r="AC392" s="139" t="n"/>
      <x:c r="AD392" s="139" t="n"/>
      <x:c r="AE392" s="139" t="n"/>
      <x:c r="AF392" s="139" t="n"/>
      <x:c r="AG392" s="139" t="n"/>
      <x:c r="AH392" s="139" t="n"/>
      <x:c r="AI392" s="139" t="n"/>
      <x:c r="AJ392" s="139" t="n"/>
      <x:c r="AK392" s="139" t="n"/>
      <x:c r="AL392" s="139" t="n"/>
      <x:c r="AM392" s="139" t="n"/>
      <x:c r="AN392" s="139" t="n"/>
      <x:c r="AO392" s="139" t="n"/>
      <x:c r="AP392" s="139" t="n"/>
      <x:c r="AQ392" s="139" t="n"/>
      <x:c r="AR392" s="139" t="n"/>
      <x:c r="AS392" s="139" t="n"/>
      <x:c r="AT392" s="139" t="n"/>
      <x:c r="AU392" s="139" t="n"/>
      <x:c r="AV392" s="139" t="n"/>
      <x:c r="AW392" s="139" t="n"/>
      <x:c r="AX392" s="139" t="n"/>
      <x:c r="AY392" s="139" t="n"/>
      <x:c r="AZ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c r="V393" s="139" t="n"/>
      <x:c r="W393" s="139" t="n"/>
      <x:c r="X393" s="139" t="n"/>
      <x:c r="Y393" s="139" t="n"/>
      <x:c r="Z393" s="139" t="n"/>
      <x:c r="AA393" s="139" t="n"/>
      <x:c r="AB393" s="139" t="n"/>
      <x:c r="AC393" s="139" t="n"/>
      <x:c r="AD393" s="139" t="n"/>
      <x:c r="AE393" s="139" t="n"/>
      <x:c r="AF393" s="139" t="n"/>
      <x:c r="AG393" s="139" t="n"/>
      <x:c r="AH393" s="139" t="n"/>
      <x:c r="AI393" s="139" t="n"/>
      <x:c r="AJ393" s="139" t="n"/>
      <x:c r="AK393" s="139" t="n"/>
      <x:c r="AL393" s="139" t="n"/>
      <x:c r="AM393" s="139" t="n"/>
      <x:c r="AN393" s="139" t="n"/>
      <x:c r="AO393" s="139" t="n"/>
      <x:c r="AP393" s="139" t="n"/>
      <x:c r="AQ393" s="139" t="n"/>
      <x:c r="AR393" s="139" t="n"/>
      <x:c r="AS393" s="139" t="n"/>
      <x:c r="AT393" s="139" t="n"/>
      <x:c r="AU393" s="139" t="n"/>
      <x:c r="AV393" s="139" t="n"/>
      <x:c r="AW393" s="139" t="n"/>
      <x:c r="AX393" s="139" t="n"/>
      <x:c r="AY393" s="139" t="n"/>
      <x:c r="AZ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c r="V394" s="139" t="n"/>
      <x:c r="W394" s="139" t="n"/>
      <x:c r="X394" s="139" t="n"/>
      <x:c r="Y394" s="139" t="n"/>
      <x:c r="Z394" s="139" t="n"/>
      <x:c r="AA394" s="139" t="n"/>
      <x:c r="AB394" s="139" t="n"/>
      <x:c r="AC394" s="139" t="n"/>
      <x:c r="AD394" s="139" t="n"/>
      <x:c r="AE394" s="139" t="n"/>
      <x:c r="AF394" s="139" t="n"/>
      <x:c r="AG394" s="139" t="n"/>
      <x:c r="AH394" s="139" t="n"/>
      <x:c r="AI394" s="139" t="n"/>
      <x:c r="AJ394" s="139" t="n"/>
      <x:c r="AK394" s="139" t="n"/>
      <x:c r="AL394" s="139" t="n"/>
      <x:c r="AM394" s="139" t="n"/>
      <x:c r="AN394" s="139" t="n"/>
      <x:c r="AO394" s="139" t="n"/>
      <x:c r="AP394" s="139" t="n"/>
      <x:c r="AQ394" s="139" t="n"/>
      <x:c r="AR394" s="139" t="n"/>
      <x:c r="AS394" s="139" t="n"/>
      <x:c r="AT394" s="139" t="n"/>
      <x:c r="AU394" s="139" t="n"/>
      <x:c r="AV394" s="139" t="n"/>
      <x:c r="AW394" s="139" t="n"/>
      <x:c r="AX394" s="139" t="n"/>
      <x:c r="AY394" s="139" t="n"/>
      <x:c r="AZ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c r="V395" s="139" t="n"/>
      <x:c r="W395" s="139" t="n"/>
      <x:c r="X395" s="139" t="n"/>
      <x:c r="Y395" s="139" t="n"/>
      <x:c r="Z395" s="139" t="n"/>
      <x:c r="AA395" s="139" t="n"/>
      <x:c r="AB395" s="139" t="n"/>
      <x:c r="AC395" s="139" t="n"/>
      <x:c r="AD395" s="139" t="n"/>
      <x:c r="AE395" s="139" t="n"/>
      <x:c r="AF395" s="139" t="n"/>
      <x:c r="AG395" s="139" t="n"/>
      <x:c r="AH395" s="139" t="n"/>
      <x:c r="AI395" s="139" t="n"/>
      <x:c r="AJ395" s="139" t="n"/>
      <x:c r="AK395" s="139" t="n"/>
      <x:c r="AL395" s="139" t="n"/>
      <x:c r="AM395" s="139" t="n"/>
      <x:c r="AN395" s="139" t="n"/>
      <x:c r="AO395" s="139" t="n"/>
      <x:c r="AP395" s="139" t="n"/>
      <x:c r="AQ395" s="139" t="n"/>
      <x:c r="AR395" s="139" t="n"/>
      <x:c r="AS395" s="139" t="n"/>
      <x:c r="AT395" s="139" t="n"/>
      <x:c r="AU395" s="139" t="n"/>
      <x:c r="AV395" s="139" t="n"/>
      <x:c r="AW395" s="139" t="n"/>
      <x:c r="AX395" s="139" t="n"/>
      <x:c r="AY395" s="139" t="n"/>
      <x:c r="AZ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c r="V396" s="139" t="n"/>
      <x:c r="W396" s="139" t="n"/>
      <x:c r="X396" s="139" t="n"/>
      <x:c r="Y396" s="139" t="n"/>
      <x:c r="Z396" s="139" t="n"/>
      <x:c r="AA396" s="139" t="n"/>
      <x:c r="AB396" s="139" t="n"/>
      <x:c r="AC396" s="139" t="n"/>
      <x:c r="AD396" s="139" t="n"/>
      <x:c r="AE396" s="139" t="n"/>
      <x:c r="AF396" s="139" t="n"/>
      <x:c r="AG396" s="139" t="n"/>
      <x:c r="AH396" s="139" t="n"/>
      <x:c r="AI396" s="139" t="n"/>
      <x:c r="AJ396" s="139" t="n"/>
      <x:c r="AK396" s="139" t="n"/>
      <x:c r="AL396" s="139" t="n"/>
      <x:c r="AM396" s="139" t="n"/>
      <x:c r="AN396" s="139" t="n"/>
      <x:c r="AO396" s="139" t="n"/>
      <x:c r="AP396" s="139" t="n"/>
      <x:c r="AQ396" s="139" t="n"/>
      <x:c r="AR396" s="139" t="n"/>
      <x:c r="AS396" s="139" t="n"/>
      <x:c r="AT396" s="139" t="n"/>
      <x:c r="AU396" s="139" t="n"/>
      <x:c r="AV396" s="139" t="n"/>
      <x:c r="AW396" s="139" t="n"/>
      <x:c r="AX396" s="139" t="n"/>
      <x:c r="AY396" s="139" t="n"/>
      <x:c r="AZ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c r="V397" s="139" t="n"/>
      <x:c r="W397" s="139" t="n"/>
      <x:c r="X397" s="139" t="n"/>
      <x:c r="Y397" s="139" t="n"/>
      <x:c r="Z397" s="139" t="n"/>
      <x:c r="AA397" s="139" t="n"/>
      <x:c r="AB397" s="139" t="n"/>
      <x:c r="AC397" s="139" t="n"/>
      <x:c r="AD397" s="139" t="n"/>
      <x:c r="AE397" s="139" t="n"/>
      <x:c r="AF397" s="139" t="n"/>
      <x:c r="AG397" s="139" t="n"/>
      <x:c r="AH397" s="139" t="n"/>
      <x:c r="AI397" s="139" t="n"/>
      <x:c r="AJ397" s="139" t="n"/>
      <x:c r="AK397" s="139" t="n"/>
      <x:c r="AL397" s="139" t="n"/>
      <x:c r="AM397" s="139" t="n"/>
      <x:c r="AN397" s="139" t="n"/>
      <x:c r="AO397" s="139" t="n"/>
      <x:c r="AP397" s="139" t="n"/>
      <x:c r="AQ397" s="139" t="n"/>
      <x:c r="AR397" s="139" t="n"/>
      <x:c r="AS397" s="139" t="n"/>
      <x:c r="AT397" s="139" t="n"/>
      <x:c r="AU397" s="139" t="n"/>
      <x:c r="AV397" s="139" t="n"/>
      <x:c r="AW397" s="139" t="n"/>
      <x:c r="AX397" s="139" t="n"/>
      <x:c r="AY397" s="139" t="n"/>
      <x:c r="AZ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c r="V398" s="139" t="n"/>
      <x:c r="W398" s="139" t="n"/>
      <x:c r="X398" s="139" t="n"/>
      <x:c r="Y398" s="139" t="n"/>
      <x:c r="Z398" s="139" t="n"/>
      <x:c r="AA398" s="139" t="n"/>
      <x:c r="AB398" s="139" t="n"/>
      <x:c r="AC398" s="139" t="n"/>
      <x:c r="AD398" s="139" t="n"/>
      <x:c r="AE398" s="139" t="n"/>
      <x:c r="AF398" s="139" t="n"/>
      <x:c r="AG398" s="139" t="n"/>
      <x:c r="AH398" s="139" t="n"/>
      <x:c r="AI398" s="139" t="n"/>
      <x:c r="AJ398" s="139" t="n"/>
      <x:c r="AK398" s="139" t="n"/>
      <x:c r="AL398" s="139" t="n"/>
      <x:c r="AM398" s="139" t="n"/>
      <x:c r="AN398" s="139" t="n"/>
      <x:c r="AO398" s="139" t="n"/>
      <x:c r="AP398" s="139" t="n"/>
      <x:c r="AQ398" s="139" t="n"/>
      <x:c r="AR398" s="139" t="n"/>
      <x:c r="AS398" s="139" t="n"/>
      <x:c r="AT398" s="139" t="n"/>
      <x:c r="AU398" s="139" t="n"/>
      <x:c r="AV398" s="139" t="n"/>
      <x:c r="AW398" s="139" t="n"/>
      <x:c r="AX398" s="139" t="n"/>
      <x:c r="AY398" s="139" t="n"/>
      <x:c r="AZ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c r="V399" s="139" t="n"/>
      <x:c r="W399" s="139" t="n"/>
      <x:c r="X399" s="139" t="n"/>
      <x:c r="Y399" s="139" t="n"/>
      <x:c r="Z399" s="139" t="n"/>
      <x:c r="AA399" s="139" t="n"/>
      <x:c r="AB399" s="139" t="n"/>
      <x:c r="AC399" s="139" t="n"/>
      <x:c r="AD399" s="139" t="n"/>
      <x:c r="AE399" s="139" t="n"/>
      <x:c r="AF399" s="139" t="n"/>
      <x:c r="AG399" s="139" t="n"/>
      <x:c r="AH399" s="139" t="n"/>
      <x:c r="AI399" s="139" t="n"/>
      <x:c r="AJ399" s="139" t="n"/>
      <x:c r="AK399" s="139" t="n"/>
      <x:c r="AL399" s="139" t="n"/>
      <x:c r="AM399" s="139" t="n"/>
      <x:c r="AN399" s="139" t="n"/>
      <x:c r="AO399" s="139" t="n"/>
      <x:c r="AP399" s="139" t="n"/>
      <x:c r="AQ399" s="139" t="n"/>
      <x:c r="AR399" s="139" t="n"/>
      <x:c r="AS399" s="139" t="n"/>
      <x:c r="AT399" s="139" t="n"/>
      <x:c r="AU399" s="139" t="n"/>
      <x:c r="AV399" s="139" t="n"/>
      <x:c r="AW399" s="139" t="n"/>
      <x:c r="AX399" s="139" t="n"/>
      <x:c r="AY399" s="139" t="n"/>
      <x:c r="AZ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c r="V400" s="139" t="n"/>
      <x:c r="W400" s="139" t="n"/>
      <x:c r="X400" s="139" t="n"/>
      <x:c r="Y400" s="139" t="n"/>
      <x:c r="Z400" s="139" t="n"/>
      <x:c r="AA400" s="139" t="n"/>
      <x:c r="AB400" s="139" t="n"/>
      <x:c r="AC400" s="139" t="n"/>
      <x:c r="AD400" s="139" t="n"/>
      <x:c r="AE400" s="139" t="n"/>
      <x:c r="AF400" s="139" t="n"/>
      <x:c r="AG400" s="139" t="n"/>
      <x:c r="AH400" s="139" t="n"/>
      <x:c r="AI400" s="139" t="n"/>
      <x:c r="AJ400" s="139" t="n"/>
      <x:c r="AK400" s="139" t="n"/>
      <x:c r="AL400" s="139" t="n"/>
      <x:c r="AM400" s="139" t="n"/>
      <x:c r="AN400" s="139" t="n"/>
      <x:c r="AO400" s="139" t="n"/>
      <x:c r="AP400" s="139" t="n"/>
      <x:c r="AQ400" s="139" t="n"/>
      <x:c r="AR400" s="139" t="n"/>
      <x:c r="AS400" s="139" t="n"/>
      <x:c r="AT400" s="139" t="n"/>
      <x:c r="AU400" s="139" t="n"/>
      <x:c r="AV400" s="139" t="n"/>
      <x:c r="AW400" s="139" t="n"/>
      <x:c r="AX400" s="139" t="n"/>
      <x:c r="AY400" s="139" t="n"/>
      <x:c r="AZ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c r="V401" s="139" t="n"/>
      <x:c r="W401" s="139" t="n"/>
      <x:c r="X401" s="139" t="n"/>
      <x:c r="Y401" s="139" t="n"/>
      <x:c r="Z401" s="139" t="n"/>
      <x:c r="AA401" s="139" t="n"/>
      <x:c r="AB401" s="139" t="n"/>
      <x:c r="AC401" s="139" t="n"/>
      <x:c r="AD401" s="139" t="n"/>
      <x:c r="AE401" s="139" t="n"/>
      <x:c r="AF401" s="139" t="n"/>
      <x:c r="AG401" s="139" t="n"/>
      <x:c r="AH401" s="139" t="n"/>
      <x:c r="AI401" s="139" t="n"/>
      <x:c r="AJ401" s="139" t="n"/>
      <x:c r="AK401" s="139" t="n"/>
      <x:c r="AL401" s="139" t="n"/>
      <x:c r="AM401" s="139" t="n"/>
      <x:c r="AN401" s="139" t="n"/>
      <x:c r="AO401" s="139" t="n"/>
      <x:c r="AP401" s="139" t="n"/>
      <x:c r="AQ401" s="139" t="n"/>
      <x:c r="AR401" s="139" t="n"/>
      <x:c r="AS401" s="139" t="n"/>
      <x:c r="AT401" s="139" t="n"/>
      <x:c r="AU401" s="139" t="n"/>
      <x:c r="AV401" s="139" t="n"/>
      <x:c r="AW401" s="139" t="n"/>
      <x:c r="AX401" s="139" t="n"/>
      <x:c r="AY401" s="139" t="n"/>
      <x:c r="AZ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c r="V402" s="139" t="n"/>
      <x:c r="W402" s="139" t="n"/>
      <x:c r="X402" s="139" t="n"/>
      <x:c r="Y402" s="139" t="n"/>
      <x:c r="Z402" s="139" t="n"/>
      <x:c r="AA402" s="139" t="n"/>
      <x:c r="AB402" s="139" t="n"/>
      <x:c r="AC402" s="139" t="n"/>
      <x:c r="AD402" s="139" t="n"/>
      <x:c r="AE402" s="139" t="n"/>
      <x:c r="AF402" s="139" t="n"/>
      <x:c r="AG402" s="139" t="n"/>
      <x:c r="AH402" s="139" t="n"/>
      <x:c r="AI402" s="139" t="n"/>
      <x:c r="AJ402" s="139" t="n"/>
      <x:c r="AK402" s="139" t="n"/>
      <x:c r="AL402" s="139" t="n"/>
      <x:c r="AM402" s="139" t="n"/>
      <x:c r="AN402" s="139" t="n"/>
      <x:c r="AO402" s="139" t="n"/>
      <x:c r="AP402" s="139" t="n"/>
      <x:c r="AQ402" s="139" t="n"/>
      <x:c r="AR402" s="139" t="n"/>
      <x:c r="AS402" s="139" t="n"/>
      <x:c r="AT402" s="139" t="n"/>
      <x:c r="AU402" s="139" t="n"/>
      <x:c r="AV402" s="139" t="n"/>
      <x:c r="AW402" s="139" t="n"/>
      <x:c r="AX402" s="139" t="n"/>
      <x:c r="AY402" s="139" t="n"/>
      <x:c r="AZ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c r="V403" s="139" t="n"/>
      <x:c r="W403" s="139" t="n"/>
      <x:c r="X403" s="139" t="n"/>
      <x:c r="Y403" s="139" t="n"/>
      <x:c r="Z403" s="139" t="n"/>
      <x:c r="AA403" s="139" t="n"/>
      <x:c r="AB403" s="139" t="n"/>
      <x:c r="AC403" s="139" t="n"/>
      <x:c r="AD403" s="139" t="n"/>
      <x:c r="AE403" s="139" t="n"/>
      <x:c r="AF403" s="139" t="n"/>
      <x:c r="AG403" s="139" t="n"/>
      <x:c r="AH403" s="139" t="n"/>
      <x:c r="AI403" s="139" t="n"/>
      <x:c r="AJ403" s="139" t="n"/>
      <x:c r="AK403" s="139" t="n"/>
      <x:c r="AL403" s="139" t="n"/>
      <x:c r="AM403" s="139" t="n"/>
      <x:c r="AN403" s="139" t="n"/>
      <x:c r="AO403" s="139" t="n"/>
      <x:c r="AP403" s="139" t="n"/>
      <x:c r="AQ403" s="139" t="n"/>
      <x:c r="AR403" s="139" t="n"/>
      <x:c r="AS403" s="139" t="n"/>
      <x:c r="AT403" s="139" t="n"/>
      <x:c r="AU403" s="139" t="n"/>
      <x:c r="AV403" s="139" t="n"/>
      <x:c r="AW403" s="139" t="n"/>
      <x:c r="AX403" s="139" t="n"/>
      <x:c r="AY403" s="139" t="n"/>
      <x:c r="AZ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c r="V404" s="139" t="n"/>
      <x:c r="W404" s="139" t="n"/>
      <x:c r="X404" s="139" t="n"/>
      <x:c r="Y404" s="139" t="n"/>
      <x:c r="Z404" s="139" t="n"/>
      <x:c r="AA404" s="139" t="n"/>
      <x:c r="AB404" s="139" t="n"/>
      <x:c r="AC404" s="139" t="n"/>
      <x:c r="AD404" s="139" t="n"/>
      <x:c r="AE404" s="139" t="n"/>
      <x:c r="AF404" s="139" t="n"/>
      <x:c r="AG404" s="139" t="n"/>
      <x:c r="AH404" s="139" t="n"/>
      <x:c r="AI404" s="139" t="n"/>
      <x:c r="AJ404" s="139" t="n"/>
      <x:c r="AK404" s="139" t="n"/>
      <x:c r="AL404" s="139" t="n"/>
      <x:c r="AM404" s="139" t="n"/>
      <x:c r="AN404" s="139" t="n"/>
      <x:c r="AO404" s="139" t="n"/>
      <x:c r="AP404" s="139" t="n"/>
      <x:c r="AQ404" s="139" t="n"/>
      <x:c r="AR404" s="139" t="n"/>
      <x:c r="AS404" s="139" t="n"/>
      <x:c r="AT404" s="139" t="n"/>
      <x:c r="AU404" s="139" t="n"/>
      <x:c r="AV404" s="139" t="n"/>
      <x:c r="AW404" s="139" t="n"/>
      <x:c r="AX404" s="139" t="n"/>
      <x:c r="AY404" s="139" t="n"/>
      <x:c r="AZ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c r="V405" s="139" t="n"/>
      <x:c r="W405" s="139" t="n"/>
      <x:c r="X405" s="139" t="n"/>
      <x:c r="Y405" s="139" t="n"/>
      <x:c r="Z405" s="139" t="n"/>
      <x:c r="AA405" s="139" t="n"/>
      <x:c r="AB405" s="139" t="n"/>
      <x:c r="AC405" s="139" t="n"/>
      <x:c r="AD405" s="139" t="n"/>
      <x:c r="AE405" s="139" t="n"/>
      <x:c r="AF405" s="139" t="n"/>
      <x:c r="AG405" s="139" t="n"/>
      <x:c r="AH405" s="139" t="n"/>
      <x:c r="AI405" s="139" t="n"/>
      <x:c r="AJ405" s="139" t="n"/>
      <x:c r="AK405" s="139" t="n"/>
      <x:c r="AL405" s="139" t="n"/>
      <x:c r="AM405" s="139" t="n"/>
      <x:c r="AN405" s="139" t="n"/>
      <x:c r="AO405" s="139" t="n"/>
      <x:c r="AP405" s="139" t="n"/>
      <x:c r="AQ405" s="139" t="n"/>
      <x:c r="AR405" s="139" t="n"/>
      <x:c r="AS405" s="139" t="n"/>
      <x:c r="AT405" s="139" t="n"/>
      <x:c r="AU405" s="139" t="n"/>
      <x:c r="AV405" s="139" t="n"/>
      <x:c r="AW405" s="139" t="n"/>
      <x:c r="AX405" s="139" t="n"/>
      <x:c r="AY405" s="139" t="n"/>
      <x:c r="AZ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c r="V406" s="139" t="n"/>
      <x:c r="W406" s="139" t="n"/>
      <x:c r="X406" s="139" t="n"/>
      <x:c r="Y406" s="139" t="n"/>
      <x:c r="Z406" s="139" t="n"/>
      <x:c r="AA406" s="139" t="n"/>
      <x:c r="AB406" s="139" t="n"/>
      <x:c r="AC406" s="139" t="n"/>
      <x:c r="AD406" s="139" t="n"/>
      <x:c r="AE406" s="139" t="n"/>
      <x:c r="AF406" s="139" t="n"/>
      <x:c r="AG406" s="139" t="n"/>
      <x:c r="AH406" s="139" t="n"/>
      <x:c r="AI406" s="139" t="n"/>
      <x:c r="AJ406" s="139" t="n"/>
      <x:c r="AK406" s="139" t="n"/>
      <x:c r="AL406" s="139" t="n"/>
      <x:c r="AM406" s="139" t="n"/>
      <x:c r="AN406" s="139" t="n"/>
      <x:c r="AO406" s="139" t="n"/>
      <x:c r="AP406" s="139" t="n"/>
      <x:c r="AQ406" s="139" t="n"/>
      <x:c r="AR406" s="139" t="n"/>
      <x:c r="AS406" s="139" t="n"/>
      <x:c r="AT406" s="139" t="n"/>
      <x:c r="AU406" s="139" t="n"/>
      <x:c r="AV406" s="139" t="n"/>
      <x:c r="AW406" s="139" t="n"/>
      <x:c r="AX406" s="139" t="n"/>
      <x:c r="AY406" s="139" t="n"/>
      <x:c r="AZ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c r="V407" s="139" t="n"/>
      <x:c r="W407" s="139" t="n"/>
      <x:c r="X407" s="139" t="n"/>
      <x:c r="Y407" s="139" t="n"/>
      <x:c r="Z407" s="139" t="n"/>
      <x:c r="AA407" s="139" t="n"/>
      <x:c r="AB407" s="139" t="n"/>
      <x:c r="AC407" s="139" t="n"/>
      <x:c r="AD407" s="139" t="n"/>
      <x:c r="AE407" s="139" t="n"/>
      <x:c r="AF407" s="139" t="n"/>
      <x:c r="AG407" s="139" t="n"/>
      <x:c r="AH407" s="139" t="n"/>
      <x:c r="AI407" s="139" t="n"/>
      <x:c r="AJ407" s="139" t="n"/>
      <x:c r="AK407" s="139" t="n"/>
      <x:c r="AL407" s="139" t="n"/>
      <x:c r="AM407" s="139" t="n"/>
      <x:c r="AN407" s="139" t="n"/>
      <x:c r="AO407" s="139" t="n"/>
      <x:c r="AP407" s="139" t="n"/>
      <x:c r="AQ407" s="139" t="n"/>
      <x:c r="AR407" s="139" t="n"/>
      <x:c r="AS407" s="139" t="n"/>
      <x:c r="AT407" s="139" t="n"/>
      <x:c r="AU407" s="139" t="n"/>
      <x:c r="AV407" s="139" t="n"/>
      <x:c r="AW407" s="139" t="n"/>
      <x:c r="AX407" s="139" t="n"/>
      <x:c r="AY407" s="139" t="n"/>
      <x:c r="AZ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c r="V408" s="139" t="n"/>
      <x:c r="W408" s="139" t="n"/>
      <x:c r="X408" s="139" t="n"/>
      <x:c r="Y408" s="139" t="n"/>
      <x:c r="Z408" s="139" t="n"/>
      <x:c r="AA408" s="139" t="n"/>
      <x:c r="AB408" s="139" t="n"/>
      <x:c r="AC408" s="139" t="n"/>
      <x:c r="AD408" s="139" t="n"/>
      <x:c r="AE408" s="139" t="n"/>
      <x:c r="AF408" s="139" t="n"/>
      <x:c r="AG408" s="139" t="n"/>
      <x:c r="AH408" s="139" t="n"/>
      <x:c r="AI408" s="139" t="n"/>
      <x:c r="AJ408" s="139" t="n"/>
      <x:c r="AK408" s="139" t="n"/>
      <x:c r="AL408" s="139" t="n"/>
      <x:c r="AM408" s="139" t="n"/>
      <x:c r="AN408" s="139" t="n"/>
      <x:c r="AO408" s="139" t="n"/>
      <x:c r="AP408" s="139" t="n"/>
      <x:c r="AQ408" s="139" t="n"/>
      <x:c r="AR408" s="139" t="n"/>
      <x:c r="AS408" s="139" t="n"/>
      <x:c r="AT408" s="139" t="n"/>
      <x:c r="AU408" s="139" t="n"/>
      <x:c r="AV408" s="139" t="n"/>
      <x:c r="AW408" s="139" t="n"/>
      <x:c r="AX408" s="139" t="n"/>
      <x:c r="AY408" s="139" t="n"/>
      <x:c r="AZ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c r="V409" s="139" t="n"/>
      <x:c r="W409" s="139" t="n"/>
      <x:c r="X409" s="139" t="n"/>
      <x:c r="Y409" s="139" t="n"/>
      <x:c r="Z409" s="139" t="n"/>
      <x:c r="AA409" s="139" t="n"/>
      <x:c r="AB409" s="139" t="n"/>
      <x:c r="AC409" s="139" t="n"/>
      <x:c r="AD409" s="139" t="n"/>
      <x:c r="AE409" s="139" t="n"/>
      <x:c r="AF409" s="139" t="n"/>
      <x:c r="AG409" s="139" t="n"/>
      <x:c r="AH409" s="139" t="n"/>
      <x:c r="AI409" s="139" t="n"/>
      <x:c r="AJ409" s="139" t="n"/>
      <x:c r="AK409" s="139" t="n"/>
      <x:c r="AL409" s="139" t="n"/>
      <x:c r="AM409" s="139" t="n"/>
      <x:c r="AN409" s="139" t="n"/>
      <x:c r="AO409" s="139" t="n"/>
      <x:c r="AP409" s="139" t="n"/>
      <x:c r="AQ409" s="139" t="n"/>
      <x:c r="AR409" s="139" t="n"/>
      <x:c r="AS409" s="139" t="n"/>
      <x:c r="AT409" s="139" t="n"/>
      <x:c r="AU409" s="139" t="n"/>
      <x:c r="AV409" s="139" t="n"/>
      <x:c r="AW409" s="139" t="n"/>
      <x:c r="AX409" s="139" t="n"/>
      <x:c r="AY409" s="139" t="n"/>
      <x:c r="AZ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c r="V410" s="139" t="n"/>
      <x:c r="W410" s="139" t="n"/>
      <x:c r="X410" s="139" t="n"/>
      <x:c r="Y410" s="139" t="n"/>
      <x:c r="Z410" s="139" t="n"/>
      <x:c r="AA410" s="139" t="n"/>
      <x:c r="AB410" s="139" t="n"/>
      <x:c r="AC410" s="139" t="n"/>
      <x:c r="AD410" s="139" t="n"/>
      <x:c r="AE410" s="139" t="n"/>
      <x:c r="AF410" s="139" t="n"/>
      <x:c r="AG410" s="139" t="n"/>
      <x:c r="AH410" s="139" t="n"/>
      <x:c r="AI410" s="139" t="n"/>
      <x:c r="AJ410" s="139" t="n"/>
      <x:c r="AK410" s="139" t="n"/>
      <x:c r="AL410" s="139" t="n"/>
      <x:c r="AM410" s="139" t="n"/>
      <x:c r="AN410" s="139" t="n"/>
      <x:c r="AO410" s="139" t="n"/>
      <x:c r="AP410" s="139" t="n"/>
      <x:c r="AQ410" s="139" t="n"/>
      <x:c r="AR410" s="139" t="n"/>
      <x:c r="AS410" s="139" t="n"/>
      <x:c r="AT410" s="139" t="n"/>
      <x:c r="AU410" s="139" t="n"/>
      <x:c r="AV410" s="139" t="n"/>
      <x:c r="AW410" s="139" t="n"/>
      <x:c r="AX410" s="139" t="n"/>
      <x:c r="AY410" s="139" t="n"/>
      <x:c r="AZ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c r="V411" s="139" t="n"/>
      <x:c r="W411" s="139" t="n"/>
      <x:c r="X411" s="139" t="n"/>
      <x:c r="Y411" s="139" t="n"/>
      <x:c r="Z411" s="139" t="n"/>
      <x:c r="AA411" s="139" t="n"/>
      <x:c r="AB411" s="139" t="n"/>
      <x:c r="AC411" s="139" t="n"/>
      <x:c r="AD411" s="139" t="n"/>
      <x:c r="AE411" s="139" t="n"/>
      <x:c r="AF411" s="139" t="n"/>
      <x:c r="AG411" s="139" t="n"/>
      <x:c r="AH411" s="139" t="n"/>
      <x:c r="AI411" s="139" t="n"/>
      <x:c r="AJ411" s="139" t="n"/>
      <x:c r="AK411" s="139" t="n"/>
      <x:c r="AL411" s="139" t="n"/>
      <x:c r="AM411" s="139" t="n"/>
      <x:c r="AN411" s="139" t="n"/>
      <x:c r="AO411" s="139" t="n"/>
      <x:c r="AP411" s="139" t="n"/>
      <x:c r="AQ411" s="139" t="n"/>
      <x:c r="AR411" s="139" t="n"/>
      <x:c r="AS411" s="139" t="n"/>
      <x:c r="AT411" s="139" t="n"/>
      <x:c r="AU411" s="139" t="n"/>
      <x:c r="AV411" s="139" t="n"/>
      <x:c r="AW411" s="139" t="n"/>
      <x:c r="AX411" s="139" t="n"/>
      <x:c r="AY411" s="139" t="n"/>
      <x:c r="AZ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c r="V412" s="139" t="n"/>
      <x:c r="W412" s="139" t="n"/>
      <x:c r="X412" s="139" t="n"/>
      <x:c r="Y412" s="139" t="n"/>
      <x:c r="Z412" s="139" t="n"/>
      <x:c r="AA412" s="139" t="n"/>
      <x:c r="AB412" s="139" t="n"/>
      <x:c r="AC412" s="139" t="n"/>
      <x:c r="AD412" s="139" t="n"/>
      <x:c r="AE412" s="139" t="n"/>
      <x:c r="AF412" s="139" t="n"/>
      <x:c r="AG412" s="139" t="n"/>
      <x:c r="AH412" s="139" t="n"/>
      <x:c r="AI412" s="139" t="n"/>
      <x:c r="AJ412" s="139" t="n"/>
      <x:c r="AK412" s="139" t="n"/>
      <x:c r="AL412" s="139" t="n"/>
      <x:c r="AM412" s="139" t="n"/>
      <x:c r="AN412" s="139" t="n"/>
      <x:c r="AO412" s="139" t="n"/>
      <x:c r="AP412" s="139" t="n"/>
      <x:c r="AQ412" s="139" t="n"/>
      <x:c r="AR412" s="139" t="n"/>
      <x:c r="AS412" s="139" t="n"/>
      <x:c r="AT412" s="139" t="n"/>
      <x:c r="AU412" s="139" t="n"/>
      <x:c r="AV412" s="139" t="n"/>
      <x:c r="AW412" s="139" t="n"/>
      <x:c r="AX412" s="139" t="n"/>
      <x:c r="AY412" s="139" t="n"/>
      <x:c r="AZ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c r="V413" s="139" t="n"/>
      <x:c r="W413" s="139" t="n"/>
      <x:c r="X413" s="139" t="n"/>
      <x:c r="Y413" s="139" t="n"/>
      <x:c r="Z413" s="139" t="n"/>
      <x:c r="AA413" s="139" t="n"/>
      <x:c r="AB413" s="139" t="n"/>
      <x:c r="AC413" s="139" t="n"/>
      <x:c r="AD413" s="139" t="n"/>
      <x:c r="AE413" s="139" t="n"/>
      <x:c r="AF413" s="139" t="n"/>
      <x:c r="AG413" s="139" t="n"/>
      <x:c r="AH413" s="139" t="n"/>
      <x:c r="AI413" s="139" t="n"/>
      <x:c r="AJ413" s="139" t="n"/>
      <x:c r="AK413" s="139" t="n"/>
      <x:c r="AL413" s="139" t="n"/>
      <x:c r="AM413" s="139" t="n"/>
      <x:c r="AN413" s="139" t="n"/>
      <x:c r="AO413" s="139" t="n"/>
      <x:c r="AP413" s="139" t="n"/>
      <x:c r="AQ413" s="139" t="n"/>
      <x:c r="AR413" s="139" t="n"/>
      <x:c r="AS413" s="139" t="n"/>
      <x:c r="AT413" s="139" t="n"/>
      <x:c r="AU413" s="139" t="n"/>
      <x:c r="AV413" s="139" t="n"/>
      <x:c r="AW413" s="139" t="n"/>
      <x:c r="AX413" s="139" t="n"/>
      <x:c r="AY413" s="139" t="n"/>
      <x:c r="AZ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c r="V414" s="139" t="n"/>
      <x:c r="W414" s="139" t="n"/>
      <x:c r="X414" s="139" t="n"/>
      <x:c r="Y414" s="139" t="n"/>
      <x:c r="Z414" s="139" t="n"/>
      <x:c r="AA414" s="139" t="n"/>
      <x:c r="AB414" s="139" t="n"/>
      <x:c r="AC414" s="139" t="n"/>
      <x:c r="AD414" s="139" t="n"/>
      <x:c r="AE414" s="139" t="n"/>
      <x:c r="AF414" s="139" t="n"/>
      <x:c r="AG414" s="139" t="n"/>
      <x:c r="AH414" s="139" t="n"/>
      <x:c r="AI414" s="139" t="n"/>
      <x:c r="AJ414" s="139" t="n"/>
      <x:c r="AK414" s="139" t="n"/>
      <x:c r="AL414" s="139" t="n"/>
      <x:c r="AM414" s="139" t="n"/>
      <x:c r="AN414" s="139" t="n"/>
      <x:c r="AO414" s="139" t="n"/>
      <x:c r="AP414" s="139" t="n"/>
      <x:c r="AQ414" s="139" t="n"/>
      <x:c r="AR414" s="139" t="n"/>
      <x:c r="AS414" s="139" t="n"/>
      <x:c r="AT414" s="139" t="n"/>
      <x:c r="AU414" s="139" t="n"/>
      <x:c r="AV414" s="139" t="n"/>
      <x:c r="AW414" s="139" t="n"/>
      <x:c r="AX414" s="139" t="n"/>
      <x:c r="AY414" s="139" t="n"/>
      <x:c r="AZ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c r="V415" s="139" t="n"/>
      <x:c r="W415" s="139" t="n"/>
      <x:c r="X415" s="139" t="n"/>
      <x:c r="Y415" s="139" t="n"/>
      <x:c r="Z415" s="139" t="n"/>
      <x:c r="AA415" s="139" t="n"/>
      <x:c r="AB415" s="139" t="n"/>
      <x:c r="AC415" s="139" t="n"/>
      <x:c r="AD415" s="139" t="n"/>
      <x:c r="AE415" s="139" t="n"/>
      <x:c r="AF415" s="139" t="n"/>
      <x:c r="AG415" s="139" t="n"/>
      <x:c r="AH415" s="139" t="n"/>
      <x:c r="AI415" s="139" t="n"/>
      <x:c r="AJ415" s="139" t="n"/>
      <x:c r="AK415" s="139" t="n"/>
      <x:c r="AL415" s="139" t="n"/>
      <x:c r="AM415" s="139" t="n"/>
      <x:c r="AN415" s="139" t="n"/>
      <x:c r="AO415" s="139" t="n"/>
      <x:c r="AP415" s="139" t="n"/>
      <x:c r="AQ415" s="139" t="n"/>
      <x:c r="AR415" s="139" t="n"/>
      <x:c r="AS415" s="139" t="n"/>
      <x:c r="AT415" s="139" t="n"/>
      <x:c r="AU415" s="139" t="n"/>
      <x:c r="AV415" s="139" t="n"/>
      <x:c r="AW415" s="139" t="n"/>
      <x:c r="AX415" s="139" t="n"/>
      <x:c r="AY415" s="139" t="n"/>
      <x:c r="AZ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c r="V416" s="139" t="n"/>
      <x:c r="W416" s="139" t="n"/>
      <x:c r="X416" s="139" t="n"/>
      <x:c r="Y416" s="139" t="n"/>
      <x:c r="Z416" s="139" t="n"/>
      <x:c r="AA416" s="139" t="n"/>
      <x:c r="AB416" s="139" t="n"/>
      <x:c r="AC416" s="139" t="n"/>
      <x:c r="AD416" s="139" t="n"/>
      <x:c r="AE416" s="139" t="n"/>
      <x:c r="AF416" s="139" t="n"/>
      <x:c r="AG416" s="139" t="n"/>
      <x:c r="AH416" s="139" t="n"/>
      <x:c r="AI416" s="139" t="n"/>
      <x:c r="AJ416" s="139" t="n"/>
      <x:c r="AK416" s="139" t="n"/>
      <x:c r="AL416" s="139" t="n"/>
      <x:c r="AM416" s="139" t="n"/>
      <x:c r="AN416" s="139" t="n"/>
      <x:c r="AO416" s="139" t="n"/>
      <x:c r="AP416" s="139" t="n"/>
      <x:c r="AQ416" s="139" t="n"/>
      <x:c r="AR416" s="139" t="n"/>
      <x:c r="AS416" s="139" t="n"/>
      <x:c r="AT416" s="139" t="n"/>
      <x:c r="AU416" s="139" t="n"/>
      <x:c r="AV416" s="139" t="n"/>
      <x:c r="AW416" s="139" t="n"/>
      <x:c r="AX416" s="139" t="n"/>
      <x:c r="AY416" s="139" t="n"/>
      <x:c r="AZ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c r="V417" s="139" t="n"/>
      <x:c r="W417" s="139" t="n"/>
      <x:c r="X417" s="139" t="n"/>
      <x:c r="Y417" s="139" t="n"/>
      <x:c r="Z417" s="139" t="n"/>
      <x:c r="AA417" s="139" t="n"/>
      <x:c r="AB417" s="139" t="n"/>
      <x:c r="AC417" s="139" t="n"/>
      <x:c r="AD417" s="139" t="n"/>
      <x:c r="AE417" s="139" t="n"/>
      <x:c r="AF417" s="139" t="n"/>
      <x:c r="AG417" s="139" t="n"/>
      <x:c r="AH417" s="139" t="n"/>
      <x:c r="AI417" s="139" t="n"/>
      <x:c r="AJ417" s="139" t="n"/>
      <x:c r="AK417" s="139" t="n"/>
      <x:c r="AL417" s="139" t="n"/>
      <x:c r="AM417" s="139" t="n"/>
      <x:c r="AN417" s="139" t="n"/>
      <x:c r="AO417" s="139" t="n"/>
      <x:c r="AP417" s="139" t="n"/>
      <x:c r="AQ417" s="139" t="n"/>
      <x:c r="AR417" s="139" t="n"/>
      <x:c r="AS417" s="139" t="n"/>
      <x:c r="AT417" s="139" t="n"/>
      <x:c r="AU417" s="139" t="n"/>
      <x:c r="AV417" s="139" t="n"/>
      <x:c r="AW417" s="139" t="n"/>
      <x:c r="AX417" s="139" t="n"/>
      <x:c r="AY417" s="139" t="n"/>
      <x:c r="AZ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c r="V418" s="139" t="n"/>
      <x:c r="W418" s="139" t="n"/>
      <x:c r="X418" s="139" t="n"/>
      <x:c r="Y418" s="139" t="n"/>
      <x:c r="Z418" s="139" t="n"/>
      <x:c r="AA418" s="139" t="n"/>
      <x:c r="AB418" s="139" t="n"/>
      <x:c r="AC418" s="139" t="n"/>
      <x:c r="AD418" s="139" t="n"/>
      <x:c r="AE418" s="139" t="n"/>
      <x:c r="AF418" s="139" t="n"/>
      <x:c r="AG418" s="139" t="n"/>
      <x:c r="AH418" s="139" t="n"/>
      <x:c r="AI418" s="139" t="n"/>
      <x:c r="AJ418" s="139" t="n"/>
      <x:c r="AK418" s="139" t="n"/>
      <x:c r="AL418" s="139" t="n"/>
      <x:c r="AM418" s="139" t="n"/>
      <x:c r="AN418" s="139" t="n"/>
      <x:c r="AO418" s="139" t="n"/>
      <x:c r="AP418" s="139" t="n"/>
      <x:c r="AQ418" s="139" t="n"/>
      <x:c r="AR418" s="139" t="n"/>
      <x:c r="AS418" s="139" t="n"/>
      <x:c r="AT418" s="139" t="n"/>
      <x:c r="AU418" s="139" t="n"/>
      <x:c r="AV418" s="139" t="n"/>
      <x:c r="AW418" s="139" t="n"/>
      <x:c r="AX418" s="139" t="n"/>
      <x:c r="AY418" s="139" t="n"/>
      <x:c r="AZ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c r="V419" s="139" t="n"/>
      <x:c r="W419" s="139" t="n"/>
      <x:c r="X419" s="139" t="n"/>
      <x:c r="Y419" s="139" t="n"/>
      <x:c r="Z419" s="139" t="n"/>
      <x:c r="AA419" s="139" t="n"/>
      <x:c r="AB419" s="139" t="n"/>
      <x:c r="AC419" s="139" t="n"/>
      <x:c r="AD419" s="139" t="n"/>
      <x:c r="AE419" s="139" t="n"/>
      <x:c r="AF419" s="139" t="n"/>
      <x:c r="AG419" s="139" t="n"/>
      <x:c r="AH419" s="139" t="n"/>
      <x:c r="AI419" s="139" t="n"/>
      <x:c r="AJ419" s="139" t="n"/>
      <x:c r="AK419" s="139" t="n"/>
      <x:c r="AL419" s="139" t="n"/>
      <x:c r="AM419" s="139" t="n"/>
      <x:c r="AN419" s="139" t="n"/>
      <x:c r="AO419" s="139" t="n"/>
      <x:c r="AP419" s="139" t="n"/>
      <x:c r="AQ419" s="139" t="n"/>
      <x:c r="AR419" s="139" t="n"/>
      <x:c r="AS419" s="139" t="n"/>
      <x:c r="AT419" s="139" t="n"/>
      <x:c r="AU419" s="139" t="n"/>
      <x:c r="AV419" s="139" t="n"/>
      <x:c r="AW419" s="139" t="n"/>
      <x:c r="AX419" s="139" t="n"/>
      <x:c r="AY419" s="139" t="n"/>
      <x:c r="AZ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c r="V420" s="139" t="n"/>
      <x:c r="W420" s="139" t="n"/>
      <x:c r="X420" s="139" t="n"/>
      <x:c r="Y420" s="139" t="n"/>
      <x:c r="Z420" s="139" t="n"/>
      <x:c r="AA420" s="139" t="n"/>
      <x:c r="AB420" s="139" t="n"/>
      <x:c r="AC420" s="139" t="n"/>
      <x:c r="AD420" s="139" t="n"/>
      <x:c r="AE420" s="139" t="n"/>
      <x:c r="AF420" s="139" t="n"/>
      <x:c r="AG420" s="139" t="n"/>
      <x:c r="AH420" s="139" t="n"/>
      <x:c r="AI420" s="139" t="n"/>
      <x:c r="AJ420" s="139" t="n"/>
      <x:c r="AK420" s="139" t="n"/>
      <x:c r="AL420" s="139" t="n"/>
      <x:c r="AM420" s="139" t="n"/>
      <x:c r="AN420" s="139" t="n"/>
      <x:c r="AO420" s="139" t="n"/>
      <x:c r="AP420" s="139" t="n"/>
      <x:c r="AQ420" s="139" t="n"/>
      <x:c r="AR420" s="139" t="n"/>
      <x:c r="AS420" s="139" t="n"/>
      <x:c r="AT420" s="139" t="n"/>
      <x:c r="AU420" s="139" t="n"/>
      <x:c r="AV420" s="139" t="n"/>
      <x:c r="AW420" s="139" t="n"/>
      <x:c r="AX420" s="139" t="n"/>
      <x:c r="AY420" s="139" t="n"/>
      <x:c r="AZ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c r="V421" s="139" t="n"/>
      <x:c r="W421" s="139" t="n"/>
      <x:c r="X421" s="139" t="n"/>
      <x:c r="Y421" s="139" t="n"/>
      <x:c r="Z421" s="139" t="n"/>
      <x:c r="AA421" s="139" t="n"/>
      <x:c r="AB421" s="139" t="n"/>
      <x:c r="AC421" s="139" t="n"/>
      <x:c r="AD421" s="139" t="n"/>
      <x:c r="AE421" s="139" t="n"/>
      <x:c r="AF421" s="139" t="n"/>
      <x:c r="AG421" s="139" t="n"/>
      <x:c r="AH421" s="139" t="n"/>
      <x:c r="AI421" s="139" t="n"/>
      <x:c r="AJ421" s="139" t="n"/>
      <x:c r="AK421" s="139" t="n"/>
      <x:c r="AL421" s="139" t="n"/>
      <x:c r="AM421" s="139" t="n"/>
      <x:c r="AN421" s="139" t="n"/>
      <x:c r="AO421" s="139" t="n"/>
      <x:c r="AP421" s="139" t="n"/>
      <x:c r="AQ421" s="139" t="n"/>
      <x:c r="AR421" s="139" t="n"/>
      <x:c r="AS421" s="139" t="n"/>
      <x:c r="AT421" s="139" t="n"/>
      <x:c r="AU421" s="139" t="n"/>
      <x:c r="AV421" s="139" t="n"/>
      <x:c r="AW421" s="139" t="n"/>
      <x:c r="AX421" s="139" t="n"/>
      <x:c r="AY421" s="139" t="n"/>
      <x:c r="AZ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c r="V422" s="139" t="n"/>
      <x:c r="W422" s="139" t="n"/>
      <x:c r="X422" s="139" t="n"/>
      <x:c r="Y422" s="139" t="n"/>
      <x:c r="Z422" s="139" t="n"/>
      <x:c r="AA422" s="139" t="n"/>
      <x:c r="AB422" s="139" t="n"/>
      <x:c r="AC422" s="139" t="n"/>
      <x:c r="AD422" s="139" t="n"/>
      <x:c r="AE422" s="139" t="n"/>
      <x:c r="AF422" s="139" t="n"/>
      <x:c r="AG422" s="139" t="n"/>
      <x:c r="AH422" s="139" t="n"/>
      <x:c r="AI422" s="139" t="n"/>
      <x:c r="AJ422" s="139" t="n"/>
      <x:c r="AK422" s="139" t="n"/>
      <x:c r="AL422" s="139" t="n"/>
      <x:c r="AM422" s="139" t="n"/>
      <x:c r="AN422" s="139" t="n"/>
      <x:c r="AO422" s="139" t="n"/>
      <x:c r="AP422" s="139" t="n"/>
      <x:c r="AQ422" s="139" t="n"/>
      <x:c r="AR422" s="139" t="n"/>
      <x:c r="AS422" s="139" t="n"/>
      <x:c r="AT422" s="139" t="n"/>
      <x:c r="AU422" s="139" t="n"/>
      <x:c r="AV422" s="139" t="n"/>
      <x:c r="AW422" s="139" t="n"/>
      <x:c r="AX422" s="139" t="n"/>
      <x:c r="AY422" s="139" t="n"/>
      <x:c r="AZ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c r="V423" s="139" t="n"/>
      <x:c r="W423" s="139" t="n"/>
      <x:c r="X423" s="139" t="n"/>
      <x:c r="Y423" s="139" t="n"/>
      <x:c r="Z423" s="139" t="n"/>
      <x:c r="AA423" s="139" t="n"/>
      <x:c r="AB423" s="139" t="n"/>
      <x:c r="AC423" s="139" t="n"/>
      <x:c r="AD423" s="139" t="n"/>
      <x:c r="AE423" s="139" t="n"/>
      <x:c r="AF423" s="139" t="n"/>
      <x:c r="AG423" s="139" t="n"/>
      <x:c r="AH423" s="139" t="n"/>
      <x:c r="AI423" s="139" t="n"/>
      <x:c r="AJ423" s="139" t="n"/>
      <x:c r="AK423" s="139" t="n"/>
      <x:c r="AL423" s="139" t="n"/>
      <x:c r="AM423" s="139" t="n"/>
      <x:c r="AN423" s="139" t="n"/>
      <x:c r="AO423" s="139" t="n"/>
      <x:c r="AP423" s="139" t="n"/>
      <x:c r="AQ423" s="139" t="n"/>
      <x:c r="AR423" s="139" t="n"/>
      <x:c r="AS423" s="139" t="n"/>
      <x:c r="AT423" s="139" t="n"/>
      <x:c r="AU423" s="139" t="n"/>
      <x:c r="AV423" s="139" t="n"/>
      <x:c r="AW423" s="139" t="n"/>
      <x:c r="AX423" s="139" t="n"/>
      <x:c r="AY423" s="139" t="n"/>
      <x:c r="AZ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c r="V424" s="139" t="n"/>
      <x:c r="W424" s="139" t="n"/>
      <x:c r="X424" s="139" t="n"/>
      <x:c r="Y424" s="139" t="n"/>
      <x:c r="Z424" s="139" t="n"/>
      <x:c r="AA424" s="139" t="n"/>
      <x:c r="AB424" s="139" t="n"/>
      <x:c r="AC424" s="139" t="n"/>
      <x:c r="AD424" s="139" t="n"/>
      <x:c r="AE424" s="139" t="n"/>
      <x:c r="AF424" s="139" t="n"/>
      <x:c r="AG424" s="139" t="n"/>
      <x:c r="AH424" s="139" t="n"/>
      <x:c r="AI424" s="139" t="n"/>
      <x:c r="AJ424" s="139" t="n"/>
      <x:c r="AK424" s="139" t="n"/>
      <x:c r="AL424" s="139" t="n"/>
      <x:c r="AM424" s="139" t="n"/>
      <x:c r="AN424" s="139" t="n"/>
      <x:c r="AO424" s="139" t="n"/>
      <x:c r="AP424" s="139" t="n"/>
      <x:c r="AQ424" s="139" t="n"/>
      <x:c r="AR424" s="139" t="n"/>
      <x:c r="AS424" s="139" t="n"/>
      <x:c r="AT424" s="139" t="n"/>
      <x:c r="AU424" s="139" t="n"/>
      <x:c r="AV424" s="139" t="n"/>
      <x:c r="AW424" s="139" t="n"/>
      <x:c r="AX424" s="139" t="n"/>
      <x:c r="AY424" s="139" t="n"/>
      <x:c r="AZ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c r="V425" s="139" t="n"/>
      <x:c r="W425" s="139" t="n"/>
      <x:c r="X425" s="139" t="n"/>
      <x:c r="Y425" s="139" t="n"/>
      <x:c r="Z425" s="139" t="n"/>
      <x:c r="AA425" s="139" t="n"/>
      <x:c r="AB425" s="139" t="n"/>
      <x:c r="AC425" s="139" t="n"/>
      <x:c r="AD425" s="139" t="n"/>
      <x:c r="AE425" s="139" t="n"/>
      <x:c r="AF425" s="139" t="n"/>
      <x:c r="AG425" s="139" t="n"/>
      <x:c r="AH425" s="139" t="n"/>
      <x:c r="AI425" s="139" t="n"/>
      <x:c r="AJ425" s="139" t="n"/>
      <x:c r="AK425" s="139" t="n"/>
      <x:c r="AL425" s="139" t="n"/>
      <x:c r="AM425" s="139" t="n"/>
      <x:c r="AN425" s="139" t="n"/>
      <x:c r="AO425" s="139" t="n"/>
      <x:c r="AP425" s="139" t="n"/>
      <x:c r="AQ425" s="139" t="n"/>
      <x:c r="AR425" s="139" t="n"/>
      <x:c r="AS425" s="139" t="n"/>
      <x:c r="AT425" s="139" t="n"/>
      <x:c r="AU425" s="139" t="n"/>
      <x:c r="AV425" s="139" t="n"/>
      <x:c r="AW425" s="139" t="n"/>
      <x:c r="AX425" s="139" t="n"/>
      <x:c r="AY425" s="139" t="n"/>
      <x:c r="AZ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c r="V426" s="139" t="n"/>
      <x:c r="W426" s="139" t="n"/>
      <x:c r="X426" s="139" t="n"/>
      <x:c r="Y426" s="139" t="n"/>
      <x:c r="Z426" s="139" t="n"/>
      <x:c r="AA426" s="139" t="n"/>
      <x:c r="AB426" s="139" t="n"/>
      <x:c r="AC426" s="139" t="n"/>
      <x:c r="AD426" s="139" t="n"/>
      <x:c r="AE426" s="139" t="n"/>
      <x:c r="AF426" s="139" t="n"/>
      <x:c r="AG426" s="139" t="n"/>
      <x:c r="AH426" s="139" t="n"/>
      <x:c r="AI426" s="139" t="n"/>
      <x:c r="AJ426" s="139" t="n"/>
      <x:c r="AK426" s="139" t="n"/>
      <x:c r="AL426" s="139" t="n"/>
      <x:c r="AM426" s="139" t="n"/>
      <x:c r="AN426" s="139" t="n"/>
      <x:c r="AO426" s="139" t="n"/>
      <x:c r="AP426" s="139" t="n"/>
      <x:c r="AQ426" s="139" t="n"/>
      <x:c r="AR426" s="139" t="n"/>
      <x:c r="AS426" s="139" t="n"/>
      <x:c r="AT426" s="139" t="n"/>
      <x:c r="AU426" s="139" t="n"/>
      <x:c r="AV426" s="139" t="n"/>
      <x:c r="AW426" s="139" t="n"/>
      <x:c r="AX426" s="139" t="n"/>
      <x:c r="AY426" s="139" t="n"/>
      <x:c r="AZ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c r="V427" s="139" t="n"/>
      <x:c r="W427" s="139" t="n"/>
      <x:c r="X427" s="139" t="n"/>
      <x:c r="Y427" s="139" t="n"/>
      <x:c r="Z427" s="139" t="n"/>
      <x:c r="AA427" s="139" t="n"/>
      <x:c r="AB427" s="139" t="n"/>
      <x:c r="AC427" s="139" t="n"/>
      <x:c r="AD427" s="139" t="n"/>
      <x:c r="AE427" s="139" t="n"/>
      <x:c r="AF427" s="139" t="n"/>
      <x:c r="AG427" s="139" t="n"/>
      <x:c r="AH427" s="139" t="n"/>
      <x:c r="AI427" s="139" t="n"/>
      <x:c r="AJ427" s="139" t="n"/>
      <x:c r="AK427" s="139" t="n"/>
      <x:c r="AL427" s="139" t="n"/>
      <x:c r="AM427" s="139" t="n"/>
      <x:c r="AN427" s="139" t="n"/>
      <x:c r="AO427" s="139" t="n"/>
      <x:c r="AP427" s="139" t="n"/>
      <x:c r="AQ427" s="139" t="n"/>
      <x:c r="AR427" s="139" t="n"/>
      <x:c r="AS427" s="139" t="n"/>
      <x:c r="AT427" s="139" t="n"/>
      <x:c r="AU427" s="139" t="n"/>
      <x:c r="AV427" s="139" t="n"/>
      <x:c r="AW427" s="139" t="n"/>
      <x:c r="AX427" s="139" t="n"/>
      <x:c r="AY427" s="139" t="n"/>
      <x:c r="AZ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c r="V428" s="139" t="n"/>
      <x:c r="W428" s="139" t="n"/>
      <x:c r="X428" s="139" t="n"/>
      <x:c r="Y428" s="139" t="n"/>
      <x:c r="Z428" s="139" t="n"/>
      <x:c r="AA428" s="139" t="n"/>
      <x:c r="AB428" s="139" t="n"/>
      <x:c r="AC428" s="139" t="n"/>
      <x:c r="AD428" s="139" t="n"/>
      <x:c r="AE428" s="139" t="n"/>
      <x:c r="AF428" s="139" t="n"/>
      <x:c r="AG428" s="139" t="n"/>
      <x:c r="AH428" s="139" t="n"/>
      <x:c r="AI428" s="139" t="n"/>
      <x:c r="AJ428" s="139" t="n"/>
      <x:c r="AK428" s="139" t="n"/>
      <x:c r="AL428" s="139" t="n"/>
      <x:c r="AM428" s="139" t="n"/>
      <x:c r="AN428" s="139" t="n"/>
      <x:c r="AO428" s="139" t="n"/>
      <x:c r="AP428" s="139" t="n"/>
      <x:c r="AQ428" s="139" t="n"/>
      <x:c r="AR428" s="139" t="n"/>
      <x:c r="AS428" s="139" t="n"/>
      <x:c r="AT428" s="139" t="n"/>
      <x:c r="AU428" s="139" t="n"/>
      <x:c r="AV428" s="139" t="n"/>
      <x:c r="AW428" s="139" t="n"/>
      <x:c r="AX428" s="139" t="n"/>
      <x:c r="AY428" s="139" t="n"/>
      <x:c r="AZ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c r="V429" s="139" t="n"/>
      <x:c r="W429" s="139" t="n"/>
      <x:c r="X429" s="139" t="n"/>
      <x:c r="Y429" s="139" t="n"/>
      <x:c r="Z429" s="139" t="n"/>
      <x:c r="AA429" s="139" t="n"/>
      <x:c r="AB429" s="139" t="n"/>
      <x:c r="AC429" s="139" t="n"/>
      <x:c r="AD429" s="139" t="n"/>
      <x:c r="AE429" s="139" t="n"/>
      <x:c r="AF429" s="139" t="n"/>
      <x:c r="AG429" s="139" t="n"/>
      <x:c r="AH429" s="139" t="n"/>
      <x:c r="AI429" s="139" t="n"/>
      <x:c r="AJ429" s="139" t="n"/>
      <x:c r="AK429" s="139" t="n"/>
      <x:c r="AL429" s="139" t="n"/>
      <x:c r="AM429" s="139" t="n"/>
      <x:c r="AN429" s="139" t="n"/>
      <x:c r="AO429" s="139" t="n"/>
      <x:c r="AP429" s="139" t="n"/>
      <x:c r="AQ429" s="139" t="n"/>
      <x:c r="AR429" s="139" t="n"/>
      <x:c r="AS429" s="139" t="n"/>
      <x:c r="AT429" s="139" t="n"/>
      <x:c r="AU429" s="139" t="n"/>
      <x:c r="AV429" s="139" t="n"/>
      <x:c r="AW429" s="139" t="n"/>
      <x:c r="AX429" s="139" t="n"/>
      <x:c r="AY429" s="139" t="n"/>
      <x:c r="AZ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c r="V430" s="139" t="n"/>
      <x:c r="W430" s="139" t="n"/>
      <x:c r="X430" s="139" t="n"/>
      <x:c r="Y430" s="139" t="n"/>
      <x:c r="Z430" s="139" t="n"/>
      <x:c r="AA430" s="139" t="n"/>
      <x:c r="AB430" s="139" t="n"/>
      <x:c r="AC430" s="139" t="n"/>
      <x:c r="AD430" s="139" t="n"/>
      <x:c r="AE430" s="139" t="n"/>
      <x:c r="AF430" s="139" t="n"/>
      <x:c r="AG430" s="139" t="n"/>
      <x:c r="AH430" s="139" t="n"/>
      <x:c r="AI430" s="139" t="n"/>
      <x:c r="AJ430" s="139" t="n"/>
      <x:c r="AK430" s="139" t="n"/>
      <x:c r="AL430" s="139" t="n"/>
      <x:c r="AM430" s="139" t="n"/>
      <x:c r="AN430" s="139" t="n"/>
      <x:c r="AO430" s="139" t="n"/>
      <x:c r="AP430" s="139" t="n"/>
      <x:c r="AQ430" s="139" t="n"/>
      <x:c r="AR430" s="139" t="n"/>
      <x:c r="AS430" s="139" t="n"/>
      <x:c r="AT430" s="139" t="n"/>
      <x:c r="AU430" s="139" t="n"/>
      <x:c r="AV430" s="139" t="n"/>
      <x:c r="AW430" s="139" t="n"/>
      <x:c r="AX430" s="139" t="n"/>
      <x:c r="AY430" s="139" t="n"/>
      <x:c r="AZ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c r="V431" s="139" t="n"/>
      <x:c r="W431" s="139" t="n"/>
      <x:c r="X431" s="139" t="n"/>
      <x:c r="Y431" s="139" t="n"/>
      <x:c r="Z431" s="139" t="n"/>
      <x:c r="AA431" s="139" t="n"/>
      <x:c r="AB431" s="139" t="n"/>
      <x:c r="AC431" s="139" t="n"/>
      <x:c r="AD431" s="139" t="n"/>
      <x:c r="AE431" s="139" t="n"/>
      <x:c r="AF431" s="139" t="n"/>
      <x:c r="AG431" s="139" t="n"/>
      <x:c r="AH431" s="139" t="n"/>
      <x:c r="AI431" s="139" t="n"/>
      <x:c r="AJ431" s="139" t="n"/>
      <x:c r="AK431" s="139" t="n"/>
      <x:c r="AL431" s="139" t="n"/>
      <x:c r="AM431" s="139" t="n"/>
      <x:c r="AN431" s="139" t="n"/>
      <x:c r="AO431" s="139" t="n"/>
      <x:c r="AP431" s="139" t="n"/>
      <x:c r="AQ431" s="139" t="n"/>
      <x:c r="AR431" s="139" t="n"/>
      <x:c r="AS431" s="139" t="n"/>
      <x:c r="AT431" s="139" t="n"/>
      <x:c r="AU431" s="139" t="n"/>
      <x:c r="AV431" s="139" t="n"/>
      <x:c r="AW431" s="139" t="n"/>
      <x:c r="AX431" s="139" t="n"/>
      <x:c r="AY431" s="139" t="n"/>
      <x:c r="AZ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c r="V432" s="139" t="n"/>
      <x:c r="W432" s="139" t="n"/>
      <x:c r="X432" s="139" t="n"/>
      <x:c r="Y432" s="139" t="n"/>
      <x:c r="Z432" s="139" t="n"/>
      <x:c r="AA432" s="139" t="n"/>
      <x:c r="AB432" s="139" t="n"/>
      <x:c r="AC432" s="139" t="n"/>
      <x:c r="AD432" s="139" t="n"/>
      <x:c r="AE432" s="139" t="n"/>
      <x:c r="AF432" s="139" t="n"/>
      <x:c r="AG432" s="139" t="n"/>
      <x:c r="AH432" s="139" t="n"/>
      <x:c r="AI432" s="139" t="n"/>
      <x:c r="AJ432" s="139" t="n"/>
      <x:c r="AK432" s="139" t="n"/>
      <x:c r="AL432" s="139" t="n"/>
      <x:c r="AM432" s="139" t="n"/>
      <x:c r="AN432" s="139" t="n"/>
      <x:c r="AO432" s="139" t="n"/>
      <x:c r="AP432" s="139" t="n"/>
      <x:c r="AQ432" s="139" t="n"/>
      <x:c r="AR432" s="139" t="n"/>
      <x:c r="AS432" s="139" t="n"/>
      <x:c r="AT432" s="139" t="n"/>
      <x:c r="AU432" s="139" t="n"/>
      <x:c r="AV432" s="139" t="n"/>
      <x:c r="AW432" s="139" t="n"/>
      <x:c r="AX432" s="139" t="n"/>
      <x:c r="AY432" s="139" t="n"/>
      <x:c r="AZ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c r="V433" s="139" t="n"/>
      <x:c r="W433" s="139" t="n"/>
      <x:c r="X433" s="139" t="n"/>
      <x:c r="Y433" s="139" t="n"/>
      <x:c r="Z433" s="139" t="n"/>
      <x:c r="AA433" s="139" t="n"/>
      <x:c r="AB433" s="139" t="n"/>
      <x:c r="AC433" s="139" t="n"/>
      <x:c r="AD433" s="139" t="n"/>
      <x:c r="AE433" s="139" t="n"/>
      <x:c r="AF433" s="139" t="n"/>
      <x:c r="AG433" s="139" t="n"/>
      <x:c r="AH433" s="139" t="n"/>
      <x:c r="AI433" s="139" t="n"/>
      <x:c r="AJ433" s="139" t="n"/>
      <x:c r="AK433" s="139" t="n"/>
      <x:c r="AL433" s="139" t="n"/>
      <x:c r="AM433" s="139" t="n"/>
      <x:c r="AN433" s="139" t="n"/>
      <x:c r="AO433" s="139" t="n"/>
      <x:c r="AP433" s="139" t="n"/>
      <x:c r="AQ433" s="139" t="n"/>
      <x:c r="AR433" s="139" t="n"/>
      <x:c r="AS433" s="139" t="n"/>
      <x:c r="AT433" s="139" t="n"/>
      <x:c r="AU433" s="139" t="n"/>
      <x:c r="AV433" s="139" t="n"/>
      <x:c r="AW433" s="139" t="n"/>
      <x:c r="AX433" s="139" t="n"/>
      <x:c r="AY433" s="139" t="n"/>
      <x:c r="AZ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c r="V434" s="139" t="n"/>
      <x:c r="W434" s="139" t="n"/>
      <x:c r="X434" s="139" t="n"/>
      <x:c r="Y434" s="139" t="n"/>
      <x:c r="Z434" s="139" t="n"/>
      <x:c r="AA434" s="139" t="n"/>
      <x:c r="AB434" s="139" t="n"/>
      <x:c r="AC434" s="139" t="n"/>
      <x:c r="AD434" s="139" t="n"/>
      <x:c r="AE434" s="139" t="n"/>
      <x:c r="AF434" s="139" t="n"/>
      <x:c r="AG434" s="139" t="n"/>
      <x:c r="AH434" s="139" t="n"/>
      <x:c r="AI434" s="139" t="n"/>
      <x:c r="AJ434" s="139" t="n"/>
      <x:c r="AK434" s="139" t="n"/>
      <x:c r="AL434" s="139" t="n"/>
      <x:c r="AM434" s="139" t="n"/>
      <x:c r="AN434" s="139" t="n"/>
      <x:c r="AO434" s="139" t="n"/>
      <x:c r="AP434" s="139" t="n"/>
      <x:c r="AQ434" s="139" t="n"/>
      <x:c r="AR434" s="139" t="n"/>
      <x:c r="AS434" s="139" t="n"/>
      <x:c r="AT434" s="139" t="n"/>
      <x:c r="AU434" s="139" t="n"/>
      <x:c r="AV434" s="139" t="n"/>
      <x:c r="AW434" s="139" t="n"/>
      <x:c r="AX434" s="139" t="n"/>
      <x:c r="AY434" s="139" t="n"/>
      <x:c r="AZ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c r="V435" s="139" t="n"/>
      <x:c r="W435" s="139" t="n"/>
      <x:c r="X435" s="139" t="n"/>
      <x:c r="Y435" s="139" t="n"/>
      <x:c r="Z435" s="139" t="n"/>
      <x:c r="AA435" s="139" t="n"/>
      <x:c r="AB435" s="139" t="n"/>
      <x:c r="AC435" s="139" t="n"/>
      <x:c r="AD435" s="139" t="n"/>
      <x:c r="AE435" s="139" t="n"/>
      <x:c r="AF435" s="139" t="n"/>
      <x:c r="AG435" s="139" t="n"/>
      <x:c r="AH435" s="139" t="n"/>
      <x:c r="AI435" s="139" t="n"/>
      <x:c r="AJ435" s="139" t="n"/>
      <x:c r="AK435" s="139" t="n"/>
      <x:c r="AL435" s="139" t="n"/>
      <x:c r="AM435" s="139" t="n"/>
      <x:c r="AN435" s="139" t="n"/>
      <x:c r="AO435" s="139" t="n"/>
      <x:c r="AP435" s="139" t="n"/>
      <x:c r="AQ435" s="139" t="n"/>
      <x:c r="AR435" s="139" t="n"/>
      <x:c r="AS435" s="139" t="n"/>
      <x:c r="AT435" s="139" t="n"/>
      <x:c r="AU435" s="139" t="n"/>
      <x:c r="AV435" s="139" t="n"/>
      <x:c r="AW435" s="139" t="n"/>
      <x:c r="AX435" s="139" t="n"/>
      <x:c r="AY435" s="139" t="n"/>
      <x:c r="AZ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c r="V436" s="139" t="n"/>
      <x:c r="W436" s="139" t="n"/>
      <x:c r="X436" s="139" t="n"/>
      <x:c r="Y436" s="139" t="n"/>
      <x:c r="Z436" s="139" t="n"/>
      <x:c r="AA436" s="139" t="n"/>
      <x:c r="AB436" s="139" t="n"/>
      <x:c r="AC436" s="139" t="n"/>
      <x:c r="AD436" s="139" t="n"/>
      <x:c r="AE436" s="139" t="n"/>
      <x:c r="AF436" s="139" t="n"/>
      <x:c r="AG436" s="139" t="n"/>
      <x:c r="AH436" s="139" t="n"/>
      <x:c r="AI436" s="139" t="n"/>
      <x:c r="AJ436" s="139" t="n"/>
      <x:c r="AK436" s="139" t="n"/>
      <x:c r="AL436" s="139" t="n"/>
      <x:c r="AM436" s="139" t="n"/>
      <x:c r="AN436" s="139" t="n"/>
      <x:c r="AO436" s="139" t="n"/>
      <x:c r="AP436" s="139" t="n"/>
      <x:c r="AQ436" s="139" t="n"/>
      <x:c r="AR436" s="139" t="n"/>
      <x:c r="AS436" s="139" t="n"/>
      <x:c r="AT436" s="139" t="n"/>
      <x:c r="AU436" s="139" t="n"/>
      <x:c r="AV436" s="139" t="n"/>
      <x:c r="AW436" s="139" t="n"/>
      <x:c r="AX436" s="139" t="n"/>
      <x:c r="AY436" s="139" t="n"/>
      <x:c r="AZ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c r="V437" s="139" t="n"/>
      <x:c r="W437" s="139" t="n"/>
      <x:c r="X437" s="139" t="n"/>
      <x:c r="Y437" s="139" t="n"/>
      <x:c r="Z437" s="139" t="n"/>
      <x:c r="AA437" s="139" t="n"/>
      <x:c r="AB437" s="139" t="n"/>
      <x:c r="AC437" s="139" t="n"/>
      <x:c r="AD437" s="139" t="n"/>
      <x:c r="AE437" s="139" t="n"/>
      <x:c r="AF437" s="139" t="n"/>
      <x:c r="AG437" s="139" t="n"/>
      <x:c r="AH437" s="139" t="n"/>
      <x:c r="AI437" s="139" t="n"/>
      <x:c r="AJ437" s="139" t="n"/>
      <x:c r="AK437" s="139" t="n"/>
      <x:c r="AL437" s="139" t="n"/>
      <x:c r="AM437" s="139" t="n"/>
      <x:c r="AN437" s="139" t="n"/>
      <x:c r="AO437" s="139" t="n"/>
      <x:c r="AP437" s="139" t="n"/>
      <x:c r="AQ437" s="139" t="n"/>
      <x:c r="AR437" s="139" t="n"/>
      <x:c r="AS437" s="139" t="n"/>
      <x:c r="AT437" s="139" t="n"/>
      <x:c r="AU437" s="139" t="n"/>
      <x:c r="AV437" s="139" t="n"/>
      <x:c r="AW437" s="139" t="n"/>
      <x:c r="AX437" s="139" t="n"/>
      <x:c r="AY437" s="139" t="n"/>
      <x:c r="AZ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c r="V438" s="139" t="n"/>
      <x:c r="W438" s="139" t="n"/>
      <x:c r="X438" s="139" t="n"/>
      <x:c r="Y438" s="139" t="n"/>
      <x:c r="Z438" s="139" t="n"/>
      <x:c r="AA438" s="139" t="n"/>
      <x:c r="AB438" s="139" t="n"/>
      <x:c r="AC438" s="139" t="n"/>
      <x:c r="AD438" s="139" t="n"/>
      <x:c r="AE438" s="139" t="n"/>
      <x:c r="AF438" s="139" t="n"/>
      <x:c r="AG438" s="139" t="n"/>
      <x:c r="AH438" s="139" t="n"/>
      <x:c r="AI438" s="139" t="n"/>
      <x:c r="AJ438" s="139" t="n"/>
      <x:c r="AK438" s="139" t="n"/>
      <x:c r="AL438" s="139" t="n"/>
      <x:c r="AM438" s="139" t="n"/>
      <x:c r="AN438" s="139" t="n"/>
      <x:c r="AO438" s="139" t="n"/>
      <x:c r="AP438" s="139" t="n"/>
      <x:c r="AQ438" s="139" t="n"/>
      <x:c r="AR438" s="139" t="n"/>
      <x:c r="AS438" s="139" t="n"/>
      <x:c r="AT438" s="139" t="n"/>
      <x:c r="AU438" s="139" t="n"/>
      <x:c r="AV438" s="139" t="n"/>
      <x:c r="AW438" s="139" t="n"/>
      <x:c r="AX438" s="139" t="n"/>
      <x:c r="AY438" s="139" t="n"/>
      <x:c r="AZ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c r="V439" s="139" t="n"/>
      <x:c r="W439" s="139" t="n"/>
      <x:c r="X439" s="139" t="n"/>
      <x:c r="Y439" s="139" t="n"/>
      <x:c r="Z439" s="139" t="n"/>
      <x:c r="AA439" s="139" t="n"/>
      <x:c r="AB439" s="139" t="n"/>
      <x:c r="AC439" s="139" t="n"/>
      <x:c r="AD439" s="139" t="n"/>
      <x:c r="AE439" s="139" t="n"/>
      <x:c r="AF439" s="139" t="n"/>
      <x:c r="AG439" s="139" t="n"/>
      <x:c r="AH439" s="139" t="n"/>
      <x:c r="AI439" s="139" t="n"/>
      <x:c r="AJ439" s="139" t="n"/>
      <x:c r="AK439" s="139" t="n"/>
      <x:c r="AL439" s="139" t="n"/>
      <x:c r="AM439" s="139" t="n"/>
      <x:c r="AN439" s="139" t="n"/>
      <x:c r="AO439" s="139" t="n"/>
      <x:c r="AP439" s="139" t="n"/>
      <x:c r="AQ439" s="139" t="n"/>
      <x:c r="AR439" s="139" t="n"/>
      <x:c r="AS439" s="139" t="n"/>
      <x:c r="AT439" s="139" t="n"/>
      <x:c r="AU439" s="139" t="n"/>
      <x:c r="AV439" s="139" t="n"/>
      <x:c r="AW439" s="139" t="n"/>
      <x:c r="AX439" s="139" t="n"/>
      <x:c r="AY439" s="139" t="n"/>
      <x:c r="AZ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c r="V440" s="139" t="n"/>
      <x:c r="W440" s="139" t="n"/>
      <x:c r="X440" s="139" t="n"/>
      <x:c r="Y440" s="139" t="n"/>
      <x:c r="Z440" s="139" t="n"/>
      <x:c r="AA440" s="139" t="n"/>
      <x:c r="AB440" s="139" t="n"/>
      <x:c r="AC440" s="139" t="n"/>
      <x:c r="AD440" s="139" t="n"/>
      <x:c r="AE440" s="139" t="n"/>
      <x:c r="AF440" s="139" t="n"/>
      <x:c r="AG440" s="139" t="n"/>
      <x:c r="AH440" s="139" t="n"/>
      <x:c r="AI440" s="139" t="n"/>
      <x:c r="AJ440" s="139" t="n"/>
      <x:c r="AK440" s="139" t="n"/>
      <x:c r="AL440" s="139" t="n"/>
      <x:c r="AM440" s="139" t="n"/>
      <x:c r="AN440" s="139" t="n"/>
      <x:c r="AO440" s="139" t="n"/>
      <x:c r="AP440" s="139" t="n"/>
      <x:c r="AQ440" s="139" t="n"/>
      <x:c r="AR440" s="139" t="n"/>
      <x:c r="AS440" s="139" t="n"/>
      <x:c r="AT440" s="139" t="n"/>
      <x:c r="AU440" s="139" t="n"/>
      <x:c r="AV440" s="139" t="n"/>
      <x:c r="AW440" s="139" t="n"/>
      <x:c r="AX440" s="139" t="n"/>
      <x:c r="AY440" s="139" t="n"/>
      <x:c r="AZ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c r="V441" s="139" t="n"/>
      <x:c r="W441" s="139" t="n"/>
      <x:c r="X441" s="139" t="n"/>
      <x:c r="Y441" s="139" t="n"/>
      <x:c r="Z441" s="139" t="n"/>
      <x:c r="AA441" s="139" t="n"/>
      <x:c r="AB441" s="139" t="n"/>
      <x:c r="AC441" s="139" t="n"/>
      <x:c r="AD441" s="139" t="n"/>
      <x:c r="AE441" s="139" t="n"/>
      <x:c r="AF441" s="139" t="n"/>
      <x:c r="AG441" s="139" t="n"/>
      <x:c r="AH441" s="139" t="n"/>
      <x:c r="AI441" s="139" t="n"/>
      <x:c r="AJ441" s="139" t="n"/>
      <x:c r="AK441" s="139" t="n"/>
      <x:c r="AL441" s="139" t="n"/>
      <x:c r="AM441" s="139" t="n"/>
      <x:c r="AN441" s="139" t="n"/>
      <x:c r="AO441" s="139" t="n"/>
      <x:c r="AP441" s="139" t="n"/>
      <x:c r="AQ441" s="139" t="n"/>
      <x:c r="AR441" s="139" t="n"/>
      <x:c r="AS441" s="139" t="n"/>
      <x:c r="AT441" s="139" t="n"/>
      <x:c r="AU441" s="139" t="n"/>
      <x:c r="AV441" s="139" t="n"/>
      <x:c r="AW441" s="139" t="n"/>
      <x:c r="AX441" s="139" t="n"/>
      <x:c r="AY441" s="139" t="n"/>
      <x:c r="AZ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c r="V442" s="139" t="n"/>
      <x:c r="W442" s="139" t="n"/>
      <x:c r="X442" s="139" t="n"/>
      <x:c r="Y442" s="139" t="n"/>
      <x:c r="Z442" s="139" t="n"/>
      <x:c r="AA442" s="139" t="n"/>
      <x:c r="AB442" s="139" t="n"/>
      <x:c r="AC442" s="139" t="n"/>
      <x:c r="AD442" s="139" t="n"/>
      <x:c r="AE442" s="139" t="n"/>
      <x:c r="AF442" s="139" t="n"/>
      <x:c r="AG442" s="139" t="n"/>
      <x:c r="AH442" s="139" t="n"/>
      <x:c r="AI442" s="139" t="n"/>
      <x:c r="AJ442" s="139" t="n"/>
      <x:c r="AK442" s="139" t="n"/>
      <x:c r="AL442" s="139" t="n"/>
      <x:c r="AM442" s="139" t="n"/>
      <x:c r="AN442" s="139" t="n"/>
      <x:c r="AO442" s="139" t="n"/>
      <x:c r="AP442" s="139" t="n"/>
      <x:c r="AQ442" s="139" t="n"/>
      <x:c r="AR442" s="139" t="n"/>
      <x:c r="AS442" s="139" t="n"/>
      <x:c r="AT442" s="139" t="n"/>
      <x:c r="AU442" s="139" t="n"/>
      <x:c r="AV442" s="139" t="n"/>
      <x:c r="AW442" s="139" t="n"/>
      <x:c r="AX442" s="139" t="n"/>
      <x:c r="AY442" s="139" t="n"/>
      <x:c r="AZ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c r="V443" s="139" t="n"/>
      <x:c r="W443" s="139" t="n"/>
      <x:c r="X443" s="139" t="n"/>
      <x:c r="Y443" s="139" t="n"/>
      <x:c r="Z443" s="139" t="n"/>
      <x:c r="AA443" s="139" t="n"/>
      <x:c r="AB443" s="139" t="n"/>
      <x:c r="AC443" s="139" t="n"/>
      <x:c r="AD443" s="139" t="n"/>
      <x:c r="AE443" s="139" t="n"/>
      <x:c r="AF443" s="139" t="n"/>
      <x:c r="AG443" s="139" t="n"/>
      <x:c r="AH443" s="139" t="n"/>
      <x:c r="AI443" s="139" t="n"/>
      <x:c r="AJ443" s="139" t="n"/>
      <x:c r="AK443" s="139" t="n"/>
      <x:c r="AL443" s="139" t="n"/>
      <x:c r="AM443" s="139" t="n"/>
      <x:c r="AN443" s="139" t="n"/>
      <x:c r="AO443" s="139" t="n"/>
      <x:c r="AP443" s="139" t="n"/>
      <x:c r="AQ443" s="139" t="n"/>
      <x:c r="AR443" s="139" t="n"/>
      <x:c r="AS443" s="139" t="n"/>
      <x:c r="AT443" s="139" t="n"/>
      <x:c r="AU443" s="139" t="n"/>
      <x:c r="AV443" s="139" t="n"/>
      <x:c r="AW443" s="139" t="n"/>
      <x:c r="AX443" s="139" t="n"/>
      <x:c r="AY443" s="139" t="n"/>
      <x:c r="AZ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c r="V444" s="139" t="n"/>
      <x:c r="W444" s="139" t="n"/>
      <x:c r="X444" s="139" t="n"/>
      <x:c r="Y444" s="139" t="n"/>
      <x:c r="Z444" s="139" t="n"/>
      <x:c r="AA444" s="139" t="n"/>
      <x:c r="AB444" s="139" t="n"/>
      <x:c r="AC444" s="139" t="n"/>
      <x:c r="AD444" s="139" t="n"/>
      <x:c r="AE444" s="139" t="n"/>
      <x:c r="AF444" s="139" t="n"/>
      <x:c r="AG444" s="139" t="n"/>
      <x:c r="AH444" s="139" t="n"/>
      <x:c r="AI444" s="139" t="n"/>
      <x:c r="AJ444" s="139" t="n"/>
      <x:c r="AK444" s="139" t="n"/>
      <x:c r="AL444" s="139" t="n"/>
      <x:c r="AM444" s="139" t="n"/>
      <x:c r="AN444" s="139" t="n"/>
      <x:c r="AO444" s="139" t="n"/>
      <x:c r="AP444" s="139" t="n"/>
      <x:c r="AQ444" s="139" t="n"/>
      <x:c r="AR444" s="139" t="n"/>
      <x:c r="AS444" s="139" t="n"/>
      <x:c r="AT444" s="139" t="n"/>
      <x:c r="AU444" s="139" t="n"/>
      <x:c r="AV444" s="139" t="n"/>
      <x:c r="AW444" s="139" t="n"/>
      <x:c r="AX444" s="139" t="n"/>
      <x:c r="AY444" s="139" t="n"/>
      <x:c r="AZ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c r="V445" s="139" t="n"/>
      <x:c r="W445" s="139" t="n"/>
      <x:c r="X445" s="139" t="n"/>
      <x:c r="Y445" s="139" t="n"/>
      <x:c r="Z445" s="139" t="n"/>
      <x:c r="AA445" s="139" t="n"/>
      <x:c r="AB445" s="139" t="n"/>
      <x:c r="AC445" s="139" t="n"/>
      <x:c r="AD445" s="139" t="n"/>
      <x:c r="AE445" s="139" t="n"/>
      <x:c r="AF445" s="139" t="n"/>
      <x:c r="AG445" s="139" t="n"/>
      <x:c r="AH445" s="139" t="n"/>
      <x:c r="AI445" s="139" t="n"/>
      <x:c r="AJ445" s="139" t="n"/>
      <x:c r="AK445" s="139" t="n"/>
      <x:c r="AL445" s="139" t="n"/>
      <x:c r="AM445" s="139" t="n"/>
      <x:c r="AN445" s="139" t="n"/>
      <x:c r="AO445" s="139" t="n"/>
      <x:c r="AP445" s="139" t="n"/>
      <x:c r="AQ445" s="139" t="n"/>
      <x:c r="AR445" s="139" t="n"/>
      <x:c r="AS445" s="139" t="n"/>
      <x:c r="AT445" s="139" t="n"/>
      <x:c r="AU445" s="139" t="n"/>
      <x:c r="AV445" s="139" t="n"/>
      <x:c r="AW445" s="139" t="n"/>
      <x:c r="AX445" s="139" t="n"/>
      <x:c r="AY445" s="139" t="n"/>
      <x:c r="AZ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c r="V446" s="139" t="n"/>
      <x:c r="W446" s="139" t="n"/>
      <x:c r="X446" s="139" t="n"/>
      <x:c r="Y446" s="139" t="n"/>
      <x:c r="Z446" s="139" t="n"/>
      <x:c r="AA446" s="139" t="n"/>
      <x:c r="AB446" s="139" t="n"/>
      <x:c r="AC446" s="139" t="n"/>
      <x:c r="AD446" s="139" t="n"/>
      <x:c r="AE446" s="139" t="n"/>
      <x:c r="AF446" s="139" t="n"/>
      <x:c r="AG446" s="139" t="n"/>
      <x:c r="AH446" s="139" t="n"/>
      <x:c r="AI446" s="139" t="n"/>
      <x:c r="AJ446" s="139" t="n"/>
      <x:c r="AK446" s="139" t="n"/>
      <x:c r="AL446" s="139" t="n"/>
      <x:c r="AM446" s="139" t="n"/>
      <x:c r="AN446" s="139" t="n"/>
      <x:c r="AO446" s="139" t="n"/>
      <x:c r="AP446" s="139" t="n"/>
      <x:c r="AQ446" s="139" t="n"/>
      <x:c r="AR446" s="139" t="n"/>
      <x:c r="AS446" s="139" t="n"/>
      <x:c r="AT446" s="139" t="n"/>
      <x:c r="AU446" s="139" t="n"/>
      <x:c r="AV446" s="139" t="n"/>
      <x:c r="AW446" s="139" t="n"/>
      <x:c r="AX446" s="139" t="n"/>
      <x:c r="AY446" s="139" t="n"/>
      <x:c r="AZ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c r="V447" s="139" t="n"/>
      <x:c r="W447" s="139" t="n"/>
      <x:c r="X447" s="139" t="n"/>
      <x:c r="Y447" s="139" t="n"/>
      <x:c r="Z447" s="139" t="n"/>
      <x:c r="AA447" s="139" t="n"/>
      <x:c r="AB447" s="139" t="n"/>
      <x:c r="AC447" s="139" t="n"/>
      <x:c r="AD447" s="139" t="n"/>
      <x:c r="AE447" s="139" t="n"/>
      <x:c r="AF447" s="139" t="n"/>
      <x:c r="AG447" s="139" t="n"/>
      <x:c r="AH447" s="139" t="n"/>
      <x:c r="AI447" s="139" t="n"/>
      <x:c r="AJ447" s="139" t="n"/>
      <x:c r="AK447" s="139" t="n"/>
      <x:c r="AL447" s="139" t="n"/>
      <x:c r="AM447" s="139" t="n"/>
      <x:c r="AN447" s="139" t="n"/>
      <x:c r="AO447" s="139" t="n"/>
      <x:c r="AP447" s="139" t="n"/>
      <x:c r="AQ447" s="139" t="n"/>
      <x:c r="AR447" s="139" t="n"/>
      <x:c r="AS447" s="139" t="n"/>
      <x:c r="AT447" s="139" t="n"/>
      <x:c r="AU447" s="139" t="n"/>
      <x:c r="AV447" s="139" t="n"/>
      <x:c r="AW447" s="139" t="n"/>
      <x:c r="AX447" s="139" t="n"/>
      <x:c r="AY447" s="139" t="n"/>
      <x:c r="AZ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c r="V448" s="139" t="n"/>
      <x:c r="W448" s="139" t="n"/>
      <x:c r="X448" s="139" t="n"/>
      <x:c r="Y448" s="139" t="n"/>
      <x:c r="Z448" s="139" t="n"/>
      <x:c r="AA448" s="139" t="n"/>
      <x:c r="AB448" s="139" t="n"/>
      <x:c r="AC448" s="139" t="n"/>
      <x:c r="AD448" s="139" t="n"/>
      <x:c r="AE448" s="139" t="n"/>
      <x:c r="AF448" s="139" t="n"/>
      <x:c r="AG448" s="139" t="n"/>
      <x:c r="AH448" s="139" t="n"/>
      <x:c r="AI448" s="139" t="n"/>
      <x:c r="AJ448" s="139" t="n"/>
      <x:c r="AK448" s="139" t="n"/>
      <x:c r="AL448" s="139" t="n"/>
      <x:c r="AM448" s="139" t="n"/>
      <x:c r="AN448" s="139" t="n"/>
      <x:c r="AO448" s="139" t="n"/>
      <x:c r="AP448" s="139" t="n"/>
      <x:c r="AQ448" s="139" t="n"/>
      <x:c r="AR448" s="139" t="n"/>
      <x:c r="AS448" s="139" t="n"/>
      <x:c r="AT448" s="139" t="n"/>
      <x:c r="AU448" s="139" t="n"/>
      <x:c r="AV448" s="139" t="n"/>
      <x:c r="AW448" s="139" t="n"/>
      <x:c r="AX448" s="139" t="n"/>
      <x:c r="AY448" s="139" t="n"/>
      <x:c r="AZ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c r="V449" s="139" t="n"/>
      <x:c r="W449" s="139" t="n"/>
      <x:c r="X449" s="139" t="n"/>
      <x:c r="Y449" s="139" t="n"/>
      <x:c r="Z449" s="139" t="n"/>
      <x:c r="AA449" s="139" t="n"/>
      <x:c r="AB449" s="139" t="n"/>
      <x:c r="AC449" s="139" t="n"/>
      <x:c r="AD449" s="139" t="n"/>
      <x:c r="AE449" s="139" t="n"/>
      <x:c r="AF449" s="139" t="n"/>
      <x:c r="AG449" s="139" t="n"/>
      <x:c r="AH449" s="139" t="n"/>
      <x:c r="AI449" s="139" t="n"/>
      <x:c r="AJ449" s="139" t="n"/>
      <x:c r="AK449" s="139" t="n"/>
      <x:c r="AL449" s="139" t="n"/>
      <x:c r="AM449" s="139" t="n"/>
      <x:c r="AN449" s="139" t="n"/>
      <x:c r="AO449" s="139" t="n"/>
      <x:c r="AP449" s="139" t="n"/>
      <x:c r="AQ449" s="139" t="n"/>
      <x:c r="AR449" s="139" t="n"/>
      <x:c r="AS449" s="139" t="n"/>
      <x:c r="AT449" s="139" t="n"/>
      <x:c r="AU449" s="139" t="n"/>
      <x:c r="AV449" s="139" t="n"/>
      <x:c r="AW449" s="139" t="n"/>
      <x:c r="AX449" s="139" t="n"/>
      <x:c r="AY449" s="139" t="n"/>
      <x:c r="AZ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c r="V450" s="139" t="n"/>
      <x:c r="W450" s="139" t="n"/>
      <x:c r="X450" s="139" t="n"/>
      <x:c r="Y450" s="139" t="n"/>
      <x:c r="Z450" s="139" t="n"/>
      <x:c r="AA450" s="139" t="n"/>
      <x:c r="AB450" s="139" t="n"/>
      <x:c r="AC450" s="139" t="n"/>
      <x:c r="AD450" s="139" t="n"/>
      <x:c r="AE450" s="139" t="n"/>
      <x:c r="AF450" s="139" t="n"/>
      <x:c r="AG450" s="139" t="n"/>
      <x:c r="AH450" s="139" t="n"/>
      <x:c r="AI450" s="139" t="n"/>
      <x:c r="AJ450" s="139" t="n"/>
      <x:c r="AK450" s="139" t="n"/>
      <x:c r="AL450" s="139" t="n"/>
      <x:c r="AM450" s="139" t="n"/>
      <x:c r="AN450" s="139" t="n"/>
      <x:c r="AO450" s="139" t="n"/>
      <x:c r="AP450" s="139" t="n"/>
      <x:c r="AQ450" s="139" t="n"/>
      <x:c r="AR450" s="139" t="n"/>
      <x:c r="AS450" s="139" t="n"/>
      <x:c r="AT450" s="139" t="n"/>
      <x:c r="AU450" s="139" t="n"/>
      <x:c r="AV450" s="139" t="n"/>
      <x:c r="AW450" s="139" t="n"/>
      <x:c r="AX450" s="139" t="n"/>
      <x:c r="AY450" s="139" t="n"/>
      <x:c r="AZ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c r="V451" s="139" t="n"/>
      <x:c r="W451" s="139" t="n"/>
      <x:c r="X451" s="139" t="n"/>
      <x:c r="Y451" s="139" t="n"/>
      <x:c r="Z451" s="139" t="n"/>
      <x:c r="AA451" s="139" t="n"/>
      <x:c r="AB451" s="139" t="n"/>
      <x:c r="AC451" s="139" t="n"/>
      <x:c r="AD451" s="139" t="n"/>
      <x:c r="AE451" s="139" t="n"/>
      <x:c r="AF451" s="139" t="n"/>
      <x:c r="AG451" s="139" t="n"/>
      <x:c r="AH451" s="139" t="n"/>
      <x:c r="AI451" s="139" t="n"/>
      <x:c r="AJ451" s="139" t="n"/>
      <x:c r="AK451" s="139" t="n"/>
      <x:c r="AL451" s="139" t="n"/>
      <x:c r="AM451" s="139" t="n"/>
      <x:c r="AN451" s="139" t="n"/>
      <x:c r="AO451" s="139" t="n"/>
      <x:c r="AP451" s="139" t="n"/>
      <x:c r="AQ451" s="139" t="n"/>
      <x:c r="AR451" s="139" t="n"/>
      <x:c r="AS451" s="139" t="n"/>
      <x:c r="AT451" s="139" t="n"/>
      <x:c r="AU451" s="139" t="n"/>
      <x:c r="AV451" s="139" t="n"/>
      <x:c r="AW451" s="139" t="n"/>
      <x:c r="AX451" s="139" t="n"/>
      <x:c r="AY451" s="139" t="n"/>
      <x:c r="AZ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c r="V452" s="139" t="n"/>
      <x:c r="W452" s="139" t="n"/>
      <x:c r="X452" s="139" t="n"/>
      <x:c r="Y452" s="139" t="n"/>
      <x:c r="Z452" s="139" t="n"/>
      <x:c r="AA452" s="139" t="n"/>
      <x:c r="AB452" s="139" t="n"/>
      <x:c r="AC452" s="139" t="n"/>
      <x:c r="AD452" s="139" t="n"/>
      <x:c r="AE452" s="139" t="n"/>
      <x:c r="AF452" s="139" t="n"/>
      <x:c r="AG452" s="139" t="n"/>
      <x:c r="AH452" s="139" t="n"/>
      <x:c r="AI452" s="139" t="n"/>
      <x:c r="AJ452" s="139" t="n"/>
      <x:c r="AK452" s="139" t="n"/>
      <x:c r="AL452" s="139" t="n"/>
      <x:c r="AM452" s="139" t="n"/>
      <x:c r="AN452" s="139" t="n"/>
      <x:c r="AO452" s="139" t="n"/>
      <x:c r="AP452" s="139" t="n"/>
      <x:c r="AQ452" s="139" t="n"/>
      <x:c r="AR452" s="139" t="n"/>
      <x:c r="AS452" s="139" t="n"/>
      <x:c r="AT452" s="139" t="n"/>
      <x:c r="AU452" s="139" t="n"/>
      <x:c r="AV452" s="139" t="n"/>
      <x:c r="AW452" s="139" t="n"/>
      <x:c r="AX452" s="139" t="n"/>
      <x:c r="AY452" s="139" t="n"/>
      <x:c r="AZ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c r="V453" s="139" t="n"/>
      <x:c r="W453" s="139" t="n"/>
      <x:c r="X453" s="139" t="n"/>
      <x:c r="Y453" s="139" t="n"/>
      <x:c r="Z453" s="139" t="n"/>
      <x:c r="AA453" s="139" t="n"/>
      <x:c r="AB453" s="139" t="n"/>
      <x:c r="AC453" s="139" t="n"/>
      <x:c r="AD453" s="139" t="n"/>
      <x:c r="AE453" s="139" t="n"/>
      <x:c r="AF453" s="139" t="n"/>
      <x:c r="AG453" s="139" t="n"/>
      <x:c r="AH453" s="139" t="n"/>
      <x:c r="AI453" s="139" t="n"/>
      <x:c r="AJ453" s="139" t="n"/>
      <x:c r="AK453" s="139" t="n"/>
      <x:c r="AL453" s="139" t="n"/>
      <x:c r="AM453" s="139" t="n"/>
      <x:c r="AN453" s="139" t="n"/>
      <x:c r="AO453" s="139" t="n"/>
      <x:c r="AP453" s="139" t="n"/>
      <x:c r="AQ453" s="139" t="n"/>
      <x:c r="AR453" s="139" t="n"/>
      <x:c r="AS453" s="139" t="n"/>
      <x:c r="AT453" s="139" t="n"/>
      <x:c r="AU453" s="139" t="n"/>
      <x:c r="AV453" s="139" t="n"/>
      <x:c r="AW453" s="139" t="n"/>
      <x:c r="AX453" s="139" t="n"/>
      <x:c r="AY453" s="139" t="n"/>
      <x:c r="AZ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c r="V454" s="139" t="n"/>
      <x:c r="W454" s="139" t="n"/>
      <x:c r="X454" s="139" t="n"/>
      <x:c r="Y454" s="139" t="n"/>
      <x:c r="Z454" s="139" t="n"/>
      <x:c r="AA454" s="139" t="n"/>
      <x:c r="AB454" s="139" t="n"/>
      <x:c r="AC454" s="139" t="n"/>
      <x:c r="AD454" s="139" t="n"/>
      <x:c r="AE454" s="139" t="n"/>
      <x:c r="AF454" s="139" t="n"/>
      <x:c r="AG454" s="139" t="n"/>
      <x:c r="AH454" s="139" t="n"/>
      <x:c r="AI454" s="139" t="n"/>
      <x:c r="AJ454" s="139" t="n"/>
      <x:c r="AK454" s="139" t="n"/>
      <x:c r="AL454" s="139" t="n"/>
      <x:c r="AM454" s="139" t="n"/>
      <x:c r="AN454" s="139" t="n"/>
      <x:c r="AO454" s="139" t="n"/>
      <x:c r="AP454" s="139" t="n"/>
      <x:c r="AQ454" s="139" t="n"/>
      <x:c r="AR454" s="139" t="n"/>
      <x:c r="AS454" s="139" t="n"/>
      <x:c r="AT454" s="139" t="n"/>
      <x:c r="AU454" s="139" t="n"/>
      <x:c r="AV454" s="139" t="n"/>
      <x:c r="AW454" s="139" t="n"/>
      <x:c r="AX454" s="139" t="n"/>
      <x:c r="AY454" s="139" t="n"/>
      <x:c r="AZ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c r="V455" s="139" t="n"/>
      <x:c r="W455" s="139" t="n"/>
      <x:c r="X455" s="139" t="n"/>
      <x:c r="Y455" s="139" t="n"/>
      <x:c r="Z455" s="139" t="n"/>
      <x:c r="AA455" s="139" t="n"/>
      <x:c r="AB455" s="139" t="n"/>
      <x:c r="AC455" s="139" t="n"/>
      <x:c r="AD455" s="139" t="n"/>
      <x:c r="AE455" s="139" t="n"/>
      <x:c r="AF455" s="139" t="n"/>
      <x:c r="AG455" s="139" t="n"/>
      <x:c r="AH455" s="139" t="n"/>
      <x:c r="AI455" s="139" t="n"/>
      <x:c r="AJ455" s="139" t="n"/>
      <x:c r="AK455" s="139" t="n"/>
      <x:c r="AL455" s="139" t="n"/>
      <x:c r="AM455" s="139" t="n"/>
      <x:c r="AN455" s="139" t="n"/>
      <x:c r="AO455" s="139" t="n"/>
      <x:c r="AP455" s="139" t="n"/>
      <x:c r="AQ455" s="139" t="n"/>
      <x:c r="AR455" s="139" t="n"/>
      <x:c r="AS455" s="139" t="n"/>
      <x:c r="AT455" s="139" t="n"/>
      <x:c r="AU455" s="139" t="n"/>
      <x:c r="AV455" s="139" t="n"/>
      <x:c r="AW455" s="139" t="n"/>
      <x:c r="AX455" s="139" t="n"/>
      <x:c r="AY455" s="139" t="n"/>
      <x:c r="AZ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c r="V456" s="139" t="n"/>
      <x:c r="W456" s="139" t="n"/>
      <x:c r="X456" s="139" t="n"/>
      <x:c r="Y456" s="139" t="n"/>
      <x:c r="Z456" s="139" t="n"/>
      <x:c r="AA456" s="139" t="n"/>
      <x:c r="AB456" s="139" t="n"/>
      <x:c r="AC456" s="139" t="n"/>
      <x:c r="AD456" s="139" t="n"/>
      <x:c r="AE456" s="139" t="n"/>
      <x:c r="AF456" s="139" t="n"/>
      <x:c r="AG456" s="139" t="n"/>
      <x:c r="AH456" s="139" t="n"/>
      <x:c r="AI456" s="139" t="n"/>
      <x:c r="AJ456" s="139" t="n"/>
      <x:c r="AK456" s="139" t="n"/>
      <x:c r="AL456" s="139" t="n"/>
      <x:c r="AM456" s="139" t="n"/>
      <x:c r="AN456" s="139" t="n"/>
      <x:c r="AO456" s="139" t="n"/>
      <x:c r="AP456" s="139" t="n"/>
      <x:c r="AQ456" s="139" t="n"/>
      <x:c r="AR456" s="139" t="n"/>
      <x:c r="AS456" s="139" t="n"/>
      <x:c r="AT456" s="139" t="n"/>
      <x:c r="AU456" s="139" t="n"/>
      <x:c r="AV456" s="139" t="n"/>
      <x:c r="AW456" s="139" t="n"/>
      <x:c r="AX456" s="139" t="n"/>
      <x:c r="AY456" s="139" t="n"/>
      <x:c r="AZ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c r="V457" s="139" t="n"/>
      <x:c r="W457" s="139" t="n"/>
      <x:c r="X457" s="139" t="n"/>
      <x:c r="Y457" s="139" t="n"/>
      <x:c r="Z457" s="139" t="n"/>
      <x:c r="AA457" s="139" t="n"/>
      <x:c r="AB457" s="139" t="n"/>
      <x:c r="AC457" s="139" t="n"/>
      <x:c r="AD457" s="139" t="n"/>
      <x:c r="AE457" s="139" t="n"/>
      <x:c r="AF457" s="139" t="n"/>
      <x:c r="AG457" s="139" t="n"/>
      <x:c r="AH457" s="139" t="n"/>
      <x:c r="AI457" s="139" t="n"/>
      <x:c r="AJ457" s="139" t="n"/>
      <x:c r="AK457" s="139" t="n"/>
      <x:c r="AL457" s="139" t="n"/>
      <x:c r="AM457" s="139" t="n"/>
      <x:c r="AN457" s="139" t="n"/>
      <x:c r="AO457" s="139" t="n"/>
      <x:c r="AP457" s="139" t="n"/>
      <x:c r="AQ457" s="139" t="n"/>
      <x:c r="AR457" s="139" t="n"/>
      <x:c r="AS457" s="139" t="n"/>
      <x:c r="AT457" s="139" t="n"/>
      <x:c r="AU457" s="139" t="n"/>
      <x:c r="AV457" s="139" t="n"/>
      <x:c r="AW457" s="139" t="n"/>
      <x:c r="AX457" s="139" t="n"/>
      <x:c r="AY457" s="139" t="n"/>
      <x:c r="AZ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c r="V458" s="139" t="n"/>
      <x:c r="W458" s="139" t="n"/>
      <x:c r="X458" s="139" t="n"/>
      <x:c r="Y458" s="139" t="n"/>
      <x:c r="Z458" s="139" t="n"/>
      <x:c r="AA458" s="139" t="n"/>
      <x:c r="AB458" s="139" t="n"/>
      <x:c r="AC458" s="139" t="n"/>
      <x:c r="AD458" s="139" t="n"/>
      <x:c r="AE458" s="139" t="n"/>
      <x:c r="AF458" s="139" t="n"/>
      <x:c r="AG458" s="139" t="n"/>
      <x:c r="AH458" s="139" t="n"/>
      <x:c r="AI458" s="139" t="n"/>
      <x:c r="AJ458" s="139" t="n"/>
      <x:c r="AK458" s="139" t="n"/>
      <x:c r="AL458" s="139" t="n"/>
      <x:c r="AM458" s="139" t="n"/>
      <x:c r="AN458" s="139" t="n"/>
      <x:c r="AO458" s="139" t="n"/>
      <x:c r="AP458" s="139" t="n"/>
      <x:c r="AQ458" s="139" t="n"/>
      <x:c r="AR458" s="139" t="n"/>
      <x:c r="AS458" s="139" t="n"/>
      <x:c r="AT458" s="139" t="n"/>
      <x:c r="AU458" s="139" t="n"/>
      <x:c r="AV458" s="139" t="n"/>
      <x:c r="AW458" s="139" t="n"/>
      <x:c r="AX458" s="139" t="n"/>
      <x:c r="AY458" s="139" t="n"/>
      <x:c r="AZ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c r="V459" s="139" t="n"/>
      <x:c r="W459" s="139" t="n"/>
      <x:c r="X459" s="139" t="n"/>
      <x:c r="Y459" s="139" t="n"/>
      <x:c r="Z459" s="139" t="n"/>
      <x:c r="AA459" s="139" t="n"/>
      <x:c r="AB459" s="139" t="n"/>
      <x:c r="AC459" s="139" t="n"/>
      <x:c r="AD459" s="139" t="n"/>
      <x:c r="AE459" s="139" t="n"/>
      <x:c r="AF459" s="139" t="n"/>
      <x:c r="AG459" s="139" t="n"/>
      <x:c r="AH459" s="139" t="n"/>
      <x:c r="AI459" s="139" t="n"/>
      <x:c r="AJ459" s="139" t="n"/>
      <x:c r="AK459" s="139" t="n"/>
      <x:c r="AL459" s="139" t="n"/>
      <x:c r="AM459" s="139" t="n"/>
      <x:c r="AN459" s="139" t="n"/>
      <x:c r="AO459" s="139" t="n"/>
      <x:c r="AP459" s="139" t="n"/>
      <x:c r="AQ459" s="139" t="n"/>
      <x:c r="AR459" s="139" t="n"/>
      <x:c r="AS459" s="139" t="n"/>
      <x:c r="AT459" s="139" t="n"/>
      <x:c r="AU459" s="139" t="n"/>
      <x:c r="AV459" s="139" t="n"/>
      <x:c r="AW459" s="139" t="n"/>
      <x:c r="AX459" s="139" t="n"/>
      <x:c r="AY459" s="139" t="n"/>
      <x:c r="AZ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c r="V460" s="139" t="n"/>
      <x:c r="W460" s="139" t="n"/>
      <x:c r="X460" s="139" t="n"/>
      <x:c r="Y460" s="139" t="n"/>
      <x:c r="Z460" s="139" t="n"/>
      <x:c r="AA460" s="139" t="n"/>
      <x:c r="AB460" s="139" t="n"/>
      <x:c r="AC460" s="139" t="n"/>
      <x:c r="AD460" s="139" t="n"/>
      <x:c r="AE460" s="139" t="n"/>
      <x:c r="AF460" s="139" t="n"/>
      <x:c r="AG460" s="139" t="n"/>
      <x:c r="AH460" s="139" t="n"/>
      <x:c r="AI460" s="139" t="n"/>
      <x:c r="AJ460" s="139" t="n"/>
      <x:c r="AK460" s="139" t="n"/>
      <x:c r="AL460" s="139" t="n"/>
      <x:c r="AM460" s="139" t="n"/>
      <x:c r="AN460" s="139" t="n"/>
      <x:c r="AO460" s="139" t="n"/>
      <x:c r="AP460" s="139" t="n"/>
      <x:c r="AQ460" s="139" t="n"/>
      <x:c r="AR460" s="139" t="n"/>
      <x:c r="AS460" s="139" t="n"/>
      <x:c r="AT460" s="139" t="n"/>
      <x:c r="AU460" s="139" t="n"/>
      <x:c r="AV460" s="139" t="n"/>
      <x:c r="AW460" s="139" t="n"/>
      <x:c r="AX460" s="139" t="n"/>
      <x:c r="AY460" s="139" t="n"/>
      <x:c r="AZ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c r="V461" s="139" t="n"/>
      <x:c r="W461" s="139" t="n"/>
      <x:c r="X461" s="139" t="n"/>
      <x:c r="Y461" s="139" t="n"/>
      <x:c r="Z461" s="139" t="n"/>
      <x:c r="AA461" s="139" t="n"/>
      <x:c r="AB461" s="139" t="n"/>
      <x:c r="AC461" s="139" t="n"/>
      <x:c r="AD461" s="139" t="n"/>
      <x:c r="AE461" s="139" t="n"/>
      <x:c r="AF461" s="139" t="n"/>
      <x:c r="AG461" s="139" t="n"/>
      <x:c r="AH461" s="139" t="n"/>
      <x:c r="AI461" s="139" t="n"/>
      <x:c r="AJ461" s="139" t="n"/>
      <x:c r="AK461" s="139" t="n"/>
      <x:c r="AL461" s="139" t="n"/>
      <x:c r="AM461" s="139" t="n"/>
      <x:c r="AN461" s="139" t="n"/>
      <x:c r="AO461" s="139" t="n"/>
      <x:c r="AP461" s="139" t="n"/>
      <x:c r="AQ461" s="139" t="n"/>
      <x:c r="AR461" s="139" t="n"/>
      <x:c r="AS461" s="139" t="n"/>
      <x:c r="AT461" s="139" t="n"/>
      <x:c r="AU461" s="139" t="n"/>
      <x:c r="AV461" s="139" t="n"/>
      <x:c r="AW461" s="139" t="n"/>
      <x:c r="AX461" s="139" t="n"/>
      <x:c r="AY461" s="139" t="n"/>
      <x:c r="AZ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c r="V462" s="139" t="n"/>
      <x:c r="W462" s="139" t="n"/>
      <x:c r="X462" s="139" t="n"/>
      <x:c r="Y462" s="139" t="n"/>
      <x:c r="Z462" s="139" t="n"/>
      <x:c r="AA462" s="139" t="n"/>
      <x:c r="AB462" s="139" t="n"/>
      <x:c r="AC462" s="139" t="n"/>
      <x:c r="AD462" s="139" t="n"/>
      <x:c r="AE462" s="139" t="n"/>
      <x:c r="AF462" s="139" t="n"/>
      <x:c r="AG462" s="139" t="n"/>
      <x:c r="AH462" s="139" t="n"/>
      <x:c r="AI462" s="139" t="n"/>
      <x:c r="AJ462" s="139" t="n"/>
      <x:c r="AK462" s="139" t="n"/>
      <x:c r="AL462" s="139" t="n"/>
      <x:c r="AM462" s="139" t="n"/>
      <x:c r="AN462" s="139" t="n"/>
      <x:c r="AO462" s="139" t="n"/>
      <x:c r="AP462" s="139" t="n"/>
      <x:c r="AQ462" s="139" t="n"/>
      <x:c r="AR462" s="139" t="n"/>
      <x:c r="AS462" s="139" t="n"/>
      <x:c r="AT462" s="139" t="n"/>
      <x:c r="AU462" s="139" t="n"/>
      <x:c r="AV462" s="139" t="n"/>
      <x:c r="AW462" s="139" t="n"/>
      <x:c r="AX462" s="139" t="n"/>
      <x:c r="AY462" s="139" t="n"/>
      <x:c r="AZ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c r="V463" s="139" t="n"/>
      <x:c r="W463" s="139" t="n"/>
      <x:c r="X463" s="139" t="n"/>
      <x:c r="Y463" s="139" t="n"/>
      <x:c r="Z463" s="139" t="n"/>
      <x:c r="AA463" s="139" t="n"/>
      <x:c r="AB463" s="139" t="n"/>
      <x:c r="AC463" s="139" t="n"/>
      <x:c r="AD463" s="139" t="n"/>
      <x:c r="AE463" s="139" t="n"/>
      <x:c r="AF463" s="139" t="n"/>
      <x:c r="AG463" s="139" t="n"/>
      <x:c r="AH463" s="139" t="n"/>
      <x:c r="AI463" s="139" t="n"/>
      <x:c r="AJ463" s="139" t="n"/>
      <x:c r="AK463" s="139" t="n"/>
      <x:c r="AL463" s="139" t="n"/>
      <x:c r="AM463" s="139" t="n"/>
      <x:c r="AN463" s="139" t="n"/>
      <x:c r="AO463" s="139" t="n"/>
      <x:c r="AP463" s="139" t="n"/>
      <x:c r="AQ463" s="139" t="n"/>
      <x:c r="AR463" s="139" t="n"/>
      <x:c r="AS463" s="139" t="n"/>
      <x:c r="AT463" s="139" t="n"/>
      <x:c r="AU463" s="139" t="n"/>
      <x:c r="AV463" s="139" t="n"/>
      <x:c r="AW463" s="139" t="n"/>
      <x:c r="AX463" s="139" t="n"/>
      <x:c r="AY463" s="139" t="n"/>
      <x:c r="AZ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c r="V464" s="139" t="n"/>
      <x:c r="W464" s="139" t="n"/>
      <x:c r="X464" s="139" t="n"/>
      <x:c r="Y464" s="139" t="n"/>
      <x:c r="Z464" s="139" t="n"/>
      <x:c r="AA464" s="139" t="n"/>
      <x:c r="AB464" s="139" t="n"/>
      <x:c r="AC464" s="139" t="n"/>
      <x:c r="AD464" s="139" t="n"/>
      <x:c r="AE464" s="139" t="n"/>
      <x:c r="AF464" s="139" t="n"/>
      <x:c r="AG464" s="139" t="n"/>
      <x:c r="AH464" s="139" t="n"/>
      <x:c r="AI464" s="139" t="n"/>
      <x:c r="AJ464" s="139" t="n"/>
      <x:c r="AK464" s="139" t="n"/>
      <x:c r="AL464" s="139" t="n"/>
      <x:c r="AM464" s="139" t="n"/>
      <x:c r="AN464" s="139" t="n"/>
      <x:c r="AO464" s="139" t="n"/>
      <x:c r="AP464" s="139" t="n"/>
      <x:c r="AQ464" s="139" t="n"/>
      <x:c r="AR464" s="139" t="n"/>
      <x:c r="AS464" s="139" t="n"/>
      <x:c r="AT464" s="139" t="n"/>
      <x:c r="AU464" s="139" t="n"/>
      <x:c r="AV464" s="139" t="n"/>
      <x:c r="AW464" s="139" t="n"/>
      <x:c r="AX464" s="139" t="n"/>
      <x:c r="AY464" s="139" t="n"/>
      <x:c r="AZ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c r="V465" s="139" t="n"/>
      <x:c r="W465" s="139" t="n"/>
      <x:c r="X465" s="139" t="n"/>
      <x:c r="Y465" s="139" t="n"/>
      <x:c r="Z465" s="139" t="n"/>
      <x:c r="AA465" s="139" t="n"/>
      <x:c r="AB465" s="139" t="n"/>
      <x:c r="AC465" s="139" t="n"/>
      <x:c r="AD465" s="139" t="n"/>
      <x:c r="AE465" s="139" t="n"/>
      <x:c r="AF465" s="139" t="n"/>
      <x:c r="AG465" s="139" t="n"/>
      <x:c r="AH465" s="139" t="n"/>
      <x:c r="AI465" s="139" t="n"/>
      <x:c r="AJ465" s="139" t="n"/>
      <x:c r="AK465" s="139" t="n"/>
      <x:c r="AL465" s="139" t="n"/>
      <x:c r="AM465" s="139" t="n"/>
      <x:c r="AN465" s="139" t="n"/>
      <x:c r="AO465" s="139" t="n"/>
      <x:c r="AP465" s="139" t="n"/>
      <x:c r="AQ465" s="139" t="n"/>
      <x:c r="AR465" s="139" t="n"/>
      <x:c r="AS465" s="139" t="n"/>
      <x:c r="AT465" s="139" t="n"/>
      <x:c r="AU465" s="139" t="n"/>
      <x:c r="AV465" s="139" t="n"/>
      <x:c r="AW465" s="139" t="n"/>
      <x:c r="AX465" s="139" t="n"/>
      <x:c r="AY465" s="139" t="n"/>
      <x:c r="AZ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c r="V466" s="139" t="n"/>
      <x:c r="W466" s="139" t="n"/>
      <x:c r="X466" s="139" t="n"/>
      <x:c r="Y466" s="139" t="n"/>
      <x:c r="Z466" s="139" t="n"/>
      <x:c r="AA466" s="139" t="n"/>
      <x:c r="AB466" s="139" t="n"/>
      <x:c r="AC466" s="139" t="n"/>
      <x:c r="AD466" s="139" t="n"/>
      <x:c r="AE466" s="139" t="n"/>
      <x:c r="AF466" s="139" t="n"/>
      <x:c r="AG466" s="139" t="n"/>
      <x:c r="AH466" s="139" t="n"/>
      <x:c r="AI466" s="139" t="n"/>
      <x:c r="AJ466" s="139" t="n"/>
      <x:c r="AK466" s="139" t="n"/>
      <x:c r="AL466" s="139" t="n"/>
      <x:c r="AM466" s="139" t="n"/>
      <x:c r="AN466" s="139" t="n"/>
      <x:c r="AO466" s="139" t="n"/>
      <x:c r="AP466" s="139" t="n"/>
      <x:c r="AQ466" s="139" t="n"/>
      <x:c r="AR466" s="139" t="n"/>
      <x:c r="AS466" s="139" t="n"/>
      <x:c r="AT466" s="139" t="n"/>
      <x:c r="AU466" s="139" t="n"/>
      <x:c r="AV466" s="139" t="n"/>
      <x:c r="AW466" s="139" t="n"/>
      <x:c r="AX466" s="139" t="n"/>
      <x:c r="AY466" s="139" t="n"/>
      <x:c r="AZ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c r="V467" s="139" t="n"/>
      <x:c r="W467" s="139" t="n"/>
      <x:c r="X467" s="139" t="n"/>
      <x:c r="Y467" s="139" t="n"/>
      <x:c r="Z467" s="139" t="n"/>
      <x:c r="AA467" s="139" t="n"/>
      <x:c r="AB467" s="139" t="n"/>
      <x:c r="AC467" s="139" t="n"/>
      <x:c r="AD467" s="139" t="n"/>
      <x:c r="AE467" s="139" t="n"/>
      <x:c r="AF467" s="139" t="n"/>
      <x:c r="AG467" s="139" t="n"/>
      <x:c r="AH467" s="139" t="n"/>
      <x:c r="AI467" s="139" t="n"/>
      <x:c r="AJ467" s="139" t="n"/>
      <x:c r="AK467" s="139" t="n"/>
      <x:c r="AL467" s="139" t="n"/>
      <x:c r="AM467" s="139" t="n"/>
      <x:c r="AN467" s="139" t="n"/>
      <x:c r="AO467" s="139" t="n"/>
      <x:c r="AP467" s="139" t="n"/>
      <x:c r="AQ467" s="139" t="n"/>
      <x:c r="AR467" s="139" t="n"/>
      <x:c r="AS467" s="139" t="n"/>
      <x:c r="AT467" s="139" t="n"/>
      <x:c r="AU467" s="139" t="n"/>
      <x:c r="AV467" s="139" t="n"/>
      <x:c r="AW467" s="139" t="n"/>
      <x:c r="AX467" s="139" t="n"/>
      <x:c r="AY467" s="139" t="n"/>
      <x:c r="AZ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c r="V468" s="139" t="n"/>
      <x:c r="W468" s="139" t="n"/>
      <x:c r="X468" s="139" t="n"/>
      <x:c r="Y468" s="139" t="n"/>
      <x:c r="Z468" s="139" t="n"/>
      <x:c r="AA468" s="139" t="n"/>
      <x:c r="AB468" s="139" t="n"/>
      <x:c r="AC468" s="139" t="n"/>
      <x:c r="AD468" s="139" t="n"/>
      <x:c r="AE468" s="139" t="n"/>
      <x:c r="AF468" s="139" t="n"/>
      <x:c r="AG468" s="139" t="n"/>
      <x:c r="AH468" s="139" t="n"/>
      <x:c r="AI468" s="139" t="n"/>
      <x:c r="AJ468" s="139" t="n"/>
      <x:c r="AK468" s="139" t="n"/>
      <x:c r="AL468" s="139" t="n"/>
      <x:c r="AM468" s="139" t="n"/>
      <x:c r="AN468" s="139" t="n"/>
      <x:c r="AO468" s="139" t="n"/>
      <x:c r="AP468" s="139" t="n"/>
      <x:c r="AQ468" s="139" t="n"/>
      <x:c r="AR468" s="139" t="n"/>
      <x:c r="AS468" s="139" t="n"/>
      <x:c r="AT468" s="139" t="n"/>
      <x:c r="AU468" s="139" t="n"/>
      <x:c r="AV468" s="139" t="n"/>
      <x:c r="AW468" s="139" t="n"/>
      <x:c r="AX468" s="139" t="n"/>
      <x:c r="AY468" s="139" t="n"/>
      <x:c r="AZ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c r="V469" s="139" t="n"/>
      <x:c r="W469" s="139" t="n"/>
      <x:c r="X469" s="139" t="n"/>
      <x:c r="Y469" s="139" t="n"/>
      <x:c r="Z469" s="139" t="n"/>
      <x:c r="AA469" s="139" t="n"/>
      <x:c r="AB469" s="139" t="n"/>
      <x:c r="AC469" s="139" t="n"/>
      <x:c r="AD469" s="139" t="n"/>
      <x:c r="AE469" s="139" t="n"/>
      <x:c r="AF469" s="139" t="n"/>
      <x:c r="AG469" s="139" t="n"/>
      <x:c r="AH469" s="139" t="n"/>
      <x:c r="AI469" s="139" t="n"/>
      <x:c r="AJ469" s="139" t="n"/>
      <x:c r="AK469" s="139" t="n"/>
      <x:c r="AL469" s="139" t="n"/>
      <x:c r="AM469" s="139" t="n"/>
      <x:c r="AN469" s="139" t="n"/>
      <x:c r="AO469" s="139" t="n"/>
      <x:c r="AP469" s="139" t="n"/>
      <x:c r="AQ469" s="139" t="n"/>
      <x:c r="AR469" s="139" t="n"/>
      <x:c r="AS469" s="139" t="n"/>
      <x:c r="AT469" s="139" t="n"/>
      <x:c r="AU469" s="139" t="n"/>
      <x:c r="AV469" s="139" t="n"/>
      <x:c r="AW469" s="139" t="n"/>
      <x:c r="AX469" s="139" t="n"/>
      <x:c r="AY469" s="139" t="n"/>
      <x:c r="AZ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c r="V470" s="139" t="n"/>
      <x:c r="W470" s="139" t="n"/>
      <x:c r="X470" s="139" t="n"/>
      <x:c r="Y470" s="139" t="n"/>
      <x:c r="Z470" s="139" t="n"/>
      <x:c r="AA470" s="139" t="n"/>
      <x:c r="AB470" s="139" t="n"/>
      <x:c r="AC470" s="139" t="n"/>
      <x:c r="AD470" s="139" t="n"/>
      <x:c r="AE470" s="139" t="n"/>
      <x:c r="AF470" s="139" t="n"/>
      <x:c r="AG470" s="139" t="n"/>
      <x:c r="AH470" s="139" t="n"/>
      <x:c r="AI470" s="139" t="n"/>
      <x:c r="AJ470" s="139" t="n"/>
      <x:c r="AK470" s="139" t="n"/>
      <x:c r="AL470" s="139" t="n"/>
      <x:c r="AM470" s="139" t="n"/>
      <x:c r="AN470" s="139" t="n"/>
      <x:c r="AO470" s="139" t="n"/>
      <x:c r="AP470" s="139" t="n"/>
      <x:c r="AQ470" s="139" t="n"/>
      <x:c r="AR470" s="139" t="n"/>
      <x:c r="AS470" s="139" t="n"/>
      <x:c r="AT470" s="139" t="n"/>
      <x:c r="AU470" s="139" t="n"/>
      <x:c r="AV470" s="139" t="n"/>
      <x:c r="AW470" s="139" t="n"/>
      <x:c r="AX470" s="139" t="n"/>
      <x:c r="AY470" s="139" t="n"/>
      <x:c r="AZ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c r="V471" s="139" t="n"/>
      <x:c r="W471" s="139" t="n"/>
      <x:c r="X471" s="139" t="n"/>
      <x:c r="Y471" s="139" t="n"/>
      <x:c r="Z471" s="139" t="n"/>
      <x:c r="AA471" s="139" t="n"/>
      <x:c r="AB471" s="139" t="n"/>
      <x:c r="AC471" s="139" t="n"/>
      <x:c r="AD471" s="139" t="n"/>
      <x:c r="AE471" s="139" t="n"/>
      <x:c r="AF471" s="139" t="n"/>
      <x:c r="AG471" s="139" t="n"/>
      <x:c r="AH471" s="139" t="n"/>
      <x:c r="AI471" s="139" t="n"/>
      <x:c r="AJ471" s="139" t="n"/>
      <x:c r="AK471" s="139" t="n"/>
      <x:c r="AL471" s="139" t="n"/>
      <x:c r="AM471" s="139" t="n"/>
      <x:c r="AN471" s="139" t="n"/>
      <x:c r="AO471" s="139" t="n"/>
      <x:c r="AP471" s="139" t="n"/>
      <x:c r="AQ471" s="139" t="n"/>
      <x:c r="AR471" s="139" t="n"/>
      <x:c r="AS471" s="139" t="n"/>
      <x:c r="AT471" s="139" t="n"/>
      <x:c r="AU471" s="139" t="n"/>
      <x:c r="AV471" s="139" t="n"/>
      <x:c r="AW471" s="139" t="n"/>
      <x:c r="AX471" s="139" t="n"/>
      <x:c r="AY471" s="139" t="n"/>
      <x:c r="AZ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c r="V472" s="139" t="n"/>
      <x:c r="W472" s="139" t="n"/>
      <x:c r="X472" s="139" t="n"/>
      <x:c r="Y472" s="139" t="n"/>
      <x:c r="Z472" s="139" t="n"/>
      <x:c r="AA472" s="139" t="n"/>
      <x:c r="AB472" s="139" t="n"/>
      <x:c r="AC472" s="139" t="n"/>
      <x:c r="AD472" s="139" t="n"/>
      <x:c r="AE472" s="139" t="n"/>
      <x:c r="AF472" s="139" t="n"/>
      <x:c r="AG472" s="139" t="n"/>
      <x:c r="AH472" s="139" t="n"/>
      <x:c r="AI472" s="139" t="n"/>
      <x:c r="AJ472" s="139" t="n"/>
      <x:c r="AK472" s="139" t="n"/>
      <x:c r="AL472" s="139" t="n"/>
      <x:c r="AM472" s="139" t="n"/>
      <x:c r="AN472" s="139" t="n"/>
      <x:c r="AO472" s="139" t="n"/>
      <x:c r="AP472" s="139" t="n"/>
      <x:c r="AQ472" s="139" t="n"/>
      <x:c r="AR472" s="139" t="n"/>
      <x:c r="AS472" s="139" t="n"/>
      <x:c r="AT472" s="139" t="n"/>
      <x:c r="AU472" s="139" t="n"/>
      <x:c r="AV472" s="139" t="n"/>
      <x:c r="AW472" s="139" t="n"/>
      <x:c r="AX472" s="139" t="n"/>
      <x:c r="AY472" s="139" t="n"/>
      <x:c r="AZ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c r="V473" s="139" t="n"/>
      <x:c r="W473" s="139" t="n"/>
      <x:c r="X473" s="139" t="n"/>
      <x:c r="Y473" s="139" t="n"/>
      <x:c r="Z473" s="139" t="n"/>
      <x:c r="AA473" s="139" t="n"/>
      <x:c r="AB473" s="139" t="n"/>
      <x:c r="AC473" s="139" t="n"/>
      <x:c r="AD473" s="139" t="n"/>
      <x:c r="AE473" s="139" t="n"/>
      <x:c r="AF473" s="139" t="n"/>
      <x:c r="AG473" s="139" t="n"/>
      <x:c r="AH473" s="139" t="n"/>
      <x:c r="AI473" s="139" t="n"/>
      <x:c r="AJ473" s="139" t="n"/>
      <x:c r="AK473" s="139" t="n"/>
      <x:c r="AL473" s="139" t="n"/>
      <x:c r="AM473" s="139" t="n"/>
      <x:c r="AN473" s="139" t="n"/>
      <x:c r="AO473" s="139" t="n"/>
      <x:c r="AP473" s="139" t="n"/>
      <x:c r="AQ473" s="139" t="n"/>
      <x:c r="AR473" s="139" t="n"/>
      <x:c r="AS473" s="139" t="n"/>
      <x:c r="AT473" s="139" t="n"/>
      <x:c r="AU473" s="139" t="n"/>
      <x:c r="AV473" s="139" t="n"/>
      <x:c r="AW473" s="139" t="n"/>
      <x:c r="AX473" s="139" t="n"/>
      <x:c r="AY473" s="139" t="n"/>
      <x:c r="AZ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c r="V474" s="139" t="n"/>
      <x:c r="W474" s="139" t="n"/>
      <x:c r="X474" s="139" t="n"/>
      <x:c r="Y474" s="139" t="n"/>
      <x:c r="Z474" s="139" t="n"/>
      <x:c r="AA474" s="139" t="n"/>
      <x:c r="AB474" s="139" t="n"/>
      <x:c r="AC474" s="139" t="n"/>
      <x:c r="AD474" s="139" t="n"/>
      <x:c r="AE474" s="139" t="n"/>
      <x:c r="AF474" s="139" t="n"/>
      <x:c r="AG474" s="139" t="n"/>
      <x:c r="AH474" s="139" t="n"/>
      <x:c r="AI474" s="139" t="n"/>
      <x:c r="AJ474" s="139" t="n"/>
      <x:c r="AK474" s="139" t="n"/>
      <x:c r="AL474" s="139" t="n"/>
      <x:c r="AM474" s="139" t="n"/>
      <x:c r="AN474" s="139" t="n"/>
      <x:c r="AO474" s="139" t="n"/>
      <x:c r="AP474" s="139" t="n"/>
      <x:c r="AQ474" s="139" t="n"/>
      <x:c r="AR474" s="139" t="n"/>
      <x:c r="AS474" s="139" t="n"/>
      <x:c r="AT474" s="139" t="n"/>
      <x:c r="AU474" s="139" t="n"/>
      <x:c r="AV474" s="139" t="n"/>
      <x:c r="AW474" s="139" t="n"/>
      <x:c r="AX474" s="139" t="n"/>
      <x:c r="AY474" s="139" t="n"/>
      <x:c r="AZ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c r="V475" s="139" t="n"/>
      <x:c r="W475" s="139" t="n"/>
      <x:c r="X475" s="139" t="n"/>
      <x:c r="Y475" s="139" t="n"/>
      <x:c r="Z475" s="139" t="n"/>
      <x:c r="AA475" s="139" t="n"/>
      <x:c r="AB475" s="139" t="n"/>
      <x:c r="AC475" s="139" t="n"/>
      <x:c r="AD475" s="139" t="n"/>
      <x:c r="AE475" s="139" t="n"/>
      <x:c r="AF475" s="139" t="n"/>
      <x:c r="AG475" s="139" t="n"/>
      <x:c r="AH475" s="139" t="n"/>
      <x:c r="AI475" s="139" t="n"/>
      <x:c r="AJ475" s="139" t="n"/>
      <x:c r="AK475" s="139" t="n"/>
      <x:c r="AL475" s="139" t="n"/>
      <x:c r="AM475" s="139" t="n"/>
      <x:c r="AN475" s="139" t="n"/>
      <x:c r="AO475" s="139" t="n"/>
      <x:c r="AP475" s="139" t="n"/>
      <x:c r="AQ475" s="139" t="n"/>
      <x:c r="AR475" s="139" t="n"/>
      <x:c r="AS475" s="139" t="n"/>
      <x:c r="AT475" s="139" t="n"/>
      <x:c r="AU475" s="139" t="n"/>
      <x:c r="AV475" s="139" t="n"/>
      <x:c r="AW475" s="139" t="n"/>
      <x:c r="AX475" s="139" t="n"/>
      <x:c r="AY475" s="139" t="n"/>
      <x:c r="AZ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c r="V476" s="139" t="n"/>
      <x:c r="W476" s="139" t="n"/>
      <x:c r="X476" s="139" t="n"/>
      <x:c r="Y476" s="139" t="n"/>
      <x:c r="Z476" s="139" t="n"/>
      <x:c r="AA476" s="139" t="n"/>
      <x:c r="AB476" s="139" t="n"/>
      <x:c r="AC476" s="139" t="n"/>
      <x:c r="AD476" s="139" t="n"/>
      <x:c r="AE476" s="139" t="n"/>
      <x:c r="AF476" s="139" t="n"/>
      <x:c r="AG476" s="139" t="n"/>
      <x:c r="AH476" s="139" t="n"/>
      <x:c r="AI476" s="139" t="n"/>
      <x:c r="AJ476" s="139" t="n"/>
      <x:c r="AK476" s="139" t="n"/>
      <x:c r="AL476" s="139" t="n"/>
      <x:c r="AM476" s="139" t="n"/>
      <x:c r="AN476" s="139" t="n"/>
      <x:c r="AO476" s="139" t="n"/>
      <x:c r="AP476" s="139" t="n"/>
      <x:c r="AQ476" s="139" t="n"/>
      <x:c r="AR476" s="139" t="n"/>
      <x:c r="AS476" s="139" t="n"/>
      <x:c r="AT476" s="139" t="n"/>
      <x:c r="AU476" s="139" t="n"/>
      <x:c r="AV476" s="139" t="n"/>
      <x:c r="AW476" s="139" t="n"/>
      <x:c r="AX476" s="139" t="n"/>
      <x:c r="AY476" s="139" t="n"/>
      <x:c r="AZ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c r="V477" s="139" t="n"/>
      <x:c r="W477" s="139" t="n"/>
      <x:c r="X477" s="139" t="n"/>
      <x:c r="Y477" s="139" t="n"/>
      <x:c r="Z477" s="139" t="n"/>
      <x:c r="AA477" s="139" t="n"/>
      <x:c r="AB477" s="139" t="n"/>
      <x:c r="AC477" s="139" t="n"/>
      <x:c r="AD477" s="139" t="n"/>
      <x:c r="AE477" s="139" t="n"/>
      <x:c r="AF477" s="139" t="n"/>
      <x:c r="AG477" s="139" t="n"/>
      <x:c r="AH477" s="139" t="n"/>
      <x:c r="AI477" s="139" t="n"/>
      <x:c r="AJ477" s="139" t="n"/>
      <x:c r="AK477" s="139" t="n"/>
      <x:c r="AL477" s="139" t="n"/>
      <x:c r="AM477" s="139" t="n"/>
      <x:c r="AN477" s="139" t="n"/>
      <x:c r="AO477" s="139" t="n"/>
      <x:c r="AP477" s="139" t="n"/>
      <x:c r="AQ477" s="139" t="n"/>
      <x:c r="AR477" s="139" t="n"/>
      <x:c r="AS477" s="139" t="n"/>
      <x:c r="AT477" s="139" t="n"/>
      <x:c r="AU477" s="139" t="n"/>
      <x:c r="AV477" s="139" t="n"/>
      <x:c r="AW477" s="139" t="n"/>
      <x:c r="AX477" s="139" t="n"/>
      <x:c r="AY477" s="139" t="n"/>
      <x:c r="AZ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c r="V478" s="139" t="n"/>
      <x:c r="W478" s="139" t="n"/>
      <x:c r="X478" s="139" t="n"/>
      <x:c r="Y478" s="139" t="n"/>
      <x:c r="Z478" s="139" t="n"/>
      <x:c r="AA478" s="139" t="n"/>
      <x:c r="AB478" s="139" t="n"/>
      <x:c r="AC478" s="139" t="n"/>
      <x:c r="AD478" s="139" t="n"/>
      <x:c r="AE478" s="139" t="n"/>
      <x:c r="AF478" s="139" t="n"/>
      <x:c r="AG478" s="139" t="n"/>
      <x:c r="AH478" s="139" t="n"/>
      <x:c r="AI478" s="139" t="n"/>
      <x:c r="AJ478" s="139" t="n"/>
      <x:c r="AK478" s="139" t="n"/>
      <x:c r="AL478" s="139" t="n"/>
      <x:c r="AM478" s="139" t="n"/>
      <x:c r="AN478" s="139" t="n"/>
      <x:c r="AO478" s="139" t="n"/>
      <x:c r="AP478" s="139" t="n"/>
      <x:c r="AQ478" s="139" t="n"/>
      <x:c r="AR478" s="139" t="n"/>
      <x:c r="AS478" s="139" t="n"/>
      <x:c r="AT478" s="139" t="n"/>
      <x:c r="AU478" s="139" t="n"/>
      <x:c r="AV478" s="139" t="n"/>
      <x:c r="AW478" s="139" t="n"/>
      <x:c r="AX478" s="139" t="n"/>
      <x:c r="AY478" s="139" t="n"/>
      <x:c r="AZ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c r="V479" s="139" t="n"/>
      <x:c r="W479" s="139" t="n"/>
      <x:c r="X479" s="139" t="n"/>
      <x:c r="Y479" s="139" t="n"/>
      <x:c r="Z479" s="139" t="n"/>
      <x:c r="AA479" s="139" t="n"/>
      <x:c r="AB479" s="139" t="n"/>
      <x:c r="AC479" s="139" t="n"/>
      <x:c r="AD479" s="139" t="n"/>
      <x:c r="AE479" s="139" t="n"/>
      <x:c r="AF479" s="139" t="n"/>
      <x:c r="AG479" s="139" t="n"/>
      <x:c r="AH479" s="139" t="n"/>
      <x:c r="AI479" s="139" t="n"/>
      <x:c r="AJ479" s="139" t="n"/>
      <x:c r="AK479" s="139" t="n"/>
      <x:c r="AL479" s="139" t="n"/>
      <x:c r="AM479" s="139" t="n"/>
      <x:c r="AN479" s="139" t="n"/>
      <x:c r="AO479" s="139" t="n"/>
      <x:c r="AP479" s="139" t="n"/>
      <x:c r="AQ479" s="139" t="n"/>
      <x:c r="AR479" s="139" t="n"/>
      <x:c r="AS479" s="139" t="n"/>
      <x:c r="AT479" s="139" t="n"/>
      <x:c r="AU479" s="139" t="n"/>
      <x:c r="AV479" s="139" t="n"/>
      <x:c r="AW479" s="139" t="n"/>
      <x:c r="AX479" s="139" t="n"/>
      <x:c r="AY479" s="139" t="n"/>
      <x:c r="AZ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c r="V480" s="139" t="n"/>
      <x:c r="W480" s="139" t="n"/>
      <x:c r="X480" s="139" t="n"/>
      <x:c r="Y480" s="139" t="n"/>
      <x:c r="Z480" s="139" t="n"/>
      <x:c r="AA480" s="139" t="n"/>
      <x:c r="AB480" s="139" t="n"/>
      <x:c r="AC480" s="139" t="n"/>
      <x:c r="AD480" s="139" t="n"/>
      <x:c r="AE480" s="139" t="n"/>
      <x:c r="AF480" s="139" t="n"/>
      <x:c r="AG480" s="139" t="n"/>
      <x:c r="AH480" s="139" t="n"/>
      <x:c r="AI480" s="139" t="n"/>
      <x:c r="AJ480" s="139" t="n"/>
      <x:c r="AK480" s="139" t="n"/>
      <x:c r="AL480" s="139" t="n"/>
      <x:c r="AM480" s="139" t="n"/>
      <x:c r="AN480" s="139" t="n"/>
      <x:c r="AO480" s="139" t="n"/>
      <x:c r="AP480" s="139" t="n"/>
      <x:c r="AQ480" s="139" t="n"/>
      <x:c r="AR480" s="139" t="n"/>
      <x:c r="AS480" s="139" t="n"/>
      <x:c r="AT480" s="139" t="n"/>
      <x:c r="AU480" s="139" t="n"/>
      <x:c r="AV480" s="139" t="n"/>
      <x:c r="AW480" s="139" t="n"/>
      <x:c r="AX480" s="139" t="n"/>
      <x:c r="AY480" s="139" t="n"/>
      <x:c r="AZ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c r="V481" s="139" t="n"/>
      <x:c r="W481" s="139" t="n"/>
      <x:c r="X481" s="139" t="n"/>
      <x:c r="Y481" s="139" t="n"/>
      <x:c r="Z481" s="139" t="n"/>
      <x:c r="AA481" s="139" t="n"/>
      <x:c r="AB481" s="139" t="n"/>
      <x:c r="AC481" s="139" t="n"/>
      <x:c r="AD481" s="139" t="n"/>
      <x:c r="AE481" s="139" t="n"/>
      <x:c r="AF481" s="139" t="n"/>
      <x:c r="AG481" s="139" t="n"/>
      <x:c r="AH481" s="139" t="n"/>
      <x:c r="AI481" s="139" t="n"/>
      <x:c r="AJ481" s="139" t="n"/>
      <x:c r="AK481" s="139" t="n"/>
      <x:c r="AL481" s="139" t="n"/>
      <x:c r="AM481" s="139" t="n"/>
      <x:c r="AN481" s="139" t="n"/>
      <x:c r="AO481" s="139" t="n"/>
      <x:c r="AP481" s="139" t="n"/>
      <x:c r="AQ481" s="139" t="n"/>
      <x:c r="AR481" s="139" t="n"/>
      <x:c r="AS481" s="139" t="n"/>
      <x:c r="AT481" s="139" t="n"/>
      <x:c r="AU481" s="139" t="n"/>
      <x:c r="AV481" s="139" t="n"/>
      <x:c r="AW481" s="139" t="n"/>
      <x:c r="AX481" s="139" t="n"/>
      <x:c r="AY481" s="139" t="n"/>
      <x:c r="AZ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c r="V482" s="139" t="n"/>
      <x:c r="W482" s="139" t="n"/>
      <x:c r="X482" s="139" t="n"/>
      <x:c r="Y482" s="139" t="n"/>
      <x:c r="Z482" s="139" t="n"/>
      <x:c r="AA482" s="139" t="n"/>
      <x:c r="AB482" s="139" t="n"/>
      <x:c r="AC482" s="139" t="n"/>
      <x:c r="AD482" s="139" t="n"/>
      <x:c r="AE482" s="139" t="n"/>
      <x:c r="AF482" s="139" t="n"/>
      <x:c r="AG482" s="139" t="n"/>
      <x:c r="AH482" s="139" t="n"/>
      <x:c r="AI482" s="139" t="n"/>
      <x:c r="AJ482" s="139" t="n"/>
      <x:c r="AK482" s="139" t="n"/>
      <x:c r="AL482" s="139" t="n"/>
      <x:c r="AM482" s="139" t="n"/>
      <x:c r="AN482" s="139" t="n"/>
      <x:c r="AO482" s="139" t="n"/>
      <x:c r="AP482" s="139" t="n"/>
      <x:c r="AQ482" s="139" t="n"/>
      <x:c r="AR482" s="139" t="n"/>
      <x:c r="AS482" s="139" t="n"/>
      <x:c r="AT482" s="139" t="n"/>
      <x:c r="AU482" s="139" t="n"/>
      <x:c r="AV482" s="139" t="n"/>
      <x:c r="AW482" s="139" t="n"/>
      <x:c r="AX482" s="139" t="n"/>
      <x:c r="AY482" s="139" t="n"/>
      <x:c r="AZ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c r="V483" s="139" t="n"/>
      <x:c r="W483" s="139" t="n"/>
      <x:c r="X483" s="139" t="n"/>
      <x:c r="Y483" s="139" t="n"/>
      <x:c r="Z483" s="139" t="n"/>
      <x:c r="AA483" s="139" t="n"/>
      <x:c r="AB483" s="139" t="n"/>
      <x:c r="AC483" s="139" t="n"/>
      <x:c r="AD483" s="139" t="n"/>
      <x:c r="AE483" s="139" t="n"/>
      <x:c r="AF483" s="139" t="n"/>
      <x:c r="AG483" s="139" t="n"/>
      <x:c r="AH483" s="139" t="n"/>
      <x:c r="AI483" s="139" t="n"/>
      <x:c r="AJ483" s="139" t="n"/>
      <x:c r="AK483" s="139" t="n"/>
      <x:c r="AL483" s="139" t="n"/>
      <x:c r="AM483" s="139" t="n"/>
      <x:c r="AN483" s="139" t="n"/>
      <x:c r="AO483" s="139" t="n"/>
      <x:c r="AP483" s="139" t="n"/>
      <x:c r="AQ483" s="139" t="n"/>
      <x:c r="AR483" s="139" t="n"/>
      <x:c r="AS483" s="139" t="n"/>
      <x:c r="AT483" s="139" t="n"/>
      <x:c r="AU483" s="139" t="n"/>
      <x:c r="AV483" s="139" t="n"/>
      <x:c r="AW483" s="139" t="n"/>
      <x:c r="AX483" s="139" t="n"/>
      <x:c r="AY483" s="139" t="n"/>
      <x:c r="AZ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c r="V484" s="139" t="n"/>
      <x:c r="W484" s="139" t="n"/>
      <x:c r="X484" s="139" t="n"/>
      <x:c r="Y484" s="139" t="n"/>
      <x:c r="Z484" s="139" t="n"/>
      <x:c r="AA484" s="139" t="n"/>
      <x:c r="AB484" s="139" t="n"/>
      <x:c r="AC484" s="139" t="n"/>
      <x:c r="AD484" s="139" t="n"/>
      <x:c r="AE484" s="139" t="n"/>
      <x:c r="AF484" s="139" t="n"/>
      <x:c r="AG484" s="139" t="n"/>
      <x:c r="AH484" s="139" t="n"/>
      <x:c r="AI484" s="139" t="n"/>
      <x:c r="AJ484" s="139" t="n"/>
      <x:c r="AK484" s="139" t="n"/>
      <x:c r="AL484" s="139" t="n"/>
      <x:c r="AM484" s="139" t="n"/>
      <x:c r="AN484" s="139" t="n"/>
      <x:c r="AO484" s="139" t="n"/>
      <x:c r="AP484" s="139" t="n"/>
      <x:c r="AQ484" s="139" t="n"/>
      <x:c r="AR484" s="139" t="n"/>
      <x:c r="AS484" s="139" t="n"/>
      <x:c r="AT484" s="139" t="n"/>
      <x:c r="AU484" s="139" t="n"/>
      <x:c r="AV484" s="139" t="n"/>
      <x:c r="AW484" s="139" t="n"/>
      <x:c r="AX484" s="139" t="n"/>
      <x:c r="AY484" s="139" t="n"/>
      <x:c r="AZ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c r="V485" s="139" t="n"/>
      <x:c r="W485" s="139" t="n"/>
      <x:c r="X485" s="139" t="n"/>
      <x:c r="Y485" s="139" t="n"/>
      <x:c r="Z485" s="139" t="n"/>
      <x:c r="AA485" s="139" t="n"/>
      <x:c r="AB485" s="139" t="n"/>
      <x:c r="AC485" s="139" t="n"/>
      <x:c r="AD485" s="139" t="n"/>
      <x:c r="AE485" s="139" t="n"/>
      <x:c r="AF485" s="139" t="n"/>
      <x:c r="AG485" s="139" t="n"/>
      <x:c r="AH485" s="139" t="n"/>
      <x:c r="AI485" s="139" t="n"/>
      <x:c r="AJ485" s="139" t="n"/>
      <x:c r="AK485" s="139" t="n"/>
      <x:c r="AL485" s="139" t="n"/>
      <x:c r="AM485" s="139" t="n"/>
      <x:c r="AN485" s="139" t="n"/>
      <x:c r="AO485" s="139" t="n"/>
      <x:c r="AP485" s="139" t="n"/>
      <x:c r="AQ485" s="139" t="n"/>
      <x:c r="AR485" s="139" t="n"/>
      <x:c r="AS485" s="139" t="n"/>
      <x:c r="AT485" s="139" t="n"/>
      <x:c r="AU485" s="139" t="n"/>
      <x:c r="AV485" s="139" t="n"/>
      <x:c r="AW485" s="139" t="n"/>
      <x:c r="AX485" s="139" t="n"/>
      <x:c r="AY485" s="139" t="n"/>
      <x:c r="AZ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c r="V486" s="139" t="n"/>
      <x:c r="W486" s="139" t="n"/>
      <x:c r="X486" s="139" t="n"/>
      <x:c r="Y486" s="139" t="n"/>
      <x:c r="Z486" s="139" t="n"/>
      <x:c r="AA486" s="139" t="n"/>
      <x:c r="AB486" s="139" t="n"/>
      <x:c r="AC486" s="139" t="n"/>
      <x:c r="AD486" s="139" t="n"/>
      <x:c r="AE486" s="139" t="n"/>
      <x:c r="AF486" s="139" t="n"/>
      <x:c r="AG486" s="139" t="n"/>
      <x:c r="AH486" s="139" t="n"/>
      <x:c r="AI486" s="139" t="n"/>
      <x:c r="AJ486" s="139" t="n"/>
      <x:c r="AK486" s="139" t="n"/>
      <x:c r="AL486" s="139" t="n"/>
      <x:c r="AM486" s="139" t="n"/>
      <x:c r="AN486" s="139" t="n"/>
      <x:c r="AO486" s="139" t="n"/>
      <x:c r="AP486" s="139" t="n"/>
      <x:c r="AQ486" s="139" t="n"/>
      <x:c r="AR486" s="139" t="n"/>
      <x:c r="AS486" s="139" t="n"/>
      <x:c r="AT486" s="139" t="n"/>
      <x:c r="AU486" s="139" t="n"/>
      <x:c r="AV486" s="139" t="n"/>
      <x:c r="AW486" s="139" t="n"/>
      <x:c r="AX486" s="139" t="n"/>
      <x:c r="AY486" s="139" t="n"/>
      <x:c r="AZ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c r="V487" s="139" t="n"/>
      <x:c r="W487" s="139" t="n"/>
      <x:c r="X487" s="139" t="n"/>
      <x:c r="Y487" s="139" t="n"/>
      <x:c r="Z487" s="139" t="n"/>
      <x:c r="AA487" s="139" t="n"/>
      <x:c r="AB487" s="139" t="n"/>
      <x:c r="AC487" s="139" t="n"/>
      <x:c r="AD487" s="139" t="n"/>
      <x:c r="AE487" s="139" t="n"/>
      <x:c r="AF487" s="139" t="n"/>
      <x:c r="AG487" s="139" t="n"/>
      <x:c r="AH487" s="139" t="n"/>
      <x:c r="AI487" s="139" t="n"/>
      <x:c r="AJ487" s="139" t="n"/>
      <x:c r="AK487" s="139" t="n"/>
      <x:c r="AL487" s="139" t="n"/>
      <x:c r="AM487" s="139" t="n"/>
      <x:c r="AN487" s="139" t="n"/>
      <x:c r="AO487" s="139" t="n"/>
      <x:c r="AP487" s="139" t="n"/>
      <x:c r="AQ487" s="139" t="n"/>
      <x:c r="AR487" s="139" t="n"/>
      <x:c r="AS487" s="139" t="n"/>
      <x:c r="AT487" s="139" t="n"/>
      <x:c r="AU487" s="139" t="n"/>
      <x:c r="AV487" s="139" t="n"/>
      <x:c r="AW487" s="139" t="n"/>
      <x:c r="AX487" s="139" t="n"/>
      <x:c r="AY487" s="139" t="n"/>
      <x:c r="AZ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c r="V488" s="139" t="n"/>
      <x:c r="W488" s="139" t="n"/>
      <x:c r="X488" s="139" t="n"/>
      <x:c r="Y488" s="139" t="n"/>
      <x:c r="Z488" s="139" t="n"/>
      <x:c r="AA488" s="139" t="n"/>
      <x:c r="AB488" s="139" t="n"/>
      <x:c r="AC488" s="139" t="n"/>
      <x:c r="AD488" s="139" t="n"/>
      <x:c r="AE488" s="139" t="n"/>
      <x:c r="AF488" s="139" t="n"/>
      <x:c r="AG488" s="139" t="n"/>
      <x:c r="AH488" s="139" t="n"/>
      <x:c r="AI488" s="139" t="n"/>
      <x:c r="AJ488" s="139" t="n"/>
      <x:c r="AK488" s="139" t="n"/>
      <x:c r="AL488" s="139" t="n"/>
      <x:c r="AM488" s="139" t="n"/>
      <x:c r="AN488" s="139" t="n"/>
      <x:c r="AO488" s="139" t="n"/>
      <x:c r="AP488" s="139" t="n"/>
      <x:c r="AQ488" s="139" t="n"/>
      <x:c r="AR488" s="139" t="n"/>
      <x:c r="AS488" s="139" t="n"/>
      <x:c r="AT488" s="139" t="n"/>
      <x:c r="AU488" s="139" t="n"/>
      <x:c r="AV488" s="139" t="n"/>
      <x:c r="AW488" s="139" t="n"/>
      <x:c r="AX488" s="139" t="n"/>
      <x:c r="AY488" s="139" t="n"/>
      <x:c r="AZ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c r="V489" s="139" t="n"/>
      <x:c r="W489" s="139" t="n"/>
      <x:c r="X489" s="139" t="n"/>
      <x:c r="Y489" s="139" t="n"/>
      <x:c r="Z489" s="139" t="n"/>
      <x:c r="AA489" s="139" t="n"/>
      <x:c r="AB489" s="139" t="n"/>
      <x:c r="AC489" s="139" t="n"/>
      <x:c r="AD489" s="139" t="n"/>
      <x:c r="AE489" s="139" t="n"/>
      <x:c r="AF489" s="139" t="n"/>
      <x:c r="AG489" s="139" t="n"/>
      <x:c r="AH489" s="139" t="n"/>
      <x:c r="AI489" s="139" t="n"/>
      <x:c r="AJ489" s="139" t="n"/>
      <x:c r="AK489" s="139" t="n"/>
      <x:c r="AL489" s="139" t="n"/>
      <x:c r="AM489" s="139" t="n"/>
      <x:c r="AN489" s="139" t="n"/>
      <x:c r="AO489" s="139" t="n"/>
      <x:c r="AP489" s="139" t="n"/>
      <x:c r="AQ489" s="139" t="n"/>
      <x:c r="AR489" s="139" t="n"/>
      <x:c r="AS489" s="139" t="n"/>
      <x:c r="AT489" s="139" t="n"/>
      <x:c r="AU489" s="139" t="n"/>
      <x:c r="AV489" s="139" t="n"/>
      <x:c r="AW489" s="139" t="n"/>
      <x:c r="AX489" s="139" t="n"/>
      <x:c r="AY489" s="139" t="n"/>
      <x:c r="AZ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c r="V490" s="139" t="n"/>
      <x:c r="W490" s="139" t="n"/>
      <x:c r="X490" s="139" t="n"/>
      <x:c r="Y490" s="139" t="n"/>
      <x:c r="Z490" s="139" t="n"/>
      <x:c r="AA490" s="139" t="n"/>
      <x:c r="AB490" s="139" t="n"/>
      <x:c r="AC490" s="139" t="n"/>
      <x:c r="AD490" s="139" t="n"/>
      <x:c r="AE490" s="139" t="n"/>
      <x:c r="AF490" s="139" t="n"/>
      <x:c r="AG490" s="139" t="n"/>
      <x:c r="AH490" s="139" t="n"/>
      <x:c r="AI490" s="139" t="n"/>
      <x:c r="AJ490" s="139" t="n"/>
      <x:c r="AK490" s="139" t="n"/>
      <x:c r="AL490" s="139" t="n"/>
      <x:c r="AM490" s="139" t="n"/>
      <x:c r="AN490" s="139" t="n"/>
      <x:c r="AO490" s="139" t="n"/>
      <x:c r="AP490" s="139" t="n"/>
      <x:c r="AQ490" s="139" t="n"/>
      <x:c r="AR490" s="139" t="n"/>
      <x:c r="AS490" s="139" t="n"/>
      <x:c r="AT490" s="139" t="n"/>
      <x:c r="AU490" s="139" t="n"/>
      <x:c r="AV490" s="139" t="n"/>
      <x:c r="AW490" s="139" t="n"/>
      <x:c r="AX490" s="139" t="n"/>
      <x:c r="AY490" s="139" t="n"/>
      <x:c r="AZ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c r="V491" s="139" t="n"/>
      <x:c r="W491" s="139" t="n"/>
      <x:c r="X491" s="139" t="n"/>
      <x:c r="Y491" s="139" t="n"/>
      <x:c r="Z491" s="139" t="n"/>
      <x:c r="AA491" s="139" t="n"/>
      <x:c r="AB491" s="139" t="n"/>
      <x:c r="AC491" s="139" t="n"/>
      <x:c r="AD491" s="139" t="n"/>
      <x:c r="AE491" s="139" t="n"/>
      <x:c r="AF491" s="139" t="n"/>
      <x:c r="AG491" s="139" t="n"/>
      <x:c r="AH491" s="139" t="n"/>
      <x:c r="AI491" s="139" t="n"/>
      <x:c r="AJ491" s="139" t="n"/>
      <x:c r="AK491" s="139" t="n"/>
      <x:c r="AL491" s="139" t="n"/>
      <x:c r="AM491" s="139" t="n"/>
      <x:c r="AN491" s="139" t="n"/>
      <x:c r="AO491" s="139" t="n"/>
      <x:c r="AP491" s="139" t="n"/>
      <x:c r="AQ491" s="139" t="n"/>
      <x:c r="AR491" s="139" t="n"/>
      <x:c r="AS491" s="139" t="n"/>
      <x:c r="AT491" s="139" t="n"/>
      <x:c r="AU491" s="139" t="n"/>
      <x:c r="AV491" s="139" t="n"/>
      <x:c r="AW491" s="139" t="n"/>
      <x:c r="AX491" s="139" t="n"/>
      <x:c r="AY491" s="139" t="n"/>
      <x:c r="AZ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c r="V492" s="139" t="n"/>
      <x:c r="W492" s="139" t="n"/>
      <x:c r="X492" s="139" t="n"/>
      <x:c r="Y492" s="139" t="n"/>
      <x:c r="Z492" s="139" t="n"/>
      <x:c r="AA492" s="139" t="n"/>
      <x:c r="AB492" s="139" t="n"/>
      <x:c r="AC492" s="139" t="n"/>
      <x:c r="AD492" s="139" t="n"/>
      <x:c r="AE492" s="139" t="n"/>
      <x:c r="AF492" s="139" t="n"/>
      <x:c r="AG492" s="139" t="n"/>
      <x:c r="AH492" s="139" t="n"/>
      <x:c r="AI492" s="139" t="n"/>
      <x:c r="AJ492" s="139" t="n"/>
      <x:c r="AK492" s="139" t="n"/>
      <x:c r="AL492" s="139" t="n"/>
      <x:c r="AM492" s="139" t="n"/>
      <x:c r="AN492" s="139" t="n"/>
      <x:c r="AO492" s="139" t="n"/>
      <x:c r="AP492" s="139" t="n"/>
      <x:c r="AQ492" s="139" t="n"/>
      <x:c r="AR492" s="139" t="n"/>
      <x:c r="AS492" s="139" t="n"/>
      <x:c r="AT492" s="139" t="n"/>
      <x:c r="AU492" s="139" t="n"/>
      <x:c r="AV492" s="139" t="n"/>
      <x:c r="AW492" s="139" t="n"/>
      <x:c r="AX492" s="139" t="n"/>
      <x:c r="AY492" s="139" t="n"/>
      <x:c r="AZ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c r="V493" s="139" t="n"/>
      <x:c r="W493" s="139" t="n"/>
      <x:c r="X493" s="139" t="n"/>
      <x:c r="Y493" s="139" t="n"/>
      <x:c r="Z493" s="139" t="n"/>
      <x:c r="AA493" s="139" t="n"/>
      <x:c r="AB493" s="139" t="n"/>
      <x:c r="AC493" s="139" t="n"/>
      <x:c r="AD493" s="139" t="n"/>
      <x:c r="AE493" s="139" t="n"/>
      <x:c r="AF493" s="139" t="n"/>
      <x:c r="AG493" s="139" t="n"/>
      <x:c r="AH493" s="139" t="n"/>
      <x:c r="AI493" s="139" t="n"/>
      <x:c r="AJ493" s="139" t="n"/>
      <x:c r="AK493" s="139" t="n"/>
      <x:c r="AL493" s="139" t="n"/>
      <x:c r="AM493" s="139" t="n"/>
      <x:c r="AN493" s="139" t="n"/>
      <x:c r="AO493" s="139" t="n"/>
      <x:c r="AP493" s="139" t="n"/>
      <x:c r="AQ493" s="139" t="n"/>
      <x:c r="AR493" s="139" t="n"/>
      <x:c r="AS493" s="139" t="n"/>
      <x:c r="AT493" s="139" t="n"/>
      <x:c r="AU493" s="139" t="n"/>
      <x:c r="AV493" s="139" t="n"/>
      <x:c r="AW493" s="139" t="n"/>
      <x:c r="AX493" s="139" t="n"/>
      <x:c r="AY493" s="139" t="n"/>
      <x:c r="AZ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c r="V494" s="139" t="n"/>
      <x:c r="W494" s="139" t="n"/>
      <x:c r="X494" s="139" t="n"/>
      <x:c r="Y494" s="139" t="n"/>
      <x:c r="Z494" s="139" t="n"/>
      <x:c r="AA494" s="139" t="n"/>
      <x:c r="AB494" s="139" t="n"/>
      <x:c r="AC494" s="139" t="n"/>
      <x:c r="AD494" s="139" t="n"/>
      <x:c r="AE494" s="139" t="n"/>
      <x:c r="AF494" s="139" t="n"/>
      <x:c r="AG494" s="139" t="n"/>
      <x:c r="AH494" s="139" t="n"/>
      <x:c r="AI494" s="139" t="n"/>
      <x:c r="AJ494" s="139" t="n"/>
      <x:c r="AK494" s="139" t="n"/>
      <x:c r="AL494" s="139" t="n"/>
      <x:c r="AM494" s="139" t="n"/>
      <x:c r="AN494" s="139" t="n"/>
      <x:c r="AO494" s="139" t="n"/>
      <x:c r="AP494" s="139" t="n"/>
      <x:c r="AQ494" s="139" t="n"/>
      <x:c r="AR494" s="139" t="n"/>
      <x:c r="AS494" s="139" t="n"/>
      <x:c r="AT494" s="139" t="n"/>
      <x:c r="AU494" s="139" t="n"/>
      <x:c r="AV494" s="139" t="n"/>
      <x:c r="AW494" s="139" t="n"/>
      <x:c r="AX494" s="139" t="n"/>
      <x:c r="AY494" s="139" t="n"/>
      <x:c r="AZ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c r="V495" s="139" t="n"/>
      <x:c r="W495" s="139" t="n"/>
      <x:c r="X495" s="139" t="n"/>
      <x:c r="Y495" s="139" t="n"/>
      <x:c r="Z495" s="139" t="n"/>
      <x:c r="AA495" s="139" t="n"/>
      <x:c r="AB495" s="139" t="n"/>
      <x:c r="AC495" s="139" t="n"/>
      <x:c r="AD495" s="139" t="n"/>
      <x:c r="AE495" s="139" t="n"/>
      <x:c r="AF495" s="139" t="n"/>
      <x:c r="AG495" s="139" t="n"/>
      <x:c r="AH495" s="139" t="n"/>
      <x:c r="AI495" s="139" t="n"/>
      <x:c r="AJ495" s="139" t="n"/>
      <x:c r="AK495" s="139" t="n"/>
      <x:c r="AL495" s="139" t="n"/>
      <x:c r="AM495" s="139" t="n"/>
      <x:c r="AN495" s="139" t="n"/>
      <x:c r="AO495" s="139" t="n"/>
      <x:c r="AP495" s="139" t="n"/>
      <x:c r="AQ495" s="139" t="n"/>
      <x:c r="AR495" s="139" t="n"/>
      <x:c r="AS495" s="139" t="n"/>
      <x:c r="AT495" s="139" t="n"/>
      <x:c r="AU495" s="139" t="n"/>
      <x:c r="AV495" s="139" t="n"/>
      <x:c r="AW495" s="139" t="n"/>
      <x:c r="AX495" s="139" t="n"/>
      <x:c r="AY495" s="139" t="n"/>
      <x:c r="AZ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c r="V496" s="139" t="n"/>
      <x:c r="W496" s="139" t="n"/>
      <x:c r="X496" s="139" t="n"/>
      <x:c r="Y496" s="139" t="n"/>
      <x:c r="Z496" s="139" t="n"/>
      <x:c r="AA496" s="139" t="n"/>
      <x:c r="AB496" s="139" t="n"/>
      <x:c r="AC496" s="139" t="n"/>
      <x:c r="AD496" s="139" t="n"/>
      <x:c r="AE496" s="139" t="n"/>
      <x:c r="AF496" s="139" t="n"/>
      <x:c r="AG496" s="139" t="n"/>
      <x:c r="AH496" s="139" t="n"/>
      <x:c r="AI496" s="139" t="n"/>
      <x:c r="AJ496" s="139" t="n"/>
      <x:c r="AK496" s="139" t="n"/>
      <x:c r="AL496" s="139" t="n"/>
      <x:c r="AM496" s="139" t="n"/>
      <x:c r="AN496" s="139" t="n"/>
      <x:c r="AO496" s="139" t="n"/>
      <x:c r="AP496" s="139" t="n"/>
      <x:c r="AQ496" s="139" t="n"/>
      <x:c r="AR496" s="139" t="n"/>
      <x:c r="AS496" s="139" t="n"/>
      <x:c r="AT496" s="139" t="n"/>
      <x:c r="AU496" s="139" t="n"/>
      <x:c r="AV496" s="139" t="n"/>
      <x:c r="AW496" s="139" t="n"/>
      <x:c r="AX496" s="139" t="n"/>
      <x:c r="AY496" s="139" t="n"/>
      <x:c r="AZ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c r="V497" s="139" t="n"/>
      <x:c r="W497" s="139" t="n"/>
      <x:c r="X497" s="139" t="n"/>
      <x:c r="Y497" s="139" t="n"/>
      <x:c r="Z497" s="139" t="n"/>
      <x:c r="AA497" s="139" t="n"/>
      <x:c r="AB497" s="139" t="n"/>
      <x:c r="AC497" s="139" t="n"/>
      <x:c r="AD497" s="139" t="n"/>
      <x:c r="AE497" s="139" t="n"/>
      <x:c r="AF497" s="139" t="n"/>
      <x:c r="AG497" s="139" t="n"/>
      <x:c r="AH497" s="139" t="n"/>
      <x:c r="AI497" s="139" t="n"/>
      <x:c r="AJ497" s="139" t="n"/>
      <x:c r="AK497" s="139" t="n"/>
      <x:c r="AL497" s="139" t="n"/>
      <x:c r="AM497" s="139" t="n"/>
      <x:c r="AN497" s="139" t="n"/>
      <x:c r="AO497" s="139" t="n"/>
      <x:c r="AP497" s="139" t="n"/>
      <x:c r="AQ497" s="139" t="n"/>
      <x:c r="AR497" s="139" t="n"/>
      <x:c r="AS497" s="139" t="n"/>
      <x:c r="AT497" s="139" t="n"/>
      <x:c r="AU497" s="139" t="n"/>
      <x:c r="AV497" s="139" t="n"/>
      <x:c r="AW497" s="139" t="n"/>
      <x:c r="AX497" s="139" t="n"/>
      <x:c r="AY497" s="139" t="n"/>
      <x:c r="AZ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c r="V498" s="139" t="n"/>
      <x:c r="W498" s="139" t="n"/>
      <x:c r="X498" s="139" t="n"/>
      <x:c r="Y498" s="139" t="n"/>
      <x:c r="Z498" s="139" t="n"/>
      <x:c r="AA498" s="139" t="n"/>
      <x:c r="AB498" s="139" t="n"/>
      <x:c r="AC498" s="139" t="n"/>
      <x:c r="AD498" s="139" t="n"/>
      <x:c r="AE498" s="139" t="n"/>
      <x:c r="AF498" s="139" t="n"/>
      <x:c r="AG498" s="139" t="n"/>
      <x:c r="AH498" s="139" t="n"/>
      <x:c r="AI498" s="139" t="n"/>
      <x:c r="AJ498" s="139" t="n"/>
      <x:c r="AK498" s="139" t="n"/>
      <x:c r="AL498" s="139" t="n"/>
      <x:c r="AM498" s="139" t="n"/>
      <x:c r="AN498" s="139" t="n"/>
      <x:c r="AO498" s="139" t="n"/>
      <x:c r="AP498" s="139" t="n"/>
      <x:c r="AQ498" s="139" t="n"/>
      <x:c r="AR498" s="139" t="n"/>
      <x:c r="AS498" s="139" t="n"/>
      <x:c r="AT498" s="139" t="n"/>
      <x:c r="AU498" s="139" t="n"/>
      <x:c r="AV498" s="139" t="n"/>
      <x:c r="AW498" s="139" t="n"/>
      <x:c r="AX498" s="139" t="n"/>
      <x:c r="AY498" s="139" t="n"/>
      <x:c r="AZ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c r="V499" s="139" t="n"/>
      <x:c r="W499" s="139" t="n"/>
      <x:c r="X499" s="139" t="n"/>
      <x:c r="Y499" s="139" t="n"/>
      <x:c r="Z499" s="139" t="n"/>
      <x:c r="AA499" s="139" t="n"/>
      <x:c r="AB499" s="139" t="n"/>
      <x:c r="AC499" s="139" t="n"/>
      <x:c r="AD499" s="139" t="n"/>
      <x:c r="AE499" s="139" t="n"/>
      <x:c r="AF499" s="139" t="n"/>
      <x:c r="AG499" s="139" t="n"/>
      <x:c r="AH499" s="139" t="n"/>
      <x:c r="AI499" s="139" t="n"/>
      <x:c r="AJ499" s="139" t="n"/>
      <x:c r="AK499" s="139" t="n"/>
      <x:c r="AL499" s="139" t="n"/>
      <x:c r="AM499" s="139" t="n"/>
      <x:c r="AN499" s="139" t="n"/>
      <x:c r="AO499" s="139" t="n"/>
      <x:c r="AP499" s="139" t="n"/>
      <x:c r="AQ499" s="139" t="n"/>
      <x:c r="AR499" s="139" t="n"/>
      <x:c r="AS499" s="139" t="n"/>
      <x:c r="AT499" s="139" t="n"/>
      <x:c r="AU499" s="139" t="n"/>
      <x:c r="AV499" s="139" t="n"/>
      <x:c r="AW499" s="139" t="n"/>
      <x:c r="AX499" s="139" t="n"/>
      <x:c r="AY499" s="139" t="n"/>
      <x:c r="AZ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c r="V500" s="139" t="n"/>
      <x:c r="W500" s="139" t="n"/>
      <x:c r="X500" s="139" t="n"/>
      <x:c r="Y500" s="139" t="n"/>
      <x:c r="Z500" s="139" t="n"/>
      <x:c r="AA500" s="139" t="n"/>
      <x:c r="AB500" s="139" t="n"/>
      <x:c r="AC500" s="139" t="n"/>
      <x:c r="AD500" s="139" t="n"/>
      <x:c r="AE500" s="139" t="n"/>
      <x:c r="AF500" s="139" t="n"/>
      <x:c r="AG500" s="139" t="n"/>
      <x:c r="AH500" s="139" t="n"/>
      <x:c r="AI500" s="139" t="n"/>
      <x:c r="AJ500" s="139" t="n"/>
      <x:c r="AK500" s="139" t="n"/>
      <x:c r="AL500" s="139" t="n"/>
      <x:c r="AM500" s="139" t="n"/>
      <x:c r="AN500" s="139" t="n"/>
      <x:c r="AO500" s="139" t="n"/>
      <x:c r="AP500" s="139" t="n"/>
      <x:c r="AQ500" s="139" t="n"/>
      <x:c r="AR500" s="139" t="n"/>
      <x:c r="AS500" s="139" t="n"/>
      <x:c r="AT500" s="139" t="n"/>
      <x:c r="AU500" s="139" t="n"/>
      <x:c r="AV500" s="139" t="n"/>
      <x:c r="AW500" s="139" t="n"/>
      <x:c r="AX500" s="139" t="n"/>
      <x:c r="AY500" s="139" t="n"/>
      <x:c r="AZ500" s="139" t="n"/>
    </x:row>
  </x:sheetData>
  <x:pageMargins left="0.7" right="0.7" top="0.75" bottom="0.75" header="0.3" footer="0.3"/>
  <x:tableParts count="1">
    <x:tablePart xmlns:r="http://schemas.openxmlformats.org/officeDocument/2006/relationships" r:id="Re1f2afc59e0a4ab6"/>
  </x:tableParts>
</x:worksheet>
</file>

<file path=xl/worksheets/sheet5.xml><?xml version="1.0" encoding="utf-8"?>
<x:worksheet xmlns:x="http://schemas.openxmlformats.org/spreadsheetml/2006/main">
  <x:sheetFormatPr baseColWidth="8" defaultRowHeight="15"/>
  <x:cols>
    <x:col min="1" max="1" width="24" style="125" customWidth="1"/>
    <x:col min="2" max="2" width="72" style="125" customWidth="1"/>
    <x:col min="3" max="3" width="16" style="125" customWidth="1"/>
  </x:cols>
  <x:sheetData>
    <x:row r="1">
      <x:c r="A1" s="92" t="inlineStr">
        <x:is>
          <x:t xml:space="preserve">Metric</x:t>
        </x:is>
      </x:c>
      <x:c r="B1" s="92" t="inlineStr">
        <x:is>
          <x:t xml:space="preserve">Definition / Formula</x:t>
        </x:is>
      </x:c>
      <x:c r="C1" s="92" t="inlineStr">
        <x:is>
          <x:t xml:space="preserve">Weight</x:t>
        </x:is>
      </x:c>
      <x:c r="D1" s="139" t="n"/>
      <x:c r="E1" s="139" t="n"/>
      <x:c r="F1" s="139" t="n"/>
      <x:c r="G1" s="139" t="n"/>
      <x:c r="H1" s="139" t="n"/>
      <x:c r="I1" s="139" t="n"/>
      <x:c r="J1" s="139" t="n"/>
      <x:c r="K1" s="139" t="n"/>
      <x:c r="L1" s="139" t="n"/>
      <x:c r="M1" s="139" t="n"/>
      <x:c r="N1" s="139" t="n"/>
      <x:c r="O1" s="139" t="n"/>
      <x:c r="P1" s="139" t="n"/>
      <x:c r="Q1" s="139" t="n"/>
      <x:c r="R1" s="139" t="n"/>
      <x:c r="S1" s="139" t="n"/>
      <x:c r="T1" s="139" t="n"/>
      <x:c r="U1" s="139" t="n"/>
      <x:c r="V1" s="139" t="n"/>
      <x:c r="W1" s="139" t="n"/>
      <x:c r="X1" s="139" t="n"/>
      <x:c r="Y1" s="139" t="n"/>
      <x:c r="Z1" s="139" t="n"/>
      <x:c r="AA1" s="139" t="n"/>
      <x:c r="AB1" s="139" t="n"/>
      <x:c r="AC1" s="139" t="n"/>
      <x:c r="AD1" s="139" t="n"/>
      <x:c r="AE1" s="139" t="n"/>
      <x:c r="AF1" s="139" t="n"/>
      <x:c r="AG1" s="139" t="n"/>
      <x:c r="AH1" s="139" t="n"/>
      <x:c r="AI1" s="139" t="n"/>
      <x:c r="AJ1" s="139" t="n"/>
      <x:c r="AK1" s="139" t="n"/>
      <x:c r="AL1" s="139" t="n"/>
      <x:c r="AM1" s="139" t="n"/>
      <x:c r="AN1" s="139" t="n"/>
      <x:c r="AO1" s="139" t="n"/>
      <x:c r="AP1" s="139" t="n"/>
      <x:c r="AQ1" s="139" t="n"/>
      <x:c r="AR1" s="139" t="n"/>
      <x:c r="AS1" s="139" t="n"/>
      <x:c r="AT1" s="139" t="n"/>
      <x:c r="AU1" s="139" t="n"/>
      <x:c r="AV1" s="139" t="n"/>
      <x:c r="AW1" s="139" t="n"/>
      <x:c r="AX1" s="139" t="n"/>
      <x:c r="AY1" s="139" t="n"/>
      <x:c r="AZ1" s="139" t="n"/>
    </x:row>
    <x:row r="2">
      <x:c r="A2" s="139" t="inlineStr">
        <x:is>
          <x:t xml:space="preserve">Adjusted Win %</x:t>
        </x:is>
      </x:c>
      <x:c r="B2" s="139" t="inlineStr">
        <x:is>
          <x:t xml:space="preserve">(Wins + 8 × 50%) / (Matches + 8). Reduces small-sample distortion.</x:t>
        </x:is>
      </x:c>
      <x:c r="C2" s="139" t="inlineStr">
        <x:is>
          <x:t xml:space="preserve">25%</x:t>
        </x:is>
      </x:c>
      <x:c r="D2" s="139" t="n"/>
      <x:c r="E2" s="139" t="n"/>
      <x:c r="F2" s="139" t="n"/>
      <x:c r="G2" s="139" t="n"/>
      <x:c r="H2" s="139" t="n"/>
      <x:c r="I2" s="139" t="n"/>
      <x:c r="J2" s="139" t="n"/>
      <x:c r="K2" s="139" t="n"/>
      <x:c r="L2" s="139" t="n"/>
      <x:c r="M2" s="139" t="n"/>
      <x:c r="N2" s="139" t="n"/>
      <x:c r="O2" s="139" t="n"/>
      <x:c r="P2" s="139" t="n"/>
      <x:c r="Q2" s="139" t="n"/>
      <x:c r="R2" s="139" t="n"/>
      <x:c r="S2" s="139" t="n"/>
      <x:c r="T2" s="139" t="n"/>
      <x:c r="U2" s="139" t="n"/>
      <x:c r="V2" s="139" t="n"/>
      <x:c r="W2" s="139" t="n"/>
      <x:c r="X2" s="139" t="n"/>
      <x:c r="Y2" s="139" t="n"/>
      <x:c r="Z2" s="139" t="n"/>
      <x:c r="AA2" s="139" t="n"/>
      <x:c r="AB2" s="139" t="n"/>
      <x:c r="AC2" s="139" t="n"/>
      <x:c r="AD2" s="139" t="n"/>
      <x:c r="AE2" s="139" t="n"/>
      <x:c r="AF2" s="139" t="n"/>
      <x:c r="AG2" s="139" t="n"/>
      <x:c r="AH2" s="139" t="n"/>
      <x:c r="AI2" s="139" t="n"/>
      <x:c r="AJ2" s="139" t="n"/>
      <x:c r="AK2" s="139" t="n"/>
      <x:c r="AL2" s="139" t="n"/>
      <x:c r="AM2" s="139" t="n"/>
      <x:c r="AN2" s="139" t="n"/>
      <x:c r="AO2" s="139" t="n"/>
      <x:c r="AP2" s="139" t="n"/>
      <x:c r="AQ2" s="139" t="n"/>
      <x:c r="AR2" s="139" t="n"/>
      <x:c r="AS2" s="139" t="n"/>
      <x:c r="AT2" s="139" t="n"/>
      <x:c r="AU2" s="139" t="n"/>
      <x:c r="AV2" s="139" t="n"/>
      <x:c r="AW2" s="139" t="n"/>
      <x:c r="AX2" s="139" t="n"/>
      <x:c r="AY2" s="139" t="n"/>
      <x:c r="AZ2" s="139" t="n"/>
    </x:row>
    <x:row r="3">
      <x:c r="A3" s="139" t="inlineStr">
        <x:is>
          <x:t xml:space="preserve">Point Score</x:t>
        </x:is>
      </x:c>
      <x:c r="B3" s="139" t="inlineStr">
        <x:is>
          <x:t xml:space="preserve">Normalized point differential per match.</x:t>
        </x:is>
      </x:c>
      <x:c r="C3" s="139" t="inlineStr">
        <x:is>
          <x:t xml:space="preserve">15%</x:t>
        </x:is>
      </x:c>
      <x:c r="D3" s="139" t="n"/>
      <x:c r="E3" s="139" t="n"/>
      <x:c r="F3" s="139" t="n"/>
      <x:c r="G3" s="139" t="n"/>
      <x:c r="H3" s="139" t="n"/>
      <x:c r="I3" s="139" t="n"/>
      <x:c r="J3" s="139" t="n"/>
      <x:c r="K3" s="139" t="n"/>
      <x:c r="L3" s="139" t="n"/>
      <x:c r="M3" s="139" t="n"/>
      <x:c r="N3" s="139" t="n"/>
      <x:c r="O3" s="139" t="n"/>
      <x:c r="P3" s="139" t="n"/>
      <x:c r="Q3" s="139" t="n"/>
      <x:c r="R3" s="139" t="n"/>
      <x:c r="S3" s="139" t="n"/>
      <x:c r="T3" s="139" t="n"/>
      <x:c r="U3" s="139" t="n"/>
      <x:c r="V3" s="139" t="n"/>
      <x:c r="W3" s="139" t="n"/>
      <x:c r="X3" s="139" t="n"/>
      <x:c r="Y3" s="139" t="n"/>
      <x:c r="Z3" s="139" t="n"/>
      <x:c r="AA3" s="139" t="n"/>
      <x:c r="AB3" s="139" t="n"/>
      <x:c r="AC3" s="139" t="n"/>
      <x:c r="AD3" s="139" t="n"/>
      <x:c r="AE3" s="139" t="n"/>
      <x:c r="AF3" s="139" t="n"/>
      <x:c r="AG3" s="139" t="n"/>
      <x:c r="AH3" s="139" t="n"/>
      <x:c r="AI3" s="139" t="n"/>
      <x:c r="AJ3" s="139" t="n"/>
      <x:c r="AK3" s="139" t="n"/>
      <x:c r="AL3" s="139" t="n"/>
      <x:c r="AM3" s="139" t="n"/>
      <x:c r="AN3" s="139" t="n"/>
      <x:c r="AO3" s="139" t="n"/>
      <x:c r="AP3" s="139" t="n"/>
      <x:c r="AQ3" s="139" t="n"/>
      <x:c r="AR3" s="139" t="n"/>
      <x:c r="AS3" s="139" t="n"/>
      <x:c r="AT3" s="139" t="n"/>
      <x:c r="AU3" s="139" t="n"/>
      <x:c r="AV3" s="139" t="n"/>
      <x:c r="AW3" s="139" t="n"/>
      <x:c r="AX3" s="139" t="n"/>
      <x:c r="AY3" s="139" t="n"/>
      <x:c r="AZ3" s="139" t="n"/>
    </x:row>
    <x:row r="4">
      <x:c r="A4" s="139" t="inlineStr">
        <x:is>
          <x:t xml:space="preserve">Strength of Schedule</x:t>
        </x:is>
      </x:c>
      <x:c r="B4" s="139" t="inlineStr">
        <x:is>
          <x:t xml:space="preserve">Average adjusted win rate of both opponents in every match.</x:t>
        </x:is>
      </x:c>
      <x:c r="C4" s="139" t="inlineStr">
        <x:is>
          <x:t xml:space="preserve">15%</x:t>
        </x:is>
      </x:c>
      <x:c r="D4" s="139" t="n"/>
      <x:c r="E4" s="139" t="n"/>
      <x:c r="F4" s="139" t="n"/>
      <x:c r="G4" s="139" t="n"/>
      <x:c r="H4" s="139" t="n"/>
      <x:c r="I4" s="139" t="n"/>
      <x:c r="J4" s="139" t="n"/>
      <x:c r="K4" s="139" t="n"/>
      <x:c r="L4" s="139" t="n"/>
      <x:c r="M4" s="139" t="n"/>
      <x:c r="N4" s="139" t="n"/>
      <x:c r="O4" s="139" t="n"/>
      <x:c r="P4" s="139" t="n"/>
      <x:c r="Q4" s="139" t="n"/>
      <x:c r="R4" s="139" t="n"/>
      <x:c r="S4" s="139" t="n"/>
      <x:c r="T4" s="139" t="n"/>
      <x:c r="U4" s="139" t="n"/>
      <x:c r="V4" s="139" t="n"/>
      <x:c r="W4" s="139" t="n"/>
      <x:c r="X4" s="139" t="n"/>
      <x:c r="Y4" s="139" t="n"/>
      <x:c r="Z4" s="139" t="n"/>
      <x:c r="AA4" s="139" t="n"/>
      <x:c r="AB4" s="139" t="n"/>
      <x:c r="AC4" s="139" t="n"/>
      <x:c r="AD4" s="139" t="n"/>
      <x:c r="AE4" s="139" t="n"/>
      <x:c r="AF4" s="139" t="n"/>
      <x:c r="AG4" s="139" t="n"/>
      <x:c r="AH4" s="139" t="n"/>
      <x:c r="AI4" s="139" t="n"/>
      <x:c r="AJ4" s="139" t="n"/>
      <x:c r="AK4" s="139" t="n"/>
      <x:c r="AL4" s="139" t="n"/>
      <x:c r="AM4" s="139" t="n"/>
      <x:c r="AN4" s="139" t="n"/>
      <x:c r="AO4" s="139" t="n"/>
      <x:c r="AP4" s="139" t="n"/>
      <x:c r="AQ4" s="139" t="n"/>
      <x:c r="AR4" s="139" t="n"/>
      <x:c r="AS4" s="139" t="n"/>
      <x:c r="AT4" s="139" t="n"/>
      <x:c r="AU4" s="139" t="n"/>
      <x:c r="AV4" s="139" t="n"/>
      <x:c r="AW4" s="139" t="n"/>
      <x:c r="AX4" s="139" t="n"/>
      <x:c r="AY4" s="139" t="n"/>
      <x:c r="AZ4" s="139" t="n"/>
    </x:row>
    <x:row r="5">
      <x:c r="A5" s="139" t="inlineStr">
        <x:is>
          <x:t xml:space="preserve">Above Expectation</x:t>
        </x:is>
      </x:c>
      <x:c r="B5" s="139" t="inlineStr">
        <x:is>
          <x:t xml:space="preserve">Actual result minus expected result based on player, partner, and opponent strength.</x:t>
        </x:is>
      </x:c>
      <x:c r="C5" s="139" t="inlineStr">
        <x:is>
          <x:t xml:space="preserve">15%</x:t>
        </x:is>
      </x:c>
      <x:c r="D5" s="139" t="n"/>
      <x:c r="E5" s="139" t="n"/>
      <x:c r="F5" s="139" t="n"/>
      <x:c r="G5" s="139" t="n"/>
      <x:c r="H5" s="139" t="n"/>
      <x:c r="I5" s="139" t="n"/>
      <x:c r="J5" s="139" t="n"/>
      <x:c r="K5" s="139" t="n"/>
      <x:c r="L5" s="139" t="n"/>
      <x:c r="M5" s="139" t="n"/>
      <x:c r="N5" s="139" t="n"/>
      <x:c r="O5" s="139" t="n"/>
      <x:c r="P5" s="139" t="n"/>
      <x:c r="Q5" s="139" t="n"/>
      <x:c r="R5" s="139" t="n"/>
      <x:c r="S5" s="139" t="n"/>
      <x:c r="T5" s="139" t="n"/>
      <x:c r="U5" s="139" t="n"/>
      <x:c r="V5" s="139" t="n"/>
      <x:c r="W5" s="139" t="n"/>
      <x:c r="X5" s="139" t="n"/>
      <x:c r="Y5" s="139" t="n"/>
      <x:c r="Z5" s="139" t="n"/>
      <x:c r="AA5" s="139" t="n"/>
      <x:c r="AB5" s="139" t="n"/>
      <x:c r="AC5" s="139" t="n"/>
      <x:c r="AD5" s="139" t="n"/>
      <x:c r="AE5" s="139" t="n"/>
      <x:c r="AF5" s="139" t="n"/>
      <x:c r="AG5" s="139" t="n"/>
      <x:c r="AH5" s="139" t="n"/>
      <x:c r="AI5" s="139" t="n"/>
      <x:c r="AJ5" s="139" t="n"/>
      <x:c r="AK5" s="139" t="n"/>
      <x:c r="AL5" s="139" t="n"/>
      <x:c r="AM5" s="139" t="n"/>
      <x:c r="AN5" s="139" t="n"/>
      <x:c r="AO5" s="139" t="n"/>
      <x:c r="AP5" s="139" t="n"/>
      <x:c r="AQ5" s="139" t="n"/>
      <x:c r="AR5" s="139" t="n"/>
      <x:c r="AS5" s="139" t="n"/>
      <x:c r="AT5" s="139" t="n"/>
      <x:c r="AU5" s="139" t="n"/>
      <x:c r="AV5" s="139" t="n"/>
      <x:c r="AW5" s="139" t="n"/>
      <x:c r="AX5" s="139" t="n"/>
      <x:c r="AY5" s="139" t="n"/>
      <x:c r="AZ5" s="139" t="n"/>
    </x:row>
    <x:row r="6">
      <x:c r="A6" s="139" t="inlineStr">
        <x:is>
          <x:t xml:space="preserve">Clutch Score</x:t>
        </x:is>
      </x:c>
      <x:c r="B6" s="139" t="inlineStr">
        <x:is>
          <x:t xml:space="preserve">Win rate in matches decided by exactly 1 point.</x:t>
        </x:is>
      </x:c>
      <x:c r="C6" s="139" t="inlineStr">
        <x:is>
          <x:t xml:space="preserve">10%</x:t>
        </x:is>
      </x:c>
      <x:c r="D6" s="139" t="n"/>
      <x:c r="E6" s="139" t="n"/>
      <x:c r="F6" s="139" t="n"/>
      <x:c r="G6" s="139" t="n"/>
      <x:c r="H6" s="139" t="n"/>
      <x:c r="I6" s="139" t="n"/>
      <x:c r="J6" s="139" t="n"/>
      <x:c r="K6" s="139" t="n"/>
      <x:c r="L6" s="139" t="n"/>
      <x:c r="M6" s="139" t="n"/>
      <x:c r="N6" s="139" t="n"/>
      <x:c r="O6" s="139" t="n"/>
      <x:c r="P6" s="139" t="n"/>
      <x:c r="Q6" s="139" t="n"/>
      <x:c r="R6" s="139" t="n"/>
      <x:c r="S6" s="139" t="n"/>
      <x:c r="T6" s="139" t="n"/>
      <x:c r="U6" s="139" t="n"/>
      <x:c r="V6" s="139" t="n"/>
      <x:c r="W6" s="139" t="n"/>
      <x:c r="X6" s="139" t="n"/>
      <x:c r="Y6" s="139" t="n"/>
      <x:c r="Z6" s="139" t="n"/>
      <x:c r="AA6" s="139" t="n"/>
      <x:c r="AB6" s="139" t="n"/>
      <x:c r="AC6" s="139" t="n"/>
      <x:c r="AD6" s="139" t="n"/>
      <x:c r="AE6" s="139" t="n"/>
      <x:c r="AF6" s="139" t="n"/>
      <x:c r="AG6" s="139" t="n"/>
      <x:c r="AH6" s="139" t="n"/>
      <x:c r="AI6" s="139" t="n"/>
      <x:c r="AJ6" s="139" t="n"/>
      <x:c r="AK6" s="139" t="n"/>
      <x:c r="AL6" s="139" t="n"/>
      <x:c r="AM6" s="139" t="n"/>
      <x:c r="AN6" s="139" t="n"/>
      <x:c r="AO6" s="139" t="n"/>
      <x:c r="AP6" s="139" t="n"/>
      <x:c r="AQ6" s="139" t="n"/>
      <x:c r="AR6" s="139" t="n"/>
      <x:c r="AS6" s="139" t="n"/>
      <x:c r="AT6" s="139" t="n"/>
      <x:c r="AU6" s="139" t="n"/>
      <x:c r="AV6" s="139" t="n"/>
      <x:c r="AW6" s="139" t="n"/>
      <x:c r="AX6" s="139" t="n"/>
      <x:c r="AY6" s="139" t="n"/>
      <x:c r="AZ6" s="139" t="n"/>
    </x:row>
    <x:row r="7">
      <x:c r="A7" s="139" t="inlineStr">
        <x:is>
          <x:t xml:space="preserve">Dominance Score</x:t>
        </x:is>
      </x:c>
      <x:c r="B7" s="139" t="inlineStr">
        <x:is>
          <x:t xml:space="preserve">Average winning margin plus blowout-win contribution.</x:t>
        </x:is>
      </x:c>
      <x:c r="C7" s="139" t="inlineStr">
        <x:is>
          <x:t xml:space="preserve">8%</x:t>
        </x:is>
      </x:c>
      <x:c r="D7" s="139" t="n"/>
      <x:c r="E7" s="139" t="n"/>
      <x:c r="F7" s="139" t="n"/>
      <x:c r="G7" s="139" t="n"/>
      <x:c r="H7" s="139" t="n"/>
      <x:c r="I7" s="139" t="n"/>
      <x:c r="J7" s="139" t="n"/>
      <x:c r="K7" s="139" t="n"/>
      <x:c r="L7" s="139" t="n"/>
      <x:c r="M7" s="139" t="n"/>
      <x:c r="N7" s="139" t="n"/>
      <x:c r="O7" s="139" t="n"/>
      <x:c r="P7" s="139" t="n"/>
      <x:c r="Q7" s="139" t="n"/>
      <x:c r="R7" s="139" t="n"/>
      <x:c r="S7" s="139" t="n"/>
      <x:c r="T7" s="139" t="n"/>
      <x:c r="U7" s="139" t="n"/>
      <x:c r="V7" s="139" t="n"/>
      <x:c r="W7" s="139" t="n"/>
      <x:c r="X7" s="139" t="n"/>
      <x:c r="Y7" s="139" t="n"/>
      <x:c r="Z7" s="139" t="n"/>
      <x:c r="AA7" s="139" t="n"/>
      <x:c r="AB7" s="139" t="n"/>
      <x:c r="AC7" s="139" t="n"/>
      <x:c r="AD7" s="139" t="n"/>
      <x:c r="AE7" s="139" t="n"/>
      <x:c r="AF7" s="139" t="n"/>
      <x:c r="AG7" s="139" t="n"/>
      <x:c r="AH7" s="139" t="n"/>
      <x:c r="AI7" s="139" t="n"/>
      <x:c r="AJ7" s="139" t="n"/>
      <x:c r="AK7" s="139" t="n"/>
      <x:c r="AL7" s="139" t="n"/>
      <x:c r="AM7" s="139" t="n"/>
      <x:c r="AN7" s="139" t="n"/>
      <x:c r="AO7" s="139" t="n"/>
      <x:c r="AP7" s="139" t="n"/>
      <x:c r="AQ7" s="139" t="n"/>
      <x:c r="AR7" s="139" t="n"/>
      <x:c r="AS7" s="139" t="n"/>
      <x:c r="AT7" s="139" t="n"/>
      <x:c r="AU7" s="139" t="n"/>
      <x:c r="AV7" s="139" t="n"/>
      <x:c r="AW7" s="139" t="n"/>
      <x:c r="AX7" s="139" t="n"/>
      <x:c r="AY7" s="139" t="n"/>
      <x:c r="AZ7" s="139" t="n"/>
    </x:row>
    <x:row r="8">
      <x:c r="A8" s="139" t="inlineStr">
        <x:is>
          <x:t xml:space="preserve">Consistency Score</x:t>
        </x:is>
      </x:c>
      <x:c r="B8" s="139" t="inlineStr">
        <x:is>
          <x:t xml:space="preserve">Inverse normalized SD of match point differential.</x:t>
        </x:is>
      </x:c>
      <x:c r="C8" s="139" t="inlineStr">
        <x:is>
          <x:t xml:space="preserve">7%</x:t>
        </x:is>
      </x:c>
      <x:c r="D8" s="139" t="n"/>
      <x:c r="E8" s="139" t="n"/>
      <x:c r="F8" s="139" t="n"/>
      <x:c r="G8" s="139" t="n"/>
      <x:c r="H8" s="139" t="n"/>
      <x:c r="I8" s="139" t="n"/>
      <x:c r="J8" s="139" t="n"/>
      <x:c r="K8" s="139" t="n"/>
      <x:c r="L8" s="139" t="n"/>
      <x:c r="M8" s="139" t="n"/>
      <x:c r="N8" s="139" t="n"/>
      <x:c r="O8" s="139" t="n"/>
      <x:c r="P8" s="139" t="n"/>
      <x:c r="Q8" s="139" t="n"/>
      <x:c r="R8" s="139" t="n"/>
      <x:c r="S8" s="139" t="n"/>
      <x:c r="T8" s="139" t="n"/>
      <x:c r="U8" s="139" t="n"/>
      <x:c r="V8" s="139" t="n"/>
      <x:c r="W8" s="139" t="n"/>
      <x:c r="X8" s="139" t="n"/>
      <x:c r="Y8" s="139" t="n"/>
      <x:c r="Z8" s="139" t="n"/>
      <x:c r="AA8" s="139" t="n"/>
      <x:c r="AB8" s="139" t="n"/>
      <x:c r="AC8" s="139" t="n"/>
      <x:c r="AD8" s="139" t="n"/>
      <x:c r="AE8" s="139" t="n"/>
      <x:c r="AF8" s="139" t="n"/>
      <x:c r="AG8" s="139" t="n"/>
      <x:c r="AH8" s="139" t="n"/>
      <x:c r="AI8" s="139" t="n"/>
      <x:c r="AJ8" s="139" t="n"/>
      <x:c r="AK8" s="139" t="n"/>
      <x:c r="AL8" s="139" t="n"/>
      <x:c r="AM8" s="139" t="n"/>
      <x:c r="AN8" s="139" t="n"/>
      <x:c r="AO8" s="139" t="n"/>
      <x:c r="AP8" s="139" t="n"/>
      <x:c r="AQ8" s="139" t="n"/>
      <x:c r="AR8" s="139" t="n"/>
      <x:c r="AS8" s="139" t="n"/>
      <x:c r="AT8" s="139" t="n"/>
      <x:c r="AU8" s="139" t="n"/>
      <x:c r="AV8" s="139" t="n"/>
      <x:c r="AW8" s="139" t="n"/>
      <x:c r="AX8" s="139" t="n"/>
      <x:c r="AY8" s="139" t="n"/>
      <x:c r="AZ8" s="139" t="n"/>
    </x:row>
    <x:row r="9">
      <x:c r="A9" s="139" t="inlineStr">
        <x:is>
          <x:t xml:space="preserve">Experience Score</x:t>
        </x:is>
      </x:c>
      <x:c r="B9" s="139" t="inlineStr">
        <x:is>
          <x:t xml:space="preserve">Normalized matches played, capped at 20.</x:t>
        </x:is>
      </x:c>
      <x:c r="C9" s="139" t="inlineStr">
        <x:is>
          <x:t xml:space="preserve">3%</x:t>
        </x:is>
      </x:c>
      <x:c r="D9" s="139" t="n"/>
      <x:c r="E9" s="139" t="n"/>
      <x:c r="F9" s="139" t="n"/>
      <x:c r="G9" s="139" t="n"/>
      <x:c r="H9" s="139" t="n"/>
      <x:c r="I9" s="139" t="n"/>
      <x:c r="J9" s="139" t="n"/>
      <x:c r="K9" s="139" t="n"/>
      <x:c r="L9" s="139" t="n"/>
      <x:c r="M9" s="139" t="n"/>
      <x:c r="N9" s="139" t="n"/>
      <x:c r="O9" s="139" t="n"/>
      <x:c r="P9" s="139" t="n"/>
      <x:c r="Q9" s="139" t="n"/>
      <x:c r="R9" s="139" t="n"/>
      <x:c r="S9" s="139" t="n"/>
      <x:c r="T9" s="139" t="n"/>
      <x:c r="U9" s="139" t="n"/>
      <x:c r="V9" s="139" t="n"/>
      <x:c r="W9" s="139" t="n"/>
      <x:c r="X9" s="139" t="n"/>
      <x:c r="Y9" s="139" t="n"/>
      <x:c r="Z9" s="139" t="n"/>
      <x:c r="AA9" s="139" t="n"/>
      <x:c r="AB9" s="139" t="n"/>
      <x:c r="AC9" s="139" t="n"/>
      <x:c r="AD9" s="139" t="n"/>
      <x:c r="AE9" s="139" t="n"/>
      <x:c r="AF9" s="139" t="n"/>
      <x:c r="AG9" s="139" t="n"/>
      <x:c r="AH9" s="139" t="n"/>
      <x:c r="AI9" s="139" t="n"/>
      <x:c r="AJ9" s="139" t="n"/>
      <x:c r="AK9" s="139" t="n"/>
      <x:c r="AL9" s="139" t="n"/>
      <x:c r="AM9" s="139" t="n"/>
      <x:c r="AN9" s="139" t="n"/>
      <x:c r="AO9" s="139" t="n"/>
      <x:c r="AP9" s="139" t="n"/>
      <x:c r="AQ9" s="139" t="n"/>
      <x:c r="AR9" s="139" t="n"/>
      <x:c r="AS9" s="139" t="n"/>
      <x:c r="AT9" s="139" t="n"/>
      <x:c r="AU9" s="139" t="n"/>
      <x:c r="AV9" s="139" t="n"/>
      <x:c r="AW9" s="139" t="n"/>
      <x:c r="AX9" s="139" t="n"/>
      <x:c r="AY9" s="139" t="n"/>
      <x:c r="AZ9" s="139" t="n"/>
    </x:row>
    <x:row r="10">
      <x:c r="A10" s="139" t="inlineStr">
        <x:is>
          <x:t xml:space="preserve">Versatility Score</x:t>
        </x:is>
      </x:c>
      <x:c r="B10" s="139" t="inlineStr">
        <x:is>
          <x:t xml:space="preserve">Normalized number of unique partners.</x:t>
        </x:is>
      </x:c>
      <x:c r="C10" s="139" t="inlineStr">
        <x:is>
          <x:t xml:space="preserve">2%</x:t>
        </x:is>
      </x:c>
      <x:c r="D10" s="139" t="n"/>
      <x:c r="E10" s="139" t="n"/>
      <x:c r="F10" s="139" t="n"/>
      <x:c r="G10" s="139" t="n"/>
      <x:c r="H10" s="139" t="n"/>
      <x:c r="I10" s="139" t="n"/>
      <x:c r="J10" s="139" t="n"/>
      <x:c r="K10" s="139" t="n"/>
      <x:c r="L10" s="139" t="n"/>
      <x:c r="M10" s="139" t="n"/>
      <x:c r="N10" s="139" t="n"/>
      <x:c r="O10" s="139" t="n"/>
      <x:c r="P10" s="139" t="n"/>
      <x:c r="Q10" s="139" t="n"/>
      <x:c r="R10" s="139" t="n"/>
      <x:c r="S10" s="139" t="n"/>
      <x:c r="T10" s="139" t="n"/>
      <x:c r="U10" s="139" t="n"/>
      <x:c r="V10" s="139" t="n"/>
      <x:c r="W10" s="139" t="n"/>
      <x:c r="X10" s="139" t="n"/>
      <x:c r="Y10" s="139" t="n"/>
      <x:c r="Z10" s="139" t="n"/>
      <x:c r="AA10" s="139" t="n"/>
      <x:c r="AB10" s="139" t="n"/>
      <x:c r="AC10" s="139" t="n"/>
      <x:c r="AD10" s="139" t="n"/>
      <x:c r="AE10" s="139" t="n"/>
      <x:c r="AF10" s="139" t="n"/>
      <x:c r="AG10" s="139" t="n"/>
      <x:c r="AH10" s="139" t="n"/>
      <x:c r="AI10" s="139" t="n"/>
      <x:c r="AJ10" s="139" t="n"/>
      <x:c r="AK10" s="139" t="n"/>
      <x:c r="AL10" s="139" t="n"/>
      <x:c r="AM10" s="139" t="n"/>
      <x:c r="AN10" s="139" t="n"/>
      <x:c r="AO10" s="139" t="n"/>
      <x:c r="AP10" s="139" t="n"/>
      <x:c r="AQ10" s="139" t="n"/>
      <x:c r="AR10" s="139" t="n"/>
      <x:c r="AS10" s="139" t="n"/>
      <x:c r="AT10" s="139" t="n"/>
      <x:c r="AU10" s="139" t="n"/>
      <x:c r="AV10" s="139" t="n"/>
      <x:c r="AW10" s="139" t="n"/>
      <x:c r="AX10" s="139" t="n"/>
      <x:c r="AY10" s="139" t="n"/>
      <x:c r="AZ10" s="139" t="n"/>
    </x:row>
    <x:row r="11">
      <x:c r="A11" s="139" t="inlineStr">
        <x:is>
          <x:t xml:space="preserve">Advanced Index</x:t>
        </x:is>
      </x:c>
      <x:c r="B11" s="139" t="inlineStr">
        <x:is>
          <x:t xml:space="preserve">Weighted Stage 4 diagnostic index.</x:t>
        </x:is>
      </x:c>
      <x:c r="C11" s="139" t="inlineStr">
        <x:is>
          <x:t xml:space="preserve">100%</x:t>
        </x:is>
      </x:c>
      <x:c r="D11" s="139" t="n"/>
      <x:c r="E11" s="139" t="n"/>
      <x:c r="F11" s="139" t="n"/>
      <x:c r="G11" s="139" t="n"/>
      <x:c r="H11" s="139" t="n"/>
      <x:c r="I11" s="139" t="n"/>
      <x:c r="J11" s="139" t="n"/>
      <x:c r="K11" s="139" t="n"/>
      <x:c r="L11" s="139" t="n"/>
      <x:c r="M11" s="139" t="n"/>
      <x:c r="N11" s="139" t="n"/>
      <x:c r="O11" s="139" t="n"/>
      <x:c r="P11" s="139" t="n"/>
      <x:c r="Q11" s="139" t="n"/>
      <x:c r="R11" s="139" t="n"/>
      <x:c r="S11" s="139" t="n"/>
      <x:c r="T11" s="139" t="n"/>
      <x:c r="U11" s="139" t="n"/>
      <x:c r="V11" s="139" t="n"/>
      <x:c r="W11" s="139" t="n"/>
      <x:c r="X11" s="139" t="n"/>
      <x:c r="Y11" s="139" t="n"/>
      <x:c r="Z11" s="139" t="n"/>
      <x:c r="AA11" s="139" t="n"/>
      <x:c r="AB11" s="139" t="n"/>
      <x:c r="AC11" s="139" t="n"/>
      <x:c r="AD11" s="139" t="n"/>
      <x:c r="AE11" s="139" t="n"/>
      <x:c r="AF11" s="139" t="n"/>
      <x:c r="AG11" s="139" t="n"/>
      <x:c r="AH11" s="139" t="n"/>
      <x:c r="AI11" s="139" t="n"/>
      <x:c r="AJ11" s="139" t="n"/>
      <x:c r="AK11" s="139" t="n"/>
      <x:c r="AL11" s="139" t="n"/>
      <x:c r="AM11" s="139" t="n"/>
      <x:c r="AN11" s="139" t="n"/>
      <x:c r="AO11" s="139" t="n"/>
      <x:c r="AP11" s="139" t="n"/>
      <x:c r="AQ11" s="139" t="n"/>
      <x:c r="AR11" s="139" t="n"/>
      <x:c r="AS11" s="139" t="n"/>
      <x:c r="AT11" s="139" t="n"/>
      <x:c r="AU11" s="139" t="n"/>
      <x:c r="AV11" s="139" t="n"/>
      <x:c r="AW11" s="139" t="n"/>
      <x:c r="AX11" s="139" t="n"/>
      <x:c r="AY11" s="139" t="n"/>
      <x:c r="AZ11" s="139" t="n"/>
    </x:row>
    <x:row r="12">
      <x:c r="A12" s="139" t="inlineStr">
        <x:is>
          <x:t xml:space="preserve">Important</x:t>
        </x:is>
      </x:c>
      <x:c r="B12" s="139" t="inlineStr">
        <x:is>
          <x:t xml:space="preserve">This is not yet the official FLPR Rating.</x:t>
        </x:is>
      </x:c>
      <x:c r="C12" s="139" t="str"/>
      <x:c r="D12" s="139" t="n"/>
      <x:c r="E12" s="139" t="n"/>
      <x:c r="F12" s="139" t="n"/>
      <x:c r="G12" s="139" t="n"/>
      <x:c r="H12" s="139" t="n"/>
      <x:c r="I12" s="139" t="n"/>
      <x:c r="J12" s="139" t="n"/>
      <x:c r="K12" s="139" t="n"/>
      <x:c r="L12" s="139" t="n"/>
      <x:c r="M12" s="139" t="n"/>
      <x:c r="N12" s="139" t="n"/>
      <x:c r="O12" s="139" t="n"/>
      <x:c r="P12" s="139" t="n"/>
      <x:c r="Q12" s="139" t="n"/>
      <x:c r="R12" s="139" t="n"/>
      <x:c r="S12" s="139" t="n"/>
      <x:c r="T12" s="139" t="n"/>
      <x:c r="U12" s="139" t="n"/>
      <x:c r="V12" s="139" t="n"/>
      <x:c r="W12" s="139" t="n"/>
      <x:c r="X12" s="139" t="n"/>
      <x:c r="Y12" s="139" t="n"/>
      <x:c r="Z12" s="139" t="n"/>
      <x:c r="AA12" s="139" t="n"/>
      <x:c r="AB12" s="139" t="n"/>
      <x:c r="AC12" s="139" t="n"/>
      <x:c r="AD12" s="139" t="n"/>
      <x:c r="AE12" s="139" t="n"/>
      <x:c r="AF12" s="139" t="n"/>
      <x:c r="AG12" s="139" t="n"/>
      <x:c r="AH12" s="139" t="n"/>
      <x:c r="AI12" s="139" t="n"/>
      <x:c r="AJ12" s="139" t="n"/>
      <x:c r="AK12" s="139" t="n"/>
      <x:c r="AL12" s="139" t="n"/>
      <x:c r="AM12" s="139" t="n"/>
      <x:c r="AN12" s="139" t="n"/>
      <x:c r="AO12" s="139" t="n"/>
      <x:c r="AP12" s="139" t="n"/>
      <x:c r="AQ12" s="139" t="n"/>
      <x:c r="AR12" s="139" t="n"/>
      <x:c r="AS12" s="139" t="n"/>
      <x:c r="AT12" s="139" t="n"/>
      <x:c r="AU12" s="139" t="n"/>
      <x:c r="AV12" s="139" t="n"/>
      <x:c r="AW12" s="139" t="n"/>
      <x:c r="AX12" s="139" t="n"/>
      <x:c r="AY12" s="139" t="n"/>
      <x:c r="AZ12" s="139" t="n"/>
    </x:row>
    <x:row r="13">
      <x:c r="A13" s="139" t="inlineStr">
        <x:is>
          <x:t xml:space="preserve">Next</x:t>
        </x:is>
      </x:c>
      <x:c r="B13" s="139" t="inlineStr">
        <x:is>
          <x:t xml:space="preserve">Stage 5 finalizes rating, confidence, tiers, and handicap.</x:t>
        </x:is>
      </x:c>
      <x:c r="C13" s="139" t="str"/>
      <x:c r="D13" s="139" t="n"/>
      <x:c r="E13" s="139" t="n"/>
      <x:c r="F13" s="139" t="n"/>
      <x:c r="G13" s="139" t="n"/>
      <x:c r="H13" s="139" t="n"/>
      <x:c r="I13" s="139" t="n"/>
      <x:c r="J13" s="139" t="n"/>
      <x:c r="K13" s="139" t="n"/>
      <x:c r="L13" s="139" t="n"/>
      <x:c r="M13" s="139" t="n"/>
      <x:c r="N13" s="139" t="n"/>
      <x:c r="O13" s="139" t="n"/>
      <x:c r="P13" s="139" t="n"/>
      <x:c r="Q13" s="139" t="n"/>
      <x:c r="R13" s="139" t="n"/>
      <x:c r="S13" s="139" t="n"/>
      <x:c r="T13" s="139" t="n"/>
      <x:c r="U13" s="139" t="n"/>
      <x:c r="V13" s="139" t="n"/>
      <x:c r="W13" s="139" t="n"/>
      <x:c r="X13" s="139" t="n"/>
      <x:c r="Y13" s="139" t="n"/>
      <x:c r="Z13" s="139" t="n"/>
      <x:c r="AA13" s="139" t="n"/>
      <x:c r="AB13" s="139" t="n"/>
      <x:c r="AC13" s="139" t="n"/>
      <x:c r="AD13" s="139" t="n"/>
      <x:c r="AE13" s="139" t="n"/>
      <x:c r="AF13" s="139" t="n"/>
      <x:c r="AG13" s="139" t="n"/>
      <x:c r="AH13" s="139" t="n"/>
      <x:c r="AI13" s="139" t="n"/>
      <x:c r="AJ13" s="139" t="n"/>
      <x:c r="AK13" s="139" t="n"/>
      <x:c r="AL13" s="139" t="n"/>
      <x:c r="AM13" s="139" t="n"/>
      <x:c r="AN13" s="139" t="n"/>
      <x:c r="AO13" s="139" t="n"/>
      <x:c r="AP13" s="139" t="n"/>
      <x:c r="AQ13" s="139" t="n"/>
      <x:c r="AR13" s="139" t="n"/>
      <x:c r="AS13" s="139" t="n"/>
      <x:c r="AT13" s="139" t="n"/>
      <x:c r="AU13" s="139" t="n"/>
      <x:c r="AV13" s="139" t="n"/>
      <x:c r="AW13" s="139" t="n"/>
      <x:c r="AX13" s="139" t="n"/>
      <x:c r="AY13" s="139" t="n"/>
      <x:c r="AZ13" s="139" t="n"/>
    </x:row>
    <x:row r="14">
      <x:c r="A14" s="139" t="inlineStr">
        <x:is>
          <x:t xml:space="preserve">Rules</x:t>
        </x:is>
      </x:c>
      <x:c r="B14" s="139" t="inlineStr">
        <x:is>
          <x:t xml:space="preserve">Bye excluded; T5 R8 excluded; Nico ≠ Nicholas; T3 R3 and R4 retained.</x:t>
        </x:is>
      </x:c>
      <x:c r="C14" s="139" t="str"/>
      <x:c r="D14" s="139" t="n"/>
      <x:c r="E14" s="139" t="n"/>
      <x:c r="F14" s="139" t="n"/>
      <x:c r="G14" s="139" t="n"/>
      <x:c r="H14" s="139" t="n"/>
      <x:c r="I14" s="139" t="n"/>
      <x:c r="J14" s="139" t="n"/>
      <x:c r="K14" s="139" t="n"/>
      <x:c r="L14" s="139" t="n"/>
      <x:c r="M14" s="139" t="n"/>
      <x:c r="N14" s="139" t="n"/>
      <x:c r="O14" s="139" t="n"/>
      <x:c r="P14" s="139" t="n"/>
      <x:c r="Q14" s="139" t="n"/>
      <x:c r="R14" s="139" t="n"/>
      <x:c r="S14" s="139" t="n"/>
      <x:c r="T14" s="139" t="n"/>
      <x:c r="U14" s="139" t="n"/>
      <x:c r="V14" s="139" t="n"/>
      <x:c r="W14" s="139" t="n"/>
      <x:c r="X14" s="139" t="n"/>
      <x:c r="Y14" s="139" t="n"/>
      <x:c r="Z14" s="139" t="n"/>
      <x:c r="AA14" s="139" t="n"/>
      <x:c r="AB14" s="139" t="n"/>
      <x:c r="AC14" s="139" t="n"/>
      <x:c r="AD14" s="139" t="n"/>
      <x:c r="AE14" s="139" t="n"/>
      <x:c r="AF14" s="139" t="n"/>
      <x:c r="AG14" s="139" t="n"/>
      <x:c r="AH14" s="139" t="n"/>
      <x:c r="AI14" s="139" t="n"/>
      <x:c r="AJ14" s="139" t="n"/>
      <x:c r="AK14" s="139" t="n"/>
      <x:c r="AL14" s="139" t="n"/>
      <x:c r="AM14" s="139" t="n"/>
      <x:c r="AN14" s="139" t="n"/>
      <x:c r="AO14" s="139" t="n"/>
      <x:c r="AP14" s="139" t="n"/>
      <x:c r="AQ14" s="139" t="n"/>
      <x:c r="AR14" s="139" t="n"/>
      <x:c r="AS14" s="139" t="n"/>
      <x:c r="AT14" s="139" t="n"/>
      <x:c r="AU14" s="139" t="n"/>
      <x:c r="AV14" s="139" t="n"/>
      <x:c r="AW14" s="139" t="n"/>
      <x:c r="AX14" s="139" t="n"/>
      <x:c r="AY14" s="139" t="n"/>
      <x:c r="AZ14" s="139" t="n"/>
    </x:row>
    <x:row r="15">
      <x:c r="A15" s="139" t="n"/>
      <x:c r="B15" s="139" t="n"/>
      <x:c r="C15" s="139" t="n"/>
      <x:c r="D15" s="139" t="n"/>
      <x:c r="E15" s="139" t="n"/>
      <x:c r="F15" s="139" t="n"/>
      <x:c r="G15" s="139" t="n"/>
      <x:c r="H15" s="139" t="n"/>
      <x:c r="I15" s="139" t="n"/>
      <x:c r="J15" s="139" t="n"/>
      <x:c r="K15" s="139" t="n"/>
      <x:c r="L15" s="139" t="n"/>
      <x:c r="M15" s="139" t="n"/>
      <x:c r="N15" s="139" t="n"/>
      <x:c r="O15" s="139" t="n"/>
      <x:c r="P15" s="139" t="n"/>
      <x:c r="Q15" s="139" t="n"/>
      <x:c r="R15" s="139" t="n"/>
      <x:c r="S15" s="139" t="n"/>
      <x:c r="T15" s="139" t="n"/>
      <x:c r="U15" s="139" t="n"/>
      <x:c r="V15" s="139" t="n"/>
      <x:c r="W15" s="139" t="n"/>
      <x:c r="X15" s="139" t="n"/>
      <x:c r="Y15" s="139" t="n"/>
      <x:c r="Z15" s="139" t="n"/>
      <x:c r="AA15" s="139" t="n"/>
      <x:c r="AB15" s="139" t="n"/>
      <x:c r="AC15" s="139" t="n"/>
      <x:c r="AD15" s="139" t="n"/>
      <x:c r="AE15" s="139" t="n"/>
      <x:c r="AF15" s="139" t="n"/>
      <x:c r="AG15" s="139" t="n"/>
      <x:c r="AH15" s="139" t="n"/>
      <x:c r="AI15" s="139" t="n"/>
      <x:c r="AJ15" s="139" t="n"/>
      <x:c r="AK15" s="139" t="n"/>
      <x:c r="AL15" s="139" t="n"/>
      <x:c r="AM15" s="139" t="n"/>
      <x:c r="AN15" s="139" t="n"/>
      <x:c r="AO15" s="139" t="n"/>
      <x:c r="AP15" s="139" t="n"/>
      <x:c r="AQ15" s="139" t="n"/>
      <x:c r="AR15" s="139" t="n"/>
      <x:c r="AS15" s="139" t="n"/>
      <x:c r="AT15" s="139" t="n"/>
      <x:c r="AU15" s="139" t="n"/>
      <x:c r="AV15" s="139" t="n"/>
      <x:c r="AW15" s="139" t="n"/>
      <x:c r="AX15" s="139" t="n"/>
      <x:c r="AY15" s="139" t="n"/>
      <x:c r="AZ15" s="139" t="n"/>
    </x:row>
    <x:row r="16">
      <x:c r="A16" s="139" t="n"/>
      <x:c r="B16" s="139" t="n"/>
      <x:c r="C16" s="139" t="n"/>
      <x:c r="D16" s="139" t="n"/>
      <x:c r="E16" s="139" t="n"/>
      <x:c r="F16" s="139" t="n"/>
      <x:c r="G16" s="139" t="n"/>
      <x:c r="H16" s="139" t="n"/>
      <x:c r="I16" s="139" t="n"/>
      <x:c r="J16" s="139" t="n"/>
      <x:c r="K16" s="139" t="n"/>
      <x:c r="L16" s="139" t="n"/>
      <x:c r="M16" s="139" t="n"/>
      <x:c r="N16" s="139" t="n"/>
      <x:c r="O16" s="139" t="n"/>
      <x:c r="P16" s="139" t="n"/>
      <x:c r="Q16" s="139" t="n"/>
      <x:c r="R16" s="139" t="n"/>
      <x:c r="S16" s="139" t="n"/>
      <x:c r="T16" s="139" t="n"/>
      <x:c r="U16" s="139" t="n"/>
      <x:c r="V16" s="139" t="n"/>
      <x:c r="W16" s="139" t="n"/>
      <x:c r="X16" s="139" t="n"/>
      <x:c r="Y16" s="139" t="n"/>
      <x:c r="Z16" s="139" t="n"/>
      <x:c r="AA16" s="139" t="n"/>
      <x:c r="AB16" s="139" t="n"/>
      <x:c r="AC16" s="139" t="n"/>
      <x:c r="AD16" s="139" t="n"/>
      <x:c r="AE16" s="139" t="n"/>
      <x:c r="AF16" s="139" t="n"/>
      <x:c r="AG16" s="139" t="n"/>
      <x:c r="AH16" s="139" t="n"/>
      <x:c r="AI16" s="139" t="n"/>
      <x:c r="AJ16" s="139" t="n"/>
      <x:c r="AK16" s="139" t="n"/>
      <x:c r="AL16" s="139" t="n"/>
      <x:c r="AM16" s="139" t="n"/>
      <x:c r="AN16" s="139" t="n"/>
      <x:c r="AO16" s="139" t="n"/>
      <x:c r="AP16" s="139" t="n"/>
      <x:c r="AQ16" s="139" t="n"/>
      <x:c r="AR16" s="139" t="n"/>
      <x:c r="AS16" s="139" t="n"/>
      <x:c r="AT16" s="139" t="n"/>
      <x:c r="AU16" s="139" t="n"/>
      <x:c r="AV16" s="139" t="n"/>
      <x:c r="AW16" s="139" t="n"/>
      <x:c r="AX16" s="139" t="n"/>
      <x:c r="AY16" s="139" t="n"/>
      <x:c r="AZ16" s="139" t="n"/>
    </x:row>
    <x:row r="17">
      <x:c r="A17" s="139" t="n"/>
      <x:c r="B17" s="139" t="n"/>
      <x:c r="C17" s="139" t="n"/>
      <x:c r="D17" s="139" t="n"/>
      <x:c r="E17" s="139" t="n"/>
      <x:c r="F17" s="139" t="n"/>
      <x:c r="G17" s="139" t="n"/>
      <x:c r="H17" s="139" t="n"/>
      <x:c r="I17" s="139" t="n"/>
      <x:c r="J17" s="139" t="n"/>
      <x:c r="K17" s="139" t="n"/>
      <x:c r="L17" s="139" t="n"/>
      <x:c r="M17" s="139" t="n"/>
      <x:c r="N17" s="139" t="n"/>
      <x:c r="O17" s="139" t="n"/>
      <x:c r="P17" s="139" t="n"/>
      <x:c r="Q17" s="139" t="n"/>
      <x:c r="R17" s="139" t="n"/>
      <x:c r="S17" s="139" t="n"/>
      <x:c r="T17" s="139" t="n"/>
      <x:c r="U17" s="139" t="n"/>
      <x:c r="V17" s="139" t="n"/>
      <x:c r="W17" s="139" t="n"/>
      <x:c r="X17" s="139" t="n"/>
      <x:c r="Y17" s="139" t="n"/>
      <x:c r="Z17" s="139" t="n"/>
      <x:c r="AA17" s="139" t="n"/>
      <x:c r="AB17" s="139" t="n"/>
      <x:c r="AC17" s="139" t="n"/>
      <x:c r="AD17" s="139" t="n"/>
      <x:c r="AE17" s="139" t="n"/>
      <x:c r="AF17" s="139" t="n"/>
      <x:c r="AG17" s="139" t="n"/>
      <x:c r="AH17" s="139" t="n"/>
      <x:c r="AI17" s="139" t="n"/>
      <x:c r="AJ17" s="139" t="n"/>
      <x:c r="AK17" s="139" t="n"/>
      <x:c r="AL17" s="139" t="n"/>
      <x:c r="AM17" s="139" t="n"/>
      <x:c r="AN17" s="139" t="n"/>
      <x:c r="AO17" s="139" t="n"/>
      <x:c r="AP17" s="139" t="n"/>
      <x:c r="AQ17" s="139" t="n"/>
      <x:c r="AR17" s="139" t="n"/>
      <x:c r="AS17" s="139" t="n"/>
      <x:c r="AT17" s="139" t="n"/>
      <x:c r="AU17" s="139" t="n"/>
      <x:c r="AV17" s="139" t="n"/>
      <x:c r="AW17" s="139" t="n"/>
      <x:c r="AX17" s="139" t="n"/>
      <x:c r="AY17" s="139" t="n"/>
      <x:c r="AZ17" s="139" t="n"/>
    </x:row>
    <x:row r="18">
      <x:c r="A18" s="139" t="n"/>
      <x:c r="B18" s="139" t="n"/>
      <x:c r="C18" s="139" t="n"/>
      <x:c r="D18" s="139" t="n"/>
      <x:c r="E18" s="139" t="n"/>
      <x:c r="F18" s="139" t="n"/>
      <x:c r="G18" s="139" t="n"/>
      <x:c r="H18" s="139" t="n"/>
      <x:c r="I18" s="139" t="n"/>
      <x:c r="J18" s="139" t="n"/>
      <x:c r="K18" s="139" t="n"/>
      <x:c r="L18" s="139" t="n"/>
      <x:c r="M18" s="139" t="n"/>
      <x:c r="N18" s="139" t="n"/>
      <x:c r="O18" s="139" t="n"/>
      <x:c r="P18" s="139" t="n"/>
      <x:c r="Q18" s="139" t="n"/>
      <x:c r="R18" s="139" t="n"/>
      <x:c r="S18" s="139" t="n"/>
      <x:c r="T18" s="139" t="n"/>
      <x:c r="U18" s="139" t="n"/>
      <x:c r="V18" s="139" t="n"/>
      <x:c r="W18" s="139" t="n"/>
      <x:c r="X18" s="139" t="n"/>
      <x:c r="Y18" s="139" t="n"/>
      <x:c r="Z18" s="139" t="n"/>
      <x:c r="AA18" s="139" t="n"/>
      <x:c r="AB18" s="139" t="n"/>
      <x:c r="AC18" s="139" t="n"/>
      <x:c r="AD18" s="139" t="n"/>
      <x:c r="AE18" s="139" t="n"/>
      <x:c r="AF18" s="139" t="n"/>
      <x:c r="AG18" s="139" t="n"/>
      <x:c r="AH18" s="139" t="n"/>
      <x:c r="AI18" s="139" t="n"/>
      <x:c r="AJ18" s="139" t="n"/>
      <x:c r="AK18" s="139" t="n"/>
      <x:c r="AL18" s="139" t="n"/>
      <x:c r="AM18" s="139" t="n"/>
      <x:c r="AN18" s="139" t="n"/>
      <x:c r="AO18" s="139" t="n"/>
      <x:c r="AP18" s="139" t="n"/>
      <x:c r="AQ18" s="139" t="n"/>
      <x:c r="AR18" s="139" t="n"/>
      <x:c r="AS18" s="139" t="n"/>
      <x:c r="AT18" s="139" t="n"/>
      <x:c r="AU18" s="139" t="n"/>
      <x:c r="AV18" s="139" t="n"/>
      <x:c r="AW18" s="139" t="n"/>
      <x:c r="AX18" s="139" t="n"/>
      <x:c r="AY18" s="139" t="n"/>
      <x:c r="AZ18" s="139" t="n"/>
    </x:row>
    <x:row r="19">
      <x:c r="A19" s="139" t="n"/>
      <x:c r="B19" s="139" t="n"/>
      <x:c r="C19" s="139" t="n"/>
      <x:c r="D19" s="139" t="n"/>
      <x:c r="E19" s="139" t="n"/>
      <x:c r="F19" s="139" t="n"/>
      <x:c r="G19" s="139" t="n"/>
      <x:c r="H19" s="139" t="n"/>
      <x:c r="I19" s="139" t="n"/>
      <x:c r="J19" s="139" t="n"/>
      <x:c r="K19" s="139" t="n"/>
      <x:c r="L19" s="139" t="n"/>
      <x:c r="M19" s="139" t="n"/>
      <x:c r="N19" s="139" t="n"/>
      <x:c r="O19" s="139" t="n"/>
      <x:c r="P19" s="139" t="n"/>
      <x:c r="Q19" s="139" t="n"/>
      <x:c r="R19" s="139" t="n"/>
      <x:c r="S19" s="139" t="n"/>
      <x:c r="T19" s="139" t="n"/>
      <x:c r="U19" s="139" t="n"/>
      <x:c r="V19" s="139" t="n"/>
      <x:c r="W19" s="139" t="n"/>
      <x:c r="X19" s="139" t="n"/>
      <x:c r="Y19" s="139" t="n"/>
      <x:c r="Z19" s="139" t="n"/>
      <x:c r="AA19" s="139" t="n"/>
      <x:c r="AB19" s="139" t="n"/>
      <x:c r="AC19" s="139" t="n"/>
      <x:c r="AD19" s="139" t="n"/>
      <x:c r="AE19" s="139" t="n"/>
      <x:c r="AF19" s="139" t="n"/>
      <x:c r="AG19" s="139" t="n"/>
      <x:c r="AH19" s="139" t="n"/>
      <x:c r="AI19" s="139" t="n"/>
      <x:c r="AJ19" s="139" t="n"/>
      <x:c r="AK19" s="139" t="n"/>
      <x:c r="AL19" s="139" t="n"/>
      <x:c r="AM19" s="139" t="n"/>
      <x:c r="AN19" s="139" t="n"/>
      <x:c r="AO19" s="139" t="n"/>
      <x:c r="AP19" s="139" t="n"/>
      <x:c r="AQ19" s="139" t="n"/>
      <x:c r="AR19" s="139" t="n"/>
      <x:c r="AS19" s="139" t="n"/>
      <x:c r="AT19" s="139" t="n"/>
      <x:c r="AU19" s="139" t="n"/>
      <x:c r="AV19" s="139" t="n"/>
      <x:c r="AW19" s="139" t="n"/>
      <x:c r="AX19" s="139" t="n"/>
      <x:c r="AY19" s="139" t="n"/>
      <x:c r="AZ19" s="139" t="n"/>
    </x:row>
    <x:row r="20">
      <x:c r="A20" s="139" t="n"/>
      <x:c r="B20" s="139" t="n"/>
      <x:c r="C20" s="139" t="n"/>
      <x:c r="D20" s="139" t="n"/>
      <x:c r="E20" s="139" t="n"/>
      <x:c r="F20" s="139" t="n"/>
      <x:c r="G20" s="139" t="n"/>
      <x:c r="H20" s="139" t="n"/>
      <x:c r="I20" s="139" t="n"/>
      <x:c r="J20" s="139" t="n"/>
      <x:c r="K20" s="139" t="n"/>
      <x:c r="L20" s="139" t="n"/>
      <x:c r="M20" s="139" t="n"/>
      <x:c r="N20" s="139" t="n"/>
      <x:c r="O20" s="139" t="n"/>
      <x:c r="P20" s="139" t="n"/>
      <x:c r="Q20" s="139" t="n"/>
      <x:c r="R20" s="139" t="n"/>
      <x:c r="S20" s="139" t="n"/>
      <x:c r="T20" s="139" t="n"/>
      <x:c r="U20" s="139" t="n"/>
      <x:c r="V20" s="139" t="n"/>
      <x:c r="W20" s="139" t="n"/>
      <x:c r="X20" s="139" t="n"/>
      <x:c r="Y20" s="139" t="n"/>
      <x:c r="Z20" s="139" t="n"/>
      <x:c r="AA20" s="139" t="n"/>
      <x:c r="AB20" s="139" t="n"/>
      <x:c r="AC20" s="139" t="n"/>
      <x:c r="AD20" s="139" t="n"/>
      <x:c r="AE20" s="139" t="n"/>
      <x:c r="AF20" s="139" t="n"/>
      <x:c r="AG20" s="139" t="n"/>
      <x:c r="AH20" s="139" t="n"/>
      <x:c r="AI20" s="139" t="n"/>
      <x:c r="AJ20" s="139" t="n"/>
      <x:c r="AK20" s="139" t="n"/>
      <x:c r="AL20" s="139" t="n"/>
      <x:c r="AM20" s="139" t="n"/>
      <x:c r="AN20" s="139" t="n"/>
      <x:c r="AO20" s="139" t="n"/>
      <x:c r="AP20" s="139" t="n"/>
      <x:c r="AQ20" s="139" t="n"/>
      <x:c r="AR20" s="139" t="n"/>
      <x:c r="AS20" s="139" t="n"/>
      <x:c r="AT20" s="139" t="n"/>
      <x:c r="AU20" s="139" t="n"/>
      <x:c r="AV20" s="139" t="n"/>
      <x:c r="AW20" s="139" t="n"/>
      <x:c r="AX20" s="139" t="n"/>
      <x:c r="AY20" s="139" t="n"/>
      <x:c r="AZ20" s="139" t="n"/>
    </x:row>
    <x:row r="21">
      <x:c r="A21" s="139" t="n"/>
      <x:c r="B21" s="139" t="n"/>
      <x:c r="C21" s="139" t="n"/>
      <x:c r="D21" s="139" t="n"/>
      <x:c r="E21" s="139" t="n"/>
      <x:c r="F21" s="139" t="n"/>
      <x:c r="G21" s="139" t="n"/>
      <x:c r="H21" s="139" t="n"/>
      <x:c r="I21" s="139" t="n"/>
      <x:c r="J21" s="139" t="n"/>
      <x:c r="K21" s="139" t="n"/>
      <x:c r="L21" s="139" t="n"/>
      <x:c r="M21" s="139" t="n"/>
      <x:c r="N21" s="139" t="n"/>
      <x:c r="O21" s="139" t="n"/>
      <x:c r="P21" s="139" t="n"/>
      <x:c r="Q21" s="139" t="n"/>
      <x:c r="R21" s="139" t="n"/>
      <x:c r="S21" s="139" t="n"/>
      <x:c r="T21" s="139" t="n"/>
      <x:c r="U21" s="139" t="n"/>
      <x:c r="V21" s="139" t="n"/>
      <x:c r="W21" s="139" t="n"/>
      <x:c r="X21" s="139" t="n"/>
      <x:c r="Y21" s="139" t="n"/>
      <x:c r="Z21" s="139" t="n"/>
      <x:c r="AA21" s="139" t="n"/>
      <x:c r="AB21" s="139" t="n"/>
      <x:c r="AC21" s="139" t="n"/>
      <x:c r="AD21" s="139" t="n"/>
      <x:c r="AE21" s="139" t="n"/>
      <x:c r="AF21" s="139" t="n"/>
      <x:c r="AG21" s="139" t="n"/>
      <x:c r="AH21" s="139" t="n"/>
      <x:c r="AI21" s="139" t="n"/>
      <x:c r="AJ21" s="139" t="n"/>
      <x:c r="AK21" s="139" t="n"/>
      <x:c r="AL21" s="139" t="n"/>
      <x:c r="AM21" s="139" t="n"/>
      <x:c r="AN21" s="139" t="n"/>
      <x:c r="AO21" s="139" t="n"/>
      <x:c r="AP21" s="139" t="n"/>
      <x:c r="AQ21" s="139" t="n"/>
      <x:c r="AR21" s="139" t="n"/>
      <x:c r="AS21" s="139" t="n"/>
      <x:c r="AT21" s="139" t="n"/>
      <x:c r="AU21" s="139" t="n"/>
      <x:c r="AV21" s="139" t="n"/>
      <x:c r="AW21" s="139" t="n"/>
      <x:c r="AX21" s="139" t="n"/>
      <x:c r="AY21" s="139" t="n"/>
      <x:c r="AZ21" s="139" t="n"/>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c r="V22" s="139" t="n"/>
      <x:c r="W22" s="139" t="n"/>
      <x:c r="X22" s="139" t="n"/>
      <x:c r="Y22" s="139" t="n"/>
      <x:c r="Z22" s="139" t="n"/>
      <x:c r="AA22" s="139" t="n"/>
      <x:c r="AB22" s="139" t="n"/>
      <x:c r="AC22" s="139" t="n"/>
      <x:c r="AD22" s="139" t="n"/>
      <x:c r="AE22" s="139" t="n"/>
      <x:c r="AF22" s="139" t="n"/>
      <x:c r="AG22" s="139" t="n"/>
      <x:c r="AH22" s="139" t="n"/>
      <x:c r="AI22" s="139" t="n"/>
      <x:c r="AJ22" s="139" t="n"/>
      <x:c r="AK22" s="139" t="n"/>
      <x:c r="AL22" s="139" t="n"/>
      <x:c r="AM22" s="139" t="n"/>
      <x:c r="AN22" s="139" t="n"/>
      <x:c r="AO22" s="139" t="n"/>
      <x:c r="AP22" s="139" t="n"/>
      <x:c r="AQ22" s="139" t="n"/>
      <x:c r="AR22" s="139" t="n"/>
      <x:c r="AS22" s="139" t="n"/>
      <x:c r="AT22" s="139" t="n"/>
      <x:c r="AU22" s="139" t="n"/>
      <x:c r="AV22" s="139" t="n"/>
      <x:c r="AW22" s="139" t="n"/>
      <x:c r="AX22" s="139" t="n"/>
      <x:c r="AY22" s="139" t="n"/>
      <x:c r="AZ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c r="V23" s="139" t="n"/>
      <x:c r="W23" s="139" t="n"/>
      <x:c r="X23" s="139" t="n"/>
      <x:c r="Y23" s="139" t="n"/>
      <x:c r="Z23" s="139" t="n"/>
      <x:c r="AA23" s="139" t="n"/>
      <x:c r="AB23" s="139" t="n"/>
      <x:c r="AC23" s="139" t="n"/>
      <x:c r="AD23" s="139" t="n"/>
      <x:c r="AE23" s="139" t="n"/>
      <x:c r="AF23" s="139" t="n"/>
      <x:c r="AG23" s="139" t="n"/>
      <x:c r="AH23" s="139" t="n"/>
      <x:c r="AI23" s="139" t="n"/>
      <x:c r="AJ23" s="139" t="n"/>
      <x:c r="AK23" s="139" t="n"/>
      <x:c r="AL23" s="139" t="n"/>
      <x:c r="AM23" s="139" t="n"/>
      <x:c r="AN23" s="139" t="n"/>
      <x:c r="AO23" s="139" t="n"/>
      <x:c r="AP23" s="139" t="n"/>
      <x:c r="AQ23" s="139" t="n"/>
      <x:c r="AR23" s="139" t="n"/>
      <x:c r="AS23" s="139" t="n"/>
      <x:c r="AT23" s="139" t="n"/>
      <x:c r="AU23" s="139" t="n"/>
      <x:c r="AV23" s="139" t="n"/>
      <x:c r="AW23" s="139" t="n"/>
      <x:c r="AX23" s="139" t="n"/>
      <x:c r="AY23" s="139" t="n"/>
      <x:c r="AZ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c r="V24" s="139" t="n"/>
      <x:c r="W24" s="139" t="n"/>
      <x:c r="X24" s="139" t="n"/>
      <x:c r="Y24" s="139" t="n"/>
      <x:c r="Z24" s="139" t="n"/>
      <x:c r="AA24" s="139" t="n"/>
      <x:c r="AB24" s="139" t="n"/>
      <x:c r="AC24" s="139" t="n"/>
      <x:c r="AD24" s="139" t="n"/>
      <x:c r="AE24" s="139" t="n"/>
      <x:c r="AF24" s="139" t="n"/>
      <x:c r="AG24" s="139" t="n"/>
      <x:c r="AH24" s="139" t="n"/>
      <x:c r="AI24" s="139" t="n"/>
      <x:c r="AJ24" s="139" t="n"/>
      <x:c r="AK24" s="139" t="n"/>
      <x:c r="AL24" s="139" t="n"/>
      <x:c r="AM24" s="139" t="n"/>
      <x:c r="AN24" s="139" t="n"/>
      <x:c r="AO24" s="139" t="n"/>
      <x:c r="AP24" s="139" t="n"/>
      <x:c r="AQ24" s="139" t="n"/>
      <x:c r="AR24" s="139" t="n"/>
      <x:c r="AS24" s="139" t="n"/>
      <x:c r="AT24" s="139" t="n"/>
      <x:c r="AU24" s="139" t="n"/>
      <x:c r="AV24" s="139" t="n"/>
      <x:c r="AW24" s="139" t="n"/>
      <x:c r="AX24" s="139" t="n"/>
      <x:c r="AY24" s="139" t="n"/>
      <x:c r="AZ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c r="V25" s="139" t="n"/>
      <x:c r="W25" s="139" t="n"/>
      <x:c r="X25" s="139" t="n"/>
      <x:c r="Y25" s="139" t="n"/>
      <x:c r="Z25" s="139" t="n"/>
      <x:c r="AA25" s="139" t="n"/>
      <x:c r="AB25" s="139" t="n"/>
      <x:c r="AC25" s="139" t="n"/>
      <x:c r="AD25" s="139" t="n"/>
      <x:c r="AE25" s="139" t="n"/>
      <x:c r="AF25" s="139" t="n"/>
      <x:c r="AG25" s="139" t="n"/>
      <x:c r="AH25" s="139" t="n"/>
      <x:c r="AI25" s="139" t="n"/>
      <x:c r="AJ25" s="139" t="n"/>
      <x:c r="AK25" s="139" t="n"/>
      <x:c r="AL25" s="139" t="n"/>
      <x:c r="AM25" s="139" t="n"/>
      <x:c r="AN25" s="139" t="n"/>
      <x:c r="AO25" s="139" t="n"/>
      <x:c r="AP25" s="139" t="n"/>
      <x:c r="AQ25" s="139" t="n"/>
      <x:c r="AR25" s="139" t="n"/>
      <x:c r="AS25" s="139" t="n"/>
      <x:c r="AT25" s="139" t="n"/>
      <x:c r="AU25" s="139" t="n"/>
      <x:c r="AV25" s="139" t="n"/>
      <x:c r="AW25" s="139" t="n"/>
      <x:c r="AX25" s="139" t="n"/>
      <x:c r="AY25" s="139" t="n"/>
      <x:c r="AZ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c r="V26" s="139" t="n"/>
      <x:c r="W26" s="139" t="n"/>
      <x:c r="X26" s="139" t="n"/>
      <x:c r="Y26" s="139" t="n"/>
      <x:c r="Z26" s="139" t="n"/>
      <x:c r="AA26" s="139" t="n"/>
      <x:c r="AB26" s="139" t="n"/>
      <x:c r="AC26" s="139" t="n"/>
      <x:c r="AD26" s="139" t="n"/>
      <x:c r="AE26" s="139" t="n"/>
      <x:c r="AF26" s="139" t="n"/>
      <x:c r="AG26" s="139" t="n"/>
      <x:c r="AH26" s="139" t="n"/>
      <x:c r="AI26" s="139" t="n"/>
      <x:c r="AJ26" s="139" t="n"/>
      <x:c r="AK26" s="139" t="n"/>
      <x:c r="AL26" s="139" t="n"/>
      <x:c r="AM26" s="139" t="n"/>
      <x:c r="AN26" s="139" t="n"/>
      <x:c r="AO26" s="139" t="n"/>
      <x:c r="AP26" s="139" t="n"/>
      <x:c r="AQ26" s="139" t="n"/>
      <x:c r="AR26" s="139" t="n"/>
      <x:c r="AS26" s="139" t="n"/>
      <x:c r="AT26" s="139" t="n"/>
      <x:c r="AU26" s="139" t="n"/>
      <x:c r="AV26" s="139" t="n"/>
      <x:c r="AW26" s="139" t="n"/>
      <x:c r="AX26" s="139" t="n"/>
      <x:c r="AY26" s="139" t="n"/>
      <x:c r="AZ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c r="V27" s="139" t="n"/>
      <x:c r="W27" s="139" t="n"/>
      <x:c r="X27" s="139" t="n"/>
      <x:c r="Y27" s="139" t="n"/>
      <x:c r="Z27" s="139" t="n"/>
      <x:c r="AA27" s="139" t="n"/>
      <x:c r="AB27" s="139" t="n"/>
      <x:c r="AC27" s="139" t="n"/>
      <x:c r="AD27" s="139" t="n"/>
      <x:c r="AE27" s="139" t="n"/>
      <x:c r="AF27" s="139" t="n"/>
      <x:c r="AG27" s="139" t="n"/>
      <x:c r="AH27" s="139" t="n"/>
      <x:c r="AI27" s="139" t="n"/>
      <x:c r="AJ27" s="139" t="n"/>
      <x:c r="AK27" s="139" t="n"/>
      <x:c r="AL27" s="139" t="n"/>
      <x:c r="AM27" s="139" t="n"/>
      <x:c r="AN27" s="139" t="n"/>
      <x:c r="AO27" s="139" t="n"/>
      <x:c r="AP27" s="139" t="n"/>
      <x:c r="AQ27" s="139" t="n"/>
      <x:c r="AR27" s="139" t="n"/>
      <x:c r="AS27" s="139" t="n"/>
      <x:c r="AT27" s="139" t="n"/>
      <x:c r="AU27" s="139" t="n"/>
      <x:c r="AV27" s="139" t="n"/>
      <x:c r="AW27" s="139" t="n"/>
      <x:c r="AX27" s="139" t="n"/>
      <x:c r="AY27" s="139" t="n"/>
      <x:c r="AZ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c r="V28" s="139" t="n"/>
      <x:c r="W28" s="139" t="n"/>
      <x:c r="X28" s="139" t="n"/>
      <x:c r="Y28" s="139" t="n"/>
      <x:c r="Z28" s="139" t="n"/>
      <x:c r="AA28" s="139" t="n"/>
      <x:c r="AB28" s="139" t="n"/>
      <x:c r="AC28" s="139" t="n"/>
      <x:c r="AD28" s="139" t="n"/>
      <x:c r="AE28" s="139" t="n"/>
      <x:c r="AF28" s="139" t="n"/>
      <x:c r="AG28" s="139" t="n"/>
      <x:c r="AH28" s="139" t="n"/>
      <x:c r="AI28" s="139" t="n"/>
      <x:c r="AJ28" s="139" t="n"/>
      <x:c r="AK28" s="139" t="n"/>
      <x:c r="AL28" s="139" t="n"/>
      <x:c r="AM28" s="139" t="n"/>
      <x:c r="AN28" s="139" t="n"/>
      <x:c r="AO28" s="139" t="n"/>
      <x:c r="AP28" s="139" t="n"/>
      <x:c r="AQ28" s="139" t="n"/>
      <x:c r="AR28" s="139" t="n"/>
      <x:c r="AS28" s="139" t="n"/>
      <x:c r="AT28" s="139" t="n"/>
      <x:c r="AU28" s="139" t="n"/>
      <x:c r="AV28" s="139" t="n"/>
      <x:c r="AW28" s="139" t="n"/>
      <x:c r="AX28" s="139" t="n"/>
      <x:c r="AY28" s="139" t="n"/>
      <x:c r="AZ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c r="V29" s="139" t="n"/>
      <x:c r="W29" s="139" t="n"/>
      <x:c r="X29" s="139" t="n"/>
      <x:c r="Y29" s="139" t="n"/>
      <x:c r="Z29" s="139" t="n"/>
      <x:c r="AA29" s="139" t="n"/>
      <x:c r="AB29" s="139" t="n"/>
      <x:c r="AC29" s="139" t="n"/>
      <x:c r="AD29" s="139" t="n"/>
      <x:c r="AE29" s="139" t="n"/>
      <x:c r="AF29" s="139" t="n"/>
      <x:c r="AG29" s="139" t="n"/>
      <x:c r="AH29" s="139" t="n"/>
      <x:c r="AI29" s="139" t="n"/>
      <x:c r="AJ29" s="139" t="n"/>
      <x:c r="AK29" s="139" t="n"/>
      <x:c r="AL29" s="139" t="n"/>
      <x:c r="AM29" s="139" t="n"/>
      <x:c r="AN29" s="139" t="n"/>
      <x:c r="AO29" s="139" t="n"/>
      <x:c r="AP29" s="139" t="n"/>
      <x:c r="AQ29" s="139" t="n"/>
      <x:c r="AR29" s="139" t="n"/>
      <x:c r="AS29" s="139" t="n"/>
      <x:c r="AT29" s="139" t="n"/>
      <x:c r="AU29" s="139" t="n"/>
      <x:c r="AV29" s="139" t="n"/>
      <x:c r="AW29" s="139" t="n"/>
      <x:c r="AX29" s="139" t="n"/>
      <x:c r="AY29" s="139" t="n"/>
      <x:c r="AZ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c r="V30" s="139" t="n"/>
      <x:c r="W30" s="139" t="n"/>
      <x:c r="X30" s="139" t="n"/>
      <x:c r="Y30" s="139" t="n"/>
      <x:c r="Z30" s="139" t="n"/>
      <x:c r="AA30" s="139" t="n"/>
      <x:c r="AB30" s="139" t="n"/>
      <x:c r="AC30" s="139" t="n"/>
      <x:c r="AD30" s="139" t="n"/>
      <x:c r="AE30" s="139" t="n"/>
      <x:c r="AF30" s="139" t="n"/>
      <x:c r="AG30" s="139" t="n"/>
      <x:c r="AH30" s="139" t="n"/>
      <x:c r="AI30" s="139" t="n"/>
      <x:c r="AJ30" s="139" t="n"/>
      <x:c r="AK30" s="139" t="n"/>
      <x:c r="AL30" s="139" t="n"/>
      <x:c r="AM30" s="139" t="n"/>
      <x:c r="AN30" s="139" t="n"/>
      <x:c r="AO30" s="139" t="n"/>
      <x:c r="AP30" s="139" t="n"/>
      <x:c r="AQ30" s="139" t="n"/>
      <x:c r="AR30" s="139" t="n"/>
      <x:c r="AS30" s="139" t="n"/>
      <x:c r="AT30" s="139" t="n"/>
      <x:c r="AU30" s="139" t="n"/>
      <x:c r="AV30" s="139" t="n"/>
      <x:c r="AW30" s="139" t="n"/>
      <x:c r="AX30" s="139" t="n"/>
      <x:c r="AY30" s="139" t="n"/>
      <x:c r="AZ30" s="139" t="n"/>
    </x:row>
    <x:row r="31">
      <x:c r="A31" s="139" t="n"/>
      <x:c r="B31" s="139" t="n"/>
      <x:c r="C31" s="139" t="n"/>
      <x:c r="D31" s="139" t="n"/>
      <x:c r="E31" s="139" t="n"/>
      <x:c r="F31" s="139" t="n"/>
      <x:c r="G31" s="139" t="n"/>
      <x:c r="H31" s="139" t="n"/>
      <x:c r="I31" s="139" t="n"/>
      <x:c r="J31" s="139" t="n"/>
      <x:c r="K31" s="139" t="n"/>
      <x:c r="L31" s="139" t="n"/>
      <x:c r="M31" s="139" t="n"/>
      <x:c r="N31" s="139" t="n"/>
      <x:c r="O31" s="139" t="n"/>
      <x:c r="P31" s="139" t="n"/>
      <x:c r="Q31" s="139" t="n"/>
      <x:c r="R31" s="139" t="n"/>
      <x:c r="S31" s="139" t="n"/>
      <x:c r="T31" s="139" t="n"/>
      <x:c r="U31" s="139" t="n"/>
      <x:c r="V31" s="139" t="n"/>
      <x:c r="W31" s="139" t="n"/>
      <x:c r="X31" s="139" t="n"/>
      <x:c r="Y31" s="139" t="n"/>
      <x:c r="Z31" s="139" t="n"/>
      <x:c r="AA31" s="139" t="n"/>
      <x:c r="AB31" s="139" t="n"/>
      <x:c r="AC31" s="139" t="n"/>
      <x:c r="AD31" s="139" t="n"/>
      <x:c r="AE31" s="139" t="n"/>
      <x:c r="AF31" s="139" t="n"/>
      <x:c r="AG31" s="139" t="n"/>
      <x:c r="AH31" s="139" t="n"/>
      <x:c r="AI31" s="139" t="n"/>
      <x:c r="AJ31" s="139" t="n"/>
      <x:c r="AK31" s="139" t="n"/>
      <x:c r="AL31" s="139" t="n"/>
      <x:c r="AM31" s="139" t="n"/>
      <x:c r="AN31" s="139" t="n"/>
      <x:c r="AO31" s="139" t="n"/>
      <x:c r="AP31" s="139" t="n"/>
      <x:c r="AQ31" s="139" t="n"/>
      <x:c r="AR31" s="139" t="n"/>
      <x:c r="AS31" s="139" t="n"/>
      <x:c r="AT31" s="139" t="n"/>
      <x:c r="AU31" s="139" t="n"/>
      <x:c r="AV31" s="139" t="n"/>
      <x:c r="AW31" s="139" t="n"/>
      <x:c r="AX31" s="139" t="n"/>
      <x:c r="AY31" s="139" t="n"/>
      <x:c r="AZ31" s="139" t="n"/>
    </x:row>
    <x:row r="32">
      <x:c r="A32" s="139" t="n"/>
      <x:c r="B32" s="139" t="n"/>
      <x:c r="C32" s="139" t="n"/>
      <x:c r="D32" s="139" t="n"/>
      <x:c r="E32" s="139" t="n"/>
      <x:c r="F32" s="139" t="n"/>
      <x:c r="G32" s="139" t="n"/>
      <x:c r="H32" s="139" t="n"/>
      <x:c r="I32" s="139" t="n"/>
      <x:c r="J32" s="139" t="n"/>
      <x:c r="K32" s="139" t="n"/>
      <x:c r="L32" s="139" t="n"/>
      <x:c r="M32" s="139" t="n"/>
      <x:c r="N32" s="139" t="n"/>
      <x:c r="O32" s="139" t="n"/>
      <x:c r="P32" s="139" t="n"/>
      <x:c r="Q32" s="139" t="n"/>
      <x:c r="R32" s="139" t="n"/>
      <x:c r="S32" s="139" t="n"/>
      <x:c r="T32" s="139" t="n"/>
      <x:c r="U32" s="139" t="n"/>
      <x:c r="V32" s="139" t="n"/>
      <x:c r="W32" s="139" t="n"/>
      <x:c r="X32" s="139" t="n"/>
      <x:c r="Y32" s="139" t="n"/>
      <x:c r="Z32" s="139" t="n"/>
      <x:c r="AA32" s="139" t="n"/>
      <x:c r="AB32" s="139" t="n"/>
      <x:c r="AC32" s="139" t="n"/>
      <x:c r="AD32" s="139" t="n"/>
      <x:c r="AE32" s="139" t="n"/>
      <x:c r="AF32" s="139" t="n"/>
      <x:c r="AG32" s="139" t="n"/>
      <x:c r="AH32" s="139" t="n"/>
      <x:c r="AI32" s="139" t="n"/>
      <x:c r="AJ32" s="139" t="n"/>
      <x:c r="AK32" s="139" t="n"/>
      <x:c r="AL32" s="139" t="n"/>
      <x:c r="AM32" s="139" t="n"/>
      <x:c r="AN32" s="139" t="n"/>
      <x:c r="AO32" s="139" t="n"/>
      <x:c r="AP32" s="139" t="n"/>
      <x:c r="AQ32" s="139" t="n"/>
      <x:c r="AR32" s="139" t="n"/>
      <x:c r="AS32" s="139" t="n"/>
      <x:c r="AT32" s="139" t="n"/>
      <x:c r="AU32" s="139" t="n"/>
      <x:c r="AV32" s="139" t="n"/>
      <x:c r="AW32" s="139" t="n"/>
      <x:c r="AX32" s="139" t="n"/>
      <x:c r="AY32" s="139" t="n"/>
      <x:c r="AZ32" s="139" t="n"/>
    </x:row>
    <x:row r="33">
      <x:c r="A33" s="139" t="n"/>
      <x:c r="B33" s="139" t="n"/>
      <x:c r="C33" s="139" t="n"/>
      <x:c r="D33" s="139" t="n"/>
      <x:c r="E33" s="139" t="n"/>
      <x:c r="F33" s="139" t="n"/>
      <x:c r="G33" s="139" t="n"/>
      <x:c r="H33" s="139" t="n"/>
      <x:c r="I33" s="139" t="n"/>
      <x:c r="J33" s="139" t="n"/>
      <x:c r="K33" s="139" t="n"/>
      <x:c r="L33" s="139" t="n"/>
      <x:c r="M33" s="139" t="n"/>
      <x:c r="N33" s="139" t="n"/>
      <x:c r="O33" s="139" t="n"/>
      <x:c r="P33" s="139" t="n"/>
      <x:c r="Q33" s="139" t="n"/>
      <x:c r="R33" s="139" t="n"/>
      <x:c r="S33" s="139" t="n"/>
      <x:c r="T33" s="139" t="n"/>
      <x:c r="U33" s="139" t="n"/>
      <x:c r="V33" s="139" t="n"/>
      <x:c r="W33" s="139" t="n"/>
      <x:c r="X33" s="139" t="n"/>
      <x:c r="Y33" s="139" t="n"/>
      <x:c r="Z33" s="139" t="n"/>
      <x:c r="AA33" s="139" t="n"/>
      <x:c r="AB33" s="139" t="n"/>
      <x:c r="AC33" s="139" t="n"/>
      <x:c r="AD33" s="139" t="n"/>
      <x:c r="AE33" s="139" t="n"/>
      <x:c r="AF33" s="139" t="n"/>
      <x:c r="AG33" s="139" t="n"/>
      <x:c r="AH33" s="139" t="n"/>
      <x:c r="AI33" s="139" t="n"/>
      <x:c r="AJ33" s="139" t="n"/>
      <x:c r="AK33" s="139" t="n"/>
      <x:c r="AL33" s="139" t="n"/>
      <x:c r="AM33" s="139" t="n"/>
      <x:c r="AN33" s="139" t="n"/>
      <x:c r="AO33" s="139" t="n"/>
      <x:c r="AP33" s="139" t="n"/>
      <x:c r="AQ33" s="139" t="n"/>
      <x:c r="AR33" s="139" t="n"/>
      <x:c r="AS33" s="139" t="n"/>
      <x:c r="AT33" s="139" t="n"/>
      <x:c r="AU33" s="139" t="n"/>
      <x:c r="AV33" s="139" t="n"/>
      <x:c r="AW33" s="139" t="n"/>
      <x:c r="AX33" s="139" t="n"/>
      <x:c r="AY33" s="139" t="n"/>
      <x:c r="AZ33" s="139" t="n"/>
    </x:row>
    <x:row r="34">
      <x:c r="A34" s="139" t="n"/>
      <x:c r="B34" s="139" t="n"/>
      <x:c r="C34" s="139" t="n"/>
      <x:c r="D34" s="139" t="n"/>
      <x:c r="E34" s="139" t="n"/>
      <x:c r="F34" s="139" t="n"/>
      <x:c r="G34" s="139" t="n"/>
      <x:c r="H34" s="139" t="n"/>
      <x:c r="I34" s="139" t="n"/>
      <x:c r="J34" s="139" t="n"/>
      <x:c r="K34" s="139" t="n"/>
      <x:c r="L34" s="139" t="n"/>
      <x:c r="M34" s="139" t="n"/>
      <x:c r="N34" s="139" t="n"/>
      <x:c r="O34" s="139" t="n"/>
      <x:c r="P34" s="139" t="n"/>
      <x:c r="Q34" s="139" t="n"/>
      <x:c r="R34" s="139" t="n"/>
      <x:c r="S34" s="139" t="n"/>
      <x:c r="T34" s="139" t="n"/>
      <x:c r="U34" s="139" t="n"/>
      <x:c r="V34" s="139" t="n"/>
      <x:c r="W34" s="139" t="n"/>
      <x:c r="X34" s="139" t="n"/>
      <x:c r="Y34" s="139" t="n"/>
      <x:c r="Z34" s="139" t="n"/>
      <x:c r="AA34" s="139" t="n"/>
      <x:c r="AB34" s="139" t="n"/>
      <x:c r="AC34" s="139" t="n"/>
      <x:c r="AD34" s="139" t="n"/>
      <x:c r="AE34" s="139" t="n"/>
      <x:c r="AF34" s="139" t="n"/>
      <x:c r="AG34" s="139" t="n"/>
      <x:c r="AH34" s="139" t="n"/>
      <x:c r="AI34" s="139" t="n"/>
      <x:c r="AJ34" s="139" t="n"/>
      <x:c r="AK34" s="139" t="n"/>
      <x:c r="AL34" s="139" t="n"/>
      <x:c r="AM34" s="139" t="n"/>
      <x:c r="AN34" s="139" t="n"/>
      <x:c r="AO34" s="139" t="n"/>
      <x:c r="AP34" s="139" t="n"/>
      <x:c r="AQ34" s="139" t="n"/>
      <x:c r="AR34" s="139" t="n"/>
      <x:c r="AS34" s="139" t="n"/>
      <x:c r="AT34" s="139" t="n"/>
      <x:c r="AU34" s="139" t="n"/>
      <x:c r="AV34" s="139" t="n"/>
      <x:c r="AW34" s="139" t="n"/>
      <x:c r="AX34" s="139" t="n"/>
      <x:c r="AY34" s="139" t="n"/>
      <x:c r="AZ34" s="139" t="n"/>
    </x:row>
    <x:row r="35">
      <x:c r="A35" s="139" t="n"/>
      <x:c r="B35" s="139" t="n"/>
      <x:c r="C35" s="139" t="n"/>
      <x:c r="D35" s="139" t="n"/>
      <x:c r="E35" s="139" t="n"/>
      <x:c r="F35" s="139" t="n"/>
      <x:c r="G35" s="139" t="n"/>
      <x:c r="H35" s="139" t="n"/>
      <x:c r="I35" s="139" t="n"/>
      <x:c r="J35" s="139" t="n"/>
      <x:c r="K35" s="139" t="n"/>
      <x:c r="L35" s="139" t="n"/>
      <x:c r="M35" s="139" t="n"/>
      <x:c r="N35" s="139" t="n"/>
      <x:c r="O35" s="139" t="n"/>
      <x:c r="P35" s="139" t="n"/>
      <x:c r="Q35" s="139" t="n"/>
      <x:c r="R35" s="139" t="n"/>
      <x:c r="S35" s="139" t="n"/>
      <x:c r="T35" s="139" t="n"/>
      <x:c r="U35" s="139" t="n"/>
      <x:c r="V35" s="139" t="n"/>
      <x:c r="W35" s="139" t="n"/>
      <x:c r="X35" s="139" t="n"/>
      <x:c r="Y35" s="139" t="n"/>
      <x:c r="Z35" s="139" t="n"/>
      <x:c r="AA35" s="139" t="n"/>
      <x:c r="AB35" s="139" t="n"/>
      <x:c r="AC35" s="139" t="n"/>
      <x:c r="AD35" s="139" t="n"/>
      <x:c r="AE35" s="139" t="n"/>
      <x:c r="AF35" s="139" t="n"/>
      <x:c r="AG35" s="139" t="n"/>
      <x:c r="AH35" s="139" t="n"/>
      <x:c r="AI35" s="139" t="n"/>
      <x:c r="AJ35" s="139" t="n"/>
      <x:c r="AK35" s="139" t="n"/>
      <x:c r="AL35" s="139" t="n"/>
      <x:c r="AM35" s="139" t="n"/>
      <x:c r="AN35" s="139" t="n"/>
      <x:c r="AO35" s="139" t="n"/>
      <x:c r="AP35" s="139" t="n"/>
      <x:c r="AQ35" s="139" t="n"/>
      <x:c r="AR35" s="139" t="n"/>
      <x:c r="AS35" s="139" t="n"/>
      <x:c r="AT35" s="139" t="n"/>
      <x:c r="AU35" s="139" t="n"/>
      <x:c r="AV35" s="139" t="n"/>
      <x:c r="AW35" s="139" t="n"/>
      <x:c r="AX35" s="139" t="n"/>
      <x:c r="AY35" s="139" t="n"/>
      <x:c r="AZ35" s="139" t="n"/>
    </x:row>
    <x:row r="36">
      <x:c r="A36" s="139" t="n"/>
      <x:c r="B36" s="139" t="n"/>
      <x:c r="C36" s="139" t="n"/>
      <x:c r="D36" s="139" t="n"/>
      <x:c r="E36" s="139" t="n"/>
      <x:c r="F36" s="139" t="n"/>
      <x:c r="G36" s="139" t="n"/>
      <x:c r="H36" s="139" t="n"/>
      <x:c r="I36" s="139" t="n"/>
      <x:c r="J36" s="139" t="n"/>
      <x:c r="K36" s="139" t="n"/>
      <x:c r="L36" s="139" t="n"/>
      <x:c r="M36" s="139" t="n"/>
      <x:c r="N36" s="139" t="n"/>
      <x:c r="O36" s="139" t="n"/>
      <x:c r="P36" s="139" t="n"/>
      <x:c r="Q36" s="139" t="n"/>
      <x:c r="R36" s="139" t="n"/>
      <x:c r="S36" s="139" t="n"/>
      <x:c r="T36" s="139" t="n"/>
      <x:c r="U36" s="139" t="n"/>
      <x:c r="V36" s="139" t="n"/>
      <x:c r="W36" s="139" t="n"/>
      <x:c r="X36" s="139" t="n"/>
      <x:c r="Y36" s="139" t="n"/>
      <x:c r="Z36" s="139" t="n"/>
      <x:c r="AA36" s="139" t="n"/>
      <x:c r="AB36" s="139" t="n"/>
      <x:c r="AC36" s="139" t="n"/>
      <x:c r="AD36" s="139" t="n"/>
      <x:c r="AE36" s="139" t="n"/>
      <x:c r="AF36" s="139" t="n"/>
      <x:c r="AG36" s="139" t="n"/>
      <x:c r="AH36" s="139" t="n"/>
      <x:c r="AI36" s="139" t="n"/>
      <x:c r="AJ36" s="139" t="n"/>
      <x:c r="AK36" s="139" t="n"/>
      <x:c r="AL36" s="139" t="n"/>
      <x:c r="AM36" s="139" t="n"/>
      <x:c r="AN36" s="139" t="n"/>
      <x:c r="AO36" s="139" t="n"/>
      <x:c r="AP36" s="139" t="n"/>
      <x:c r="AQ36" s="139" t="n"/>
      <x:c r="AR36" s="139" t="n"/>
      <x:c r="AS36" s="139" t="n"/>
      <x:c r="AT36" s="139" t="n"/>
      <x:c r="AU36" s="139" t="n"/>
      <x:c r="AV36" s="139" t="n"/>
      <x:c r="AW36" s="139" t="n"/>
      <x:c r="AX36" s="139" t="n"/>
      <x:c r="AY36" s="139" t="n"/>
      <x:c r="AZ36" s="139" t="n"/>
    </x:row>
    <x:row r="37">
      <x:c r="A37" s="139" t="n"/>
      <x:c r="B37" s="139" t="n"/>
      <x:c r="C37" s="139" t="n"/>
      <x:c r="D37" s="139" t="n"/>
      <x:c r="E37" s="139" t="n"/>
      <x:c r="F37" s="139" t="n"/>
      <x:c r="G37" s="139" t="n"/>
      <x:c r="H37" s="139" t="n"/>
      <x:c r="I37" s="139" t="n"/>
      <x:c r="J37" s="139" t="n"/>
      <x:c r="K37" s="139" t="n"/>
      <x:c r="L37" s="139" t="n"/>
      <x:c r="M37" s="139" t="n"/>
      <x:c r="N37" s="139" t="n"/>
      <x:c r="O37" s="139" t="n"/>
      <x:c r="P37" s="139" t="n"/>
      <x:c r="Q37" s="139" t="n"/>
      <x:c r="R37" s="139" t="n"/>
      <x:c r="S37" s="139" t="n"/>
      <x:c r="T37" s="139" t="n"/>
      <x:c r="U37" s="139" t="n"/>
      <x:c r="V37" s="139" t="n"/>
      <x:c r="W37" s="139" t="n"/>
      <x:c r="X37" s="139" t="n"/>
      <x:c r="Y37" s="139" t="n"/>
      <x:c r="Z37" s="139" t="n"/>
      <x:c r="AA37" s="139" t="n"/>
      <x:c r="AB37" s="139" t="n"/>
      <x:c r="AC37" s="139" t="n"/>
      <x:c r="AD37" s="139" t="n"/>
      <x:c r="AE37" s="139" t="n"/>
      <x:c r="AF37" s="139" t="n"/>
      <x:c r="AG37" s="139" t="n"/>
      <x:c r="AH37" s="139" t="n"/>
      <x:c r="AI37" s="139" t="n"/>
      <x:c r="AJ37" s="139" t="n"/>
      <x:c r="AK37" s="139" t="n"/>
      <x:c r="AL37" s="139" t="n"/>
      <x:c r="AM37" s="139" t="n"/>
      <x:c r="AN37" s="139" t="n"/>
      <x:c r="AO37" s="139" t="n"/>
      <x:c r="AP37" s="139" t="n"/>
      <x:c r="AQ37" s="139" t="n"/>
      <x:c r="AR37" s="139" t="n"/>
      <x:c r="AS37" s="139" t="n"/>
      <x:c r="AT37" s="139" t="n"/>
      <x:c r="AU37" s="139" t="n"/>
      <x:c r="AV37" s="139" t="n"/>
      <x:c r="AW37" s="139" t="n"/>
      <x:c r="AX37" s="139" t="n"/>
      <x:c r="AY37" s="139" t="n"/>
      <x:c r="AZ37" s="139" t="n"/>
    </x:row>
    <x:row r="38">
      <x:c r="A38" s="139" t="n"/>
      <x:c r="B38" s="139" t="n"/>
      <x:c r="C38" s="139" t="n"/>
      <x:c r="D38" s="139" t="n"/>
      <x:c r="E38" s="139" t="n"/>
      <x:c r="F38" s="139" t="n"/>
      <x:c r="G38" s="139" t="n"/>
      <x:c r="H38" s="139" t="n"/>
      <x:c r="I38" s="139" t="n"/>
      <x:c r="J38" s="139" t="n"/>
      <x:c r="K38" s="139" t="n"/>
      <x:c r="L38" s="139" t="n"/>
      <x:c r="M38" s="139" t="n"/>
      <x:c r="N38" s="139" t="n"/>
      <x:c r="O38" s="139" t="n"/>
      <x:c r="P38" s="139" t="n"/>
      <x:c r="Q38" s="139" t="n"/>
      <x:c r="R38" s="139" t="n"/>
      <x:c r="S38" s="139" t="n"/>
      <x:c r="T38" s="139" t="n"/>
      <x:c r="U38" s="139" t="n"/>
      <x:c r="V38" s="139" t="n"/>
      <x:c r="W38" s="139" t="n"/>
      <x:c r="X38" s="139" t="n"/>
      <x:c r="Y38" s="139" t="n"/>
      <x:c r="Z38" s="139" t="n"/>
      <x:c r="AA38" s="139" t="n"/>
      <x:c r="AB38" s="139" t="n"/>
      <x:c r="AC38" s="139" t="n"/>
      <x:c r="AD38" s="139" t="n"/>
      <x:c r="AE38" s="139" t="n"/>
      <x:c r="AF38" s="139" t="n"/>
      <x:c r="AG38" s="139" t="n"/>
      <x:c r="AH38" s="139" t="n"/>
      <x:c r="AI38" s="139" t="n"/>
      <x:c r="AJ38" s="139" t="n"/>
      <x:c r="AK38" s="139" t="n"/>
      <x:c r="AL38" s="139" t="n"/>
      <x:c r="AM38" s="139" t="n"/>
      <x:c r="AN38" s="139" t="n"/>
      <x:c r="AO38" s="139" t="n"/>
      <x:c r="AP38" s="139" t="n"/>
      <x:c r="AQ38" s="139" t="n"/>
      <x:c r="AR38" s="139" t="n"/>
      <x:c r="AS38" s="139" t="n"/>
      <x:c r="AT38" s="139" t="n"/>
      <x:c r="AU38" s="139" t="n"/>
      <x:c r="AV38" s="139" t="n"/>
      <x:c r="AW38" s="139" t="n"/>
      <x:c r="AX38" s="139" t="n"/>
      <x:c r="AY38" s="139" t="n"/>
      <x:c r="AZ38" s="139" t="n"/>
    </x:row>
    <x:row r="39">
      <x:c r="A39" s="139" t="n"/>
      <x:c r="B39" s="139" t="n"/>
      <x:c r="C39" s="139" t="n"/>
      <x:c r="D39" s="139" t="n"/>
      <x:c r="E39" s="139" t="n"/>
      <x:c r="F39" s="139" t="n"/>
      <x:c r="G39" s="139" t="n"/>
      <x:c r="H39" s="139" t="n"/>
      <x:c r="I39" s="139" t="n"/>
      <x:c r="J39" s="139" t="n"/>
      <x:c r="K39" s="139" t="n"/>
      <x:c r="L39" s="139" t="n"/>
      <x:c r="M39" s="139" t="n"/>
      <x:c r="N39" s="139" t="n"/>
      <x:c r="O39" s="139" t="n"/>
      <x:c r="P39" s="139" t="n"/>
      <x:c r="Q39" s="139" t="n"/>
      <x:c r="R39" s="139" t="n"/>
      <x:c r="S39" s="139" t="n"/>
      <x:c r="T39" s="139" t="n"/>
      <x:c r="U39" s="139" t="n"/>
      <x:c r="V39" s="139" t="n"/>
      <x:c r="W39" s="139" t="n"/>
      <x:c r="X39" s="139" t="n"/>
      <x:c r="Y39" s="139" t="n"/>
      <x:c r="Z39" s="139" t="n"/>
      <x:c r="AA39" s="139" t="n"/>
      <x:c r="AB39" s="139" t="n"/>
      <x:c r="AC39" s="139" t="n"/>
      <x:c r="AD39" s="139" t="n"/>
      <x:c r="AE39" s="139" t="n"/>
      <x:c r="AF39" s="139" t="n"/>
      <x:c r="AG39" s="139" t="n"/>
      <x:c r="AH39" s="139" t="n"/>
      <x:c r="AI39" s="139" t="n"/>
      <x:c r="AJ39" s="139" t="n"/>
      <x:c r="AK39" s="139" t="n"/>
      <x:c r="AL39" s="139" t="n"/>
      <x:c r="AM39" s="139" t="n"/>
      <x:c r="AN39" s="139" t="n"/>
      <x:c r="AO39" s="139" t="n"/>
      <x:c r="AP39" s="139" t="n"/>
      <x:c r="AQ39" s="139" t="n"/>
      <x:c r="AR39" s="139" t="n"/>
      <x:c r="AS39" s="139" t="n"/>
      <x:c r="AT39" s="139" t="n"/>
      <x:c r="AU39" s="139" t="n"/>
      <x:c r="AV39" s="139" t="n"/>
      <x:c r="AW39" s="139" t="n"/>
      <x:c r="AX39" s="139" t="n"/>
      <x:c r="AY39" s="139" t="n"/>
      <x:c r="AZ39" s="139" t="n"/>
    </x:row>
    <x:row r="40">
      <x:c r="A40" s="139" t="n"/>
      <x:c r="B40" s="139" t="n"/>
      <x:c r="C40" s="139" t="n"/>
      <x:c r="D40" s="139" t="n"/>
      <x:c r="E40" s="139" t="n"/>
      <x:c r="F40" s="139" t="n"/>
      <x:c r="G40" s="139" t="n"/>
      <x:c r="H40" s="139" t="n"/>
      <x:c r="I40" s="139" t="n"/>
      <x:c r="J40" s="139" t="n"/>
      <x:c r="K40" s="139" t="n"/>
      <x:c r="L40" s="139" t="n"/>
      <x:c r="M40" s="139" t="n"/>
      <x:c r="N40" s="139" t="n"/>
      <x:c r="O40" s="139" t="n"/>
      <x:c r="P40" s="139" t="n"/>
      <x:c r="Q40" s="139" t="n"/>
      <x:c r="R40" s="139" t="n"/>
      <x:c r="S40" s="139" t="n"/>
      <x:c r="T40" s="139" t="n"/>
      <x:c r="U40" s="139" t="n"/>
      <x:c r="V40" s="139" t="n"/>
      <x:c r="W40" s="139" t="n"/>
      <x:c r="X40" s="139" t="n"/>
      <x:c r="Y40" s="139" t="n"/>
      <x:c r="Z40" s="139" t="n"/>
      <x:c r="AA40" s="139" t="n"/>
      <x:c r="AB40" s="139" t="n"/>
      <x:c r="AC40" s="139" t="n"/>
      <x:c r="AD40" s="139" t="n"/>
      <x:c r="AE40" s="139" t="n"/>
      <x:c r="AF40" s="139" t="n"/>
      <x:c r="AG40" s="139" t="n"/>
      <x:c r="AH40" s="139" t="n"/>
      <x:c r="AI40" s="139" t="n"/>
      <x:c r="AJ40" s="139" t="n"/>
      <x:c r="AK40" s="139" t="n"/>
      <x:c r="AL40" s="139" t="n"/>
      <x:c r="AM40" s="139" t="n"/>
      <x:c r="AN40" s="139" t="n"/>
      <x:c r="AO40" s="139" t="n"/>
      <x:c r="AP40" s="139" t="n"/>
      <x:c r="AQ40" s="139" t="n"/>
      <x:c r="AR40" s="139" t="n"/>
      <x:c r="AS40" s="139" t="n"/>
      <x:c r="AT40" s="139" t="n"/>
      <x:c r="AU40" s="139" t="n"/>
      <x:c r="AV40" s="139" t="n"/>
      <x:c r="AW40" s="139" t="n"/>
      <x:c r="AX40" s="139" t="n"/>
      <x:c r="AY40" s="139" t="n"/>
      <x:c r="AZ40" s="139" t="n"/>
    </x:row>
    <x:row r="41">
      <x:c r="A41" s="139" t="n"/>
      <x:c r="B41" s="139" t="n"/>
      <x:c r="C41" s="139" t="n"/>
      <x:c r="D41" s="139" t="n"/>
      <x:c r="E41" s="139" t="n"/>
      <x:c r="F41" s="139" t="n"/>
      <x:c r="G41" s="139" t="n"/>
      <x:c r="H41" s="139" t="n"/>
      <x:c r="I41" s="139" t="n"/>
      <x:c r="J41" s="139" t="n"/>
      <x:c r="K41" s="139" t="n"/>
      <x:c r="L41" s="139" t="n"/>
      <x:c r="M41" s="139" t="n"/>
      <x:c r="N41" s="139" t="n"/>
      <x:c r="O41" s="139" t="n"/>
      <x:c r="P41" s="139" t="n"/>
      <x:c r="Q41" s="139" t="n"/>
      <x:c r="R41" s="139" t="n"/>
      <x:c r="S41" s="139" t="n"/>
      <x:c r="T41" s="139" t="n"/>
      <x:c r="U41" s="139" t="n"/>
      <x:c r="V41" s="139" t="n"/>
      <x:c r="W41" s="139" t="n"/>
      <x:c r="X41" s="139" t="n"/>
      <x:c r="Y41" s="139" t="n"/>
      <x:c r="Z41" s="139" t="n"/>
      <x:c r="AA41" s="139" t="n"/>
      <x:c r="AB41" s="139" t="n"/>
      <x:c r="AC41" s="139" t="n"/>
      <x:c r="AD41" s="139" t="n"/>
      <x:c r="AE41" s="139" t="n"/>
      <x:c r="AF41" s="139" t="n"/>
      <x:c r="AG41" s="139" t="n"/>
      <x:c r="AH41" s="139" t="n"/>
      <x:c r="AI41" s="139" t="n"/>
      <x:c r="AJ41" s="139" t="n"/>
      <x:c r="AK41" s="139" t="n"/>
      <x:c r="AL41" s="139" t="n"/>
      <x:c r="AM41" s="139" t="n"/>
      <x:c r="AN41" s="139" t="n"/>
      <x:c r="AO41" s="139" t="n"/>
      <x:c r="AP41" s="139" t="n"/>
      <x:c r="AQ41" s="139" t="n"/>
      <x:c r="AR41" s="139" t="n"/>
      <x:c r="AS41" s="139" t="n"/>
      <x:c r="AT41" s="139" t="n"/>
      <x:c r="AU41" s="139" t="n"/>
      <x:c r="AV41" s="139" t="n"/>
      <x:c r="AW41" s="139" t="n"/>
      <x:c r="AX41" s="139" t="n"/>
      <x:c r="AY41" s="139" t="n"/>
      <x:c r="AZ41" s="139" t="n"/>
    </x:row>
    <x:row r="42">
      <x:c r="A42" s="139" t="n"/>
      <x:c r="B42" s="139" t="n"/>
      <x:c r="C42" s="139" t="n"/>
      <x:c r="D42" s="139" t="n"/>
      <x:c r="E42" s="139" t="n"/>
      <x:c r="F42" s="139" t="n"/>
      <x:c r="G42" s="139" t="n"/>
      <x:c r="H42" s="139" t="n"/>
      <x:c r="I42" s="139" t="n"/>
      <x:c r="J42" s="139" t="n"/>
      <x:c r="K42" s="139" t="n"/>
      <x:c r="L42" s="139" t="n"/>
      <x:c r="M42" s="139" t="n"/>
      <x:c r="N42" s="139" t="n"/>
      <x:c r="O42" s="139" t="n"/>
      <x:c r="P42" s="139" t="n"/>
      <x:c r="Q42" s="139" t="n"/>
      <x:c r="R42" s="139" t="n"/>
      <x:c r="S42" s="139" t="n"/>
      <x:c r="T42" s="139" t="n"/>
      <x:c r="U42" s="139" t="n"/>
      <x:c r="V42" s="139" t="n"/>
      <x:c r="W42" s="139" t="n"/>
      <x:c r="X42" s="139" t="n"/>
      <x:c r="Y42" s="139" t="n"/>
      <x:c r="Z42" s="139" t="n"/>
      <x:c r="AA42" s="139" t="n"/>
      <x:c r="AB42" s="139" t="n"/>
      <x:c r="AC42" s="139" t="n"/>
      <x:c r="AD42" s="139" t="n"/>
      <x:c r="AE42" s="139" t="n"/>
      <x:c r="AF42" s="139" t="n"/>
      <x:c r="AG42" s="139" t="n"/>
      <x:c r="AH42" s="139" t="n"/>
      <x:c r="AI42" s="139" t="n"/>
      <x:c r="AJ42" s="139" t="n"/>
      <x:c r="AK42" s="139" t="n"/>
      <x:c r="AL42" s="139" t="n"/>
      <x:c r="AM42" s="139" t="n"/>
      <x:c r="AN42" s="139" t="n"/>
      <x:c r="AO42" s="139" t="n"/>
      <x:c r="AP42" s="139" t="n"/>
      <x:c r="AQ42" s="139" t="n"/>
      <x:c r="AR42" s="139" t="n"/>
      <x:c r="AS42" s="139" t="n"/>
      <x:c r="AT42" s="139" t="n"/>
      <x:c r="AU42" s="139" t="n"/>
      <x:c r="AV42" s="139" t="n"/>
      <x:c r="AW42" s="139" t="n"/>
      <x:c r="AX42" s="139" t="n"/>
      <x:c r="AY42" s="139" t="n"/>
      <x:c r="AZ42" s="139" t="n"/>
    </x:row>
    <x:row r="43">
      <x:c r="A43" s="139" t="n"/>
      <x:c r="B43" s="139" t="n"/>
      <x:c r="C43" s="139" t="n"/>
      <x:c r="D43" s="139" t="n"/>
      <x:c r="E43" s="139" t="n"/>
      <x:c r="F43" s="139" t="n"/>
      <x:c r="G43" s="139" t="n"/>
      <x:c r="H43" s="139" t="n"/>
      <x:c r="I43" s="139" t="n"/>
      <x:c r="J43" s="139" t="n"/>
      <x:c r="K43" s="139" t="n"/>
      <x:c r="L43" s="139" t="n"/>
      <x:c r="M43" s="139" t="n"/>
      <x:c r="N43" s="139" t="n"/>
      <x:c r="O43" s="139" t="n"/>
      <x:c r="P43" s="139" t="n"/>
      <x:c r="Q43" s="139" t="n"/>
      <x:c r="R43" s="139" t="n"/>
      <x:c r="S43" s="139" t="n"/>
      <x:c r="T43" s="139" t="n"/>
      <x:c r="U43" s="139" t="n"/>
      <x:c r="V43" s="139" t="n"/>
      <x:c r="W43" s="139" t="n"/>
      <x:c r="X43" s="139" t="n"/>
      <x:c r="Y43" s="139" t="n"/>
      <x:c r="Z43" s="139" t="n"/>
      <x:c r="AA43" s="139" t="n"/>
      <x:c r="AB43" s="139" t="n"/>
      <x:c r="AC43" s="139" t="n"/>
      <x:c r="AD43" s="139" t="n"/>
      <x:c r="AE43" s="139" t="n"/>
      <x:c r="AF43" s="139" t="n"/>
      <x:c r="AG43" s="139" t="n"/>
      <x:c r="AH43" s="139" t="n"/>
      <x:c r="AI43" s="139" t="n"/>
      <x:c r="AJ43" s="139" t="n"/>
      <x:c r="AK43" s="139" t="n"/>
      <x:c r="AL43" s="139" t="n"/>
      <x:c r="AM43" s="139" t="n"/>
      <x:c r="AN43" s="139" t="n"/>
      <x:c r="AO43" s="139" t="n"/>
      <x:c r="AP43" s="139" t="n"/>
      <x:c r="AQ43" s="139" t="n"/>
      <x:c r="AR43" s="139" t="n"/>
      <x:c r="AS43" s="139" t="n"/>
      <x:c r="AT43" s="139" t="n"/>
      <x:c r="AU43" s="139" t="n"/>
      <x:c r="AV43" s="139" t="n"/>
      <x:c r="AW43" s="139" t="n"/>
      <x:c r="AX43" s="139" t="n"/>
      <x:c r="AY43" s="139" t="n"/>
      <x:c r="AZ43" s="139" t="n"/>
    </x:row>
    <x:row r="44">
      <x:c r="A44" s="139" t="n"/>
      <x:c r="B44" s="139" t="n"/>
      <x:c r="C44" s="139" t="n"/>
      <x:c r="D44" s="139" t="n"/>
      <x:c r="E44" s="139" t="n"/>
      <x:c r="F44" s="139" t="n"/>
      <x:c r="G44" s="139" t="n"/>
      <x:c r="H44" s="139" t="n"/>
      <x:c r="I44" s="139" t="n"/>
      <x:c r="J44" s="139" t="n"/>
      <x:c r="K44" s="139" t="n"/>
      <x:c r="L44" s="139" t="n"/>
      <x:c r="M44" s="139" t="n"/>
      <x:c r="N44" s="139" t="n"/>
      <x:c r="O44" s="139" t="n"/>
      <x:c r="P44" s="139" t="n"/>
      <x:c r="Q44" s="139" t="n"/>
      <x:c r="R44" s="139" t="n"/>
      <x:c r="S44" s="139" t="n"/>
      <x:c r="T44" s="139" t="n"/>
      <x:c r="U44" s="139" t="n"/>
      <x:c r="V44" s="139" t="n"/>
      <x:c r="W44" s="139" t="n"/>
      <x:c r="X44" s="139" t="n"/>
      <x:c r="Y44" s="139" t="n"/>
      <x:c r="Z44" s="139" t="n"/>
      <x:c r="AA44" s="139" t="n"/>
      <x:c r="AB44" s="139" t="n"/>
      <x:c r="AC44" s="139" t="n"/>
      <x:c r="AD44" s="139" t="n"/>
      <x:c r="AE44" s="139" t="n"/>
      <x:c r="AF44" s="139" t="n"/>
      <x:c r="AG44" s="139" t="n"/>
      <x:c r="AH44" s="139" t="n"/>
      <x:c r="AI44" s="139" t="n"/>
      <x:c r="AJ44" s="139" t="n"/>
      <x:c r="AK44" s="139" t="n"/>
      <x:c r="AL44" s="139" t="n"/>
      <x:c r="AM44" s="139" t="n"/>
      <x:c r="AN44" s="139" t="n"/>
      <x:c r="AO44" s="139" t="n"/>
      <x:c r="AP44" s="139" t="n"/>
      <x:c r="AQ44" s="139" t="n"/>
      <x:c r="AR44" s="139" t="n"/>
      <x:c r="AS44" s="139" t="n"/>
      <x:c r="AT44" s="139" t="n"/>
      <x:c r="AU44" s="139" t="n"/>
      <x:c r="AV44" s="139" t="n"/>
      <x:c r="AW44" s="139" t="n"/>
      <x:c r="AX44" s="139" t="n"/>
      <x:c r="AY44" s="139" t="n"/>
      <x:c r="AZ44" s="139" t="n"/>
    </x:row>
    <x:row r="45">
      <x:c r="A45" s="139" t="n"/>
      <x:c r="B45" s="139" t="n"/>
      <x:c r="C45" s="139" t="n"/>
      <x:c r="D45" s="139" t="n"/>
      <x:c r="E45" s="139" t="n"/>
      <x:c r="F45" s="139" t="n"/>
      <x:c r="G45" s="139" t="n"/>
      <x:c r="H45" s="139" t="n"/>
      <x:c r="I45" s="139" t="n"/>
      <x:c r="J45" s="139" t="n"/>
      <x:c r="K45" s="139" t="n"/>
      <x:c r="L45" s="139" t="n"/>
      <x:c r="M45" s="139" t="n"/>
      <x:c r="N45" s="139" t="n"/>
      <x:c r="O45" s="139" t="n"/>
      <x:c r="P45" s="139" t="n"/>
      <x:c r="Q45" s="139" t="n"/>
      <x:c r="R45" s="139" t="n"/>
      <x:c r="S45" s="139" t="n"/>
      <x:c r="T45" s="139" t="n"/>
      <x:c r="U45" s="139" t="n"/>
      <x:c r="V45" s="139" t="n"/>
      <x:c r="W45" s="139" t="n"/>
      <x:c r="X45" s="139" t="n"/>
      <x:c r="Y45" s="139" t="n"/>
      <x:c r="Z45" s="139" t="n"/>
      <x:c r="AA45" s="139" t="n"/>
      <x:c r="AB45" s="139" t="n"/>
      <x:c r="AC45" s="139" t="n"/>
      <x:c r="AD45" s="139" t="n"/>
      <x:c r="AE45" s="139" t="n"/>
      <x:c r="AF45" s="139" t="n"/>
      <x:c r="AG45" s="139" t="n"/>
      <x:c r="AH45" s="139" t="n"/>
      <x:c r="AI45" s="139" t="n"/>
      <x:c r="AJ45" s="139" t="n"/>
      <x:c r="AK45" s="139" t="n"/>
      <x:c r="AL45" s="139" t="n"/>
      <x:c r="AM45" s="139" t="n"/>
      <x:c r="AN45" s="139" t="n"/>
      <x:c r="AO45" s="139" t="n"/>
      <x:c r="AP45" s="139" t="n"/>
      <x:c r="AQ45" s="139" t="n"/>
      <x:c r="AR45" s="139" t="n"/>
      <x:c r="AS45" s="139" t="n"/>
      <x:c r="AT45" s="139" t="n"/>
      <x:c r="AU45" s="139" t="n"/>
      <x:c r="AV45" s="139" t="n"/>
      <x:c r="AW45" s="139" t="n"/>
      <x:c r="AX45" s="139" t="n"/>
      <x:c r="AY45" s="139" t="n"/>
      <x:c r="AZ45" s="139" t="n"/>
    </x:row>
    <x:row r="46">
      <x:c r="A46" s="139" t="n"/>
      <x:c r="B46" s="139" t="n"/>
      <x:c r="C46" s="139" t="n"/>
      <x:c r="D46" s="139" t="n"/>
      <x:c r="E46" s="139" t="n"/>
      <x:c r="F46" s="139" t="n"/>
      <x:c r="G46" s="139" t="n"/>
      <x:c r="H46" s="139" t="n"/>
      <x:c r="I46" s="139" t="n"/>
      <x:c r="J46" s="139" t="n"/>
      <x:c r="K46" s="139" t="n"/>
      <x:c r="L46" s="139" t="n"/>
      <x:c r="M46" s="139" t="n"/>
      <x:c r="N46" s="139" t="n"/>
      <x:c r="O46" s="139" t="n"/>
      <x:c r="P46" s="139" t="n"/>
      <x:c r="Q46" s="139" t="n"/>
      <x:c r="R46" s="139" t="n"/>
      <x:c r="S46" s="139" t="n"/>
      <x:c r="T46" s="139" t="n"/>
      <x:c r="U46" s="139" t="n"/>
      <x:c r="V46" s="139" t="n"/>
      <x:c r="W46" s="139" t="n"/>
      <x:c r="X46" s="139" t="n"/>
      <x:c r="Y46" s="139" t="n"/>
      <x:c r="Z46" s="139" t="n"/>
      <x:c r="AA46" s="139" t="n"/>
      <x:c r="AB46" s="139" t="n"/>
      <x:c r="AC46" s="139" t="n"/>
      <x:c r="AD46" s="139" t="n"/>
      <x:c r="AE46" s="139" t="n"/>
      <x:c r="AF46" s="139" t="n"/>
      <x:c r="AG46" s="139" t="n"/>
      <x:c r="AH46" s="139" t="n"/>
      <x:c r="AI46" s="139" t="n"/>
      <x:c r="AJ46" s="139" t="n"/>
      <x:c r="AK46" s="139" t="n"/>
      <x:c r="AL46" s="139" t="n"/>
      <x:c r="AM46" s="139" t="n"/>
      <x:c r="AN46" s="139" t="n"/>
      <x:c r="AO46" s="139" t="n"/>
      <x:c r="AP46" s="139" t="n"/>
      <x:c r="AQ46" s="139" t="n"/>
      <x:c r="AR46" s="139" t="n"/>
      <x:c r="AS46" s="139" t="n"/>
      <x:c r="AT46" s="139" t="n"/>
      <x:c r="AU46" s="139" t="n"/>
      <x:c r="AV46" s="139" t="n"/>
      <x:c r="AW46" s="139" t="n"/>
      <x:c r="AX46" s="139" t="n"/>
      <x:c r="AY46" s="139" t="n"/>
      <x:c r="AZ46" s="139" t="n"/>
    </x:row>
    <x:row r="47">
      <x:c r="A47" s="139" t="n"/>
      <x:c r="B47" s="139" t="n"/>
      <x:c r="C47" s="139" t="n"/>
      <x:c r="D47" s="139" t="n"/>
      <x:c r="E47" s="139" t="n"/>
      <x:c r="F47" s="139" t="n"/>
      <x:c r="G47" s="139" t="n"/>
      <x:c r="H47" s="139" t="n"/>
      <x:c r="I47" s="139" t="n"/>
      <x:c r="J47" s="139" t="n"/>
      <x:c r="K47" s="139" t="n"/>
      <x:c r="L47" s="139" t="n"/>
      <x:c r="M47" s="139" t="n"/>
      <x:c r="N47" s="139" t="n"/>
      <x:c r="O47" s="139" t="n"/>
      <x:c r="P47" s="139" t="n"/>
      <x:c r="Q47" s="139" t="n"/>
      <x:c r="R47" s="139" t="n"/>
      <x:c r="S47" s="139" t="n"/>
      <x:c r="T47" s="139" t="n"/>
      <x:c r="U47" s="139" t="n"/>
      <x:c r="V47" s="139" t="n"/>
      <x:c r="W47" s="139" t="n"/>
      <x:c r="X47" s="139" t="n"/>
      <x:c r="Y47" s="139" t="n"/>
      <x:c r="Z47" s="139" t="n"/>
      <x:c r="AA47" s="139" t="n"/>
      <x:c r="AB47" s="139" t="n"/>
      <x:c r="AC47" s="139" t="n"/>
      <x:c r="AD47" s="139" t="n"/>
      <x:c r="AE47" s="139" t="n"/>
      <x:c r="AF47" s="139" t="n"/>
      <x:c r="AG47" s="139" t="n"/>
      <x:c r="AH47" s="139" t="n"/>
      <x:c r="AI47" s="139" t="n"/>
      <x:c r="AJ47" s="139" t="n"/>
      <x:c r="AK47" s="139" t="n"/>
      <x:c r="AL47" s="139" t="n"/>
      <x:c r="AM47" s="139" t="n"/>
      <x:c r="AN47" s="139" t="n"/>
      <x:c r="AO47" s="139" t="n"/>
      <x:c r="AP47" s="139" t="n"/>
      <x:c r="AQ47" s="139" t="n"/>
      <x:c r="AR47" s="139" t="n"/>
      <x:c r="AS47" s="139" t="n"/>
      <x:c r="AT47" s="139" t="n"/>
      <x:c r="AU47" s="139" t="n"/>
      <x:c r="AV47" s="139" t="n"/>
      <x:c r="AW47" s="139" t="n"/>
      <x:c r="AX47" s="139" t="n"/>
      <x:c r="AY47" s="139" t="n"/>
      <x:c r="AZ47" s="139" t="n"/>
    </x:row>
    <x:row r="48">
      <x:c r="A48" s="139" t="n"/>
      <x:c r="B48" s="139" t="n"/>
      <x:c r="C48" s="139" t="n"/>
      <x:c r="D48" s="139" t="n"/>
      <x:c r="E48" s="139" t="n"/>
      <x:c r="F48" s="139" t="n"/>
      <x:c r="G48" s="139" t="n"/>
      <x:c r="H48" s="139" t="n"/>
      <x:c r="I48" s="139" t="n"/>
      <x:c r="J48" s="139" t="n"/>
      <x:c r="K48" s="139" t="n"/>
      <x:c r="L48" s="139" t="n"/>
      <x:c r="M48" s="139" t="n"/>
      <x:c r="N48" s="139" t="n"/>
      <x:c r="O48" s="139" t="n"/>
      <x:c r="P48" s="139" t="n"/>
      <x:c r="Q48" s="139" t="n"/>
      <x:c r="R48" s="139" t="n"/>
      <x:c r="S48" s="139" t="n"/>
      <x:c r="T48" s="139" t="n"/>
      <x:c r="U48" s="139" t="n"/>
      <x:c r="V48" s="139" t="n"/>
      <x:c r="W48" s="139" t="n"/>
      <x:c r="X48" s="139" t="n"/>
      <x:c r="Y48" s="139" t="n"/>
      <x:c r="Z48" s="139" t="n"/>
      <x:c r="AA48" s="139" t="n"/>
      <x:c r="AB48" s="139" t="n"/>
      <x:c r="AC48" s="139" t="n"/>
      <x:c r="AD48" s="139" t="n"/>
      <x:c r="AE48" s="139" t="n"/>
      <x:c r="AF48" s="139" t="n"/>
      <x:c r="AG48" s="139" t="n"/>
      <x:c r="AH48" s="139" t="n"/>
      <x:c r="AI48" s="139" t="n"/>
      <x:c r="AJ48" s="139" t="n"/>
      <x:c r="AK48" s="139" t="n"/>
      <x:c r="AL48" s="139" t="n"/>
      <x:c r="AM48" s="139" t="n"/>
      <x:c r="AN48" s="139" t="n"/>
      <x:c r="AO48" s="139" t="n"/>
      <x:c r="AP48" s="139" t="n"/>
      <x:c r="AQ48" s="139" t="n"/>
      <x:c r="AR48" s="139" t="n"/>
      <x:c r="AS48" s="139" t="n"/>
      <x:c r="AT48" s="139" t="n"/>
      <x:c r="AU48" s="139" t="n"/>
      <x:c r="AV48" s="139" t="n"/>
      <x:c r="AW48" s="139" t="n"/>
      <x:c r="AX48" s="139" t="n"/>
      <x:c r="AY48" s="139" t="n"/>
      <x:c r="AZ48" s="139" t="n"/>
    </x:row>
    <x:row r="49">
      <x:c r="A49" s="139" t="n"/>
      <x:c r="B49" s="139" t="n"/>
      <x:c r="C49" s="139" t="n"/>
      <x:c r="D49" s="139" t="n"/>
      <x:c r="E49" s="139" t="n"/>
      <x:c r="F49" s="139" t="n"/>
      <x:c r="G49" s="139" t="n"/>
      <x:c r="H49" s="139" t="n"/>
      <x:c r="I49" s="139" t="n"/>
      <x:c r="J49" s="139" t="n"/>
      <x:c r="K49" s="139" t="n"/>
      <x:c r="L49" s="139" t="n"/>
      <x:c r="M49" s="139" t="n"/>
      <x:c r="N49" s="139" t="n"/>
      <x:c r="O49" s="139" t="n"/>
      <x:c r="P49" s="139" t="n"/>
      <x:c r="Q49" s="139" t="n"/>
      <x:c r="R49" s="139" t="n"/>
      <x:c r="S49" s="139" t="n"/>
      <x:c r="T49" s="139" t="n"/>
      <x:c r="U49" s="139" t="n"/>
      <x:c r="V49" s="139" t="n"/>
      <x:c r="W49" s="139" t="n"/>
      <x:c r="X49" s="139" t="n"/>
      <x:c r="Y49" s="139" t="n"/>
      <x:c r="Z49" s="139" t="n"/>
      <x:c r="AA49" s="139" t="n"/>
      <x:c r="AB49" s="139" t="n"/>
      <x:c r="AC49" s="139" t="n"/>
      <x:c r="AD49" s="139" t="n"/>
      <x:c r="AE49" s="139" t="n"/>
      <x:c r="AF49" s="139" t="n"/>
      <x:c r="AG49" s="139" t="n"/>
      <x:c r="AH49" s="139" t="n"/>
      <x:c r="AI49" s="139" t="n"/>
      <x:c r="AJ49" s="139" t="n"/>
      <x:c r="AK49" s="139" t="n"/>
      <x:c r="AL49" s="139" t="n"/>
      <x:c r="AM49" s="139" t="n"/>
      <x:c r="AN49" s="139" t="n"/>
      <x:c r="AO49" s="139" t="n"/>
      <x:c r="AP49" s="139" t="n"/>
      <x:c r="AQ49" s="139" t="n"/>
      <x:c r="AR49" s="139" t="n"/>
      <x:c r="AS49" s="139" t="n"/>
      <x:c r="AT49" s="139" t="n"/>
      <x:c r="AU49" s="139" t="n"/>
      <x:c r="AV49" s="139" t="n"/>
      <x:c r="AW49" s="139" t="n"/>
      <x:c r="AX49" s="139" t="n"/>
      <x:c r="AY49" s="139" t="n"/>
      <x:c r="AZ49" s="139" t="n"/>
    </x:row>
    <x:row r="50">
      <x:c r="A50" s="139" t="n"/>
      <x:c r="B50" s="139" t="n"/>
      <x:c r="C50" s="139" t="n"/>
      <x:c r="D50" s="139" t="n"/>
      <x:c r="E50" s="139" t="n"/>
      <x:c r="F50" s="139" t="n"/>
      <x:c r="G50" s="139" t="n"/>
      <x:c r="H50" s="139" t="n"/>
      <x:c r="I50" s="139" t="n"/>
      <x:c r="J50" s="139" t="n"/>
      <x:c r="K50" s="139" t="n"/>
      <x:c r="L50" s="139" t="n"/>
      <x:c r="M50" s="139" t="n"/>
      <x:c r="N50" s="139" t="n"/>
      <x:c r="O50" s="139" t="n"/>
      <x:c r="P50" s="139" t="n"/>
      <x:c r="Q50" s="139" t="n"/>
      <x:c r="R50" s="139" t="n"/>
      <x:c r="S50" s="139" t="n"/>
      <x:c r="T50" s="139" t="n"/>
      <x:c r="U50" s="139" t="n"/>
      <x:c r="V50" s="139" t="n"/>
      <x:c r="W50" s="139" t="n"/>
      <x:c r="X50" s="139" t="n"/>
      <x:c r="Y50" s="139" t="n"/>
      <x:c r="Z50" s="139" t="n"/>
      <x:c r="AA50" s="139" t="n"/>
      <x:c r="AB50" s="139" t="n"/>
      <x:c r="AC50" s="139" t="n"/>
      <x:c r="AD50" s="139" t="n"/>
      <x:c r="AE50" s="139" t="n"/>
      <x:c r="AF50" s="139" t="n"/>
      <x:c r="AG50" s="139" t="n"/>
      <x:c r="AH50" s="139" t="n"/>
      <x:c r="AI50" s="139" t="n"/>
      <x:c r="AJ50" s="139" t="n"/>
      <x:c r="AK50" s="139" t="n"/>
      <x:c r="AL50" s="139" t="n"/>
      <x:c r="AM50" s="139" t="n"/>
      <x:c r="AN50" s="139" t="n"/>
      <x:c r="AO50" s="139" t="n"/>
      <x:c r="AP50" s="139" t="n"/>
      <x:c r="AQ50" s="139" t="n"/>
      <x:c r="AR50" s="139" t="n"/>
      <x:c r="AS50" s="139" t="n"/>
      <x:c r="AT50" s="139" t="n"/>
      <x:c r="AU50" s="139" t="n"/>
      <x:c r="AV50" s="139" t="n"/>
      <x:c r="AW50" s="139" t="n"/>
      <x:c r="AX50" s="139" t="n"/>
      <x:c r="AY50" s="139" t="n"/>
      <x:c r="AZ50" s="139" t="n"/>
    </x:row>
    <x:row r="51">
      <x:c r="A51" s="139" t="n"/>
      <x:c r="B51" s="139" t="n"/>
      <x:c r="C51" s="139" t="n"/>
      <x:c r="D51" s="139" t="n"/>
      <x:c r="E51" s="139" t="n"/>
      <x:c r="F51" s="139" t="n"/>
      <x:c r="G51" s="139" t="n"/>
      <x:c r="H51" s="139" t="n"/>
      <x:c r="I51" s="139" t="n"/>
      <x:c r="J51" s="139" t="n"/>
      <x:c r="K51" s="139" t="n"/>
      <x:c r="L51" s="139" t="n"/>
      <x:c r="M51" s="139" t="n"/>
      <x:c r="N51" s="139" t="n"/>
      <x:c r="O51" s="139" t="n"/>
      <x:c r="P51" s="139" t="n"/>
      <x:c r="Q51" s="139" t="n"/>
      <x:c r="R51" s="139" t="n"/>
      <x:c r="S51" s="139" t="n"/>
      <x:c r="T51" s="139" t="n"/>
      <x:c r="U51" s="139" t="n"/>
      <x:c r="V51" s="139" t="n"/>
      <x:c r="W51" s="139" t="n"/>
      <x:c r="X51" s="139" t="n"/>
      <x:c r="Y51" s="139" t="n"/>
      <x:c r="Z51" s="139" t="n"/>
      <x:c r="AA51" s="139" t="n"/>
      <x:c r="AB51" s="139" t="n"/>
      <x:c r="AC51" s="139" t="n"/>
      <x:c r="AD51" s="139" t="n"/>
      <x:c r="AE51" s="139" t="n"/>
      <x:c r="AF51" s="139" t="n"/>
      <x:c r="AG51" s="139" t="n"/>
      <x:c r="AH51" s="139" t="n"/>
      <x:c r="AI51" s="139" t="n"/>
      <x:c r="AJ51" s="139" t="n"/>
      <x:c r="AK51" s="139" t="n"/>
      <x:c r="AL51" s="139" t="n"/>
      <x:c r="AM51" s="139" t="n"/>
      <x:c r="AN51" s="139" t="n"/>
      <x:c r="AO51" s="139" t="n"/>
      <x:c r="AP51" s="139" t="n"/>
      <x:c r="AQ51" s="139" t="n"/>
      <x:c r="AR51" s="139" t="n"/>
      <x:c r="AS51" s="139" t="n"/>
      <x:c r="AT51" s="139" t="n"/>
      <x:c r="AU51" s="139" t="n"/>
      <x:c r="AV51" s="139" t="n"/>
      <x:c r="AW51" s="139" t="n"/>
      <x:c r="AX51" s="139" t="n"/>
      <x:c r="AY51" s="139" t="n"/>
      <x:c r="AZ51" s="139" t="n"/>
    </x:row>
    <x:row r="52">
      <x:c r="A52" s="139" t="n"/>
      <x:c r="B52" s="139" t="n"/>
      <x:c r="C52" s="139" t="n"/>
      <x:c r="D52" s="139" t="n"/>
      <x:c r="E52" s="139" t="n"/>
      <x:c r="F52" s="139" t="n"/>
      <x:c r="G52" s="139" t="n"/>
      <x:c r="H52" s="139" t="n"/>
      <x:c r="I52" s="139" t="n"/>
      <x:c r="J52" s="139" t="n"/>
      <x:c r="K52" s="139" t="n"/>
      <x:c r="L52" s="139" t="n"/>
      <x:c r="M52" s="139" t="n"/>
      <x:c r="N52" s="139" t="n"/>
      <x:c r="O52" s="139" t="n"/>
      <x:c r="P52" s="139" t="n"/>
      <x:c r="Q52" s="139" t="n"/>
      <x:c r="R52" s="139" t="n"/>
      <x:c r="S52" s="139" t="n"/>
      <x:c r="T52" s="139" t="n"/>
      <x:c r="U52" s="139" t="n"/>
      <x:c r="V52" s="139" t="n"/>
      <x:c r="W52" s="139" t="n"/>
      <x:c r="X52" s="139" t="n"/>
      <x:c r="Y52" s="139" t="n"/>
      <x:c r="Z52" s="139" t="n"/>
      <x:c r="AA52" s="139" t="n"/>
      <x:c r="AB52" s="139" t="n"/>
      <x:c r="AC52" s="139" t="n"/>
      <x:c r="AD52" s="139" t="n"/>
      <x:c r="AE52" s="139" t="n"/>
      <x:c r="AF52" s="139" t="n"/>
      <x:c r="AG52" s="139" t="n"/>
      <x:c r="AH52" s="139" t="n"/>
      <x:c r="AI52" s="139" t="n"/>
      <x:c r="AJ52" s="139" t="n"/>
      <x:c r="AK52" s="139" t="n"/>
      <x:c r="AL52" s="139" t="n"/>
      <x:c r="AM52" s="139" t="n"/>
      <x:c r="AN52" s="139" t="n"/>
      <x:c r="AO52" s="139" t="n"/>
      <x:c r="AP52" s="139" t="n"/>
      <x:c r="AQ52" s="139" t="n"/>
      <x:c r="AR52" s="139" t="n"/>
      <x:c r="AS52" s="139" t="n"/>
      <x:c r="AT52" s="139" t="n"/>
      <x:c r="AU52" s="139" t="n"/>
      <x:c r="AV52" s="139" t="n"/>
      <x:c r="AW52" s="139" t="n"/>
      <x:c r="AX52" s="139" t="n"/>
      <x:c r="AY52" s="139" t="n"/>
      <x:c r="AZ52" s="139" t="n"/>
    </x:row>
    <x:row r="53">
      <x:c r="A53" s="139" t="n"/>
      <x:c r="B53" s="139" t="n"/>
      <x:c r="C53" s="139" t="n"/>
      <x:c r="D53" s="139" t="n"/>
      <x:c r="E53" s="139" t="n"/>
      <x:c r="F53" s="139" t="n"/>
      <x:c r="G53" s="139" t="n"/>
      <x:c r="H53" s="139" t="n"/>
      <x:c r="I53" s="139" t="n"/>
      <x:c r="J53" s="139" t="n"/>
      <x:c r="K53" s="139" t="n"/>
      <x:c r="L53" s="139" t="n"/>
      <x:c r="M53" s="139" t="n"/>
      <x:c r="N53" s="139" t="n"/>
      <x:c r="O53" s="139" t="n"/>
      <x:c r="P53" s="139" t="n"/>
      <x:c r="Q53" s="139" t="n"/>
      <x:c r="R53" s="139" t="n"/>
      <x:c r="S53" s="139" t="n"/>
      <x:c r="T53" s="139" t="n"/>
      <x:c r="U53" s="139" t="n"/>
      <x:c r="V53" s="139" t="n"/>
      <x:c r="W53" s="139" t="n"/>
      <x:c r="X53" s="139" t="n"/>
      <x:c r="Y53" s="139" t="n"/>
      <x:c r="Z53" s="139" t="n"/>
      <x:c r="AA53" s="139" t="n"/>
      <x:c r="AB53" s="139" t="n"/>
      <x:c r="AC53" s="139" t="n"/>
      <x:c r="AD53" s="139" t="n"/>
      <x:c r="AE53" s="139" t="n"/>
      <x:c r="AF53" s="139" t="n"/>
      <x:c r="AG53" s="139" t="n"/>
      <x:c r="AH53" s="139" t="n"/>
      <x:c r="AI53" s="139" t="n"/>
      <x:c r="AJ53" s="139" t="n"/>
      <x:c r="AK53" s="139" t="n"/>
      <x:c r="AL53" s="139" t="n"/>
      <x:c r="AM53" s="139" t="n"/>
      <x:c r="AN53" s="139" t="n"/>
      <x:c r="AO53" s="139" t="n"/>
      <x:c r="AP53" s="139" t="n"/>
      <x:c r="AQ53" s="139" t="n"/>
      <x:c r="AR53" s="139" t="n"/>
      <x:c r="AS53" s="139" t="n"/>
      <x:c r="AT53" s="139" t="n"/>
      <x:c r="AU53" s="139" t="n"/>
      <x:c r="AV53" s="139" t="n"/>
      <x:c r="AW53" s="139" t="n"/>
      <x:c r="AX53" s="139" t="n"/>
      <x:c r="AY53" s="139" t="n"/>
      <x:c r="AZ53" s="139" t="n"/>
    </x:row>
    <x:row r="54">
      <x:c r="A54" s="139" t="n"/>
      <x:c r="B54" s="139" t="n"/>
      <x:c r="C54" s="139" t="n"/>
      <x:c r="D54" s="139" t="n"/>
      <x:c r="E54" s="139" t="n"/>
      <x:c r="F54" s="139" t="n"/>
      <x:c r="G54" s="139" t="n"/>
      <x:c r="H54" s="139" t="n"/>
      <x:c r="I54" s="139" t="n"/>
      <x:c r="J54" s="139" t="n"/>
      <x:c r="K54" s="139" t="n"/>
      <x:c r="L54" s="139" t="n"/>
      <x:c r="M54" s="139" t="n"/>
      <x:c r="N54" s="139" t="n"/>
      <x:c r="O54" s="139" t="n"/>
      <x:c r="P54" s="139" t="n"/>
      <x:c r="Q54" s="139" t="n"/>
      <x:c r="R54" s="139" t="n"/>
      <x:c r="S54" s="139" t="n"/>
      <x:c r="T54" s="139" t="n"/>
      <x:c r="U54" s="139" t="n"/>
      <x:c r="V54" s="139" t="n"/>
      <x:c r="W54" s="139" t="n"/>
      <x:c r="X54" s="139" t="n"/>
      <x:c r="Y54" s="139" t="n"/>
      <x:c r="Z54" s="139" t="n"/>
      <x:c r="AA54" s="139" t="n"/>
      <x:c r="AB54" s="139" t="n"/>
      <x:c r="AC54" s="139" t="n"/>
      <x:c r="AD54" s="139" t="n"/>
      <x:c r="AE54" s="139" t="n"/>
      <x:c r="AF54" s="139" t="n"/>
      <x:c r="AG54" s="139" t="n"/>
      <x:c r="AH54" s="139" t="n"/>
      <x:c r="AI54" s="139" t="n"/>
      <x:c r="AJ54" s="139" t="n"/>
      <x:c r="AK54" s="139" t="n"/>
      <x:c r="AL54" s="139" t="n"/>
      <x:c r="AM54" s="139" t="n"/>
      <x:c r="AN54" s="139" t="n"/>
      <x:c r="AO54" s="139" t="n"/>
      <x:c r="AP54" s="139" t="n"/>
      <x:c r="AQ54" s="139" t="n"/>
      <x:c r="AR54" s="139" t="n"/>
      <x:c r="AS54" s="139" t="n"/>
      <x:c r="AT54" s="139" t="n"/>
      <x:c r="AU54" s="139" t="n"/>
      <x:c r="AV54" s="139" t="n"/>
      <x:c r="AW54" s="139" t="n"/>
      <x:c r="AX54" s="139" t="n"/>
      <x:c r="AY54" s="139" t="n"/>
      <x:c r="AZ54" s="139" t="n"/>
    </x:row>
    <x:row r="55">
      <x:c r="A55" s="139" t="n"/>
      <x:c r="B55" s="139" t="n"/>
      <x:c r="C55" s="139" t="n"/>
      <x:c r="D55" s="139" t="n"/>
      <x:c r="E55" s="139" t="n"/>
      <x:c r="F55" s="139" t="n"/>
      <x:c r="G55" s="139" t="n"/>
      <x:c r="H55" s="139" t="n"/>
      <x:c r="I55" s="139" t="n"/>
      <x:c r="J55" s="139" t="n"/>
      <x:c r="K55" s="139" t="n"/>
      <x:c r="L55" s="139" t="n"/>
      <x:c r="M55" s="139" t="n"/>
      <x:c r="N55" s="139" t="n"/>
      <x:c r="O55" s="139" t="n"/>
      <x:c r="P55" s="139" t="n"/>
      <x:c r="Q55" s="139" t="n"/>
      <x:c r="R55" s="139" t="n"/>
      <x:c r="S55" s="139" t="n"/>
      <x:c r="T55" s="139" t="n"/>
      <x:c r="U55" s="139" t="n"/>
      <x:c r="V55" s="139" t="n"/>
      <x:c r="W55" s="139" t="n"/>
      <x:c r="X55" s="139" t="n"/>
      <x:c r="Y55" s="139" t="n"/>
      <x:c r="Z55" s="139" t="n"/>
      <x:c r="AA55" s="139" t="n"/>
      <x:c r="AB55" s="139" t="n"/>
      <x:c r="AC55" s="139" t="n"/>
      <x:c r="AD55" s="139" t="n"/>
      <x:c r="AE55" s="139" t="n"/>
      <x:c r="AF55" s="139" t="n"/>
      <x:c r="AG55" s="139" t="n"/>
      <x:c r="AH55" s="139" t="n"/>
      <x:c r="AI55" s="139" t="n"/>
      <x:c r="AJ55" s="139" t="n"/>
      <x:c r="AK55" s="139" t="n"/>
      <x:c r="AL55" s="139" t="n"/>
      <x:c r="AM55" s="139" t="n"/>
      <x:c r="AN55" s="139" t="n"/>
      <x:c r="AO55" s="139" t="n"/>
      <x:c r="AP55" s="139" t="n"/>
      <x:c r="AQ55" s="139" t="n"/>
      <x:c r="AR55" s="139" t="n"/>
      <x:c r="AS55" s="139" t="n"/>
      <x:c r="AT55" s="139" t="n"/>
      <x:c r="AU55" s="139" t="n"/>
      <x:c r="AV55" s="139" t="n"/>
      <x:c r="AW55" s="139" t="n"/>
      <x:c r="AX55" s="139" t="n"/>
      <x:c r="AY55" s="139" t="n"/>
      <x:c r="AZ55" s="139" t="n"/>
    </x:row>
    <x:row r="56">
      <x:c r="A56" s="139" t="n"/>
      <x:c r="B56" s="139" t="n"/>
      <x:c r="C56" s="139" t="n"/>
      <x:c r="D56" s="139" t="n"/>
      <x:c r="E56" s="139" t="n"/>
      <x:c r="F56" s="139" t="n"/>
      <x:c r="G56" s="139" t="n"/>
      <x:c r="H56" s="139" t="n"/>
      <x:c r="I56" s="139" t="n"/>
      <x:c r="J56" s="139" t="n"/>
      <x:c r="K56" s="139" t="n"/>
      <x:c r="L56" s="139" t="n"/>
      <x:c r="M56" s="139" t="n"/>
      <x:c r="N56" s="139" t="n"/>
      <x:c r="O56" s="139" t="n"/>
      <x:c r="P56" s="139" t="n"/>
      <x:c r="Q56" s="139" t="n"/>
      <x:c r="R56" s="139" t="n"/>
      <x:c r="S56" s="139" t="n"/>
      <x:c r="T56" s="139" t="n"/>
      <x:c r="U56" s="139" t="n"/>
      <x:c r="V56" s="139" t="n"/>
      <x:c r="W56" s="139" t="n"/>
      <x:c r="X56" s="139" t="n"/>
      <x:c r="Y56" s="139" t="n"/>
      <x:c r="Z56" s="139" t="n"/>
      <x:c r="AA56" s="139" t="n"/>
      <x:c r="AB56" s="139" t="n"/>
      <x:c r="AC56" s="139" t="n"/>
      <x:c r="AD56" s="139" t="n"/>
      <x:c r="AE56" s="139" t="n"/>
      <x:c r="AF56" s="139" t="n"/>
      <x:c r="AG56" s="139" t="n"/>
      <x:c r="AH56" s="139" t="n"/>
      <x:c r="AI56" s="139" t="n"/>
      <x:c r="AJ56" s="139" t="n"/>
      <x:c r="AK56" s="139" t="n"/>
      <x:c r="AL56" s="139" t="n"/>
      <x:c r="AM56" s="139" t="n"/>
      <x:c r="AN56" s="139" t="n"/>
      <x:c r="AO56" s="139" t="n"/>
      <x:c r="AP56" s="139" t="n"/>
      <x:c r="AQ56" s="139" t="n"/>
      <x:c r="AR56" s="139" t="n"/>
      <x:c r="AS56" s="139" t="n"/>
      <x:c r="AT56" s="139" t="n"/>
      <x:c r="AU56" s="139" t="n"/>
      <x:c r="AV56" s="139" t="n"/>
      <x:c r="AW56" s="139" t="n"/>
      <x:c r="AX56" s="139" t="n"/>
      <x:c r="AY56" s="139" t="n"/>
      <x:c r="AZ56" s="139" t="n"/>
    </x:row>
    <x:row r="57">
      <x:c r="A57" s="139" t="n"/>
      <x:c r="B57" s="139" t="n"/>
      <x:c r="C57" s="139" t="n"/>
      <x:c r="D57" s="139" t="n"/>
      <x:c r="E57" s="139" t="n"/>
      <x:c r="F57" s="139" t="n"/>
      <x:c r="G57" s="139" t="n"/>
      <x:c r="H57" s="139" t="n"/>
      <x:c r="I57" s="139" t="n"/>
      <x:c r="J57" s="139" t="n"/>
      <x:c r="K57" s="139" t="n"/>
      <x:c r="L57" s="139" t="n"/>
      <x:c r="M57" s="139" t="n"/>
      <x:c r="N57" s="139" t="n"/>
      <x:c r="O57" s="139" t="n"/>
      <x:c r="P57" s="139" t="n"/>
      <x:c r="Q57" s="139" t="n"/>
      <x:c r="R57" s="139" t="n"/>
      <x:c r="S57" s="139" t="n"/>
      <x:c r="T57" s="139" t="n"/>
      <x:c r="U57" s="139" t="n"/>
      <x:c r="V57" s="139" t="n"/>
      <x:c r="W57" s="139" t="n"/>
      <x:c r="X57" s="139" t="n"/>
      <x:c r="Y57" s="139" t="n"/>
      <x:c r="Z57" s="139" t="n"/>
      <x:c r="AA57" s="139" t="n"/>
      <x:c r="AB57" s="139" t="n"/>
      <x:c r="AC57" s="139" t="n"/>
      <x:c r="AD57" s="139" t="n"/>
      <x:c r="AE57" s="139" t="n"/>
      <x:c r="AF57" s="139" t="n"/>
      <x:c r="AG57" s="139" t="n"/>
      <x:c r="AH57" s="139" t="n"/>
      <x:c r="AI57" s="139" t="n"/>
      <x:c r="AJ57" s="139" t="n"/>
      <x:c r="AK57" s="139" t="n"/>
      <x:c r="AL57" s="139" t="n"/>
      <x:c r="AM57" s="139" t="n"/>
      <x:c r="AN57" s="139" t="n"/>
      <x:c r="AO57" s="139" t="n"/>
      <x:c r="AP57" s="139" t="n"/>
      <x:c r="AQ57" s="139" t="n"/>
      <x:c r="AR57" s="139" t="n"/>
      <x:c r="AS57" s="139" t="n"/>
      <x:c r="AT57" s="139" t="n"/>
      <x:c r="AU57" s="139" t="n"/>
      <x:c r="AV57" s="139" t="n"/>
      <x:c r="AW57" s="139" t="n"/>
      <x:c r="AX57" s="139" t="n"/>
      <x:c r="AY57" s="139" t="n"/>
      <x:c r="AZ57" s="139" t="n"/>
    </x:row>
    <x:row r="58">
      <x:c r="A58" s="139" t="n"/>
      <x:c r="B58" s="139" t="n"/>
      <x:c r="C58" s="139" t="n"/>
      <x:c r="D58" s="139" t="n"/>
      <x:c r="E58" s="139" t="n"/>
      <x:c r="F58" s="139" t="n"/>
      <x:c r="G58" s="139" t="n"/>
      <x:c r="H58" s="139" t="n"/>
      <x:c r="I58" s="139" t="n"/>
      <x:c r="J58" s="139" t="n"/>
      <x:c r="K58" s="139" t="n"/>
      <x:c r="L58" s="139" t="n"/>
      <x:c r="M58" s="139" t="n"/>
      <x:c r="N58" s="139" t="n"/>
      <x:c r="O58" s="139" t="n"/>
      <x:c r="P58" s="139" t="n"/>
      <x:c r="Q58" s="139" t="n"/>
      <x:c r="R58" s="139" t="n"/>
      <x:c r="S58" s="139" t="n"/>
      <x:c r="T58" s="139" t="n"/>
      <x:c r="U58" s="139" t="n"/>
      <x:c r="V58" s="139" t="n"/>
      <x:c r="W58" s="139" t="n"/>
      <x:c r="X58" s="139" t="n"/>
      <x:c r="Y58" s="139" t="n"/>
      <x:c r="Z58" s="139" t="n"/>
      <x:c r="AA58" s="139" t="n"/>
      <x:c r="AB58" s="139" t="n"/>
      <x:c r="AC58" s="139" t="n"/>
      <x:c r="AD58" s="139" t="n"/>
      <x:c r="AE58" s="139" t="n"/>
      <x:c r="AF58" s="139" t="n"/>
      <x:c r="AG58" s="139" t="n"/>
      <x:c r="AH58" s="139" t="n"/>
      <x:c r="AI58" s="139" t="n"/>
      <x:c r="AJ58" s="139" t="n"/>
      <x:c r="AK58" s="139" t="n"/>
      <x:c r="AL58" s="139" t="n"/>
      <x:c r="AM58" s="139" t="n"/>
      <x:c r="AN58" s="139" t="n"/>
      <x:c r="AO58" s="139" t="n"/>
      <x:c r="AP58" s="139" t="n"/>
      <x:c r="AQ58" s="139" t="n"/>
      <x:c r="AR58" s="139" t="n"/>
      <x:c r="AS58" s="139" t="n"/>
      <x:c r="AT58" s="139" t="n"/>
      <x:c r="AU58" s="139" t="n"/>
      <x:c r="AV58" s="139" t="n"/>
      <x:c r="AW58" s="139" t="n"/>
      <x:c r="AX58" s="139" t="n"/>
      <x:c r="AY58" s="139" t="n"/>
      <x:c r="AZ58" s="139" t="n"/>
    </x:row>
    <x:row r="59">
      <x:c r="A59" s="139" t="n"/>
      <x:c r="B59" s="139" t="n"/>
      <x:c r="C59" s="139" t="n"/>
      <x:c r="D59" s="139" t="n"/>
      <x:c r="E59" s="139" t="n"/>
      <x:c r="F59" s="139" t="n"/>
      <x:c r="G59" s="139" t="n"/>
      <x:c r="H59" s="139" t="n"/>
      <x:c r="I59" s="139" t="n"/>
      <x:c r="J59" s="139" t="n"/>
      <x:c r="K59" s="139" t="n"/>
      <x:c r="L59" s="139" t="n"/>
      <x:c r="M59" s="139" t="n"/>
      <x:c r="N59" s="139" t="n"/>
      <x:c r="O59" s="139" t="n"/>
      <x:c r="P59" s="139" t="n"/>
      <x:c r="Q59" s="139" t="n"/>
      <x:c r="R59" s="139" t="n"/>
      <x:c r="S59" s="139" t="n"/>
      <x:c r="T59" s="139" t="n"/>
      <x:c r="U59" s="139" t="n"/>
      <x:c r="V59" s="139" t="n"/>
      <x:c r="W59" s="139" t="n"/>
      <x:c r="X59" s="139" t="n"/>
      <x:c r="Y59" s="139" t="n"/>
      <x:c r="Z59" s="139" t="n"/>
      <x:c r="AA59" s="139" t="n"/>
      <x:c r="AB59" s="139" t="n"/>
      <x:c r="AC59" s="139" t="n"/>
      <x:c r="AD59" s="139" t="n"/>
      <x:c r="AE59" s="139" t="n"/>
      <x:c r="AF59" s="139" t="n"/>
      <x:c r="AG59" s="139" t="n"/>
      <x:c r="AH59" s="139" t="n"/>
      <x:c r="AI59" s="139" t="n"/>
      <x:c r="AJ59" s="139" t="n"/>
      <x:c r="AK59" s="139" t="n"/>
      <x:c r="AL59" s="139" t="n"/>
      <x:c r="AM59" s="139" t="n"/>
      <x:c r="AN59" s="139" t="n"/>
      <x:c r="AO59" s="139" t="n"/>
      <x:c r="AP59" s="139" t="n"/>
      <x:c r="AQ59" s="139" t="n"/>
      <x:c r="AR59" s="139" t="n"/>
      <x:c r="AS59" s="139" t="n"/>
      <x:c r="AT59" s="139" t="n"/>
      <x:c r="AU59" s="139" t="n"/>
      <x:c r="AV59" s="139" t="n"/>
      <x:c r="AW59" s="139" t="n"/>
      <x:c r="AX59" s="139" t="n"/>
      <x:c r="AY59" s="139" t="n"/>
      <x:c r="AZ59" s="139" t="n"/>
    </x:row>
    <x:row r="60">
      <x:c r="A60" s="139" t="n"/>
      <x:c r="B60" s="139" t="n"/>
      <x:c r="C60" s="139" t="n"/>
      <x:c r="D60" s="139" t="n"/>
      <x:c r="E60" s="139" t="n"/>
      <x:c r="F60" s="139" t="n"/>
      <x:c r="G60" s="139" t="n"/>
      <x:c r="H60" s="139" t="n"/>
      <x:c r="I60" s="139" t="n"/>
      <x:c r="J60" s="139" t="n"/>
      <x:c r="K60" s="139" t="n"/>
      <x:c r="L60" s="139" t="n"/>
      <x:c r="M60" s="139" t="n"/>
      <x:c r="N60" s="139" t="n"/>
      <x:c r="O60" s="139" t="n"/>
      <x:c r="P60" s="139" t="n"/>
      <x:c r="Q60" s="139" t="n"/>
      <x:c r="R60" s="139" t="n"/>
      <x:c r="S60" s="139" t="n"/>
      <x:c r="T60" s="139" t="n"/>
      <x:c r="U60" s="139" t="n"/>
      <x:c r="V60" s="139" t="n"/>
      <x:c r="W60" s="139" t="n"/>
      <x:c r="X60" s="139" t="n"/>
      <x:c r="Y60" s="139" t="n"/>
      <x:c r="Z60" s="139" t="n"/>
      <x:c r="AA60" s="139" t="n"/>
      <x:c r="AB60" s="139" t="n"/>
      <x:c r="AC60" s="139" t="n"/>
      <x:c r="AD60" s="139" t="n"/>
      <x:c r="AE60" s="139" t="n"/>
      <x:c r="AF60" s="139" t="n"/>
      <x:c r="AG60" s="139" t="n"/>
      <x:c r="AH60" s="139" t="n"/>
      <x:c r="AI60" s="139" t="n"/>
      <x:c r="AJ60" s="139" t="n"/>
      <x:c r="AK60" s="139" t="n"/>
      <x:c r="AL60" s="139" t="n"/>
      <x:c r="AM60" s="139" t="n"/>
      <x:c r="AN60" s="139" t="n"/>
      <x:c r="AO60" s="139" t="n"/>
      <x:c r="AP60" s="139" t="n"/>
      <x:c r="AQ60" s="139" t="n"/>
      <x:c r="AR60" s="139" t="n"/>
      <x:c r="AS60" s="139" t="n"/>
      <x:c r="AT60" s="139" t="n"/>
      <x:c r="AU60" s="139" t="n"/>
      <x:c r="AV60" s="139" t="n"/>
      <x:c r="AW60" s="139" t="n"/>
      <x:c r="AX60" s="139" t="n"/>
      <x:c r="AY60" s="139" t="n"/>
      <x:c r="AZ60" s="139" t="n"/>
    </x:row>
    <x:row r="61">
      <x:c r="A61" s="139" t="n"/>
      <x:c r="B61" s="139" t="n"/>
      <x:c r="C61" s="139" t="n"/>
      <x:c r="D61" s="139" t="n"/>
      <x:c r="E61" s="139" t="n"/>
      <x:c r="F61" s="139" t="n"/>
      <x:c r="G61" s="139" t="n"/>
      <x:c r="H61" s="139" t="n"/>
      <x:c r="I61" s="139" t="n"/>
      <x:c r="J61" s="139" t="n"/>
      <x:c r="K61" s="139" t="n"/>
      <x:c r="L61" s="139" t="n"/>
      <x:c r="M61" s="139" t="n"/>
      <x:c r="N61" s="139" t="n"/>
      <x:c r="O61" s="139" t="n"/>
      <x:c r="P61" s="139" t="n"/>
      <x:c r="Q61" s="139" t="n"/>
      <x:c r="R61" s="139" t="n"/>
      <x:c r="S61" s="139" t="n"/>
      <x:c r="T61" s="139" t="n"/>
      <x:c r="U61" s="139" t="n"/>
      <x:c r="V61" s="139" t="n"/>
      <x:c r="W61" s="139" t="n"/>
      <x:c r="X61" s="139" t="n"/>
      <x:c r="Y61" s="139" t="n"/>
      <x:c r="Z61" s="139" t="n"/>
      <x:c r="AA61" s="139" t="n"/>
      <x:c r="AB61" s="139" t="n"/>
      <x:c r="AC61" s="139" t="n"/>
      <x:c r="AD61" s="139" t="n"/>
      <x:c r="AE61" s="139" t="n"/>
      <x:c r="AF61" s="139" t="n"/>
      <x:c r="AG61" s="139" t="n"/>
      <x:c r="AH61" s="139" t="n"/>
      <x:c r="AI61" s="139" t="n"/>
      <x:c r="AJ61" s="139" t="n"/>
      <x:c r="AK61" s="139" t="n"/>
      <x:c r="AL61" s="139" t="n"/>
      <x:c r="AM61" s="139" t="n"/>
      <x:c r="AN61" s="139" t="n"/>
      <x:c r="AO61" s="139" t="n"/>
      <x:c r="AP61" s="139" t="n"/>
      <x:c r="AQ61" s="139" t="n"/>
      <x:c r="AR61" s="139" t="n"/>
      <x:c r="AS61" s="139" t="n"/>
      <x:c r="AT61" s="139" t="n"/>
      <x:c r="AU61" s="139" t="n"/>
      <x:c r="AV61" s="139" t="n"/>
      <x:c r="AW61" s="139" t="n"/>
      <x:c r="AX61" s="139" t="n"/>
      <x:c r="AY61" s="139" t="n"/>
      <x:c r="AZ61" s="139" t="n"/>
    </x:row>
    <x:row r="62">
      <x:c r="A62" s="139" t="n"/>
      <x:c r="B62" s="139" t="n"/>
      <x:c r="C62" s="139" t="n"/>
      <x:c r="D62" s="139" t="n"/>
      <x:c r="E62" s="139" t="n"/>
      <x:c r="F62" s="139" t="n"/>
      <x:c r="G62" s="139" t="n"/>
      <x:c r="H62" s="139" t="n"/>
      <x:c r="I62" s="139" t="n"/>
      <x:c r="J62" s="139" t="n"/>
      <x:c r="K62" s="139" t="n"/>
      <x:c r="L62" s="139" t="n"/>
      <x:c r="M62" s="139" t="n"/>
      <x:c r="N62" s="139" t="n"/>
      <x:c r="O62" s="139" t="n"/>
      <x:c r="P62" s="139" t="n"/>
      <x:c r="Q62" s="139" t="n"/>
      <x:c r="R62" s="139" t="n"/>
      <x:c r="S62" s="139" t="n"/>
      <x:c r="T62" s="139" t="n"/>
      <x:c r="U62" s="139" t="n"/>
      <x:c r="V62" s="139" t="n"/>
      <x:c r="W62" s="139" t="n"/>
      <x:c r="X62" s="139" t="n"/>
      <x:c r="Y62" s="139" t="n"/>
      <x:c r="Z62" s="139" t="n"/>
      <x:c r="AA62" s="139" t="n"/>
      <x:c r="AB62" s="139" t="n"/>
      <x:c r="AC62" s="139" t="n"/>
      <x:c r="AD62" s="139" t="n"/>
      <x:c r="AE62" s="139" t="n"/>
      <x:c r="AF62" s="139" t="n"/>
      <x:c r="AG62" s="139" t="n"/>
      <x:c r="AH62" s="139" t="n"/>
      <x:c r="AI62" s="139" t="n"/>
      <x:c r="AJ62" s="139" t="n"/>
      <x:c r="AK62" s="139" t="n"/>
      <x:c r="AL62" s="139" t="n"/>
      <x:c r="AM62" s="139" t="n"/>
      <x:c r="AN62" s="139" t="n"/>
      <x:c r="AO62" s="139" t="n"/>
      <x:c r="AP62" s="139" t="n"/>
      <x:c r="AQ62" s="139" t="n"/>
      <x:c r="AR62" s="139" t="n"/>
      <x:c r="AS62" s="139" t="n"/>
      <x:c r="AT62" s="139" t="n"/>
      <x:c r="AU62" s="139" t="n"/>
      <x:c r="AV62" s="139" t="n"/>
      <x:c r="AW62" s="139" t="n"/>
      <x:c r="AX62" s="139" t="n"/>
      <x:c r="AY62" s="139" t="n"/>
      <x:c r="AZ62" s="139" t="n"/>
    </x:row>
    <x:row r="63">
      <x:c r="A63" s="139" t="n"/>
      <x:c r="B63" s="139" t="n"/>
      <x:c r="C63" s="139" t="n"/>
      <x:c r="D63" s="139" t="n"/>
      <x:c r="E63" s="139" t="n"/>
      <x:c r="F63" s="139" t="n"/>
      <x:c r="G63" s="139" t="n"/>
      <x:c r="H63" s="139" t="n"/>
      <x:c r="I63" s="139" t="n"/>
      <x:c r="J63" s="139" t="n"/>
      <x:c r="K63" s="139" t="n"/>
      <x:c r="L63" s="139" t="n"/>
      <x:c r="M63" s="139" t="n"/>
      <x:c r="N63" s="139" t="n"/>
      <x:c r="O63" s="139" t="n"/>
      <x:c r="P63" s="139" t="n"/>
      <x:c r="Q63" s="139" t="n"/>
      <x:c r="R63" s="139" t="n"/>
      <x:c r="S63" s="139" t="n"/>
      <x:c r="T63" s="139" t="n"/>
      <x:c r="U63" s="139" t="n"/>
      <x:c r="V63" s="139" t="n"/>
      <x:c r="W63" s="139" t="n"/>
      <x:c r="X63" s="139" t="n"/>
      <x:c r="Y63" s="139" t="n"/>
      <x:c r="Z63" s="139" t="n"/>
      <x:c r="AA63" s="139" t="n"/>
      <x:c r="AB63" s="139" t="n"/>
      <x:c r="AC63" s="139" t="n"/>
      <x:c r="AD63" s="139" t="n"/>
      <x:c r="AE63" s="139" t="n"/>
      <x:c r="AF63" s="139" t="n"/>
      <x:c r="AG63" s="139" t="n"/>
      <x:c r="AH63" s="139" t="n"/>
      <x:c r="AI63" s="139" t="n"/>
      <x:c r="AJ63" s="139" t="n"/>
      <x:c r="AK63" s="139" t="n"/>
      <x:c r="AL63" s="139" t="n"/>
      <x:c r="AM63" s="139" t="n"/>
      <x:c r="AN63" s="139" t="n"/>
      <x:c r="AO63" s="139" t="n"/>
      <x:c r="AP63" s="139" t="n"/>
      <x:c r="AQ63" s="139" t="n"/>
      <x:c r="AR63" s="139" t="n"/>
      <x:c r="AS63" s="139" t="n"/>
      <x:c r="AT63" s="139" t="n"/>
      <x:c r="AU63" s="139" t="n"/>
      <x:c r="AV63" s="139" t="n"/>
      <x:c r="AW63" s="139" t="n"/>
      <x:c r="AX63" s="139" t="n"/>
      <x:c r="AY63" s="139" t="n"/>
      <x:c r="AZ63" s="139" t="n"/>
    </x:row>
    <x:row r="64">
      <x:c r="A64" s="139" t="n"/>
      <x:c r="B64" s="139" t="n"/>
      <x:c r="C64" s="139" t="n"/>
      <x:c r="D64" s="139" t="n"/>
      <x:c r="E64" s="139" t="n"/>
      <x:c r="F64" s="139" t="n"/>
      <x:c r="G64" s="139" t="n"/>
      <x:c r="H64" s="139" t="n"/>
      <x:c r="I64" s="139" t="n"/>
      <x:c r="J64" s="139" t="n"/>
      <x:c r="K64" s="139" t="n"/>
      <x:c r="L64" s="139" t="n"/>
      <x:c r="M64" s="139" t="n"/>
      <x:c r="N64" s="139" t="n"/>
      <x:c r="O64" s="139" t="n"/>
      <x:c r="P64" s="139" t="n"/>
      <x:c r="Q64" s="139" t="n"/>
      <x:c r="R64" s="139" t="n"/>
      <x:c r="S64" s="139" t="n"/>
      <x:c r="T64" s="139" t="n"/>
      <x:c r="U64" s="139" t="n"/>
      <x:c r="V64" s="139" t="n"/>
      <x:c r="W64" s="139" t="n"/>
      <x:c r="X64" s="139" t="n"/>
      <x:c r="Y64" s="139" t="n"/>
      <x:c r="Z64" s="139" t="n"/>
      <x:c r="AA64" s="139" t="n"/>
      <x:c r="AB64" s="139" t="n"/>
      <x:c r="AC64" s="139" t="n"/>
      <x:c r="AD64" s="139" t="n"/>
      <x:c r="AE64" s="139" t="n"/>
      <x:c r="AF64" s="139" t="n"/>
      <x:c r="AG64" s="139" t="n"/>
      <x:c r="AH64" s="139" t="n"/>
      <x:c r="AI64" s="139" t="n"/>
      <x:c r="AJ64" s="139" t="n"/>
      <x:c r="AK64" s="139" t="n"/>
      <x:c r="AL64" s="139" t="n"/>
      <x:c r="AM64" s="139" t="n"/>
      <x:c r="AN64" s="139" t="n"/>
      <x:c r="AO64" s="139" t="n"/>
      <x:c r="AP64" s="139" t="n"/>
      <x:c r="AQ64" s="139" t="n"/>
      <x:c r="AR64" s="139" t="n"/>
      <x:c r="AS64" s="139" t="n"/>
      <x:c r="AT64" s="139" t="n"/>
      <x:c r="AU64" s="139" t="n"/>
      <x:c r="AV64" s="139" t="n"/>
      <x:c r="AW64" s="139" t="n"/>
      <x:c r="AX64" s="139" t="n"/>
      <x:c r="AY64" s="139" t="n"/>
      <x:c r="AZ64" s="139" t="n"/>
    </x:row>
    <x:row r="65">
      <x:c r="A65" s="139" t="n"/>
      <x:c r="B65" s="139" t="n"/>
      <x:c r="C65" s="139" t="n"/>
      <x:c r="D65" s="139" t="n"/>
      <x:c r="E65" s="139" t="n"/>
      <x:c r="F65" s="139" t="n"/>
      <x:c r="G65" s="139" t="n"/>
      <x:c r="H65" s="139" t="n"/>
      <x:c r="I65" s="139" t="n"/>
      <x:c r="J65" s="139" t="n"/>
      <x:c r="K65" s="139" t="n"/>
      <x:c r="L65" s="139" t="n"/>
      <x:c r="M65" s="139" t="n"/>
      <x:c r="N65" s="139" t="n"/>
      <x:c r="O65" s="139" t="n"/>
      <x:c r="P65" s="139" t="n"/>
      <x:c r="Q65" s="139" t="n"/>
      <x:c r="R65" s="139" t="n"/>
      <x:c r="S65" s="139" t="n"/>
      <x:c r="T65" s="139" t="n"/>
      <x:c r="U65" s="139" t="n"/>
      <x:c r="V65" s="139" t="n"/>
      <x:c r="W65" s="139" t="n"/>
      <x:c r="X65" s="139" t="n"/>
      <x:c r="Y65" s="139" t="n"/>
      <x:c r="Z65" s="139" t="n"/>
      <x:c r="AA65" s="139" t="n"/>
      <x:c r="AB65" s="139" t="n"/>
      <x:c r="AC65" s="139" t="n"/>
      <x:c r="AD65" s="139" t="n"/>
      <x:c r="AE65" s="139" t="n"/>
      <x:c r="AF65" s="139" t="n"/>
      <x:c r="AG65" s="139" t="n"/>
      <x:c r="AH65" s="139" t="n"/>
      <x:c r="AI65" s="139" t="n"/>
      <x:c r="AJ65" s="139" t="n"/>
      <x:c r="AK65" s="139" t="n"/>
      <x:c r="AL65" s="139" t="n"/>
      <x:c r="AM65" s="139" t="n"/>
      <x:c r="AN65" s="139" t="n"/>
      <x:c r="AO65" s="139" t="n"/>
      <x:c r="AP65" s="139" t="n"/>
      <x:c r="AQ65" s="139" t="n"/>
      <x:c r="AR65" s="139" t="n"/>
      <x:c r="AS65" s="139" t="n"/>
      <x:c r="AT65" s="139" t="n"/>
      <x:c r="AU65" s="139" t="n"/>
      <x:c r="AV65" s="139" t="n"/>
      <x:c r="AW65" s="139" t="n"/>
      <x:c r="AX65" s="139" t="n"/>
      <x:c r="AY65" s="139" t="n"/>
      <x:c r="AZ65" s="139" t="n"/>
    </x:row>
    <x:row r="66">
      <x:c r="A66" s="139" t="n"/>
      <x:c r="B66" s="139" t="n"/>
      <x:c r="C66" s="139" t="n"/>
      <x:c r="D66" s="139" t="n"/>
      <x:c r="E66" s="139" t="n"/>
      <x:c r="F66" s="139" t="n"/>
      <x:c r="G66" s="139" t="n"/>
      <x:c r="H66" s="139" t="n"/>
      <x:c r="I66" s="139" t="n"/>
      <x:c r="J66" s="139" t="n"/>
      <x:c r="K66" s="139" t="n"/>
      <x:c r="L66" s="139" t="n"/>
      <x:c r="M66" s="139" t="n"/>
      <x:c r="N66" s="139" t="n"/>
      <x:c r="O66" s="139" t="n"/>
      <x:c r="P66" s="139" t="n"/>
      <x:c r="Q66" s="139" t="n"/>
      <x:c r="R66" s="139" t="n"/>
      <x:c r="S66" s="139" t="n"/>
      <x:c r="T66" s="139" t="n"/>
      <x:c r="U66" s="139" t="n"/>
      <x:c r="V66" s="139" t="n"/>
      <x:c r="W66" s="139" t="n"/>
      <x:c r="X66" s="139" t="n"/>
      <x:c r="Y66" s="139" t="n"/>
      <x:c r="Z66" s="139" t="n"/>
      <x:c r="AA66" s="139" t="n"/>
      <x:c r="AB66" s="139" t="n"/>
      <x:c r="AC66" s="139" t="n"/>
      <x:c r="AD66" s="139" t="n"/>
      <x:c r="AE66" s="139" t="n"/>
      <x:c r="AF66" s="139" t="n"/>
      <x:c r="AG66" s="139" t="n"/>
      <x:c r="AH66" s="139" t="n"/>
      <x:c r="AI66" s="139" t="n"/>
      <x:c r="AJ66" s="139" t="n"/>
      <x:c r="AK66" s="139" t="n"/>
      <x:c r="AL66" s="139" t="n"/>
      <x:c r="AM66" s="139" t="n"/>
      <x:c r="AN66" s="139" t="n"/>
      <x:c r="AO66" s="139" t="n"/>
      <x:c r="AP66" s="139" t="n"/>
      <x:c r="AQ66" s="139" t="n"/>
      <x:c r="AR66" s="139" t="n"/>
      <x:c r="AS66" s="139" t="n"/>
      <x:c r="AT66" s="139" t="n"/>
      <x:c r="AU66" s="139" t="n"/>
      <x:c r="AV66" s="139" t="n"/>
      <x:c r="AW66" s="139" t="n"/>
      <x:c r="AX66" s="139" t="n"/>
      <x:c r="AY66" s="139" t="n"/>
      <x:c r="AZ66" s="139" t="n"/>
    </x:row>
    <x:row r="67">
      <x:c r="A67" s="139" t="n"/>
      <x:c r="B67" s="139" t="n"/>
      <x:c r="C67" s="139" t="n"/>
      <x:c r="D67" s="139" t="n"/>
      <x:c r="E67" s="139" t="n"/>
      <x:c r="F67" s="139" t="n"/>
      <x:c r="G67" s="139" t="n"/>
      <x:c r="H67" s="139" t="n"/>
      <x:c r="I67" s="139" t="n"/>
      <x:c r="J67" s="139" t="n"/>
      <x:c r="K67" s="139" t="n"/>
      <x:c r="L67" s="139" t="n"/>
      <x:c r="M67" s="139" t="n"/>
      <x:c r="N67" s="139" t="n"/>
      <x:c r="O67" s="139" t="n"/>
      <x:c r="P67" s="139" t="n"/>
      <x:c r="Q67" s="139" t="n"/>
      <x:c r="R67" s="139" t="n"/>
      <x:c r="S67" s="139" t="n"/>
      <x:c r="T67" s="139" t="n"/>
      <x:c r="U67" s="139" t="n"/>
      <x:c r="V67" s="139" t="n"/>
      <x:c r="W67" s="139" t="n"/>
      <x:c r="X67" s="139" t="n"/>
      <x:c r="Y67" s="139" t="n"/>
      <x:c r="Z67" s="139" t="n"/>
      <x:c r="AA67" s="139" t="n"/>
      <x:c r="AB67" s="139" t="n"/>
      <x:c r="AC67" s="139" t="n"/>
      <x:c r="AD67" s="139" t="n"/>
      <x:c r="AE67" s="139" t="n"/>
      <x:c r="AF67" s="139" t="n"/>
      <x:c r="AG67" s="139" t="n"/>
      <x:c r="AH67" s="139" t="n"/>
      <x:c r="AI67" s="139" t="n"/>
      <x:c r="AJ67" s="139" t="n"/>
      <x:c r="AK67" s="139" t="n"/>
      <x:c r="AL67" s="139" t="n"/>
      <x:c r="AM67" s="139" t="n"/>
      <x:c r="AN67" s="139" t="n"/>
      <x:c r="AO67" s="139" t="n"/>
      <x:c r="AP67" s="139" t="n"/>
      <x:c r="AQ67" s="139" t="n"/>
      <x:c r="AR67" s="139" t="n"/>
      <x:c r="AS67" s="139" t="n"/>
      <x:c r="AT67" s="139" t="n"/>
      <x:c r="AU67" s="139" t="n"/>
      <x:c r="AV67" s="139" t="n"/>
      <x:c r="AW67" s="139" t="n"/>
      <x:c r="AX67" s="139" t="n"/>
      <x:c r="AY67" s="139" t="n"/>
      <x:c r="AZ67" s="139" t="n"/>
    </x:row>
    <x:row r="68">
      <x:c r="A68" s="139" t="n"/>
      <x:c r="B68" s="139" t="n"/>
      <x:c r="C68" s="139" t="n"/>
      <x:c r="D68" s="139" t="n"/>
      <x:c r="E68" s="139" t="n"/>
      <x:c r="F68" s="139" t="n"/>
      <x:c r="G68" s="139" t="n"/>
      <x:c r="H68" s="139" t="n"/>
      <x:c r="I68" s="139" t="n"/>
      <x:c r="J68" s="139" t="n"/>
      <x:c r="K68" s="139" t="n"/>
      <x:c r="L68" s="139" t="n"/>
      <x:c r="M68" s="139" t="n"/>
      <x:c r="N68" s="139" t="n"/>
      <x:c r="O68" s="139" t="n"/>
      <x:c r="P68" s="139" t="n"/>
      <x:c r="Q68" s="139" t="n"/>
      <x:c r="R68" s="139" t="n"/>
      <x:c r="S68" s="139" t="n"/>
      <x:c r="T68" s="139" t="n"/>
      <x:c r="U68" s="139" t="n"/>
      <x:c r="V68" s="139" t="n"/>
      <x:c r="W68" s="139" t="n"/>
      <x:c r="X68" s="139" t="n"/>
      <x:c r="Y68" s="139" t="n"/>
      <x:c r="Z68" s="139" t="n"/>
      <x:c r="AA68" s="139" t="n"/>
      <x:c r="AB68" s="139" t="n"/>
      <x:c r="AC68" s="139" t="n"/>
      <x:c r="AD68" s="139" t="n"/>
      <x:c r="AE68" s="139" t="n"/>
      <x:c r="AF68" s="139" t="n"/>
      <x:c r="AG68" s="139" t="n"/>
      <x:c r="AH68" s="139" t="n"/>
      <x:c r="AI68" s="139" t="n"/>
      <x:c r="AJ68" s="139" t="n"/>
      <x:c r="AK68" s="139" t="n"/>
      <x:c r="AL68" s="139" t="n"/>
      <x:c r="AM68" s="139" t="n"/>
      <x:c r="AN68" s="139" t="n"/>
      <x:c r="AO68" s="139" t="n"/>
      <x:c r="AP68" s="139" t="n"/>
      <x:c r="AQ68" s="139" t="n"/>
      <x:c r="AR68" s="139" t="n"/>
      <x:c r="AS68" s="139" t="n"/>
      <x:c r="AT68" s="139" t="n"/>
      <x:c r="AU68" s="139" t="n"/>
      <x:c r="AV68" s="139" t="n"/>
      <x:c r="AW68" s="139" t="n"/>
      <x:c r="AX68" s="139" t="n"/>
      <x:c r="AY68" s="139" t="n"/>
      <x:c r="AZ68" s="139" t="n"/>
    </x:row>
    <x:row r="69">
      <x:c r="A69" s="139" t="n"/>
      <x:c r="B69" s="139" t="n"/>
      <x:c r="C69" s="139" t="n"/>
      <x:c r="D69" s="139" t="n"/>
      <x:c r="E69" s="139" t="n"/>
      <x:c r="F69" s="139" t="n"/>
      <x:c r="G69" s="139" t="n"/>
      <x:c r="H69" s="139" t="n"/>
      <x:c r="I69" s="139" t="n"/>
      <x:c r="J69" s="139" t="n"/>
      <x:c r="K69" s="139" t="n"/>
      <x:c r="L69" s="139" t="n"/>
      <x:c r="M69" s="139" t="n"/>
      <x:c r="N69" s="139" t="n"/>
      <x:c r="O69" s="139" t="n"/>
      <x:c r="P69" s="139" t="n"/>
      <x:c r="Q69" s="139" t="n"/>
      <x:c r="R69" s="139" t="n"/>
      <x:c r="S69" s="139" t="n"/>
      <x:c r="T69" s="139" t="n"/>
      <x:c r="U69" s="139" t="n"/>
      <x:c r="V69" s="139" t="n"/>
      <x:c r="W69" s="139" t="n"/>
      <x:c r="X69" s="139" t="n"/>
      <x:c r="Y69" s="139" t="n"/>
      <x:c r="Z69" s="139" t="n"/>
      <x:c r="AA69" s="139" t="n"/>
      <x:c r="AB69" s="139" t="n"/>
      <x:c r="AC69" s="139" t="n"/>
      <x:c r="AD69" s="139" t="n"/>
      <x:c r="AE69" s="139" t="n"/>
      <x:c r="AF69" s="139" t="n"/>
      <x:c r="AG69" s="139" t="n"/>
      <x:c r="AH69" s="139" t="n"/>
      <x:c r="AI69" s="139" t="n"/>
      <x:c r="AJ69" s="139" t="n"/>
      <x:c r="AK69" s="139" t="n"/>
      <x:c r="AL69" s="139" t="n"/>
      <x:c r="AM69" s="139" t="n"/>
      <x:c r="AN69" s="139" t="n"/>
      <x:c r="AO69" s="139" t="n"/>
      <x:c r="AP69" s="139" t="n"/>
      <x:c r="AQ69" s="139" t="n"/>
      <x:c r="AR69" s="139" t="n"/>
      <x:c r="AS69" s="139" t="n"/>
      <x:c r="AT69" s="139" t="n"/>
      <x:c r="AU69" s="139" t="n"/>
      <x:c r="AV69" s="139" t="n"/>
      <x:c r="AW69" s="139" t="n"/>
      <x:c r="AX69" s="139" t="n"/>
      <x:c r="AY69" s="139" t="n"/>
      <x:c r="AZ69" s="139" t="n"/>
    </x:row>
    <x:row r="70">
      <x:c r="A70" s="139" t="n"/>
      <x:c r="B70" s="139" t="n"/>
      <x:c r="C70" s="139" t="n"/>
      <x:c r="D70" s="139" t="n"/>
      <x:c r="E70" s="139" t="n"/>
      <x:c r="F70" s="139" t="n"/>
      <x:c r="G70" s="139" t="n"/>
      <x:c r="H70" s="139" t="n"/>
      <x:c r="I70" s="139" t="n"/>
      <x:c r="J70" s="139" t="n"/>
      <x:c r="K70" s="139" t="n"/>
      <x:c r="L70" s="139" t="n"/>
      <x:c r="M70" s="139" t="n"/>
      <x:c r="N70" s="139" t="n"/>
      <x:c r="O70" s="139" t="n"/>
      <x:c r="P70" s="139" t="n"/>
      <x:c r="Q70" s="139" t="n"/>
      <x:c r="R70" s="139" t="n"/>
      <x:c r="S70" s="139" t="n"/>
      <x:c r="T70" s="139" t="n"/>
      <x:c r="U70" s="139" t="n"/>
      <x:c r="V70" s="139" t="n"/>
      <x:c r="W70" s="139" t="n"/>
      <x:c r="X70" s="139" t="n"/>
      <x:c r="Y70" s="139" t="n"/>
      <x:c r="Z70" s="139" t="n"/>
      <x:c r="AA70" s="139" t="n"/>
      <x:c r="AB70" s="139" t="n"/>
      <x:c r="AC70" s="139" t="n"/>
      <x:c r="AD70" s="139" t="n"/>
      <x:c r="AE70" s="139" t="n"/>
      <x:c r="AF70" s="139" t="n"/>
      <x:c r="AG70" s="139" t="n"/>
      <x:c r="AH70" s="139" t="n"/>
      <x:c r="AI70" s="139" t="n"/>
      <x:c r="AJ70" s="139" t="n"/>
      <x:c r="AK70" s="139" t="n"/>
      <x:c r="AL70" s="139" t="n"/>
      <x:c r="AM70" s="139" t="n"/>
      <x:c r="AN70" s="139" t="n"/>
      <x:c r="AO70" s="139" t="n"/>
      <x:c r="AP70" s="139" t="n"/>
      <x:c r="AQ70" s="139" t="n"/>
      <x:c r="AR70" s="139" t="n"/>
      <x:c r="AS70" s="139" t="n"/>
      <x:c r="AT70" s="139" t="n"/>
      <x:c r="AU70" s="139" t="n"/>
      <x:c r="AV70" s="139" t="n"/>
      <x:c r="AW70" s="139" t="n"/>
      <x:c r="AX70" s="139" t="n"/>
      <x:c r="AY70" s="139" t="n"/>
      <x:c r="AZ70" s="139" t="n"/>
    </x:row>
    <x:row r="71">
      <x:c r="A71" s="139" t="n"/>
      <x:c r="B71" s="139" t="n"/>
      <x:c r="C71" s="139" t="n"/>
      <x:c r="D71" s="139" t="n"/>
      <x:c r="E71" s="139" t="n"/>
      <x:c r="F71" s="139" t="n"/>
      <x:c r="G71" s="139" t="n"/>
      <x:c r="H71" s="139" t="n"/>
      <x:c r="I71" s="139" t="n"/>
      <x:c r="J71" s="139" t="n"/>
      <x:c r="K71" s="139" t="n"/>
      <x:c r="L71" s="139" t="n"/>
      <x:c r="M71" s="139" t="n"/>
      <x:c r="N71" s="139" t="n"/>
      <x:c r="O71" s="139" t="n"/>
      <x:c r="P71" s="139" t="n"/>
      <x:c r="Q71" s="139" t="n"/>
      <x:c r="R71" s="139" t="n"/>
      <x:c r="S71" s="139" t="n"/>
      <x:c r="T71" s="139" t="n"/>
      <x:c r="U71" s="139" t="n"/>
      <x:c r="V71" s="139" t="n"/>
      <x:c r="W71" s="139" t="n"/>
      <x:c r="X71" s="139" t="n"/>
      <x:c r="Y71" s="139" t="n"/>
      <x:c r="Z71" s="139" t="n"/>
      <x:c r="AA71" s="139" t="n"/>
      <x:c r="AB71" s="139" t="n"/>
      <x:c r="AC71" s="139" t="n"/>
      <x:c r="AD71" s="139" t="n"/>
      <x:c r="AE71" s="139" t="n"/>
      <x:c r="AF71" s="139" t="n"/>
      <x:c r="AG71" s="139" t="n"/>
      <x:c r="AH71" s="139" t="n"/>
      <x:c r="AI71" s="139" t="n"/>
      <x:c r="AJ71" s="139" t="n"/>
      <x:c r="AK71" s="139" t="n"/>
      <x:c r="AL71" s="139" t="n"/>
      <x:c r="AM71" s="139" t="n"/>
      <x:c r="AN71" s="139" t="n"/>
      <x:c r="AO71" s="139" t="n"/>
      <x:c r="AP71" s="139" t="n"/>
      <x:c r="AQ71" s="139" t="n"/>
      <x:c r="AR71" s="139" t="n"/>
      <x:c r="AS71" s="139" t="n"/>
      <x:c r="AT71" s="139" t="n"/>
      <x:c r="AU71" s="139" t="n"/>
      <x:c r="AV71" s="139" t="n"/>
      <x:c r="AW71" s="139" t="n"/>
      <x:c r="AX71" s="139" t="n"/>
      <x:c r="AY71" s="139" t="n"/>
      <x:c r="AZ71" s="139" t="n"/>
    </x:row>
    <x:row r="72">
      <x:c r="A72" s="139" t="n"/>
      <x:c r="B72" s="139" t="n"/>
      <x:c r="C72" s="139" t="n"/>
      <x:c r="D72" s="139" t="n"/>
      <x:c r="E72" s="139" t="n"/>
      <x:c r="F72" s="139" t="n"/>
      <x:c r="G72" s="139" t="n"/>
      <x:c r="H72" s="139" t="n"/>
      <x:c r="I72" s="139" t="n"/>
      <x:c r="J72" s="139" t="n"/>
      <x:c r="K72" s="139" t="n"/>
      <x:c r="L72" s="139" t="n"/>
      <x:c r="M72" s="139" t="n"/>
      <x:c r="N72" s="139" t="n"/>
      <x:c r="O72" s="139" t="n"/>
      <x:c r="P72" s="139" t="n"/>
      <x:c r="Q72" s="139" t="n"/>
      <x:c r="R72" s="139" t="n"/>
      <x:c r="S72" s="139" t="n"/>
      <x:c r="T72" s="139" t="n"/>
      <x:c r="U72" s="139" t="n"/>
      <x:c r="V72" s="139" t="n"/>
      <x:c r="W72" s="139" t="n"/>
      <x:c r="X72" s="139" t="n"/>
      <x:c r="Y72" s="139" t="n"/>
      <x:c r="Z72" s="139" t="n"/>
      <x:c r="AA72" s="139" t="n"/>
      <x:c r="AB72" s="139" t="n"/>
      <x:c r="AC72" s="139" t="n"/>
      <x:c r="AD72" s="139" t="n"/>
      <x:c r="AE72" s="139" t="n"/>
      <x:c r="AF72" s="139" t="n"/>
      <x:c r="AG72" s="139" t="n"/>
      <x:c r="AH72" s="139" t="n"/>
      <x:c r="AI72" s="139" t="n"/>
      <x:c r="AJ72" s="139" t="n"/>
      <x:c r="AK72" s="139" t="n"/>
      <x:c r="AL72" s="139" t="n"/>
      <x:c r="AM72" s="139" t="n"/>
      <x:c r="AN72" s="139" t="n"/>
      <x:c r="AO72" s="139" t="n"/>
      <x:c r="AP72" s="139" t="n"/>
      <x:c r="AQ72" s="139" t="n"/>
      <x:c r="AR72" s="139" t="n"/>
      <x:c r="AS72" s="139" t="n"/>
      <x:c r="AT72" s="139" t="n"/>
      <x:c r="AU72" s="139" t="n"/>
      <x:c r="AV72" s="139" t="n"/>
      <x:c r="AW72" s="139" t="n"/>
      <x:c r="AX72" s="139" t="n"/>
      <x:c r="AY72" s="139" t="n"/>
      <x:c r="AZ72" s="139" t="n"/>
    </x:row>
    <x:row r="73">
      <x:c r="A73" s="139" t="n"/>
      <x:c r="B73" s="139" t="n"/>
      <x:c r="C73" s="139" t="n"/>
      <x:c r="D73" s="139" t="n"/>
      <x:c r="E73" s="139" t="n"/>
      <x:c r="F73" s="139" t="n"/>
      <x:c r="G73" s="139" t="n"/>
      <x:c r="H73" s="139" t="n"/>
      <x:c r="I73" s="139" t="n"/>
      <x:c r="J73" s="139" t="n"/>
      <x:c r="K73" s="139" t="n"/>
      <x:c r="L73" s="139" t="n"/>
      <x:c r="M73" s="139" t="n"/>
      <x:c r="N73" s="139" t="n"/>
      <x:c r="O73" s="139" t="n"/>
      <x:c r="P73" s="139" t="n"/>
      <x:c r="Q73" s="139" t="n"/>
      <x:c r="R73" s="139" t="n"/>
      <x:c r="S73" s="139" t="n"/>
      <x:c r="T73" s="139" t="n"/>
      <x:c r="U73" s="139" t="n"/>
      <x:c r="V73" s="139" t="n"/>
      <x:c r="W73" s="139" t="n"/>
      <x:c r="X73" s="139" t="n"/>
      <x:c r="Y73" s="139" t="n"/>
      <x:c r="Z73" s="139" t="n"/>
      <x:c r="AA73" s="139" t="n"/>
      <x:c r="AB73" s="139" t="n"/>
      <x:c r="AC73" s="139" t="n"/>
      <x:c r="AD73" s="139" t="n"/>
      <x:c r="AE73" s="139" t="n"/>
      <x:c r="AF73" s="139" t="n"/>
      <x:c r="AG73" s="139" t="n"/>
      <x:c r="AH73" s="139" t="n"/>
      <x:c r="AI73" s="139" t="n"/>
      <x:c r="AJ73" s="139" t="n"/>
      <x:c r="AK73" s="139" t="n"/>
      <x:c r="AL73" s="139" t="n"/>
      <x:c r="AM73" s="139" t="n"/>
      <x:c r="AN73" s="139" t="n"/>
      <x:c r="AO73" s="139" t="n"/>
      <x:c r="AP73" s="139" t="n"/>
      <x:c r="AQ73" s="139" t="n"/>
      <x:c r="AR73" s="139" t="n"/>
      <x:c r="AS73" s="139" t="n"/>
      <x:c r="AT73" s="139" t="n"/>
      <x:c r="AU73" s="139" t="n"/>
      <x:c r="AV73" s="139" t="n"/>
      <x:c r="AW73" s="139" t="n"/>
      <x:c r="AX73" s="139" t="n"/>
      <x:c r="AY73" s="139" t="n"/>
      <x:c r="AZ73" s="139" t="n"/>
    </x:row>
    <x:row r="74">
      <x:c r="A74" s="139" t="n"/>
      <x:c r="B74" s="139" t="n"/>
      <x:c r="C74" s="139" t="n"/>
      <x:c r="D74" s="139" t="n"/>
      <x:c r="E74" s="139" t="n"/>
      <x:c r="F74" s="139" t="n"/>
      <x:c r="G74" s="139" t="n"/>
      <x:c r="H74" s="139" t="n"/>
      <x:c r="I74" s="139" t="n"/>
      <x:c r="J74" s="139" t="n"/>
      <x:c r="K74" s="139" t="n"/>
      <x:c r="L74" s="139" t="n"/>
      <x:c r="M74" s="139" t="n"/>
      <x:c r="N74" s="139" t="n"/>
      <x:c r="O74" s="139" t="n"/>
      <x:c r="P74" s="139" t="n"/>
      <x:c r="Q74" s="139" t="n"/>
      <x:c r="R74" s="139" t="n"/>
      <x:c r="S74" s="139" t="n"/>
      <x:c r="T74" s="139" t="n"/>
      <x:c r="U74" s="139" t="n"/>
      <x:c r="V74" s="139" t="n"/>
      <x:c r="W74" s="139" t="n"/>
      <x:c r="X74" s="139" t="n"/>
      <x:c r="Y74" s="139" t="n"/>
      <x:c r="Z74" s="139" t="n"/>
      <x:c r="AA74" s="139" t="n"/>
      <x:c r="AB74" s="139" t="n"/>
      <x:c r="AC74" s="139" t="n"/>
      <x:c r="AD74" s="139" t="n"/>
      <x:c r="AE74" s="139" t="n"/>
      <x:c r="AF74" s="139" t="n"/>
      <x:c r="AG74" s="139" t="n"/>
      <x:c r="AH74" s="139" t="n"/>
      <x:c r="AI74" s="139" t="n"/>
      <x:c r="AJ74" s="139" t="n"/>
      <x:c r="AK74" s="139" t="n"/>
      <x:c r="AL74" s="139" t="n"/>
      <x:c r="AM74" s="139" t="n"/>
      <x:c r="AN74" s="139" t="n"/>
      <x:c r="AO74" s="139" t="n"/>
      <x:c r="AP74" s="139" t="n"/>
      <x:c r="AQ74" s="139" t="n"/>
      <x:c r="AR74" s="139" t="n"/>
      <x:c r="AS74" s="139" t="n"/>
      <x:c r="AT74" s="139" t="n"/>
      <x:c r="AU74" s="139" t="n"/>
      <x:c r="AV74" s="139" t="n"/>
      <x:c r="AW74" s="139" t="n"/>
      <x:c r="AX74" s="139" t="n"/>
      <x:c r="AY74" s="139" t="n"/>
      <x:c r="AZ74" s="139" t="n"/>
    </x:row>
    <x:row r="75">
      <x:c r="A75" s="139" t="n"/>
      <x:c r="B75" s="139" t="n"/>
      <x:c r="C75" s="139" t="n"/>
      <x:c r="D75" s="139" t="n"/>
      <x:c r="E75" s="139" t="n"/>
      <x:c r="F75" s="139" t="n"/>
      <x:c r="G75" s="139" t="n"/>
      <x:c r="H75" s="139" t="n"/>
      <x:c r="I75" s="139" t="n"/>
      <x:c r="J75" s="139" t="n"/>
      <x:c r="K75" s="139" t="n"/>
      <x:c r="L75" s="139" t="n"/>
      <x:c r="M75" s="139" t="n"/>
      <x:c r="N75" s="139" t="n"/>
      <x:c r="O75" s="139" t="n"/>
      <x:c r="P75" s="139" t="n"/>
      <x:c r="Q75" s="139" t="n"/>
      <x:c r="R75" s="139" t="n"/>
      <x:c r="S75" s="139" t="n"/>
      <x:c r="T75" s="139" t="n"/>
      <x:c r="U75" s="139" t="n"/>
      <x:c r="V75" s="139" t="n"/>
      <x:c r="W75" s="139" t="n"/>
      <x:c r="X75" s="139" t="n"/>
      <x:c r="Y75" s="139" t="n"/>
      <x:c r="Z75" s="139" t="n"/>
      <x:c r="AA75" s="139" t="n"/>
      <x:c r="AB75" s="139" t="n"/>
      <x:c r="AC75" s="139" t="n"/>
      <x:c r="AD75" s="139" t="n"/>
      <x:c r="AE75" s="139" t="n"/>
      <x:c r="AF75" s="139" t="n"/>
      <x:c r="AG75" s="139" t="n"/>
      <x:c r="AH75" s="139" t="n"/>
      <x:c r="AI75" s="139" t="n"/>
      <x:c r="AJ75" s="139" t="n"/>
      <x:c r="AK75" s="139" t="n"/>
      <x:c r="AL75" s="139" t="n"/>
      <x:c r="AM75" s="139" t="n"/>
      <x:c r="AN75" s="139" t="n"/>
      <x:c r="AO75" s="139" t="n"/>
      <x:c r="AP75" s="139" t="n"/>
      <x:c r="AQ75" s="139" t="n"/>
      <x:c r="AR75" s="139" t="n"/>
      <x:c r="AS75" s="139" t="n"/>
      <x:c r="AT75" s="139" t="n"/>
      <x:c r="AU75" s="139" t="n"/>
      <x:c r="AV75" s="139" t="n"/>
      <x:c r="AW75" s="139" t="n"/>
      <x:c r="AX75" s="139" t="n"/>
      <x:c r="AY75" s="139" t="n"/>
      <x:c r="AZ75" s="139" t="n"/>
    </x:row>
    <x:row r="76">
      <x:c r="A76" s="139" t="n"/>
      <x:c r="B76" s="139" t="n"/>
      <x:c r="C76" s="139" t="n"/>
      <x:c r="D76" s="139" t="n"/>
      <x:c r="E76" s="139" t="n"/>
      <x:c r="F76" s="139" t="n"/>
      <x:c r="G76" s="139" t="n"/>
      <x:c r="H76" s="139" t="n"/>
      <x:c r="I76" s="139" t="n"/>
      <x:c r="J76" s="139" t="n"/>
      <x:c r="K76" s="139" t="n"/>
      <x:c r="L76" s="139" t="n"/>
      <x:c r="M76" s="139" t="n"/>
      <x:c r="N76" s="139" t="n"/>
      <x:c r="O76" s="139" t="n"/>
      <x:c r="P76" s="139" t="n"/>
      <x:c r="Q76" s="139" t="n"/>
      <x:c r="R76" s="139" t="n"/>
      <x:c r="S76" s="139" t="n"/>
      <x:c r="T76" s="139" t="n"/>
      <x:c r="U76" s="139" t="n"/>
      <x:c r="V76" s="139" t="n"/>
      <x:c r="W76" s="139" t="n"/>
      <x:c r="X76" s="139" t="n"/>
      <x:c r="Y76" s="139" t="n"/>
      <x:c r="Z76" s="139" t="n"/>
      <x:c r="AA76" s="139" t="n"/>
      <x:c r="AB76" s="139" t="n"/>
      <x:c r="AC76" s="139" t="n"/>
      <x:c r="AD76" s="139" t="n"/>
      <x:c r="AE76" s="139" t="n"/>
      <x:c r="AF76" s="139" t="n"/>
      <x:c r="AG76" s="139" t="n"/>
      <x:c r="AH76" s="139" t="n"/>
      <x:c r="AI76" s="139" t="n"/>
      <x:c r="AJ76" s="139" t="n"/>
      <x:c r="AK76" s="139" t="n"/>
      <x:c r="AL76" s="139" t="n"/>
      <x:c r="AM76" s="139" t="n"/>
      <x:c r="AN76" s="139" t="n"/>
      <x:c r="AO76" s="139" t="n"/>
      <x:c r="AP76" s="139" t="n"/>
      <x:c r="AQ76" s="139" t="n"/>
      <x:c r="AR76" s="139" t="n"/>
      <x:c r="AS76" s="139" t="n"/>
      <x:c r="AT76" s="139" t="n"/>
      <x:c r="AU76" s="139" t="n"/>
      <x:c r="AV76" s="139" t="n"/>
      <x:c r="AW76" s="139" t="n"/>
      <x:c r="AX76" s="139" t="n"/>
      <x:c r="AY76" s="139" t="n"/>
      <x:c r="AZ76" s="139" t="n"/>
    </x:row>
    <x:row r="77">
      <x:c r="A77" s="139" t="n"/>
      <x:c r="B77" s="139" t="n"/>
      <x:c r="C77" s="139" t="n"/>
      <x:c r="D77" s="139" t="n"/>
      <x:c r="E77" s="139" t="n"/>
      <x:c r="F77" s="139" t="n"/>
      <x:c r="G77" s="139" t="n"/>
      <x:c r="H77" s="139" t="n"/>
      <x:c r="I77" s="139" t="n"/>
      <x:c r="J77" s="139" t="n"/>
      <x:c r="K77" s="139" t="n"/>
      <x:c r="L77" s="139" t="n"/>
      <x:c r="M77" s="139" t="n"/>
      <x:c r="N77" s="139" t="n"/>
      <x:c r="O77" s="139" t="n"/>
      <x:c r="P77" s="139" t="n"/>
      <x:c r="Q77" s="139" t="n"/>
      <x:c r="R77" s="139" t="n"/>
      <x:c r="S77" s="139" t="n"/>
      <x:c r="T77" s="139" t="n"/>
      <x:c r="U77" s="139" t="n"/>
      <x:c r="V77" s="139" t="n"/>
      <x:c r="W77" s="139" t="n"/>
      <x:c r="X77" s="139" t="n"/>
      <x:c r="Y77" s="139" t="n"/>
      <x:c r="Z77" s="139" t="n"/>
      <x:c r="AA77" s="139" t="n"/>
      <x:c r="AB77" s="139" t="n"/>
      <x:c r="AC77" s="139" t="n"/>
      <x:c r="AD77" s="139" t="n"/>
      <x:c r="AE77" s="139" t="n"/>
      <x:c r="AF77" s="139" t="n"/>
      <x:c r="AG77" s="139" t="n"/>
      <x:c r="AH77" s="139" t="n"/>
      <x:c r="AI77" s="139" t="n"/>
      <x:c r="AJ77" s="139" t="n"/>
      <x:c r="AK77" s="139" t="n"/>
      <x:c r="AL77" s="139" t="n"/>
      <x:c r="AM77" s="139" t="n"/>
      <x:c r="AN77" s="139" t="n"/>
      <x:c r="AO77" s="139" t="n"/>
      <x:c r="AP77" s="139" t="n"/>
      <x:c r="AQ77" s="139" t="n"/>
      <x:c r="AR77" s="139" t="n"/>
      <x:c r="AS77" s="139" t="n"/>
      <x:c r="AT77" s="139" t="n"/>
      <x:c r="AU77" s="139" t="n"/>
      <x:c r="AV77" s="139" t="n"/>
      <x:c r="AW77" s="139" t="n"/>
      <x:c r="AX77" s="139" t="n"/>
      <x:c r="AY77" s="139" t="n"/>
      <x:c r="AZ77" s="139" t="n"/>
    </x:row>
    <x:row r="78">
      <x:c r="A78" s="139" t="n"/>
      <x:c r="B78" s="139" t="n"/>
      <x:c r="C78" s="139" t="n"/>
      <x:c r="D78" s="139" t="n"/>
      <x:c r="E78" s="139" t="n"/>
      <x:c r="F78" s="139" t="n"/>
      <x:c r="G78" s="139" t="n"/>
      <x:c r="H78" s="139" t="n"/>
      <x:c r="I78" s="139" t="n"/>
      <x:c r="J78" s="139" t="n"/>
      <x:c r="K78" s="139" t="n"/>
      <x:c r="L78" s="139" t="n"/>
      <x:c r="M78" s="139" t="n"/>
      <x:c r="N78" s="139" t="n"/>
      <x:c r="O78" s="139" t="n"/>
      <x:c r="P78" s="139" t="n"/>
      <x:c r="Q78" s="139" t="n"/>
      <x:c r="R78" s="139" t="n"/>
      <x:c r="S78" s="139" t="n"/>
      <x:c r="T78" s="139" t="n"/>
      <x:c r="U78" s="139" t="n"/>
      <x:c r="V78" s="139" t="n"/>
      <x:c r="W78" s="139" t="n"/>
      <x:c r="X78" s="139" t="n"/>
      <x:c r="Y78" s="139" t="n"/>
      <x:c r="Z78" s="139" t="n"/>
      <x:c r="AA78" s="139" t="n"/>
      <x:c r="AB78" s="139" t="n"/>
      <x:c r="AC78" s="139" t="n"/>
      <x:c r="AD78" s="139" t="n"/>
      <x:c r="AE78" s="139" t="n"/>
      <x:c r="AF78" s="139" t="n"/>
      <x:c r="AG78" s="139" t="n"/>
      <x:c r="AH78" s="139" t="n"/>
      <x:c r="AI78" s="139" t="n"/>
      <x:c r="AJ78" s="139" t="n"/>
      <x:c r="AK78" s="139" t="n"/>
      <x:c r="AL78" s="139" t="n"/>
      <x:c r="AM78" s="139" t="n"/>
      <x:c r="AN78" s="139" t="n"/>
      <x:c r="AO78" s="139" t="n"/>
      <x:c r="AP78" s="139" t="n"/>
      <x:c r="AQ78" s="139" t="n"/>
      <x:c r="AR78" s="139" t="n"/>
      <x:c r="AS78" s="139" t="n"/>
      <x:c r="AT78" s="139" t="n"/>
      <x:c r="AU78" s="139" t="n"/>
      <x:c r="AV78" s="139" t="n"/>
      <x:c r="AW78" s="139" t="n"/>
      <x:c r="AX78" s="139" t="n"/>
      <x:c r="AY78" s="139" t="n"/>
      <x:c r="AZ78" s="139" t="n"/>
    </x:row>
    <x:row r="79">
      <x:c r="A79" s="139" t="n"/>
      <x:c r="B79" s="139" t="n"/>
      <x:c r="C79" s="139" t="n"/>
      <x:c r="D79" s="139" t="n"/>
      <x:c r="E79" s="139" t="n"/>
      <x:c r="F79" s="139" t="n"/>
      <x:c r="G79" s="139" t="n"/>
      <x:c r="H79" s="139" t="n"/>
      <x:c r="I79" s="139" t="n"/>
      <x:c r="J79" s="139" t="n"/>
      <x:c r="K79" s="139" t="n"/>
      <x:c r="L79" s="139" t="n"/>
      <x:c r="M79" s="139" t="n"/>
      <x:c r="N79" s="139" t="n"/>
      <x:c r="O79" s="139" t="n"/>
      <x:c r="P79" s="139" t="n"/>
      <x:c r="Q79" s="139" t="n"/>
      <x:c r="R79" s="139" t="n"/>
      <x:c r="S79" s="139" t="n"/>
      <x:c r="T79" s="139" t="n"/>
      <x:c r="U79" s="139" t="n"/>
      <x:c r="V79" s="139" t="n"/>
      <x:c r="W79" s="139" t="n"/>
      <x:c r="X79" s="139" t="n"/>
      <x:c r="Y79" s="139" t="n"/>
      <x:c r="Z79" s="139" t="n"/>
      <x:c r="AA79" s="139" t="n"/>
      <x:c r="AB79" s="139" t="n"/>
      <x:c r="AC79" s="139" t="n"/>
      <x:c r="AD79" s="139" t="n"/>
      <x:c r="AE79" s="139" t="n"/>
      <x:c r="AF79" s="139" t="n"/>
      <x:c r="AG79" s="139" t="n"/>
      <x:c r="AH79" s="139" t="n"/>
      <x:c r="AI79" s="139" t="n"/>
      <x:c r="AJ79" s="139" t="n"/>
      <x:c r="AK79" s="139" t="n"/>
      <x:c r="AL79" s="139" t="n"/>
      <x:c r="AM79" s="139" t="n"/>
      <x:c r="AN79" s="139" t="n"/>
      <x:c r="AO79" s="139" t="n"/>
      <x:c r="AP79" s="139" t="n"/>
      <x:c r="AQ79" s="139" t="n"/>
      <x:c r="AR79" s="139" t="n"/>
      <x:c r="AS79" s="139" t="n"/>
      <x:c r="AT79" s="139" t="n"/>
      <x:c r="AU79" s="139" t="n"/>
      <x:c r="AV79" s="139" t="n"/>
      <x:c r="AW79" s="139" t="n"/>
      <x:c r="AX79" s="139" t="n"/>
      <x:c r="AY79" s="139" t="n"/>
      <x:c r="AZ79" s="139" t="n"/>
    </x:row>
    <x:row r="80">
      <x:c r="A80" s="139" t="n"/>
      <x:c r="B80" s="139" t="n"/>
      <x:c r="C80" s="139" t="n"/>
      <x:c r="D80" s="139" t="n"/>
      <x:c r="E80" s="139" t="n"/>
      <x:c r="F80" s="139" t="n"/>
      <x:c r="G80" s="139" t="n"/>
      <x:c r="H80" s="139" t="n"/>
      <x:c r="I80" s="139" t="n"/>
      <x:c r="J80" s="139" t="n"/>
      <x:c r="K80" s="139" t="n"/>
      <x:c r="L80" s="139" t="n"/>
      <x:c r="M80" s="139" t="n"/>
      <x:c r="N80" s="139" t="n"/>
      <x:c r="O80" s="139" t="n"/>
      <x:c r="P80" s="139" t="n"/>
      <x:c r="Q80" s="139" t="n"/>
      <x:c r="R80" s="139" t="n"/>
      <x:c r="S80" s="139" t="n"/>
      <x:c r="T80" s="139" t="n"/>
      <x:c r="U80" s="139" t="n"/>
      <x:c r="V80" s="139" t="n"/>
      <x:c r="W80" s="139" t="n"/>
      <x:c r="X80" s="139" t="n"/>
      <x:c r="Y80" s="139" t="n"/>
      <x:c r="Z80" s="139" t="n"/>
      <x:c r="AA80" s="139" t="n"/>
      <x:c r="AB80" s="139" t="n"/>
      <x:c r="AC80" s="139" t="n"/>
      <x:c r="AD80" s="139" t="n"/>
      <x:c r="AE80" s="139" t="n"/>
      <x:c r="AF80" s="139" t="n"/>
      <x:c r="AG80" s="139" t="n"/>
      <x:c r="AH80" s="139" t="n"/>
      <x:c r="AI80" s="139" t="n"/>
      <x:c r="AJ80" s="139" t="n"/>
      <x:c r="AK80" s="139" t="n"/>
      <x:c r="AL80" s="139" t="n"/>
      <x:c r="AM80" s="139" t="n"/>
      <x:c r="AN80" s="139" t="n"/>
      <x:c r="AO80" s="139" t="n"/>
      <x:c r="AP80" s="139" t="n"/>
      <x:c r="AQ80" s="139" t="n"/>
      <x:c r="AR80" s="139" t="n"/>
      <x:c r="AS80" s="139" t="n"/>
      <x:c r="AT80" s="139" t="n"/>
      <x:c r="AU80" s="139" t="n"/>
      <x:c r="AV80" s="139" t="n"/>
      <x:c r="AW80" s="139" t="n"/>
      <x:c r="AX80" s="139" t="n"/>
      <x:c r="AY80" s="139" t="n"/>
      <x:c r="AZ80" s="139" t="n"/>
    </x:row>
    <x:row r="81">
      <x:c r="A81" s="139" t="n"/>
      <x:c r="B81" s="139" t="n"/>
      <x:c r="C81" s="139" t="n"/>
      <x:c r="D81" s="139" t="n"/>
      <x:c r="E81" s="139" t="n"/>
      <x:c r="F81" s="139" t="n"/>
      <x:c r="G81" s="139" t="n"/>
      <x:c r="H81" s="139" t="n"/>
      <x:c r="I81" s="139" t="n"/>
      <x:c r="J81" s="139" t="n"/>
      <x:c r="K81" s="139" t="n"/>
      <x:c r="L81" s="139" t="n"/>
      <x:c r="M81" s="139" t="n"/>
      <x:c r="N81" s="139" t="n"/>
      <x:c r="O81" s="139" t="n"/>
      <x:c r="P81" s="139" t="n"/>
      <x:c r="Q81" s="139" t="n"/>
      <x:c r="R81" s="139" t="n"/>
      <x:c r="S81" s="139" t="n"/>
      <x:c r="T81" s="139" t="n"/>
      <x:c r="U81" s="139" t="n"/>
      <x:c r="V81" s="139" t="n"/>
      <x:c r="W81" s="139" t="n"/>
      <x:c r="X81" s="139" t="n"/>
      <x:c r="Y81" s="139" t="n"/>
      <x:c r="Z81" s="139" t="n"/>
      <x:c r="AA81" s="139" t="n"/>
      <x:c r="AB81" s="139" t="n"/>
      <x:c r="AC81" s="139" t="n"/>
      <x:c r="AD81" s="139" t="n"/>
      <x:c r="AE81" s="139" t="n"/>
      <x:c r="AF81" s="139" t="n"/>
      <x:c r="AG81" s="139" t="n"/>
      <x:c r="AH81" s="139" t="n"/>
      <x:c r="AI81" s="139" t="n"/>
      <x:c r="AJ81" s="139" t="n"/>
      <x:c r="AK81" s="139" t="n"/>
      <x:c r="AL81" s="139" t="n"/>
      <x:c r="AM81" s="139" t="n"/>
      <x:c r="AN81" s="139" t="n"/>
      <x:c r="AO81" s="139" t="n"/>
      <x:c r="AP81" s="139" t="n"/>
      <x:c r="AQ81" s="139" t="n"/>
      <x:c r="AR81" s="139" t="n"/>
      <x:c r="AS81" s="139" t="n"/>
      <x:c r="AT81" s="139" t="n"/>
      <x:c r="AU81" s="139" t="n"/>
      <x:c r="AV81" s="139" t="n"/>
      <x:c r="AW81" s="139" t="n"/>
      <x:c r="AX81" s="139" t="n"/>
      <x:c r="AY81" s="139" t="n"/>
      <x:c r="AZ81" s="139" t="n"/>
    </x:row>
    <x:row r="82">
      <x:c r="A82" s="139" t="n"/>
      <x:c r="B82" s="139" t="n"/>
      <x:c r="C82" s="139" t="n"/>
      <x:c r="D82" s="139" t="n"/>
      <x:c r="E82" s="139" t="n"/>
      <x:c r="F82" s="139" t="n"/>
      <x:c r="G82" s="139" t="n"/>
      <x:c r="H82" s="139" t="n"/>
      <x:c r="I82" s="139" t="n"/>
      <x:c r="J82" s="139" t="n"/>
      <x:c r="K82" s="139" t="n"/>
      <x:c r="L82" s="139" t="n"/>
      <x:c r="M82" s="139" t="n"/>
      <x:c r="N82" s="139" t="n"/>
      <x:c r="O82" s="139" t="n"/>
      <x:c r="P82" s="139" t="n"/>
      <x:c r="Q82" s="139" t="n"/>
      <x:c r="R82" s="139" t="n"/>
      <x:c r="S82" s="139" t="n"/>
      <x:c r="T82" s="139" t="n"/>
      <x:c r="U82" s="139" t="n"/>
      <x:c r="V82" s="139" t="n"/>
      <x:c r="W82" s="139" t="n"/>
      <x:c r="X82" s="139" t="n"/>
      <x:c r="Y82" s="139" t="n"/>
      <x:c r="Z82" s="139" t="n"/>
      <x:c r="AA82" s="139" t="n"/>
      <x:c r="AB82" s="139" t="n"/>
      <x:c r="AC82" s="139" t="n"/>
      <x:c r="AD82" s="139" t="n"/>
      <x:c r="AE82" s="139" t="n"/>
      <x:c r="AF82" s="139" t="n"/>
      <x:c r="AG82" s="139" t="n"/>
      <x:c r="AH82" s="139" t="n"/>
      <x:c r="AI82" s="139" t="n"/>
      <x:c r="AJ82" s="139" t="n"/>
      <x:c r="AK82" s="139" t="n"/>
      <x:c r="AL82" s="139" t="n"/>
      <x:c r="AM82" s="139" t="n"/>
      <x:c r="AN82" s="139" t="n"/>
      <x:c r="AO82" s="139" t="n"/>
      <x:c r="AP82" s="139" t="n"/>
      <x:c r="AQ82" s="139" t="n"/>
      <x:c r="AR82" s="139" t="n"/>
      <x:c r="AS82" s="139" t="n"/>
      <x:c r="AT82" s="139" t="n"/>
      <x:c r="AU82" s="139" t="n"/>
      <x:c r="AV82" s="139" t="n"/>
      <x:c r="AW82" s="139" t="n"/>
      <x:c r="AX82" s="139" t="n"/>
      <x:c r="AY82" s="139" t="n"/>
      <x:c r="AZ82" s="139" t="n"/>
    </x:row>
    <x:row r="83">
      <x:c r="A83" s="139" t="n"/>
      <x:c r="B83" s="139" t="n"/>
      <x:c r="C83" s="139" t="n"/>
      <x:c r="D83" s="139" t="n"/>
      <x:c r="E83" s="139" t="n"/>
      <x:c r="F83" s="139" t="n"/>
      <x:c r="G83" s="139" t="n"/>
      <x:c r="H83" s="139" t="n"/>
      <x:c r="I83" s="139" t="n"/>
      <x:c r="J83" s="139" t="n"/>
      <x:c r="K83" s="139" t="n"/>
      <x:c r="L83" s="139" t="n"/>
      <x:c r="M83" s="139" t="n"/>
      <x:c r="N83" s="139" t="n"/>
      <x:c r="O83" s="139" t="n"/>
      <x:c r="P83" s="139" t="n"/>
      <x:c r="Q83" s="139" t="n"/>
      <x:c r="R83" s="139" t="n"/>
      <x:c r="S83" s="139" t="n"/>
      <x:c r="T83" s="139" t="n"/>
      <x:c r="U83" s="139" t="n"/>
      <x:c r="V83" s="139" t="n"/>
      <x:c r="W83" s="139" t="n"/>
      <x:c r="X83" s="139" t="n"/>
      <x:c r="Y83" s="139" t="n"/>
      <x:c r="Z83" s="139" t="n"/>
      <x:c r="AA83" s="139" t="n"/>
      <x:c r="AB83" s="139" t="n"/>
      <x:c r="AC83" s="139" t="n"/>
      <x:c r="AD83" s="139" t="n"/>
      <x:c r="AE83" s="139" t="n"/>
      <x:c r="AF83" s="139" t="n"/>
      <x:c r="AG83" s="139" t="n"/>
      <x:c r="AH83" s="139" t="n"/>
      <x:c r="AI83" s="139" t="n"/>
      <x:c r="AJ83" s="139" t="n"/>
      <x:c r="AK83" s="139" t="n"/>
      <x:c r="AL83" s="139" t="n"/>
      <x:c r="AM83" s="139" t="n"/>
      <x:c r="AN83" s="139" t="n"/>
      <x:c r="AO83" s="139" t="n"/>
      <x:c r="AP83" s="139" t="n"/>
      <x:c r="AQ83" s="139" t="n"/>
      <x:c r="AR83" s="139" t="n"/>
      <x:c r="AS83" s="139" t="n"/>
      <x:c r="AT83" s="139" t="n"/>
      <x:c r="AU83" s="139" t="n"/>
      <x:c r="AV83" s="139" t="n"/>
      <x:c r="AW83" s="139" t="n"/>
      <x:c r="AX83" s="139" t="n"/>
      <x:c r="AY83" s="139" t="n"/>
      <x:c r="AZ83" s="139" t="n"/>
    </x:row>
    <x:row r="84">
      <x:c r="A84" s="139" t="n"/>
      <x:c r="B84" s="139" t="n"/>
      <x:c r="C84" s="139" t="n"/>
      <x:c r="D84" s="139" t="n"/>
      <x:c r="E84" s="139" t="n"/>
      <x:c r="F84" s="139" t="n"/>
      <x:c r="G84" s="139" t="n"/>
      <x:c r="H84" s="139" t="n"/>
      <x:c r="I84" s="139" t="n"/>
      <x:c r="J84" s="139" t="n"/>
      <x:c r="K84" s="139" t="n"/>
      <x:c r="L84" s="139" t="n"/>
      <x:c r="M84" s="139" t="n"/>
      <x:c r="N84" s="139" t="n"/>
      <x:c r="O84" s="139" t="n"/>
      <x:c r="P84" s="139" t="n"/>
      <x:c r="Q84" s="139" t="n"/>
      <x:c r="R84" s="139" t="n"/>
      <x:c r="S84" s="139" t="n"/>
      <x:c r="T84" s="139" t="n"/>
      <x:c r="U84" s="139" t="n"/>
      <x:c r="V84" s="139" t="n"/>
      <x:c r="W84" s="139" t="n"/>
      <x:c r="X84" s="139" t="n"/>
      <x:c r="Y84" s="139" t="n"/>
      <x:c r="Z84" s="139" t="n"/>
      <x:c r="AA84" s="139" t="n"/>
      <x:c r="AB84" s="139" t="n"/>
      <x:c r="AC84" s="139" t="n"/>
      <x:c r="AD84" s="139" t="n"/>
      <x:c r="AE84" s="139" t="n"/>
      <x:c r="AF84" s="139" t="n"/>
      <x:c r="AG84" s="139" t="n"/>
      <x:c r="AH84" s="139" t="n"/>
      <x:c r="AI84" s="139" t="n"/>
      <x:c r="AJ84" s="139" t="n"/>
      <x:c r="AK84" s="139" t="n"/>
      <x:c r="AL84" s="139" t="n"/>
      <x:c r="AM84" s="139" t="n"/>
      <x:c r="AN84" s="139" t="n"/>
      <x:c r="AO84" s="139" t="n"/>
      <x:c r="AP84" s="139" t="n"/>
      <x:c r="AQ84" s="139" t="n"/>
      <x:c r="AR84" s="139" t="n"/>
      <x:c r="AS84" s="139" t="n"/>
      <x:c r="AT84" s="139" t="n"/>
      <x:c r="AU84" s="139" t="n"/>
      <x:c r="AV84" s="139" t="n"/>
      <x:c r="AW84" s="139" t="n"/>
      <x:c r="AX84" s="139" t="n"/>
      <x:c r="AY84" s="139" t="n"/>
      <x:c r="AZ84" s="139" t="n"/>
    </x:row>
    <x:row r="85">
      <x:c r="A85" s="139" t="n"/>
      <x:c r="B85" s="139" t="n"/>
      <x:c r="C85" s="139" t="n"/>
      <x:c r="D85" s="139" t="n"/>
      <x:c r="E85" s="139" t="n"/>
      <x:c r="F85" s="139" t="n"/>
      <x:c r="G85" s="139" t="n"/>
      <x:c r="H85" s="139" t="n"/>
      <x:c r="I85" s="139" t="n"/>
      <x:c r="J85" s="139" t="n"/>
      <x:c r="K85" s="139" t="n"/>
      <x:c r="L85" s="139" t="n"/>
      <x:c r="M85" s="139" t="n"/>
      <x:c r="N85" s="139" t="n"/>
      <x:c r="O85" s="139" t="n"/>
      <x:c r="P85" s="139" t="n"/>
      <x:c r="Q85" s="139" t="n"/>
      <x:c r="R85" s="139" t="n"/>
      <x:c r="S85" s="139" t="n"/>
      <x:c r="T85" s="139" t="n"/>
      <x:c r="U85" s="139" t="n"/>
      <x:c r="V85" s="139" t="n"/>
      <x:c r="W85" s="139" t="n"/>
      <x:c r="X85" s="139" t="n"/>
      <x:c r="Y85" s="139" t="n"/>
      <x:c r="Z85" s="139" t="n"/>
      <x:c r="AA85" s="139" t="n"/>
      <x:c r="AB85" s="139" t="n"/>
      <x:c r="AC85" s="139" t="n"/>
      <x:c r="AD85" s="139" t="n"/>
      <x:c r="AE85" s="139" t="n"/>
      <x:c r="AF85" s="139" t="n"/>
      <x:c r="AG85" s="139" t="n"/>
      <x:c r="AH85" s="139" t="n"/>
      <x:c r="AI85" s="139" t="n"/>
      <x:c r="AJ85" s="139" t="n"/>
      <x:c r="AK85" s="139" t="n"/>
      <x:c r="AL85" s="139" t="n"/>
      <x:c r="AM85" s="139" t="n"/>
      <x:c r="AN85" s="139" t="n"/>
      <x:c r="AO85" s="139" t="n"/>
      <x:c r="AP85" s="139" t="n"/>
      <x:c r="AQ85" s="139" t="n"/>
      <x:c r="AR85" s="139" t="n"/>
      <x:c r="AS85" s="139" t="n"/>
      <x:c r="AT85" s="139" t="n"/>
      <x:c r="AU85" s="139" t="n"/>
      <x:c r="AV85" s="139" t="n"/>
      <x:c r="AW85" s="139" t="n"/>
      <x:c r="AX85" s="139" t="n"/>
      <x:c r="AY85" s="139" t="n"/>
      <x:c r="AZ85" s="139" t="n"/>
    </x:row>
    <x:row r="86">
      <x:c r="A86" s="139" t="n"/>
      <x:c r="B86" s="139" t="n"/>
      <x:c r="C86" s="139" t="n"/>
      <x:c r="D86" s="139" t="n"/>
      <x:c r="E86" s="139" t="n"/>
      <x:c r="F86" s="139" t="n"/>
      <x:c r="G86" s="139" t="n"/>
      <x:c r="H86" s="139" t="n"/>
      <x:c r="I86" s="139" t="n"/>
      <x:c r="J86" s="139" t="n"/>
      <x:c r="K86" s="139" t="n"/>
      <x:c r="L86" s="139" t="n"/>
      <x:c r="M86" s="139" t="n"/>
      <x:c r="N86" s="139" t="n"/>
      <x:c r="O86" s="139" t="n"/>
      <x:c r="P86" s="139" t="n"/>
      <x:c r="Q86" s="139" t="n"/>
      <x:c r="R86" s="139" t="n"/>
      <x:c r="S86" s="139" t="n"/>
      <x:c r="T86" s="139" t="n"/>
      <x:c r="U86" s="139" t="n"/>
      <x:c r="V86" s="139" t="n"/>
      <x:c r="W86" s="139" t="n"/>
      <x:c r="X86" s="139" t="n"/>
      <x:c r="Y86" s="139" t="n"/>
      <x:c r="Z86" s="139" t="n"/>
      <x:c r="AA86" s="139" t="n"/>
      <x:c r="AB86" s="139" t="n"/>
      <x:c r="AC86" s="139" t="n"/>
      <x:c r="AD86" s="139" t="n"/>
      <x:c r="AE86" s="139" t="n"/>
      <x:c r="AF86" s="139" t="n"/>
      <x:c r="AG86" s="139" t="n"/>
      <x:c r="AH86" s="139" t="n"/>
      <x:c r="AI86" s="139" t="n"/>
      <x:c r="AJ86" s="139" t="n"/>
      <x:c r="AK86" s="139" t="n"/>
      <x:c r="AL86" s="139" t="n"/>
      <x:c r="AM86" s="139" t="n"/>
      <x:c r="AN86" s="139" t="n"/>
      <x:c r="AO86" s="139" t="n"/>
      <x:c r="AP86" s="139" t="n"/>
      <x:c r="AQ86" s="139" t="n"/>
      <x:c r="AR86" s="139" t="n"/>
      <x:c r="AS86" s="139" t="n"/>
      <x:c r="AT86" s="139" t="n"/>
      <x:c r="AU86" s="139" t="n"/>
      <x:c r="AV86" s="139" t="n"/>
      <x:c r="AW86" s="139" t="n"/>
      <x:c r="AX86" s="139" t="n"/>
      <x:c r="AY86" s="139" t="n"/>
      <x:c r="AZ86" s="139" t="n"/>
    </x:row>
    <x:row r="87">
      <x:c r="A87" s="139" t="n"/>
      <x:c r="B87" s="139" t="n"/>
      <x:c r="C87" s="139" t="n"/>
      <x:c r="D87" s="139" t="n"/>
      <x:c r="E87" s="139" t="n"/>
      <x:c r="F87" s="139" t="n"/>
      <x:c r="G87" s="139" t="n"/>
      <x:c r="H87" s="139" t="n"/>
      <x:c r="I87" s="139" t="n"/>
      <x:c r="J87" s="139" t="n"/>
      <x:c r="K87" s="139" t="n"/>
      <x:c r="L87" s="139" t="n"/>
      <x:c r="M87" s="139" t="n"/>
      <x:c r="N87" s="139" t="n"/>
      <x:c r="O87" s="139" t="n"/>
      <x:c r="P87" s="139" t="n"/>
      <x:c r="Q87" s="139" t="n"/>
      <x:c r="R87" s="139" t="n"/>
      <x:c r="S87" s="139" t="n"/>
      <x:c r="T87" s="139" t="n"/>
      <x:c r="U87" s="139" t="n"/>
      <x:c r="V87" s="139" t="n"/>
      <x:c r="W87" s="139" t="n"/>
      <x:c r="X87" s="139" t="n"/>
      <x:c r="Y87" s="139" t="n"/>
      <x:c r="Z87" s="139" t="n"/>
      <x:c r="AA87" s="139" t="n"/>
      <x:c r="AB87" s="139" t="n"/>
      <x:c r="AC87" s="139" t="n"/>
      <x:c r="AD87" s="139" t="n"/>
      <x:c r="AE87" s="139" t="n"/>
      <x:c r="AF87" s="139" t="n"/>
      <x:c r="AG87" s="139" t="n"/>
      <x:c r="AH87" s="139" t="n"/>
      <x:c r="AI87" s="139" t="n"/>
      <x:c r="AJ87" s="139" t="n"/>
      <x:c r="AK87" s="139" t="n"/>
      <x:c r="AL87" s="139" t="n"/>
      <x:c r="AM87" s="139" t="n"/>
      <x:c r="AN87" s="139" t="n"/>
      <x:c r="AO87" s="139" t="n"/>
      <x:c r="AP87" s="139" t="n"/>
      <x:c r="AQ87" s="139" t="n"/>
      <x:c r="AR87" s="139" t="n"/>
      <x:c r="AS87" s="139" t="n"/>
      <x:c r="AT87" s="139" t="n"/>
      <x:c r="AU87" s="139" t="n"/>
      <x:c r="AV87" s="139" t="n"/>
      <x:c r="AW87" s="139" t="n"/>
      <x:c r="AX87" s="139" t="n"/>
      <x:c r="AY87" s="139" t="n"/>
      <x:c r="AZ87" s="139" t="n"/>
    </x:row>
    <x:row r="88">
      <x:c r="A88" s="139" t="n"/>
      <x:c r="B88" s="139" t="n"/>
      <x:c r="C88" s="139" t="n"/>
      <x:c r="D88" s="139" t="n"/>
      <x:c r="E88" s="139" t="n"/>
      <x:c r="F88" s="139" t="n"/>
      <x:c r="G88" s="139" t="n"/>
      <x:c r="H88" s="139" t="n"/>
      <x:c r="I88" s="139" t="n"/>
      <x:c r="J88" s="139" t="n"/>
      <x:c r="K88" s="139" t="n"/>
      <x:c r="L88" s="139" t="n"/>
      <x:c r="M88" s="139" t="n"/>
      <x:c r="N88" s="139" t="n"/>
      <x:c r="O88" s="139" t="n"/>
      <x:c r="P88" s="139" t="n"/>
      <x:c r="Q88" s="139" t="n"/>
      <x:c r="R88" s="139" t="n"/>
      <x:c r="S88" s="139" t="n"/>
      <x:c r="T88" s="139" t="n"/>
      <x:c r="U88" s="139" t="n"/>
      <x:c r="V88" s="139" t="n"/>
      <x:c r="W88" s="139" t="n"/>
      <x:c r="X88" s="139" t="n"/>
      <x:c r="Y88" s="139" t="n"/>
      <x:c r="Z88" s="139" t="n"/>
      <x:c r="AA88" s="139" t="n"/>
      <x:c r="AB88" s="139" t="n"/>
      <x:c r="AC88" s="139" t="n"/>
      <x:c r="AD88" s="139" t="n"/>
      <x:c r="AE88" s="139" t="n"/>
      <x:c r="AF88" s="139" t="n"/>
      <x:c r="AG88" s="139" t="n"/>
      <x:c r="AH88" s="139" t="n"/>
      <x:c r="AI88" s="139" t="n"/>
      <x:c r="AJ88" s="139" t="n"/>
      <x:c r="AK88" s="139" t="n"/>
      <x:c r="AL88" s="139" t="n"/>
      <x:c r="AM88" s="139" t="n"/>
      <x:c r="AN88" s="139" t="n"/>
      <x:c r="AO88" s="139" t="n"/>
      <x:c r="AP88" s="139" t="n"/>
      <x:c r="AQ88" s="139" t="n"/>
      <x:c r="AR88" s="139" t="n"/>
      <x:c r="AS88" s="139" t="n"/>
      <x:c r="AT88" s="139" t="n"/>
      <x:c r="AU88" s="139" t="n"/>
      <x:c r="AV88" s="139" t="n"/>
      <x:c r="AW88" s="139" t="n"/>
      <x:c r="AX88" s="139" t="n"/>
      <x:c r="AY88" s="139" t="n"/>
      <x:c r="AZ88" s="139" t="n"/>
    </x:row>
    <x:row r="89">
      <x:c r="A89" s="139" t="n"/>
      <x:c r="B89" s="139" t="n"/>
      <x:c r="C89" s="139" t="n"/>
      <x:c r="D89" s="139" t="n"/>
      <x:c r="E89" s="139" t="n"/>
      <x:c r="F89" s="139" t="n"/>
      <x:c r="G89" s="139" t="n"/>
      <x:c r="H89" s="139" t="n"/>
      <x:c r="I89" s="139" t="n"/>
      <x:c r="J89" s="139" t="n"/>
      <x:c r="K89" s="139" t="n"/>
      <x:c r="L89" s="139" t="n"/>
      <x:c r="M89" s="139" t="n"/>
      <x:c r="N89" s="139" t="n"/>
      <x:c r="O89" s="139" t="n"/>
      <x:c r="P89" s="139" t="n"/>
      <x:c r="Q89" s="139" t="n"/>
      <x:c r="R89" s="139" t="n"/>
      <x:c r="S89" s="139" t="n"/>
      <x:c r="T89" s="139" t="n"/>
      <x:c r="U89" s="139" t="n"/>
      <x:c r="V89" s="139" t="n"/>
      <x:c r="W89" s="139" t="n"/>
      <x:c r="X89" s="139" t="n"/>
      <x:c r="Y89" s="139" t="n"/>
      <x:c r="Z89" s="139" t="n"/>
      <x:c r="AA89" s="139" t="n"/>
      <x:c r="AB89" s="139" t="n"/>
      <x:c r="AC89" s="139" t="n"/>
      <x:c r="AD89" s="139" t="n"/>
      <x:c r="AE89" s="139" t="n"/>
      <x:c r="AF89" s="139" t="n"/>
      <x:c r="AG89" s="139" t="n"/>
      <x:c r="AH89" s="139" t="n"/>
      <x:c r="AI89" s="139" t="n"/>
      <x:c r="AJ89" s="139" t="n"/>
      <x:c r="AK89" s="139" t="n"/>
      <x:c r="AL89" s="139" t="n"/>
      <x:c r="AM89" s="139" t="n"/>
      <x:c r="AN89" s="139" t="n"/>
      <x:c r="AO89" s="139" t="n"/>
      <x:c r="AP89" s="139" t="n"/>
      <x:c r="AQ89" s="139" t="n"/>
      <x:c r="AR89" s="139" t="n"/>
      <x:c r="AS89" s="139" t="n"/>
      <x:c r="AT89" s="139" t="n"/>
      <x:c r="AU89" s="139" t="n"/>
      <x:c r="AV89" s="139" t="n"/>
      <x:c r="AW89" s="139" t="n"/>
      <x:c r="AX89" s="139" t="n"/>
      <x:c r="AY89" s="139" t="n"/>
      <x:c r="AZ89" s="139" t="n"/>
    </x:row>
    <x:row r="90">
      <x:c r="A90" s="139" t="n"/>
      <x:c r="B90" s="139" t="n"/>
      <x:c r="C90" s="139" t="n"/>
      <x:c r="D90" s="139" t="n"/>
      <x:c r="E90" s="139" t="n"/>
      <x:c r="F90" s="139" t="n"/>
      <x:c r="G90" s="139" t="n"/>
      <x:c r="H90" s="139" t="n"/>
      <x:c r="I90" s="139" t="n"/>
      <x:c r="J90" s="139" t="n"/>
      <x:c r="K90" s="139" t="n"/>
      <x:c r="L90" s="139" t="n"/>
      <x:c r="M90" s="139" t="n"/>
      <x:c r="N90" s="139" t="n"/>
      <x:c r="O90" s="139" t="n"/>
      <x:c r="P90" s="139" t="n"/>
      <x:c r="Q90" s="139" t="n"/>
      <x:c r="R90" s="139" t="n"/>
      <x:c r="S90" s="139" t="n"/>
      <x:c r="T90" s="139" t="n"/>
      <x:c r="U90" s="139" t="n"/>
      <x:c r="V90" s="139" t="n"/>
      <x:c r="W90" s="139" t="n"/>
      <x:c r="X90" s="139" t="n"/>
      <x:c r="Y90" s="139" t="n"/>
      <x:c r="Z90" s="139" t="n"/>
      <x:c r="AA90" s="139" t="n"/>
      <x:c r="AB90" s="139" t="n"/>
      <x:c r="AC90" s="139" t="n"/>
      <x:c r="AD90" s="139" t="n"/>
      <x:c r="AE90" s="139" t="n"/>
      <x:c r="AF90" s="139" t="n"/>
      <x:c r="AG90" s="139" t="n"/>
      <x:c r="AH90" s="139" t="n"/>
      <x:c r="AI90" s="139" t="n"/>
      <x:c r="AJ90" s="139" t="n"/>
      <x:c r="AK90" s="139" t="n"/>
      <x:c r="AL90" s="139" t="n"/>
      <x:c r="AM90" s="139" t="n"/>
      <x:c r="AN90" s="139" t="n"/>
      <x:c r="AO90" s="139" t="n"/>
      <x:c r="AP90" s="139" t="n"/>
      <x:c r="AQ90" s="139" t="n"/>
      <x:c r="AR90" s="139" t="n"/>
      <x:c r="AS90" s="139" t="n"/>
      <x:c r="AT90" s="139" t="n"/>
      <x:c r="AU90" s="139" t="n"/>
      <x:c r="AV90" s="139" t="n"/>
      <x:c r="AW90" s="139" t="n"/>
      <x:c r="AX90" s="139" t="n"/>
      <x:c r="AY90" s="139" t="n"/>
      <x:c r="AZ90" s="139" t="n"/>
    </x:row>
    <x:row r="91">
      <x:c r="A91" s="139" t="n"/>
      <x:c r="B91" s="139" t="n"/>
      <x:c r="C91" s="139" t="n"/>
      <x:c r="D91" s="139" t="n"/>
      <x:c r="E91" s="139" t="n"/>
      <x:c r="F91" s="139" t="n"/>
      <x:c r="G91" s="139" t="n"/>
      <x:c r="H91" s="139" t="n"/>
      <x:c r="I91" s="139" t="n"/>
      <x:c r="J91" s="139" t="n"/>
      <x:c r="K91" s="139" t="n"/>
      <x:c r="L91" s="139" t="n"/>
      <x:c r="M91" s="139" t="n"/>
      <x:c r="N91" s="139" t="n"/>
      <x:c r="O91" s="139" t="n"/>
      <x:c r="P91" s="139" t="n"/>
      <x:c r="Q91" s="139" t="n"/>
      <x:c r="R91" s="139" t="n"/>
      <x:c r="S91" s="139" t="n"/>
      <x:c r="T91" s="139" t="n"/>
      <x:c r="U91" s="139" t="n"/>
      <x:c r="V91" s="139" t="n"/>
      <x:c r="W91" s="139" t="n"/>
      <x:c r="X91" s="139" t="n"/>
      <x:c r="Y91" s="139" t="n"/>
      <x:c r="Z91" s="139" t="n"/>
      <x:c r="AA91" s="139" t="n"/>
      <x:c r="AB91" s="139" t="n"/>
      <x:c r="AC91" s="139" t="n"/>
      <x:c r="AD91" s="139" t="n"/>
      <x:c r="AE91" s="139" t="n"/>
      <x:c r="AF91" s="139" t="n"/>
      <x:c r="AG91" s="139" t="n"/>
      <x:c r="AH91" s="139" t="n"/>
      <x:c r="AI91" s="139" t="n"/>
      <x:c r="AJ91" s="139" t="n"/>
      <x:c r="AK91" s="139" t="n"/>
      <x:c r="AL91" s="139" t="n"/>
      <x:c r="AM91" s="139" t="n"/>
      <x:c r="AN91" s="139" t="n"/>
      <x:c r="AO91" s="139" t="n"/>
      <x:c r="AP91" s="139" t="n"/>
      <x:c r="AQ91" s="139" t="n"/>
      <x:c r="AR91" s="139" t="n"/>
      <x:c r="AS91" s="139" t="n"/>
      <x:c r="AT91" s="139" t="n"/>
      <x:c r="AU91" s="139" t="n"/>
      <x:c r="AV91" s="139" t="n"/>
      <x:c r="AW91" s="139" t="n"/>
      <x:c r="AX91" s="139" t="n"/>
      <x:c r="AY91" s="139" t="n"/>
      <x:c r="AZ91" s="139" t="n"/>
    </x:row>
    <x:row r="92">
      <x:c r="A92" s="139" t="n"/>
      <x:c r="B92" s="139" t="n"/>
      <x:c r="C92" s="139" t="n"/>
      <x:c r="D92" s="139" t="n"/>
      <x:c r="E92" s="139" t="n"/>
      <x:c r="F92" s="139" t="n"/>
      <x:c r="G92" s="139" t="n"/>
      <x:c r="H92" s="139" t="n"/>
      <x:c r="I92" s="139" t="n"/>
      <x:c r="J92" s="139" t="n"/>
      <x:c r="K92" s="139" t="n"/>
      <x:c r="L92" s="139" t="n"/>
      <x:c r="M92" s="139" t="n"/>
      <x:c r="N92" s="139" t="n"/>
      <x:c r="O92" s="139" t="n"/>
      <x:c r="P92" s="139" t="n"/>
      <x:c r="Q92" s="139" t="n"/>
      <x:c r="R92" s="139" t="n"/>
      <x:c r="S92" s="139" t="n"/>
      <x:c r="T92" s="139" t="n"/>
      <x:c r="U92" s="139" t="n"/>
      <x:c r="V92" s="139" t="n"/>
      <x:c r="W92" s="139" t="n"/>
      <x:c r="X92" s="139" t="n"/>
      <x:c r="Y92" s="139" t="n"/>
      <x:c r="Z92" s="139" t="n"/>
      <x:c r="AA92" s="139" t="n"/>
      <x:c r="AB92" s="139" t="n"/>
      <x:c r="AC92" s="139" t="n"/>
      <x:c r="AD92" s="139" t="n"/>
      <x:c r="AE92" s="139" t="n"/>
      <x:c r="AF92" s="139" t="n"/>
      <x:c r="AG92" s="139" t="n"/>
      <x:c r="AH92" s="139" t="n"/>
      <x:c r="AI92" s="139" t="n"/>
      <x:c r="AJ92" s="139" t="n"/>
      <x:c r="AK92" s="139" t="n"/>
      <x:c r="AL92" s="139" t="n"/>
      <x:c r="AM92" s="139" t="n"/>
      <x:c r="AN92" s="139" t="n"/>
      <x:c r="AO92" s="139" t="n"/>
      <x:c r="AP92" s="139" t="n"/>
      <x:c r="AQ92" s="139" t="n"/>
      <x:c r="AR92" s="139" t="n"/>
      <x:c r="AS92" s="139" t="n"/>
      <x:c r="AT92" s="139" t="n"/>
      <x:c r="AU92" s="139" t="n"/>
      <x:c r="AV92" s="139" t="n"/>
      <x:c r="AW92" s="139" t="n"/>
      <x:c r="AX92" s="139" t="n"/>
      <x:c r="AY92" s="139" t="n"/>
      <x:c r="AZ92" s="139" t="n"/>
    </x:row>
    <x:row r="93">
      <x:c r="A93" s="139" t="n"/>
      <x:c r="B93" s="139" t="n"/>
      <x:c r="C93" s="139" t="n"/>
      <x:c r="D93" s="139" t="n"/>
      <x:c r="E93" s="139" t="n"/>
      <x:c r="F93" s="139" t="n"/>
      <x:c r="G93" s="139" t="n"/>
      <x:c r="H93" s="139" t="n"/>
      <x:c r="I93" s="139" t="n"/>
      <x:c r="J93" s="139" t="n"/>
      <x:c r="K93" s="139" t="n"/>
      <x:c r="L93" s="139" t="n"/>
      <x:c r="M93" s="139" t="n"/>
      <x:c r="N93" s="139" t="n"/>
      <x:c r="O93" s="139" t="n"/>
      <x:c r="P93" s="139" t="n"/>
      <x:c r="Q93" s="139" t="n"/>
      <x:c r="R93" s="139" t="n"/>
      <x:c r="S93" s="139" t="n"/>
      <x:c r="T93" s="139" t="n"/>
      <x:c r="U93" s="139" t="n"/>
      <x:c r="V93" s="139" t="n"/>
      <x:c r="W93" s="139" t="n"/>
      <x:c r="X93" s="139" t="n"/>
      <x:c r="Y93" s="139" t="n"/>
      <x:c r="Z93" s="139" t="n"/>
      <x:c r="AA93" s="139" t="n"/>
      <x:c r="AB93" s="139" t="n"/>
      <x:c r="AC93" s="139" t="n"/>
      <x:c r="AD93" s="139" t="n"/>
      <x:c r="AE93" s="139" t="n"/>
      <x:c r="AF93" s="139" t="n"/>
      <x:c r="AG93" s="139" t="n"/>
      <x:c r="AH93" s="139" t="n"/>
      <x:c r="AI93" s="139" t="n"/>
      <x:c r="AJ93" s="139" t="n"/>
      <x:c r="AK93" s="139" t="n"/>
      <x:c r="AL93" s="139" t="n"/>
      <x:c r="AM93" s="139" t="n"/>
      <x:c r="AN93" s="139" t="n"/>
      <x:c r="AO93" s="139" t="n"/>
      <x:c r="AP93" s="139" t="n"/>
      <x:c r="AQ93" s="139" t="n"/>
      <x:c r="AR93" s="139" t="n"/>
      <x:c r="AS93" s="139" t="n"/>
      <x:c r="AT93" s="139" t="n"/>
      <x:c r="AU93" s="139" t="n"/>
      <x:c r="AV93" s="139" t="n"/>
      <x:c r="AW93" s="139" t="n"/>
      <x:c r="AX93" s="139" t="n"/>
      <x:c r="AY93" s="139" t="n"/>
      <x:c r="AZ93" s="139" t="n"/>
    </x:row>
    <x:row r="94">
      <x:c r="A94" s="139" t="n"/>
      <x:c r="B94" s="139" t="n"/>
      <x:c r="C94" s="139" t="n"/>
      <x:c r="D94" s="139" t="n"/>
      <x:c r="E94" s="139" t="n"/>
      <x:c r="F94" s="139" t="n"/>
      <x:c r="G94" s="139" t="n"/>
      <x:c r="H94" s="139" t="n"/>
      <x:c r="I94" s="139" t="n"/>
      <x:c r="J94" s="139" t="n"/>
      <x:c r="K94" s="139" t="n"/>
      <x:c r="L94" s="139" t="n"/>
      <x:c r="M94" s="139" t="n"/>
      <x:c r="N94" s="139" t="n"/>
      <x:c r="O94" s="139" t="n"/>
      <x:c r="P94" s="139" t="n"/>
      <x:c r="Q94" s="139" t="n"/>
      <x:c r="R94" s="139" t="n"/>
      <x:c r="S94" s="139" t="n"/>
      <x:c r="T94" s="139" t="n"/>
      <x:c r="U94" s="139" t="n"/>
      <x:c r="V94" s="139" t="n"/>
      <x:c r="W94" s="139" t="n"/>
      <x:c r="X94" s="139" t="n"/>
      <x:c r="Y94" s="139" t="n"/>
      <x:c r="Z94" s="139" t="n"/>
      <x:c r="AA94" s="139" t="n"/>
      <x:c r="AB94" s="139" t="n"/>
      <x:c r="AC94" s="139" t="n"/>
      <x:c r="AD94" s="139" t="n"/>
      <x:c r="AE94" s="139" t="n"/>
      <x:c r="AF94" s="139" t="n"/>
      <x:c r="AG94" s="139" t="n"/>
      <x:c r="AH94" s="139" t="n"/>
      <x:c r="AI94" s="139" t="n"/>
      <x:c r="AJ94" s="139" t="n"/>
      <x:c r="AK94" s="139" t="n"/>
      <x:c r="AL94" s="139" t="n"/>
      <x:c r="AM94" s="139" t="n"/>
      <x:c r="AN94" s="139" t="n"/>
      <x:c r="AO94" s="139" t="n"/>
      <x:c r="AP94" s="139" t="n"/>
      <x:c r="AQ94" s="139" t="n"/>
      <x:c r="AR94" s="139" t="n"/>
      <x:c r="AS94" s="139" t="n"/>
      <x:c r="AT94" s="139" t="n"/>
      <x:c r="AU94" s="139" t="n"/>
      <x:c r="AV94" s="139" t="n"/>
      <x:c r="AW94" s="139" t="n"/>
      <x:c r="AX94" s="139" t="n"/>
      <x:c r="AY94" s="139" t="n"/>
      <x:c r="AZ94" s="139" t="n"/>
    </x:row>
    <x:row r="95">
      <x:c r="A95" s="139" t="n"/>
      <x:c r="B95" s="139" t="n"/>
      <x:c r="C95" s="139" t="n"/>
      <x:c r="D95" s="139" t="n"/>
      <x:c r="E95" s="139" t="n"/>
      <x:c r="F95" s="139" t="n"/>
      <x:c r="G95" s="139" t="n"/>
      <x:c r="H95" s="139" t="n"/>
      <x:c r="I95" s="139" t="n"/>
      <x:c r="J95" s="139" t="n"/>
      <x:c r="K95" s="139" t="n"/>
      <x:c r="L95" s="139" t="n"/>
      <x:c r="M95" s="139" t="n"/>
      <x:c r="N95" s="139" t="n"/>
      <x:c r="O95" s="139" t="n"/>
      <x:c r="P95" s="139" t="n"/>
      <x:c r="Q95" s="139" t="n"/>
      <x:c r="R95" s="139" t="n"/>
      <x:c r="S95" s="139" t="n"/>
      <x:c r="T95" s="139" t="n"/>
      <x:c r="U95" s="139" t="n"/>
      <x:c r="V95" s="139" t="n"/>
      <x:c r="W95" s="139" t="n"/>
      <x:c r="X95" s="139" t="n"/>
      <x:c r="Y95" s="139" t="n"/>
      <x:c r="Z95" s="139" t="n"/>
      <x:c r="AA95" s="139" t="n"/>
      <x:c r="AB95" s="139" t="n"/>
      <x:c r="AC95" s="139" t="n"/>
      <x:c r="AD95" s="139" t="n"/>
      <x:c r="AE95" s="139" t="n"/>
      <x:c r="AF95" s="139" t="n"/>
      <x:c r="AG95" s="139" t="n"/>
      <x:c r="AH95" s="139" t="n"/>
      <x:c r="AI95" s="139" t="n"/>
      <x:c r="AJ95" s="139" t="n"/>
      <x:c r="AK95" s="139" t="n"/>
      <x:c r="AL95" s="139" t="n"/>
      <x:c r="AM95" s="139" t="n"/>
      <x:c r="AN95" s="139" t="n"/>
      <x:c r="AO95" s="139" t="n"/>
      <x:c r="AP95" s="139" t="n"/>
      <x:c r="AQ95" s="139" t="n"/>
      <x:c r="AR95" s="139" t="n"/>
      <x:c r="AS95" s="139" t="n"/>
      <x:c r="AT95" s="139" t="n"/>
      <x:c r="AU95" s="139" t="n"/>
      <x:c r="AV95" s="139" t="n"/>
      <x:c r="AW95" s="139" t="n"/>
      <x:c r="AX95" s="139" t="n"/>
      <x:c r="AY95" s="139" t="n"/>
      <x:c r="AZ95" s="139" t="n"/>
    </x:row>
    <x:row r="96">
      <x:c r="A96" s="139" t="n"/>
      <x:c r="B96" s="139" t="n"/>
      <x:c r="C96" s="139" t="n"/>
      <x:c r="D96" s="139" t="n"/>
      <x:c r="E96" s="139" t="n"/>
      <x:c r="F96" s="139" t="n"/>
      <x:c r="G96" s="139" t="n"/>
      <x:c r="H96" s="139" t="n"/>
      <x:c r="I96" s="139" t="n"/>
      <x:c r="J96" s="139" t="n"/>
      <x:c r="K96" s="139" t="n"/>
      <x:c r="L96" s="139" t="n"/>
      <x:c r="M96" s="139" t="n"/>
      <x:c r="N96" s="139" t="n"/>
      <x:c r="O96" s="139" t="n"/>
      <x:c r="P96" s="139" t="n"/>
      <x:c r="Q96" s="139" t="n"/>
      <x:c r="R96" s="139" t="n"/>
      <x:c r="S96" s="139" t="n"/>
      <x:c r="T96" s="139" t="n"/>
      <x:c r="U96" s="139" t="n"/>
      <x:c r="V96" s="139" t="n"/>
      <x:c r="W96" s="139" t="n"/>
      <x:c r="X96" s="139" t="n"/>
      <x:c r="Y96" s="139" t="n"/>
      <x:c r="Z96" s="139" t="n"/>
      <x:c r="AA96" s="139" t="n"/>
      <x:c r="AB96" s="139" t="n"/>
      <x:c r="AC96" s="139" t="n"/>
      <x:c r="AD96" s="139" t="n"/>
      <x:c r="AE96" s="139" t="n"/>
      <x:c r="AF96" s="139" t="n"/>
      <x:c r="AG96" s="139" t="n"/>
      <x:c r="AH96" s="139" t="n"/>
      <x:c r="AI96" s="139" t="n"/>
      <x:c r="AJ96" s="139" t="n"/>
      <x:c r="AK96" s="139" t="n"/>
      <x:c r="AL96" s="139" t="n"/>
      <x:c r="AM96" s="139" t="n"/>
      <x:c r="AN96" s="139" t="n"/>
      <x:c r="AO96" s="139" t="n"/>
      <x:c r="AP96" s="139" t="n"/>
      <x:c r="AQ96" s="139" t="n"/>
      <x:c r="AR96" s="139" t="n"/>
      <x:c r="AS96" s="139" t="n"/>
      <x:c r="AT96" s="139" t="n"/>
      <x:c r="AU96" s="139" t="n"/>
      <x:c r="AV96" s="139" t="n"/>
      <x:c r="AW96" s="139" t="n"/>
      <x:c r="AX96" s="139" t="n"/>
      <x:c r="AY96" s="139" t="n"/>
      <x:c r="AZ96" s="139" t="n"/>
    </x:row>
    <x:row r="97">
      <x:c r="A97" s="139" t="n"/>
      <x:c r="B97" s="139" t="n"/>
      <x:c r="C97" s="139" t="n"/>
      <x:c r="D97" s="139" t="n"/>
      <x:c r="E97" s="139" t="n"/>
      <x:c r="F97" s="139" t="n"/>
      <x:c r="G97" s="139" t="n"/>
      <x:c r="H97" s="139" t="n"/>
      <x:c r="I97" s="139" t="n"/>
      <x:c r="J97" s="139" t="n"/>
      <x:c r="K97" s="139" t="n"/>
      <x:c r="L97" s="139" t="n"/>
      <x:c r="M97" s="139" t="n"/>
      <x:c r="N97" s="139" t="n"/>
      <x:c r="O97" s="139" t="n"/>
      <x:c r="P97" s="139" t="n"/>
      <x:c r="Q97" s="139" t="n"/>
      <x:c r="R97" s="139" t="n"/>
      <x:c r="S97" s="139" t="n"/>
      <x:c r="T97" s="139" t="n"/>
      <x:c r="U97" s="139" t="n"/>
      <x:c r="V97" s="139" t="n"/>
      <x:c r="W97" s="139" t="n"/>
      <x:c r="X97" s="139" t="n"/>
      <x:c r="Y97" s="139" t="n"/>
      <x:c r="Z97" s="139" t="n"/>
      <x:c r="AA97" s="139" t="n"/>
      <x:c r="AB97" s="139" t="n"/>
      <x:c r="AC97" s="139" t="n"/>
      <x:c r="AD97" s="139" t="n"/>
      <x:c r="AE97" s="139" t="n"/>
      <x:c r="AF97" s="139" t="n"/>
      <x:c r="AG97" s="139" t="n"/>
      <x:c r="AH97" s="139" t="n"/>
      <x:c r="AI97" s="139" t="n"/>
      <x:c r="AJ97" s="139" t="n"/>
      <x:c r="AK97" s="139" t="n"/>
      <x:c r="AL97" s="139" t="n"/>
      <x:c r="AM97" s="139" t="n"/>
      <x:c r="AN97" s="139" t="n"/>
      <x:c r="AO97" s="139" t="n"/>
      <x:c r="AP97" s="139" t="n"/>
      <x:c r="AQ97" s="139" t="n"/>
      <x:c r="AR97" s="139" t="n"/>
      <x:c r="AS97" s="139" t="n"/>
      <x:c r="AT97" s="139" t="n"/>
      <x:c r="AU97" s="139" t="n"/>
      <x:c r="AV97" s="139" t="n"/>
      <x:c r="AW97" s="139" t="n"/>
      <x:c r="AX97" s="139" t="n"/>
      <x:c r="AY97" s="139" t="n"/>
      <x:c r="AZ97" s="139" t="n"/>
    </x:row>
    <x:row r="98">
      <x:c r="A98" s="139" t="n"/>
      <x:c r="B98" s="139" t="n"/>
      <x:c r="C98" s="139" t="n"/>
      <x:c r="D98" s="139" t="n"/>
      <x:c r="E98" s="139" t="n"/>
      <x:c r="F98" s="139" t="n"/>
      <x:c r="G98" s="139" t="n"/>
      <x:c r="H98" s="139" t="n"/>
      <x:c r="I98" s="139" t="n"/>
      <x:c r="J98" s="139" t="n"/>
      <x:c r="K98" s="139" t="n"/>
      <x:c r="L98" s="139" t="n"/>
      <x:c r="M98" s="139" t="n"/>
      <x:c r="N98" s="139" t="n"/>
      <x:c r="O98" s="139" t="n"/>
      <x:c r="P98" s="139" t="n"/>
      <x:c r="Q98" s="139" t="n"/>
      <x:c r="R98" s="139" t="n"/>
      <x:c r="S98" s="139" t="n"/>
      <x:c r="T98" s="139" t="n"/>
      <x:c r="U98" s="139" t="n"/>
      <x:c r="V98" s="139" t="n"/>
      <x:c r="W98" s="139" t="n"/>
      <x:c r="X98" s="139" t="n"/>
      <x:c r="Y98" s="139" t="n"/>
      <x:c r="Z98" s="139" t="n"/>
      <x:c r="AA98" s="139" t="n"/>
      <x:c r="AB98" s="139" t="n"/>
      <x:c r="AC98" s="139" t="n"/>
      <x:c r="AD98" s="139" t="n"/>
      <x:c r="AE98" s="139" t="n"/>
      <x:c r="AF98" s="139" t="n"/>
      <x:c r="AG98" s="139" t="n"/>
      <x:c r="AH98" s="139" t="n"/>
      <x:c r="AI98" s="139" t="n"/>
      <x:c r="AJ98" s="139" t="n"/>
      <x:c r="AK98" s="139" t="n"/>
      <x:c r="AL98" s="139" t="n"/>
      <x:c r="AM98" s="139" t="n"/>
      <x:c r="AN98" s="139" t="n"/>
      <x:c r="AO98" s="139" t="n"/>
      <x:c r="AP98" s="139" t="n"/>
      <x:c r="AQ98" s="139" t="n"/>
      <x:c r="AR98" s="139" t="n"/>
      <x:c r="AS98" s="139" t="n"/>
      <x:c r="AT98" s="139" t="n"/>
      <x:c r="AU98" s="139" t="n"/>
      <x:c r="AV98" s="139" t="n"/>
      <x:c r="AW98" s="139" t="n"/>
      <x:c r="AX98" s="139" t="n"/>
      <x:c r="AY98" s="139" t="n"/>
      <x:c r="AZ98" s="139" t="n"/>
    </x:row>
    <x:row r="99">
      <x:c r="A99" s="139" t="n"/>
      <x:c r="B99" s="139" t="n"/>
      <x:c r="C99" s="139" t="n"/>
      <x:c r="D99" s="139" t="n"/>
      <x:c r="E99" s="139" t="n"/>
      <x:c r="F99" s="139" t="n"/>
      <x:c r="G99" s="139" t="n"/>
      <x:c r="H99" s="139" t="n"/>
      <x:c r="I99" s="139" t="n"/>
      <x:c r="J99" s="139" t="n"/>
      <x:c r="K99" s="139" t="n"/>
      <x:c r="L99" s="139" t="n"/>
      <x:c r="M99" s="139" t="n"/>
      <x:c r="N99" s="139" t="n"/>
      <x:c r="O99" s="139" t="n"/>
      <x:c r="P99" s="139" t="n"/>
      <x:c r="Q99" s="139" t="n"/>
      <x:c r="R99" s="139" t="n"/>
      <x:c r="S99" s="139" t="n"/>
      <x:c r="T99" s="139" t="n"/>
      <x:c r="U99" s="139" t="n"/>
      <x:c r="V99" s="139" t="n"/>
      <x:c r="W99" s="139" t="n"/>
      <x:c r="X99" s="139" t="n"/>
      <x:c r="Y99" s="139" t="n"/>
      <x:c r="Z99" s="139" t="n"/>
      <x:c r="AA99" s="139" t="n"/>
      <x:c r="AB99" s="139" t="n"/>
      <x:c r="AC99" s="139" t="n"/>
      <x:c r="AD99" s="139" t="n"/>
      <x:c r="AE99" s="139" t="n"/>
      <x:c r="AF99" s="139" t="n"/>
      <x:c r="AG99" s="139" t="n"/>
      <x:c r="AH99" s="139" t="n"/>
      <x:c r="AI99" s="139" t="n"/>
      <x:c r="AJ99" s="139" t="n"/>
      <x:c r="AK99" s="139" t="n"/>
      <x:c r="AL99" s="139" t="n"/>
      <x:c r="AM99" s="139" t="n"/>
      <x:c r="AN99" s="139" t="n"/>
      <x:c r="AO99" s="139" t="n"/>
      <x:c r="AP99" s="139" t="n"/>
      <x:c r="AQ99" s="139" t="n"/>
      <x:c r="AR99" s="139" t="n"/>
      <x:c r="AS99" s="139" t="n"/>
      <x:c r="AT99" s="139" t="n"/>
      <x:c r="AU99" s="139" t="n"/>
      <x:c r="AV99" s="139" t="n"/>
      <x:c r="AW99" s="139" t="n"/>
      <x:c r="AX99" s="139" t="n"/>
      <x:c r="AY99" s="139" t="n"/>
      <x:c r="AZ99" s="139" t="n"/>
    </x:row>
    <x:row r="100">
      <x:c r="A100" s="139" t="n"/>
      <x:c r="B100" s="139" t="n"/>
      <x:c r="C100" s="139" t="n"/>
      <x:c r="D100" s="139" t="n"/>
      <x:c r="E100" s="139" t="n"/>
      <x:c r="F100" s="139" t="n"/>
      <x:c r="G100" s="139" t="n"/>
      <x:c r="H100" s="139" t="n"/>
      <x:c r="I100" s="139" t="n"/>
      <x:c r="J100" s="139" t="n"/>
      <x:c r="K100" s="139" t="n"/>
      <x:c r="L100" s="139" t="n"/>
      <x:c r="M100" s="139" t="n"/>
      <x:c r="N100" s="139" t="n"/>
      <x:c r="O100" s="139" t="n"/>
      <x:c r="P100" s="139" t="n"/>
      <x:c r="Q100" s="139" t="n"/>
      <x:c r="R100" s="139" t="n"/>
      <x:c r="S100" s="139" t="n"/>
      <x:c r="T100" s="139" t="n"/>
      <x:c r="U100" s="139" t="n"/>
      <x:c r="V100" s="139" t="n"/>
      <x:c r="W100" s="139" t="n"/>
      <x:c r="X100" s="139" t="n"/>
      <x:c r="Y100" s="139" t="n"/>
      <x:c r="Z100" s="139" t="n"/>
      <x:c r="AA100" s="139" t="n"/>
      <x:c r="AB100" s="139" t="n"/>
      <x:c r="AC100" s="139" t="n"/>
      <x:c r="AD100" s="139" t="n"/>
      <x:c r="AE100" s="139" t="n"/>
      <x:c r="AF100" s="139" t="n"/>
      <x:c r="AG100" s="139" t="n"/>
      <x:c r="AH100" s="139" t="n"/>
      <x:c r="AI100" s="139" t="n"/>
      <x:c r="AJ100" s="139" t="n"/>
      <x:c r="AK100" s="139" t="n"/>
      <x:c r="AL100" s="139" t="n"/>
      <x:c r="AM100" s="139" t="n"/>
      <x:c r="AN100" s="139" t="n"/>
      <x:c r="AO100" s="139" t="n"/>
      <x:c r="AP100" s="139" t="n"/>
      <x:c r="AQ100" s="139" t="n"/>
      <x:c r="AR100" s="139" t="n"/>
      <x:c r="AS100" s="139" t="n"/>
      <x:c r="AT100" s="139" t="n"/>
      <x:c r="AU100" s="139" t="n"/>
      <x:c r="AV100" s="139" t="n"/>
      <x:c r="AW100" s="139" t="n"/>
      <x:c r="AX100" s="139" t="n"/>
      <x:c r="AY100" s="139" t="n"/>
      <x:c r="AZ100" s="139" t="n"/>
    </x:row>
    <x:row r="101">
      <x:c r="A101" s="139" t="n"/>
      <x:c r="B101" s="139" t="n"/>
      <x:c r="C101" s="139" t="n"/>
      <x:c r="D101" s="139" t="n"/>
      <x:c r="E101" s="139" t="n"/>
      <x:c r="F101" s="139" t="n"/>
      <x:c r="G101" s="139" t="n"/>
      <x:c r="H101" s="139" t="n"/>
      <x:c r="I101" s="139" t="n"/>
      <x:c r="J101" s="139" t="n"/>
      <x:c r="K101" s="139" t="n"/>
      <x:c r="L101" s="139" t="n"/>
      <x:c r="M101" s="139" t="n"/>
      <x:c r="N101" s="139" t="n"/>
      <x:c r="O101" s="139" t="n"/>
      <x:c r="P101" s="139" t="n"/>
      <x:c r="Q101" s="139" t="n"/>
      <x:c r="R101" s="139" t="n"/>
      <x:c r="S101" s="139" t="n"/>
      <x:c r="T101" s="139" t="n"/>
      <x:c r="U101" s="139" t="n"/>
      <x:c r="V101" s="139" t="n"/>
      <x:c r="W101" s="139" t="n"/>
      <x:c r="X101" s="139" t="n"/>
      <x:c r="Y101" s="139" t="n"/>
      <x:c r="Z101" s="139" t="n"/>
      <x:c r="AA101" s="139" t="n"/>
      <x:c r="AB101" s="139" t="n"/>
      <x:c r="AC101" s="139" t="n"/>
      <x:c r="AD101" s="139" t="n"/>
      <x:c r="AE101" s="139" t="n"/>
      <x:c r="AF101" s="139" t="n"/>
      <x:c r="AG101" s="139" t="n"/>
      <x:c r="AH101" s="139" t="n"/>
      <x:c r="AI101" s="139" t="n"/>
      <x:c r="AJ101" s="139" t="n"/>
      <x:c r="AK101" s="139" t="n"/>
      <x:c r="AL101" s="139" t="n"/>
      <x:c r="AM101" s="139" t="n"/>
      <x:c r="AN101" s="139" t="n"/>
      <x:c r="AO101" s="139" t="n"/>
      <x:c r="AP101" s="139" t="n"/>
      <x:c r="AQ101" s="139" t="n"/>
      <x:c r="AR101" s="139" t="n"/>
      <x:c r="AS101" s="139" t="n"/>
      <x:c r="AT101" s="139" t="n"/>
      <x:c r="AU101" s="139" t="n"/>
      <x:c r="AV101" s="139" t="n"/>
      <x:c r="AW101" s="139" t="n"/>
      <x:c r="AX101" s="139" t="n"/>
      <x:c r="AY101" s="139" t="n"/>
      <x:c r="AZ101" s="139" t="n"/>
    </x:row>
    <x:row r="102">
      <x:c r="A102" s="139" t="n"/>
      <x:c r="B102" s="139" t="n"/>
      <x:c r="C102" s="139" t="n"/>
      <x:c r="D102" s="139" t="n"/>
      <x:c r="E102" s="139" t="n"/>
      <x:c r="F102" s="139" t="n"/>
      <x:c r="G102" s="139" t="n"/>
      <x:c r="H102" s="139" t="n"/>
      <x:c r="I102" s="139" t="n"/>
      <x:c r="J102" s="139" t="n"/>
      <x:c r="K102" s="139" t="n"/>
      <x:c r="L102" s="139" t="n"/>
      <x:c r="M102" s="139" t="n"/>
      <x:c r="N102" s="139" t="n"/>
      <x:c r="O102" s="139" t="n"/>
      <x:c r="P102" s="139" t="n"/>
      <x:c r="Q102" s="139" t="n"/>
      <x:c r="R102" s="139" t="n"/>
      <x:c r="S102" s="139" t="n"/>
      <x:c r="T102" s="139" t="n"/>
      <x:c r="U102" s="139" t="n"/>
      <x:c r="V102" s="139" t="n"/>
      <x:c r="W102" s="139" t="n"/>
      <x:c r="X102" s="139" t="n"/>
      <x:c r="Y102" s="139" t="n"/>
      <x:c r="Z102" s="139" t="n"/>
      <x:c r="AA102" s="139" t="n"/>
      <x:c r="AB102" s="139" t="n"/>
      <x:c r="AC102" s="139" t="n"/>
      <x:c r="AD102" s="139" t="n"/>
      <x:c r="AE102" s="139" t="n"/>
      <x:c r="AF102" s="139" t="n"/>
      <x:c r="AG102" s="139" t="n"/>
      <x:c r="AH102" s="139" t="n"/>
      <x:c r="AI102" s="139" t="n"/>
      <x:c r="AJ102" s="139" t="n"/>
      <x:c r="AK102" s="139" t="n"/>
      <x:c r="AL102" s="139" t="n"/>
      <x:c r="AM102" s="139" t="n"/>
      <x:c r="AN102" s="139" t="n"/>
      <x:c r="AO102" s="139" t="n"/>
      <x:c r="AP102" s="139" t="n"/>
      <x:c r="AQ102" s="139" t="n"/>
      <x:c r="AR102" s="139" t="n"/>
      <x:c r="AS102" s="139" t="n"/>
      <x:c r="AT102" s="139" t="n"/>
      <x:c r="AU102" s="139" t="n"/>
      <x:c r="AV102" s="139" t="n"/>
      <x:c r="AW102" s="139" t="n"/>
      <x:c r="AX102" s="139" t="n"/>
      <x:c r="AY102" s="139" t="n"/>
      <x:c r="AZ102" s="139" t="n"/>
    </x:row>
    <x:row r="103">
      <x:c r="A103" s="139" t="n"/>
      <x:c r="B103" s="139" t="n"/>
      <x:c r="C103" s="139" t="n"/>
      <x:c r="D103" s="139" t="n"/>
      <x:c r="E103" s="139" t="n"/>
      <x:c r="F103" s="139" t="n"/>
      <x:c r="G103" s="139" t="n"/>
      <x:c r="H103" s="139" t="n"/>
      <x:c r="I103" s="139" t="n"/>
      <x:c r="J103" s="139" t="n"/>
      <x:c r="K103" s="139" t="n"/>
      <x:c r="L103" s="139" t="n"/>
      <x:c r="M103" s="139" t="n"/>
      <x:c r="N103" s="139" t="n"/>
      <x:c r="O103" s="139" t="n"/>
      <x:c r="P103" s="139" t="n"/>
      <x:c r="Q103" s="139" t="n"/>
      <x:c r="R103" s="139" t="n"/>
      <x:c r="S103" s="139" t="n"/>
      <x:c r="T103" s="139" t="n"/>
      <x:c r="U103" s="139" t="n"/>
      <x:c r="V103" s="139" t="n"/>
      <x:c r="W103" s="139" t="n"/>
      <x:c r="X103" s="139" t="n"/>
      <x:c r="Y103" s="139" t="n"/>
      <x:c r="Z103" s="139" t="n"/>
      <x:c r="AA103" s="139" t="n"/>
      <x:c r="AB103" s="139" t="n"/>
      <x:c r="AC103" s="139" t="n"/>
      <x:c r="AD103" s="139" t="n"/>
      <x:c r="AE103" s="139" t="n"/>
      <x:c r="AF103" s="139" t="n"/>
      <x:c r="AG103" s="139" t="n"/>
      <x:c r="AH103" s="139" t="n"/>
      <x:c r="AI103" s="139" t="n"/>
      <x:c r="AJ103" s="139" t="n"/>
      <x:c r="AK103" s="139" t="n"/>
      <x:c r="AL103" s="139" t="n"/>
      <x:c r="AM103" s="139" t="n"/>
      <x:c r="AN103" s="139" t="n"/>
      <x:c r="AO103" s="139" t="n"/>
      <x:c r="AP103" s="139" t="n"/>
      <x:c r="AQ103" s="139" t="n"/>
      <x:c r="AR103" s="139" t="n"/>
      <x:c r="AS103" s="139" t="n"/>
      <x:c r="AT103" s="139" t="n"/>
      <x:c r="AU103" s="139" t="n"/>
      <x:c r="AV103" s="139" t="n"/>
      <x:c r="AW103" s="139" t="n"/>
      <x:c r="AX103" s="139" t="n"/>
      <x:c r="AY103" s="139" t="n"/>
      <x:c r="AZ103" s="139" t="n"/>
    </x:row>
    <x:row r="104">
      <x:c r="A104" s="139" t="n"/>
      <x:c r="B104" s="139" t="n"/>
      <x:c r="C104" s="139" t="n"/>
      <x:c r="D104" s="139" t="n"/>
      <x:c r="E104" s="139" t="n"/>
      <x:c r="F104" s="139" t="n"/>
      <x:c r="G104" s="139" t="n"/>
      <x:c r="H104" s="139" t="n"/>
      <x:c r="I104" s="139" t="n"/>
      <x:c r="J104" s="139" t="n"/>
      <x:c r="K104" s="139" t="n"/>
      <x:c r="L104" s="139" t="n"/>
      <x:c r="M104" s="139" t="n"/>
      <x:c r="N104" s="139" t="n"/>
      <x:c r="O104" s="139" t="n"/>
      <x:c r="P104" s="139" t="n"/>
      <x:c r="Q104" s="139" t="n"/>
      <x:c r="R104" s="139" t="n"/>
      <x:c r="S104" s="139" t="n"/>
      <x:c r="T104" s="139" t="n"/>
      <x:c r="U104" s="139" t="n"/>
      <x:c r="V104" s="139" t="n"/>
      <x:c r="W104" s="139" t="n"/>
      <x:c r="X104" s="139" t="n"/>
      <x:c r="Y104" s="139" t="n"/>
      <x:c r="Z104" s="139" t="n"/>
      <x:c r="AA104" s="139" t="n"/>
      <x:c r="AB104" s="139" t="n"/>
      <x:c r="AC104" s="139" t="n"/>
      <x:c r="AD104" s="139" t="n"/>
      <x:c r="AE104" s="139" t="n"/>
      <x:c r="AF104" s="139" t="n"/>
      <x:c r="AG104" s="139" t="n"/>
      <x:c r="AH104" s="139" t="n"/>
      <x:c r="AI104" s="139" t="n"/>
      <x:c r="AJ104" s="139" t="n"/>
      <x:c r="AK104" s="139" t="n"/>
      <x:c r="AL104" s="139" t="n"/>
      <x:c r="AM104" s="139" t="n"/>
      <x:c r="AN104" s="139" t="n"/>
      <x:c r="AO104" s="139" t="n"/>
      <x:c r="AP104" s="139" t="n"/>
      <x:c r="AQ104" s="139" t="n"/>
      <x:c r="AR104" s="139" t="n"/>
      <x:c r="AS104" s="139" t="n"/>
      <x:c r="AT104" s="139" t="n"/>
      <x:c r="AU104" s="139" t="n"/>
      <x:c r="AV104" s="139" t="n"/>
      <x:c r="AW104" s="139" t="n"/>
      <x:c r="AX104" s="139" t="n"/>
      <x:c r="AY104" s="139" t="n"/>
      <x:c r="AZ104" s="139" t="n"/>
    </x:row>
    <x:row r="105">
      <x:c r="A105" s="139" t="n"/>
      <x:c r="B105" s="139" t="n"/>
      <x:c r="C105" s="139" t="n"/>
      <x:c r="D105" s="139" t="n"/>
      <x:c r="E105" s="139" t="n"/>
      <x:c r="F105" s="139" t="n"/>
      <x:c r="G105" s="139" t="n"/>
      <x:c r="H105" s="139" t="n"/>
      <x:c r="I105" s="139" t="n"/>
      <x:c r="J105" s="139" t="n"/>
      <x:c r="K105" s="139" t="n"/>
      <x:c r="L105" s="139" t="n"/>
      <x:c r="M105" s="139" t="n"/>
      <x:c r="N105" s="139" t="n"/>
      <x:c r="O105" s="139" t="n"/>
      <x:c r="P105" s="139" t="n"/>
      <x:c r="Q105" s="139" t="n"/>
      <x:c r="R105" s="139" t="n"/>
      <x:c r="S105" s="139" t="n"/>
      <x:c r="T105" s="139" t="n"/>
      <x:c r="U105" s="139" t="n"/>
      <x:c r="V105" s="139" t="n"/>
      <x:c r="W105" s="139" t="n"/>
      <x:c r="X105" s="139" t="n"/>
      <x:c r="Y105" s="139" t="n"/>
      <x:c r="Z105" s="139" t="n"/>
      <x:c r="AA105" s="139" t="n"/>
      <x:c r="AB105" s="139" t="n"/>
      <x:c r="AC105" s="139" t="n"/>
      <x:c r="AD105" s="139" t="n"/>
      <x:c r="AE105" s="139" t="n"/>
      <x:c r="AF105" s="139" t="n"/>
      <x:c r="AG105" s="139" t="n"/>
      <x:c r="AH105" s="139" t="n"/>
      <x:c r="AI105" s="139" t="n"/>
      <x:c r="AJ105" s="139" t="n"/>
      <x:c r="AK105" s="139" t="n"/>
      <x:c r="AL105" s="139" t="n"/>
      <x:c r="AM105" s="139" t="n"/>
      <x:c r="AN105" s="139" t="n"/>
      <x:c r="AO105" s="139" t="n"/>
      <x:c r="AP105" s="139" t="n"/>
      <x:c r="AQ105" s="139" t="n"/>
      <x:c r="AR105" s="139" t="n"/>
      <x:c r="AS105" s="139" t="n"/>
      <x:c r="AT105" s="139" t="n"/>
      <x:c r="AU105" s="139" t="n"/>
      <x:c r="AV105" s="139" t="n"/>
      <x:c r="AW105" s="139" t="n"/>
      <x:c r="AX105" s="139" t="n"/>
      <x:c r="AY105" s="139" t="n"/>
      <x:c r="AZ105" s="139" t="n"/>
    </x:row>
    <x:row r="106">
      <x:c r="A106" s="139" t="n"/>
      <x:c r="B106" s="139" t="n"/>
      <x:c r="C106" s="139" t="n"/>
      <x:c r="D106" s="139" t="n"/>
      <x:c r="E106" s="139" t="n"/>
      <x:c r="F106" s="139" t="n"/>
      <x:c r="G106" s="139" t="n"/>
      <x:c r="H106" s="139" t="n"/>
      <x:c r="I106" s="139" t="n"/>
      <x:c r="J106" s="139" t="n"/>
      <x:c r="K106" s="139" t="n"/>
      <x:c r="L106" s="139" t="n"/>
      <x:c r="M106" s="139" t="n"/>
      <x:c r="N106" s="139" t="n"/>
      <x:c r="O106" s="139" t="n"/>
      <x:c r="P106" s="139" t="n"/>
      <x:c r="Q106" s="139" t="n"/>
      <x:c r="R106" s="139" t="n"/>
      <x:c r="S106" s="139" t="n"/>
      <x:c r="T106" s="139" t="n"/>
      <x:c r="U106" s="139" t="n"/>
      <x:c r="V106" s="139" t="n"/>
      <x:c r="W106" s="139" t="n"/>
      <x:c r="X106" s="139" t="n"/>
      <x:c r="Y106" s="139" t="n"/>
      <x:c r="Z106" s="139" t="n"/>
      <x:c r="AA106" s="139" t="n"/>
      <x:c r="AB106" s="139" t="n"/>
      <x:c r="AC106" s="139" t="n"/>
      <x:c r="AD106" s="139" t="n"/>
      <x:c r="AE106" s="139" t="n"/>
      <x:c r="AF106" s="139" t="n"/>
      <x:c r="AG106" s="139" t="n"/>
      <x:c r="AH106" s="139" t="n"/>
      <x:c r="AI106" s="139" t="n"/>
      <x:c r="AJ106" s="139" t="n"/>
      <x:c r="AK106" s="139" t="n"/>
      <x:c r="AL106" s="139" t="n"/>
      <x:c r="AM106" s="139" t="n"/>
      <x:c r="AN106" s="139" t="n"/>
      <x:c r="AO106" s="139" t="n"/>
      <x:c r="AP106" s="139" t="n"/>
      <x:c r="AQ106" s="139" t="n"/>
      <x:c r="AR106" s="139" t="n"/>
      <x:c r="AS106" s="139" t="n"/>
      <x:c r="AT106" s="139" t="n"/>
      <x:c r="AU106" s="139" t="n"/>
      <x:c r="AV106" s="139" t="n"/>
      <x:c r="AW106" s="139" t="n"/>
      <x:c r="AX106" s="139" t="n"/>
      <x:c r="AY106" s="139" t="n"/>
      <x:c r="AZ106" s="139" t="n"/>
    </x:row>
    <x:row r="107">
      <x:c r="A107" s="139" t="n"/>
      <x:c r="B107" s="139" t="n"/>
      <x:c r="C107" s="139" t="n"/>
      <x:c r="D107" s="139" t="n"/>
      <x:c r="E107" s="139" t="n"/>
      <x:c r="F107" s="139" t="n"/>
      <x:c r="G107" s="139" t="n"/>
      <x:c r="H107" s="139" t="n"/>
      <x:c r="I107" s="139" t="n"/>
      <x:c r="J107" s="139" t="n"/>
      <x:c r="K107" s="139" t="n"/>
      <x:c r="L107" s="139" t="n"/>
      <x:c r="M107" s="139" t="n"/>
      <x:c r="N107" s="139" t="n"/>
      <x:c r="O107" s="139" t="n"/>
      <x:c r="P107" s="139" t="n"/>
      <x:c r="Q107" s="139" t="n"/>
      <x:c r="R107" s="139" t="n"/>
      <x:c r="S107" s="139" t="n"/>
      <x:c r="T107" s="139" t="n"/>
      <x:c r="U107" s="139" t="n"/>
      <x:c r="V107" s="139" t="n"/>
      <x:c r="W107" s="139" t="n"/>
      <x:c r="X107" s="139" t="n"/>
      <x:c r="Y107" s="139" t="n"/>
      <x:c r="Z107" s="139" t="n"/>
      <x:c r="AA107" s="139" t="n"/>
      <x:c r="AB107" s="139" t="n"/>
      <x:c r="AC107" s="139" t="n"/>
      <x:c r="AD107" s="139" t="n"/>
      <x:c r="AE107" s="139" t="n"/>
      <x:c r="AF107" s="139" t="n"/>
      <x:c r="AG107" s="139" t="n"/>
      <x:c r="AH107" s="139" t="n"/>
      <x:c r="AI107" s="139" t="n"/>
      <x:c r="AJ107" s="139" t="n"/>
      <x:c r="AK107" s="139" t="n"/>
      <x:c r="AL107" s="139" t="n"/>
      <x:c r="AM107" s="139" t="n"/>
      <x:c r="AN107" s="139" t="n"/>
      <x:c r="AO107" s="139" t="n"/>
      <x:c r="AP107" s="139" t="n"/>
      <x:c r="AQ107" s="139" t="n"/>
      <x:c r="AR107" s="139" t="n"/>
      <x:c r="AS107" s="139" t="n"/>
      <x:c r="AT107" s="139" t="n"/>
      <x:c r="AU107" s="139" t="n"/>
      <x:c r="AV107" s="139" t="n"/>
      <x:c r="AW107" s="139" t="n"/>
      <x:c r="AX107" s="139" t="n"/>
      <x:c r="AY107" s="139" t="n"/>
      <x:c r="AZ107" s="139" t="n"/>
    </x:row>
    <x:row r="108">
      <x:c r="A108" s="139" t="n"/>
      <x:c r="B108" s="139" t="n"/>
      <x:c r="C108" s="139" t="n"/>
      <x:c r="D108" s="139" t="n"/>
      <x:c r="E108" s="139" t="n"/>
      <x:c r="F108" s="139" t="n"/>
      <x:c r="G108" s="139" t="n"/>
      <x:c r="H108" s="139" t="n"/>
      <x:c r="I108" s="139" t="n"/>
      <x:c r="J108" s="139" t="n"/>
      <x:c r="K108" s="139" t="n"/>
      <x:c r="L108" s="139" t="n"/>
      <x:c r="M108" s="139" t="n"/>
      <x:c r="N108" s="139" t="n"/>
      <x:c r="O108" s="139" t="n"/>
      <x:c r="P108" s="139" t="n"/>
      <x:c r="Q108" s="139" t="n"/>
      <x:c r="R108" s="139" t="n"/>
      <x:c r="S108" s="139" t="n"/>
      <x:c r="T108" s="139" t="n"/>
      <x:c r="U108" s="139" t="n"/>
      <x:c r="V108" s="139" t="n"/>
      <x:c r="W108" s="139" t="n"/>
      <x:c r="X108" s="139" t="n"/>
      <x:c r="Y108" s="139" t="n"/>
      <x:c r="Z108" s="139" t="n"/>
      <x:c r="AA108" s="139" t="n"/>
      <x:c r="AB108" s="139" t="n"/>
      <x:c r="AC108" s="139" t="n"/>
      <x:c r="AD108" s="139" t="n"/>
      <x:c r="AE108" s="139" t="n"/>
      <x:c r="AF108" s="139" t="n"/>
      <x:c r="AG108" s="139" t="n"/>
      <x:c r="AH108" s="139" t="n"/>
      <x:c r="AI108" s="139" t="n"/>
      <x:c r="AJ108" s="139" t="n"/>
      <x:c r="AK108" s="139" t="n"/>
      <x:c r="AL108" s="139" t="n"/>
      <x:c r="AM108" s="139" t="n"/>
      <x:c r="AN108" s="139" t="n"/>
      <x:c r="AO108" s="139" t="n"/>
      <x:c r="AP108" s="139" t="n"/>
      <x:c r="AQ108" s="139" t="n"/>
      <x:c r="AR108" s="139" t="n"/>
      <x:c r="AS108" s="139" t="n"/>
      <x:c r="AT108" s="139" t="n"/>
      <x:c r="AU108" s="139" t="n"/>
      <x:c r="AV108" s="139" t="n"/>
      <x:c r="AW108" s="139" t="n"/>
      <x:c r="AX108" s="139" t="n"/>
      <x:c r="AY108" s="139" t="n"/>
      <x:c r="AZ108" s="139" t="n"/>
    </x:row>
    <x:row r="109">
      <x:c r="A109" s="139" t="n"/>
      <x:c r="B109" s="139" t="n"/>
      <x:c r="C109" s="139" t="n"/>
      <x:c r="D109" s="139" t="n"/>
      <x:c r="E109" s="139" t="n"/>
      <x:c r="F109" s="139" t="n"/>
      <x:c r="G109" s="139" t="n"/>
      <x:c r="H109" s="139" t="n"/>
      <x:c r="I109" s="139" t="n"/>
      <x:c r="J109" s="139" t="n"/>
      <x:c r="K109" s="139" t="n"/>
      <x:c r="L109" s="139" t="n"/>
      <x:c r="M109" s="139" t="n"/>
      <x:c r="N109" s="139" t="n"/>
      <x:c r="O109" s="139" t="n"/>
      <x:c r="P109" s="139" t="n"/>
      <x:c r="Q109" s="139" t="n"/>
      <x:c r="R109" s="139" t="n"/>
      <x:c r="S109" s="139" t="n"/>
      <x:c r="T109" s="139" t="n"/>
      <x:c r="U109" s="139" t="n"/>
      <x:c r="V109" s="139" t="n"/>
      <x:c r="W109" s="139" t="n"/>
      <x:c r="X109" s="139" t="n"/>
      <x:c r="Y109" s="139" t="n"/>
      <x:c r="Z109" s="139" t="n"/>
      <x:c r="AA109" s="139" t="n"/>
      <x:c r="AB109" s="139" t="n"/>
      <x:c r="AC109" s="139" t="n"/>
      <x:c r="AD109" s="139" t="n"/>
      <x:c r="AE109" s="139" t="n"/>
      <x:c r="AF109" s="139" t="n"/>
      <x:c r="AG109" s="139" t="n"/>
      <x:c r="AH109" s="139" t="n"/>
      <x:c r="AI109" s="139" t="n"/>
      <x:c r="AJ109" s="139" t="n"/>
      <x:c r="AK109" s="139" t="n"/>
      <x:c r="AL109" s="139" t="n"/>
      <x:c r="AM109" s="139" t="n"/>
      <x:c r="AN109" s="139" t="n"/>
      <x:c r="AO109" s="139" t="n"/>
      <x:c r="AP109" s="139" t="n"/>
      <x:c r="AQ109" s="139" t="n"/>
      <x:c r="AR109" s="139" t="n"/>
      <x:c r="AS109" s="139" t="n"/>
      <x:c r="AT109" s="139" t="n"/>
      <x:c r="AU109" s="139" t="n"/>
      <x:c r="AV109" s="139" t="n"/>
      <x:c r="AW109" s="139" t="n"/>
      <x:c r="AX109" s="139" t="n"/>
      <x:c r="AY109" s="139" t="n"/>
      <x:c r="AZ109" s="139" t="n"/>
    </x:row>
    <x:row r="110">
      <x:c r="A110" s="139" t="n"/>
      <x:c r="B110" s="139" t="n"/>
      <x:c r="C110" s="139" t="n"/>
      <x:c r="D110" s="139" t="n"/>
      <x:c r="E110" s="139" t="n"/>
      <x:c r="F110" s="139" t="n"/>
      <x:c r="G110" s="139" t="n"/>
      <x:c r="H110" s="139" t="n"/>
      <x:c r="I110" s="139" t="n"/>
      <x:c r="J110" s="139" t="n"/>
      <x:c r="K110" s="139" t="n"/>
      <x:c r="L110" s="139" t="n"/>
      <x:c r="M110" s="139" t="n"/>
      <x:c r="N110" s="139" t="n"/>
      <x:c r="O110" s="139" t="n"/>
      <x:c r="P110" s="139" t="n"/>
      <x:c r="Q110" s="139" t="n"/>
      <x:c r="R110" s="139" t="n"/>
      <x:c r="S110" s="139" t="n"/>
      <x:c r="T110" s="139" t="n"/>
      <x:c r="U110" s="139" t="n"/>
      <x:c r="V110" s="139" t="n"/>
      <x:c r="W110" s="139" t="n"/>
      <x:c r="X110" s="139" t="n"/>
      <x:c r="Y110" s="139" t="n"/>
      <x:c r="Z110" s="139" t="n"/>
      <x:c r="AA110" s="139" t="n"/>
      <x:c r="AB110" s="139" t="n"/>
      <x:c r="AC110" s="139" t="n"/>
      <x:c r="AD110" s="139" t="n"/>
      <x:c r="AE110" s="139" t="n"/>
      <x:c r="AF110" s="139" t="n"/>
      <x:c r="AG110" s="139" t="n"/>
      <x:c r="AH110" s="139" t="n"/>
      <x:c r="AI110" s="139" t="n"/>
      <x:c r="AJ110" s="139" t="n"/>
      <x:c r="AK110" s="139" t="n"/>
      <x:c r="AL110" s="139" t="n"/>
      <x:c r="AM110" s="139" t="n"/>
      <x:c r="AN110" s="139" t="n"/>
      <x:c r="AO110" s="139" t="n"/>
      <x:c r="AP110" s="139" t="n"/>
      <x:c r="AQ110" s="139" t="n"/>
      <x:c r="AR110" s="139" t="n"/>
      <x:c r="AS110" s="139" t="n"/>
      <x:c r="AT110" s="139" t="n"/>
      <x:c r="AU110" s="139" t="n"/>
      <x:c r="AV110" s="139" t="n"/>
      <x:c r="AW110" s="139" t="n"/>
      <x:c r="AX110" s="139" t="n"/>
      <x:c r="AY110" s="139" t="n"/>
      <x:c r="AZ110" s="139" t="n"/>
    </x:row>
    <x:row r="111">
      <x:c r="A111" s="139" t="n"/>
      <x:c r="B111" s="139" t="n"/>
      <x:c r="C111" s="139" t="n"/>
      <x:c r="D111" s="139" t="n"/>
      <x:c r="E111" s="139" t="n"/>
      <x:c r="F111" s="139" t="n"/>
      <x:c r="G111" s="139" t="n"/>
      <x:c r="H111" s="139" t="n"/>
      <x:c r="I111" s="139" t="n"/>
      <x:c r="J111" s="139" t="n"/>
      <x:c r="K111" s="139" t="n"/>
      <x:c r="L111" s="139" t="n"/>
      <x:c r="M111" s="139" t="n"/>
      <x:c r="N111" s="139" t="n"/>
      <x:c r="O111" s="139" t="n"/>
      <x:c r="P111" s="139" t="n"/>
      <x:c r="Q111" s="139" t="n"/>
      <x:c r="R111" s="139" t="n"/>
      <x:c r="S111" s="139" t="n"/>
      <x:c r="T111" s="139" t="n"/>
      <x:c r="U111" s="139" t="n"/>
      <x:c r="V111" s="139" t="n"/>
      <x:c r="W111" s="139" t="n"/>
      <x:c r="X111" s="139" t="n"/>
      <x:c r="Y111" s="139" t="n"/>
      <x:c r="Z111" s="139" t="n"/>
      <x:c r="AA111" s="139" t="n"/>
      <x:c r="AB111" s="139" t="n"/>
      <x:c r="AC111" s="139" t="n"/>
      <x:c r="AD111" s="139" t="n"/>
      <x:c r="AE111" s="139" t="n"/>
      <x:c r="AF111" s="139" t="n"/>
      <x:c r="AG111" s="139" t="n"/>
      <x:c r="AH111" s="139" t="n"/>
      <x:c r="AI111" s="139" t="n"/>
      <x:c r="AJ111" s="139" t="n"/>
      <x:c r="AK111" s="139" t="n"/>
      <x:c r="AL111" s="139" t="n"/>
      <x:c r="AM111" s="139" t="n"/>
      <x:c r="AN111" s="139" t="n"/>
      <x:c r="AO111" s="139" t="n"/>
      <x:c r="AP111" s="139" t="n"/>
      <x:c r="AQ111" s="139" t="n"/>
      <x:c r="AR111" s="139" t="n"/>
      <x:c r="AS111" s="139" t="n"/>
      <x:c r="AT111" s="139" t="n"/>
      <x:c r="AU111" s="139" t="n"/>
      <x:c r="AV111" s="139" t="n"/>
      <x:c r="AW111" s="139" t="n"/>
      <x:c r="AX111" s="139" t="n"/>
      <x:c r="AY111" s="139" t="n"/>
      <x:c r="AZ111" s="139" t="n"/>
    </x:row>
    <x:row r="112">
      <x:c r="A112" s="139" t="n"/>
      <x:c r="B112" s="139" t="n"/>
      <x:c r="C112" s="139" t="n"/>
      <x:c r="D112" s="139" t="n"/>
      <x:c r="E112" s="139" t="n"/>
      <x:c r="F112" s="139" t="n"/>
      <x:c r="G112" s="139" t="n"/>
      <x:c r="H112" s="139" t="n"/>
      <x:c r="I112" s="139" t="n"/>
      <x:c r="J112" s="139" t="n"/>
      <x:c r="K112" s="139" t="n"/>
      <x:c r="L112" s="139" t="n"/>
      <x:c r="M112" s="139" t="n"/>
      <x:c r="N112" s="139" t="n"/>
      <x:c r="O112" s="139" t="n"/>
      <x:c r="P112" s="139" t="n"/>
      <x:c r="Q112" s="139" t="n"/>
      <x:c r="R112" s="139" t="n"/>
      <x:c r="S112" s="139" t="n"/>
      <x:c r="T112" s="139" t="n"/>
      <x:c r="U112" s="139" t="n"/>
      <x:c r="V112" s="139" t="n"/>
      <x:c r="W112" s="139" t="n"/>
      <x:c r="X112" s="139" t="n"/>
      <x:c r="Y112" s="139" t="n"/>
      <x:c r="Z112" s="139" t="n"/>
      <x:c r="AA112" s="139" t="n"/>
      <x:c r="AB112" s="139" t="n"/>
      <x:c r="AC112" s="139" t="n"/>
      <x:c r="AD112" s="139" t="n"/>
      <x:c r="AE112" s="139" t="n"/>
      <x:c r="AF112" s="139" t="n"/>
      <x:c r="AG112" s="139" t="n"/>
      <x:c r="AH112" s="139" t="n"/>
      <x:c r="AI112" s="139" t="n"/>
      <x:c r="AJ112" s="139" t="n"/>
      <x:c r="AK112" s="139" t="n"/>
      <x:c r="AL112" s="139" t="n"/>
      <x:c r="AM112" s="139" t="n"/>
      <x:c r="AN112" s="139" t="n"/>
      <x:c r="AO112" s="139" t="n"/>
      <x:c r="AP112" s="139" t="n"/>
      <x:c r="AQ112" s="139" t="n"/>
      <x:c r="AR112" s="139" t="n"/>
      <x:c r="AS112" s="139" t="n"/>
      <x:c r="AT112" s="139" t="n"/>
      <x:c r="AU112" s="139" t="n"/>
      <x:c r="AV112" s="139" t="n"/>
      <x:c r="AW112" s="139" t="n"/>
      <x:c r="AX112" s="139" t="n"/>
      <x:c r="AY112" s="139" t="n"/>
      <x:c r="AZ112" s="139" t="n"/>
    </x:row>
    <x:row r="113">
      <x:c r="A113" s="139" t="n"/>
      <x:c r="B113" s="139" t="n"/>
      <x:c r="C113" s="139" t="n"/>
      <x:c r="D113" s="139" t="n"/>
      <x:c r="E113" s="139" t="n"/>
      <x:c r="F113" s="139" t="n"/>
      <x:c r="G113" s="139" t="n"/>
      <x:c r="H113" s="139" t="n"/>
      <x:c r="I113" s="139" t="n"/>
      <x:c r="J113" s="139" t="n"/>
      <x:c r="K113" s="139" t="n"/>
      <x:c r="L113" s="139" t="n"/>
      <x:c r="M113" s="139" t="n"/>
      <x:c r="N113" s="139" t="n"/>
      <x:c r="O113" s="139" t="n"/>
      <x:c r="P113" s="139" t="n"/>
      <x:c r="Q113" s="139" t="n"/>
      <x:c r="R113" s="139" t="n"/>
      <x:c r="S113" s="139" t="n"/>
      <x:c r="T113" s="139" t="n"/>
      <x:c r="U113" s="139" t="n"/>
      <x:c r="V113" s="139" t="n"/>
      <x:c r="W113" s="139" t="n"/>
      <x:c r="X113" s="139" t="n"/>
      <x:c r="Y113" s="139" t="n"/>
      <x:c r="Z113" s="139" t="n"/>
      <x:c r="AA113" s="139" t="n"/>
      <x:c r="AB113" s="139" t="n"/>
      <x:c r="AC113" s="139" t="n"/>
      <x:c r="AD113" s="139" t="n"/>
      <x:c r="AE113" s="139" t="n"/>
      <x:c r="AF113" s="139" t="n"/>
      <x:c r="AG113" s="139" t="n"/>
      <x:c r="AH113" s="139" t="n"/>
      <x:c r="AI113" s="139" t="n"/>
      <x:c r="AJ113" s="139" t="n"/>
      <x:c r="AK113" s="139" t="n"/>
      <x:c r="AL113" s="139" t="n"/>
      <x:c r="AM113" s="139" t="n"/>
      <x:c r="AN113" s="139" t="n"/>
      <x:c r="AO113" s="139" t="n"/>
      <x:c r="AP113" s="139" t="n"/>
      <x:c r="AQ113" s="139" t="n"/>
      <x:c r="AR113" s="139" t="n"/>
      <x:c r="AS113" s="139" t="n"/>
      <x:c r="AT113" s="139" t="n"/>
      <x:c r="AU113" s="139" t="n"/>
      <x:c r="AV113" s="139" t="n"/>
      <x:c r="AW113" s="139" t="n"/>
      <x:c r="AX113" s="139" t="n"/>
      <x:c r="AY113" s="139" t="n"/>
      <x:c r="AZ113" s="139" t="n"/>
    </x:row>
    <x:row r="114">
      <x:c r="A114" s="139" t="n"/>
      <x:c r="B114" s="139" t="n"/>
      <x:c r="C114" s="139" t="n"/>
      <x:c r="D114" s="139" t="n"/>
      <x:c r="E114" s="139" t="n"/>
      <x:c r="F114" s="139" t="n"/>
      <x:c r="G114" s="139" t="n"/>
      <x:c r="H114" s="139" t="n"/>
      <x:c r="I114" s="139" t="n"/>
      <x:c r="J114" s="139" t="n"/>
      <x:c r="K114" s="139" t="n"/>
      <x:c r="L114" s="139" t="n"/>
      <x:c r="M114" s="139" t="n"/>
      <x:c r="N114" s="139" t="n"/>
      <x:c r="O114" s="139" t="n"/>
      <x:c r="P114" s="139" t="n"/>
      <x:c r="Q114" s="139" t="n"/>
      <x:c r="R114" s="139" t="n"/>
      <x:c r="S114" s="139" t="n"/>
      <x:c r="T114" s="139" t="n"/>
      <x:c r="U114" s="139" t="n"/>
      <x:c r="V114" s="139" t="n"/>
      <x:c r="W114" s="139" t="n"/>
      <x:c r="X114" s="139" t="n"/>
      <x:c r="Y114" s="139" t="n"/>
      <x:c r="Z114" s="139" t="n"/>
      <x:c r="AA114" s="139" t="n"/>
      <x:c r="AB114" s="139" t="n"/>
      <x:c r="AC114" s="139" t="n"/>
      <x:c r="AD114" s="139" t="n"/>
      <x:c r="AE114" s="139" t="n"/>
      <x:c r="AF114" s="139" t="n"/>
      <x:c r="AG114" s="139" t="n"/>
      <x:c r="AH114" s="139" t="n"/>
      <x:c r="AI114" s="139" t="n"/>
      <x:c r="AJ114" s="139" t="n"/>
      <x:c r="AK114" s="139" t="n"/>
      <x:c r="AL114" s="139" t="n"/>
      <x:c r="AM114" s="139" t="n"/>
      <x:c r="AN114" s="139" t="n"/>
      <x:c r="AO114" s="139" t="n"/>
      <x:c r="AP114" s="139" t="n"/>
      <x:c r="AQ114" s="139" t="n"/>
      <x:c r="AR114" s="139" t="n"/>
      <x:c r="AS114" s="139" t="n"/>
      <x:c r="AT114" s="139" t="n"/>
      <x:c r="AU114" s="139" t="n"/>
      <x:c r="AV114" s="139" t="n"/>
      <x:c r="AW114" s="139" t="n"/>
      <x:c r="AX114" s="139" t="n"/>
      <x:c r="AY114" s="139" t="n"/>
      <x:c r="AZ114" s="139" t="n"/>
    </x:row>
    <x:row r="115">
      <x:c r="A115" s="139" t="n"/>
      <x:c r="B115" s="139" t="n"/>
      <x:c r="C115" s="139" t="n"/>
      <x:c r="D115" s="139" t="n"/>
      <x:c r="E115" s="139" t="n"/>
      <x:c r="F115" s="139" t="n"/>
      <x:c r="G115" s="139" t="n"/>
      <x:c r="H115" s="139" t="n"/>
      <x:c r="I115" s="139" t="n"/>
      <x:c r="J115" s="139" t="n"/>
      <x:c r="K115" s="139" t="n"/>
      <x:c r="L115" s="139" t="n"/>
      <x:c r="M115" s="139" t="n"/>
      <x:c r="N115" s="139" t="n"/>
      <x:c r="O115" s="139" t="n"/>
      <x:c r="P115" s="139" t="n"/>
      <x:c r="Q115" s="139" t="n"/>
      <x:c r="R115" s="139" t="n"/>
      <x:c r="S115" s="139" t="n"/>
      <x:c r="T115" s="139" t="n"/>
      <x:c r="U115" s="139" t="n"/>
      <x:c r="V115" s="139" t="n"/>
      <x:c r="W115" s="139" t="n"/>
      <x:c r="X115" s="139" t="n"/>
      <x:c r="Y115" s="139" t="n"/>
      <x:c r="Z115" s="139" t="n"/>
      <x:c r="AA115" s="139" t="n"/>
      <x:c r="AB115" s="139" t="n"/>
      <x:c r="AC115" s="139" t="n"/>
      <x:c r="AD115" s="139" t="n"/>
      <x:c r="AE115" s="139" t="n"/>
      <x:c r="AF115" s="139" t="n"/>
      <x:c r="AG115" s="139" t="n"/>
      <x:c r="AH115" s="139" t="n"/>
      <x:c r="AI115" s="139" t="n"/>
      <x:c r="AJ115" s="139" t="n"/>
      <x:c r="AK115" s="139" t="n"/>
      <x:c r="AL115" s="139" t="n"/>
      <x:c r="AM115" s="139" t="n"/>
      <x:c r="AN115" s="139" t="n"/>
      <x:c r="AO115" s="139" t="n"/>
      <x:c r="AP115" s="139" t="n"/>
      <x:c r="AQ115" s="139" t="n"/>
      <x:c r="AR115" s="139" t="n"/>
      <x:c r="AS115" s="139" t="n"/>
      <x:c r="AT115" s="139" t="n"/>
      <x:c r="AU115" s="139" t="n"/>
      <x:c r="AV115" s="139" t="n"/>
      <x:c r="AW115" s="139" t="n"/>
      <x:c r="AX115" s="139" t="n"/>
      <x:c r="AY115" s="139" t="n"/>
      <x:c r="AZ115" s="139" t="n"/>
    </x:row>
    <x:row r="116">
      <x:c r="A116" s="139" t="n"/>
      <x:c r="B116" s="139" t="n"/>
      <x:c r="C116" s="139" t="n"/>
      <x:c r="D116" s="139" t="n"/>
      <x:c r="E116" s="139" t="n"/>
      <x:c r="F116" s="139" t="n"/>
      <x:c r="G116" s="139" t="n"/>
      <x:c r="H116" s="139" t="n"/>
      <x:c r="I116" s="139" t="n"/>
      <x:c r="J116" s="139" t="n"/>
      <x:c r="K116" s="139" t="n"/>
      <x:c r="L116" s="139" t="n"/>
      <x:c r="M116" s="139" t="n"/>
      <x:c r="N116" s="139" t="n"/>
      <x:c r="O116" s="139" t="n"/>
      <x:c r="P116" s="139" t="n"/>
      <x:c r="Q116" s="139" t="n"/>
      <x:c r="R116" s="139" t="n"/>
      <x:c r="S116" s="139" t="n"/>
      <x:c r="T116" s="139" t="n"/>
      <x:c r="U116" s="139" t="n"/>
      <x:c r="V116" s="139" t="n"/>
      <x:c r="W116" s="139" t="n"/>
      <x:c r="X116" s="139" t="n"/>
      <x:c r="Y116" s="139" t="n"/>
      <x:c r="Z116" s="139" t="n"/>
      <x:c r="AA116" s="139" t="n"/>
      <x:c r="AB116" s="139" t="n"/>
      <x:c r="AC116" s="139" t="n"/>
      <x:c r="AD116" s="139" t="n"/>
      <x:c r="AE116" s="139" t="n"/>
      <x:c r="AF116" s="139" t="n"/>
      <x:c r="AG116" s="139" t="n"/>
      <x:c r="AH116" s="139" t="n"/>
      <x:c r="AI116" s="139" t="n"/>
      <x:c r="AJ116" s="139" t="n"/>
      <x:c r="AK116" s="139" t="n"/>
      <x:c r="AL116" s="139" t="n"/>
      <x:c r="AM116" s="139" t="n"/>
      <x:c r="AN116" s="139" t="n"/>
      <x:c r="AO116" s="139" t="n"/>
      <x:c r="AP116" s="139" t="n"/>
      <x:c r="AQ116" s="139" t="n"/>
      <x:c r="AR116" s="139" t="n"/>
      <x:c r="AS116" s="139" t="n"/>
      <x:c r="AT116" s="139" t="n"/>
      <x:c r="AU116" s="139" t="n"/>
      <x:c r="AV116" s="139" t="n"/>
      <x:c r="AW116" s="139" t="n"/>
      <x:c r="AX116" s="139" t="n"/>
      <x:c r="AY116" s="139" t="n"/>
      <x:c r="AZ116" s="139" t="n"/>
    </x:row>
    <x:row r="117">
      <x:c r="A117" s="139" t="n"/>
      <x:c r="B117" s="139" t="n"/>
      <x:c r="C117" s="139" t="n"/>
      <x:c r="D117" s="139" t="n"/>
      <x:c r="E117" s="139" t="n"/>
      <x:c r="F117" s="139" t="n"/>
      <x:c r="G117" s="139" t="n"/>
      <x:c r="H117" s="139" t="n"/>
      <x:c r="I117" s="139" t="n"/>
      <x:c r="J117" s="139" t="n"/>
      <x:c r="K117" s="139" t="n"/>
      <x:c r="L117" s="139" t="n"/>
      <x:c r="M117" s="139" t="n"/>
      <x:c r="N117" s="139" t="n"/>
      <x:c r="O117" s="139" t="n"/>
      <x:c r="P117" s="139" t="n"/>
      <x:c r="Q117" s="139" t="n"/>
      <x:c r="R117" s="139" t="n"/>
      <x:c r="S117" s="139" t="n"/>
      <x:c r="T117" s="139" t="n"/>
      <x:c r="U117" s="139" t="n"/>
      <x:c r="V117" s="139" t="n"/>
      <x:c r="W117" s="139" t="n"/>
      <x:c r="X117" s="139" t="n"/>
      <x:c r="Y117" s="139" t="n"/>
      <x:c r="Z117" s="139" t="n"/>
      <x:c r="AA117" s="139" t="n"/>
      <x:c r="AB117" s="139" t="n"/>
      <x:c r="AC117" s="139" t="n"/>
      <x:c r="AD117" s="139" t="n"/>
      <x:c r="AE117" s="139" t="n"/>
      <x:c r="AF117" s="139" t="n"/>
      <x:c r="AG117" s="139" t="n"/>
      <x:c r="AH117" s="139" t="n"/>
      <x:c r="AI117" s="139" t="n"/>
      <x:c r="AJ117" s="139" t="n"/>
      <x:c r="AK117" s="139" t="n"/>
      <x:c r="AL117" s="139" t="n"/>
      <x:c r="AM117" s="139" t="n"/>
      <x:c r="AN117" s="139" t="n"/>
      <x:c r="AO117" s="139" t="n"/>
      <x:c r="AP117" s="139" t="n"/>
      <x:c r="AQ117" s="139" t="n"/>
      <x:c r="AR117" s="139" t="n"/>
      <x:c r="AS117" s="139" t="n"/>
      <x:c r="AT117" s="139" t="n"/>
      <x:c r="AU117" s="139" t="n"/>
      <x:c r="AV117" s="139" t="n"/>
      <x:c r="AW117" s="139" t="n"/>
      <x:c r="AX117" s="139" t="n"/>
      <x:c r="AY117" s="139" t="n"/>
      <x:c r="AZ117" s="139" t="n"/>
    </x:row>
    <x:row r="118">
      <x:c r="A118" s="139" t="n"/>
      <x:c r="B118" s="139" t="n"/>
      <x:c r="C118" s="139" t="n"/>
      <x:c r="D118" s="139" t="n"/>
      <x:c r="E118" s="139" t="n"/>
      <x:c r="F118" s="139" t="n"/>
      <x:c r="G118" s="139" t="n"/>
      <x:c r="H118" s="139" t="n"/>
      <x:c r="I118" s="139" t="n"/>
      <x:c r="J118" s="139" t="n"/>
      <x:c r="K118" s="139" t="n"/>
      <x:c r="L118" s="139" t="n"/>
      <x:c r="M118" s="139" t="n"/>
      <x:c r="N118" s="139" t="n"/>
      <x:c r="O118" s="139" t="n"/>
      <x:c r="P118" s="139" t="n"/>
      <x:c r="Q118" s="139" t="n"/>
      <x:c r="R118" s="139" t="n"/>
      <x:c r="S118" s="139" t="n"/>
      <x:c r="T118" s="139" t="n"/>
      <x:c r="U118" s="139" t="n"/>
      <x:c r="V118" s="139" t="n"/>
      <x:c r="W118" s="139" t="n"/>
      <x:c r="X118" s="139" t="n"/>
      <x:c r="Y118" s="139" t="n"/>
      <x:c r="Z118" s="139" t="n"/>
      <x:c r="AA118" s="139" t="n"/>
      <x:c r="AB118" s="139" t="n"/>
      <x:c r="AC118" s="139" t="n"/>
      <x:c r="AD118" s="139" t="n"/>
      <x:c r="AE118" s="139" t="n"/>
      <x:c r="AF118" s="139" t="n"/>
      <x:c r="AG118" s="139" t="n"/>
      <x:c r="AH118" s="139" t="n"/>
      <x:c r="AI118" s="139" t="n"/>
      <x:c r="AJ118" s="139" t="n"/>
      <x:c r="AK118" s="139" t="n"/>
      <x:c r="AL118" s="139" t="n"/>
      <x:c r="AM118" s="139" t="n"/>
      <x:c r="AN118" s="139" t="n"/>
      <x:c r="AO118" s="139" t="n"/>
      <x:c r="AP118" s="139" t="n"/>
      <x:c r="AQ118" s="139" t="n"/>
      <x:c r="AR118" s="139" t="n"/>
      <x:c r="AS118" s="139" t="n"/>
      <x:c r="AT118" s="139" t="n"/>
      <x:c r="AU118" s="139" t="n"/>
      <x:c r="AV118" s="139" t="n"/>
      <x:c r="AW118" s="139" t="n"/>
      <x:c r="AX118" s="139" t="n"/>
      <x:c r="AY118" s="139" t="n"/>
      <x:c r="AZ118" s="139" t="n"/>
    </x:row>
    <x:row r="119">
      <x:c r="A119" s="139" t="n"/>
      <x:c r="B119" s="139" t="n"/>
      <x:c r="C119" s="139" t="n"/>
      <x:c r="D119" s="139" t="n"/>
      <x:c r="E119" s="139" t="n"/>
      <x:c r="F119" s="139" t="n"/>
      <x:c r="G119" s="139" t="n"/>
      <x:c r="H119" s="139" t="n"/>
      <x:c r="I119" s="139" t="n"/>
      <x:c r="J119" s="139" t="n"/>
      <x:c r="K119" s="139" t="n"/>
      <x:c r="L119" s="139" t="n"/>
      <x:c r="M119" s="139" t="n"/>
      <x:c r="N119" s="139" t="n"/>
      <x:c r="O119" s="139" t="n"/>
      <x:c r="P119" s="139" t="n"/>
      <x:c r="Q119" s="139" t="n"/>
      <x:c r="R119" s="139" t="n"/>
      <x:c r="S119" s="139" t="n"/>
      <x:c r="T119" s="139" t="n"/>
      <x:c r="U119" s="139" t="n"/>
      <x:c r="V119" s="139" t="n"/>
      <x:c r="W119" s="139" t="n"/>
      <x:c r="X119" s="139" t="n"/>
      <x:c r="Y119" s="139" t="n"/>
      <x:c r="Z119" s="139" t="n"/>
      <x:c r="AA119" s="139" t="n"/>
      <x:c r="AB119" s="139" t="n"/>
      <x:c r="AC119" s="139" t="n"/>
      <x:c r="AD119" s="139" t="n"/>
      <x:c r="AE119" s="139" t="n"/>
      <x:c r="AF119" s="139" t="n"/>
      <x:c r="AG119" s="139" t="n"/>
      <x:c r="AH119" s="139" t="n"/>
      <x:c r="AI119" s="139" t="n"/>
      <x:c r="AJ119" s="139" t="n"/>
      <x:c r="AK119" s="139" t="n"/>
      <x:c r="AL119" s="139" t="n"/>
      <x:c r="AM119" s="139" t="n"/>
      <x:c r="AN119" s="139" t="n"/>
      <x:c r="AO119" s="139" t="n"/>
      <x:c r="AP119" s="139" t="n"/>
      <x:c r="AQ119" s="139" t="n"/>
      <x:c r="AR119" s="139" t="n"/>
      <x:c r="AS119" s="139" t="n"/>
      <x:c r="AT119" s="139" t="n"/>
      <x:c r="AU119" s="139" t="n"/>
      <x:c r="AV119" s="139" t="n"/>
      <x:c r="AW119" s="139" t="n"/>
      <x:c r="AX119" s="139" t="n"/>
      <x:c r="AY119" s="139" t="n"/>
      <x:c r="AZ119" s="139" t="n"/>
    </x:row>
    <x:row r="120">
      <x:c r="A120" s="139" t="n"/>
      <x:c r="B120" s="139" t="n"/>
      <x:c r="C120" s="139" t="n"/>
      <x:c r="D120" s="139" t="n"/>
      <x:c r="E120" s="139" t="n"/>
      <x:c r="F120" s="139" t="n"/>
      <x:c r="G120" s="139" t="n"/>
      <x:c r="H120" s="139" t="n"/>
      <x:c r="I120" s="139" t="n"/>
      <x:c r="J120" s="139" t="n"/>
      <x:c r="K120" s="139" t="n"/>
      <x:c r="L120" s="139" t="n"/>
      <x:c r="M120" s="139" t="n"/>
      <x:c r="N120" s="139" t="n"/>
      <x:c r="O120" s="139" t="n"/>
      <x:c r="P120" s="139" t="n"/>
      <x:c r="Q120" s="139" t="n"/>
      <x:c r="R120" s="139" t="n"/>
      <x:c r="S120" s="139" t="n"/>
      <x:c r="T120" s="139" t="n"/>
      <x:c r="U120" s="139" t="n"/>
      <x:c r="V120" s="139" t="n"/>
      <x:c r="W120" s="139" t="n"/>
      <x:c r="X120" s="139" t="n"/>
      <x:c r="Y120" s="139" t="n"/>
      <x:c r="Z120" s="139" t="n"/>
      <x:c r="AA120" s="139" t="n"/>
      <x:c r="AB120" s="139" t="n"/>
      <x:c r="AC120" s="139" t="n"/>
      <x:c r="AD120" s="139" t="n"/>
      <x:c r="AE120" s="139" t="n"/>
      <x:c r="AF120" s="139" t="n"/>
      <x:c r="AG120" s="139" t="n"/>
      <x:c r="AH120" s="139" t="n"/>
      <x:c r="AI120" s="139" t="n"/>
      <x:c r="AJ120" s="139" t="n"/>
      <x:c r="AK120" s="139" t="n"/>
      <x:c r="AL120" s="139" t="n"/>
      <x:c r="AM120" s="139" t="n"/>
      <x:c r="AN120" s="139" t="n"/>
      <x:c r="AO120" s="139" t="n"/>
      <x:c r="AP120" s="139" t="n"/>
      <x:c r="AQ120" s="139" t="n"/>
      <x:c r="AR120" s="139" t="n"/>
      <x:c r="AS120" s="139" t="n"/>
      <x:c r="AT120" s="139" t="n"/>
      <x:c r="AU120" s="139" t="n"/>
      <x:c r="AV120" s="139" t="n"/>
      <x:c r="AW120" s="139" t="n"/>
      <x:c r="AX120" s="139" t="n"/>
      <x:c r="AY120" s="139" t="n"/>
      <x:c r="AZ120" s="139" t="n"/>
    </x:row>
    <x:row r="121">
      <x:c r="A121" s="139" t="n"/>
      <x:c r="B121" s="139" t="n"/>
      <x:c r="C121" s="139" t="n"/>
      <x:c r="D121" s="139" t="n"/>
      <x:c r="E121" s="139" t="n"/>
      <x:c r="F121" s="139" t="n"/>
      <x:c r="G121" s="139" t="n"/>
      <x:c r="H121" s="139" t="n"/>
      <x:c r="I121" s="139" t="n"/>
      <x:c r="J121" s="139" t="n"/>
      <x:c r="K121" s="139" t="n"/>
      <x:c r="L121" s="139" t="n"/>
      <x:c r="M121" s="139" t="n"/>
      <x:c r="N121" s="139" t="n"/>
      <x:c r="O121" s="139" t="n"/>
      <x:c r="P121" s="139" t="n"/>
      <x:c r="Q121" s="139" t="n"/>
      <x:c r="R121" s="139" t="n"/>
      <x:c r="S121" s="139" t="n"/>
      <x:c r="T121" s="139" t="n"/>
      <x:c r="U121" s="139" t="n"/>
      <x:c r="V121" s="139" t="n"/>
      <x:c r="W121" s="139" t="n"/>
      <x:c r="X121" s="139" t="n"/>
      <x:c r="Y121" s="139" t="n"/>
      <x:c r="Z121" s="139" t="n"/>
      <x:c r="AA121" s="139" t="n"/>
      <x:c r="AB121" s="139" t="n"/>
      <x:c r="AC121" s="139" t="n"/>
      <x:c r="AD121" s="139" t="n"/>
      <x:c r="AE121" s="139" t="n"/>
      <x:c r="AF121" s="139" t="n"/>
      <x:c r="AG121" s="139" t="n"/>
      <x:c r="AH121" s="139" t="n"/>
      <x:c r="AI121" s="139" t="n"/>
      <x:c r="AJ121" s="139" t="n"/>
      <x:c r="AK121" s="139" t="n"/>
      <x:c r="AL121" s="139" t="n"/>
      <x:c r="AM121" s="139" t="n"/>
      <x:c r="AN121" s="139" t="n"/>
      <x:c r="AO121" s="139" t="n"/>
      <x:c r="AP121" s="139" t="n"/>
      <x:c r="AQ121" s="139" t="n"/>
      <x:c r="AR121" s="139" t="n"/>
      <x:c r="AS121" s="139" t="n"/>
      <x:c r="AT121" s="139" t="n"/>
      <x:c r="AU121" s="139" t="n"/>
      <x:c r="AV121" s="139" t="n"/>
      <x:c r="AW121" s="139" t="n"/>
      <x:c r="AX121" s="139" t="n"/>
      <x:c r="AY121" s="139" t="n"/>
      <x:c r="AZ121" s="139" t="n"/>
    </x:row>
    <x:row r="122">
      <x:c r="A122" s="139" t="n"/>
      <x:c r="B122" s="139" t="n"/>
      <x:c r="C122" s="139" t="n"/>
      <x:c r="D122" s="139" t="n"/>
      <x:c r="E122" s="139" t="n"/>
      <x:c r="F122" s="139" t="n"/>
      <x:c r="G122" s="139" t="n"/>
      <x:c r="H122" s="139" t="n"/>
      <x:c r="I122" s="139" t="n"/>
      <x:c r="J122" s="139" t="n"/>
      <x:c r="K122" s="139" t="n"/>
      <x:c r="L122" s="139" t="n"/>
      <x:c r="M122" s="139" t="n"/>
      <x:c r="N122" s="139" t="n"/>
      <x:c r="O122" s="139" t="n"/>
      <x:c r="P122" s="139" t="n"/>
      <x:c r="Q122" s="139" t="n"/>
      <x:c r="R122" s="139" t="n"/>
      <x:c r="S122" s="139" t="n"/>
      <x:c r="T122" s="139" t="n"/>
      <x:c r="U122" s="139" t="n"/>
      <x:c r="V122" s="139" t="n"/>
      <x:c r="W122" s="139" t="n"/>
      <x:c r="X122" s="139" t="n"/>
      <x:c r="Y122" s="139" t="n"/>
      <x:c r="Z122" s="139" t="n"/>
      <x:c r="AA122" s="139" t="n"/>
      <x:c r="AB122" s="139" t="n"/>
      <x:c r="AC122" s="139" t="n"/>
      <x:c r="AD122" s="139" t="n"/>
      <x:c r="AE122" s="139" t="n"/>
      <x:c r="AF122" s="139" t="n"/>
      <x:c r="AG122" s="139" t="n"/>
      <x:c r="AH122" s="139" t="n"/>
      <x:c r="AI122" s="139" t="n"/>
      <x:c r="AJ122" s="139" t="n"/>
      <x:c r="AK122" s="139" t="n"/>
      <x:c r="AL122" s="139" t="n"/>
      <x:c r="AM122" s="139" t="n"/>
      <x:c r="AN122" s="139" t="n"/>
      <x:c r="AO122" s="139" t="n"/>
      <x:c r="AP122" s="139" t="n"/>
      <x:c r="AQ122" s="139" t="n"/>
      <x:c r="AR122" s="139" t="n"/>
      <x:c r="AS122" s="139" t="n"/>
      <x:c r="AT122" s="139" t="n"/>
      <x:c r="AU122" s="139" t="n"/>
      <x:c r="AV122" s="139" t="n"/>
      <x:c r="AW122" s="139" t="n"/>
      <x:c r="AX122" s="139" t="n"/>
      <x:c r="AY122" s="139" t="n"/>
      <x:c r="AZ122" s="139" t="n"/>
    </x:row>
    <x:row r="123">
      <x:c r="A123" s="139" t="n"/>
      <x:c r="B123" s="139" t="n"/>
      <x:c r="C123" s="139" t="n"/>
      <x:c r="D123" s="139" t="n"/>
      <x:c r="E123" s="139" t="n"/>
      <x:c r="F123" s="139" t="n"/>
      <x:c r="G123" s="139" t="n"/>
      <x:c r="H123" s="139" t="n"/>
      <x:c r="I123" s="139" t="n"/>
      <x:c r="J123" s="139" t="n"/>
      <x:c r="K123" s="139" t="n"/>
      <x:c r="L123" s="139" t="n"/>
      <x:c r="M123" s="139" t="n"/>
      <x:c r="N123" s="139" t="n"/>
      <x:c r="O123" s="139" t="n"/>
      <x:c r="P123" s="139" t="n"/>
      <x:c r="Q123" s="139" t="n"/>
      <x:c r="R123" s="139" t="n"/>
      <x:c r="S123" s="139" t="n"/>
      <x:c r="T123" s="139" t="n"/>
      <x:c r="U123" s="139" t="n"/>
      <x:c r="V123" s="139" t="n"/>
      <x:c r="W123" s="139" t="n"/>
      <x:c r="X123" s="139" t="n"/>
      <x:c r="Y123" s="139" t="n"/>
      <x:c r="Z123" s="139" t="n"/>
      <x:c r="AA123" s="139" t="n"/>
      <x:c r="AB123" s="139" t="n"/>
      <x:c r="AC123" s="139" t="n"/>
      <x:c r="AD123" s="139" t="n"/>
      <x:c r="AE123" s="139" t="n"/>
      <x:c r="AF123" s="139" t="n"/>
      <x:c r="AG123" s="139" t="n"/>
      <x:c r="AH123" s="139" t="n"/>
      <x:c r="AI123" s="139" t="n"/>
      <x:c r="AJ123" s="139" t="n"/>
      <x:c r="AK123" s="139" t="n"/>
      <x:c r="AL123" s="139" t="n"/>
      <x:c r="AM123" s="139" t="n"/>
      <x:c r="AN123" s="139" t="n"/>
      <x:c r="AO123" s="139" t="n"/>
      <x:c r="AP123" s="139" t="n"/>
      <x:c r="AQ123" s="139" t="n"/>
      <x:c r="AR123" s="139" t="n"/>
      <x:c r="AS123" s="139" t="n"/>
      <x:c r="AT123" s="139" t="n"/>
      <x:c r="AU123" s="139" t="n"/>
      <x:c r="AV123" s="139" t="n"/>
      <x:c r="AW123" s="139" t="n"/>
      <x:c r="AX123" s="139" t="n"/>
      <x:c r="AY123" s="139" t="n"/>
      <x:c r="AZ123" s="139" t="n"/>
    </x:row>
    <x:row r="124">
      <x:c r="A124" s="139" t="n"/>
      <x:c r="B124" s="139" t="n"/>
      <x:c r="C124" s="139" t="n"/>
      <x:c r="D124" s="139" t="n"/>
      <x:c r="E124" s="139" t="n"/>
      <x:c r="F124" s="139" t="n"/>
      <x:c r="G124" s="139" t="n"/>
      <x:c r="H124" s="139" t="n"/>
      <x:c r="I124" s="139" t="n"/>
      <x:c r="J124" s="139" t="n"/>
      <x:c r="K124" s="139" t="n"/>
      <x:c r="L124" s="139" t="n"/>
      <x:c r="M124" s="139" t="n"/>
      <x:c r="N124" s="139" t="n"/>
      <x:c r="O124" s="139" t="n"/>
      <x:c r="P124" s="139" t="n"/>
      <x:c r="Q124" s="139" t="n"/>
      <x:c r="R124" s="139" t="n"/>
      <x:c r="S124" s="139" t="n"/>
      <x:c r="T124" s="139" t="n"/>
      <x:c r="U124" s="139" t="n"/>
      <x:c r="V124" s="139" t="n"/>
      <x:c r="W124" s="139" t="n"/>
      <x:c r="X124" s="139" t="n"/>
      <x:c r="Y124" s="139" t="n"/>
      <x:c r="Z124" s="139" t="n"/>
      <x:c r="AA124" s="139" t="n"/>
      <x:c r="AB124" s="139" t="n"/>
      <x:c r="AC124" s="139" t="n"/>
      <x:c r="AD124" s="139" t="n"/>
      <x:c r="AE124" s="139" t="n"/>
      <x:c r="AF124" s="139" t="n"/>
      <x:c r="AG124" s="139" t="n"/>
      <x:c r="AH124" s="139" t="n"/>
      <x:c r="AI124" s="139" t="n"/>
      <x:c r="AJ124" s="139" t="n"/>
      <x:c r="AK124" s="139" t="n"/>
      <x:c r="AL124" s="139" t="n"/>
      <x:c r="AM124" s="139" t="n"/>
      <x:c r="AN124" s="139" t="n"/>
      <x:c r="AO124" s="139" t="n"/>
      <x:c r="AP124" s="139" t="n"/>
      <x:c r="AQ124" s="139" t="n"/>
      <x:c r="AR124" s="139" t="n"/>
      <x:c r="AS124" s="139" t="n"/>
      <x:c r="AT124" s="139" t="n"/>
      <x:c r="AU124" s="139" t="n"/>
      <x:c r="AV124" s="139" t="n"/>
      <x:c r="AW124" s="139" t="n"/>
      <x:c r="AX124" s="139" t="n"/>
      <x:c r="AY124" s="139" t="n"/>
      <x:c r="AZ124" s="139" t="n"/>
    </x:row>
    <x:row r="125">
      <x:c r="A125" s="139" t="n"/>
      <x:c r="B125" s="139" t="n"/>
      <x:c r="C125" s="139" t="n"/>
      <x:c r="D125" s="139" t="n"/>
      <x:c r="E125" s="139" t="n"/>
      <x:c r="F125" s="139" t="n"/>
      <x:c r="G125" s="139" t="n"/>
      <x:c r="H125" s="139" t="n"/>
      <x:c r="I125" s="139" t="n"/>
      <x:c r="J125" s="139" t="n"/>
      <x:c r="K125" s="139" t="n"/>
      <x:c r="L125" s="139" t="n"/>
      <x:c r="M125" s="139" t="n"/>
      <x:c r="N125" s="139" t="n"/>
      <x:c r="O125" s="139" t="n"/>
      <x:c r="P125" s="139" t="n"/>
      <x:c r="Q125" s="139" t="n"/>
      <x:c r="R125" s="139" t="n"/>
      <x:c r="S125" s="139" t="n"/>
      <x:c r="T125" s="139" t="n"/>
      <x:c r="U125" s="139" t="n"/>
      <x:c r="V125" s="139" t="n"/>
      <x:c r="W125" s="139" t="n"/>
      <x:c r="X125" s="139" t="n"/>
      <x:c r="Y125" s="139" t="n"/>
      <x:c r="Z125" s="139" t="n"/>
      <x:c r="AA125" s="139" t="n"/>
      <x:c r="AB125" s="139" t="n"/>
      <x:c r="AC125" s="139" t="n"/>
      <x:c r="AD125" s="139" t="n"/>
      <x:c r="AE125" s="139" t="n"/>
      <x:c r="AF125" s="139" t="n"/>
      <x:c r="AG125" s="139" t="n"/>
      <x:c r="AH125" s="139" t="n"/>
      <x:c r="AI125" s="139" t="n"/>
      <x:c r="AJ125" s="139" t="n"/>
      <x:c r="AK125" s="139" t="n"/>
      <x:c r="AL125" s="139" t="n"/>
      <x:c r="AM125" s="139" t="n"/>
      <x:c r="AN125" s="139" t="n"/>
      <x:c r="AO125" s="139" t="n"/>
      <x:c r="AP125" s="139" t="n"/>
      <x:c r="AQ125" s="139" t="n"/>
      <x:c r="AR125" s="139" t="n"/>
      <x:c r="AS125" s="139" t="n"/>
      <x:c r="AT125" s="139" t="n"/>
      <x:c r="AU125" s="139" t="n"/>
      <x:c r="AV125" s="139" t="n"/>
      <x:c r="AW125" s="139" t="n"/>
      <x:c r="AX125" s="139" t="n"/>
      <x:c r="AY125" s="139" t="n"/>
      <x:c r="AZ125" s="139" t="n"/>
    </x:row>
    <x:row r="126">
      <x:c r="A126" s="139" t="n"/>
      <x:c r="B126" s="139" t="n"/>
      <x:c r="C126" s="139" t="n"/>
      <x:c r="D126" s="139" t="n"/>
      <x:c r="E126" s="139" t="n"/>
      <x:c r="F126" s="139" t="n"/>
      <x:c r="G126" s="139" t="n"/>
      <x:c r="H126" s="139" t="n"/>
      <x:c r="I126" s="139" t="n"/>
      <x:c r="J126" s="139" t="n"/>
      <x:c r="K126" s="139" t="n"/>
      <x:c r="L126" s="139" t="n"/>
      <x:c r="M126" s="139" t="n"/>
      <x:c r="N126" s="139" t="n"/>
      <x:c r="O126" s="139" t="n"/>
      <x:c r="P126" s="139" t="n"/>
      <x:c r="Q126" s="139" t="n"/>
      <x:c r="R126" s="139" t="n"/>
      <x:c r="S126" s="139" t="n"/>
      <x:c r="T126" s="139" t="n"/>
      <x:c r="U126" s="139" t="n"/>
      <x:c r="V126" s="139" t="n"/>
      <x:c r="W126" s="139" t="n"/>
      <x:c r="X126" s="139" t="n"/>
      <x:c r="Y126" s="139" t="n"/>
      <x:c r="Z126" s="139" t="n"/>
      <x:c r="AA126" s="139" t="n"/>
      <x:c r="AB126" s="139" t="n"/>
      <x:c r="AC126" s="139" t="n"/>
      <x:c r="AD126" s="139" t="n"/>
      <x:c r="AE126" s="139" t="n"/>
      <x:c r="AF126" s="139" t="n"/>
      <x:c r="AG126" s="139" t="n"/>
      <x:c r="AH126" s="139" t="n"/>
      <x:c r="AI126" s="139" t="n"/>
      <x:c r="AJ126" s="139" t="n"/>
      <x:c r="AK126" s="139" t="n"/>
      <x:c r="AL126" s="139" t="n"/>
      <x:c r="AM126" s="139" t="n"/>
      <x:c r="AN126" s="139" t="n"/>
      <x:c r="AO126" s="139" t="n"/>
      <x:c r="AP126" s="139" t="n"/>
      <x:c r="AQ126" s="139" t="n"/>
      <x:c r="AR126" s="139" t="n"/>
      <x:c r="AS126" s="139" t="n"/>
      <x:c r="AT126" s="139" t="n"/>
      <x:c r="AU126" s="139" t="n"/>
      <x:c r="AV126" s="139" t="n"/>
      <x:c r="AW126" s="139" t="n"/>
      <x:c r="AX126" s="139" t="n"/>
      <x:c r="AY126" s="139" t="n"/>
      <x:c r="AZ126" s="139" t="n"/>
    </x:row>
    <x:row r="127">
      <x:c r="A127" s="139" t="n"/>
      <x:c r="B127" s="139" t="n"/>
      <x:c r="C127" s="139" t="n"/>
      <x:c r="D127" s="139" t="n"/>
      <x:c r="E127" s="139" t="n"/>
      <x:c r="F127" s="139" t="n"/>
      <x:c r="G127" s="139" t="n"/>
      <x:c r="H127" s="139" t="n"/>
      <x:c r="I127" s="139" t="n"/>
      <x:c r="J127" s="139" t="n"/>
      <x:c r="K127" s="139" t="n"/>
      <x:c r="L127" s="139" t="n"/>
      <x:c r="M127" s="139" t="n"/>
      <x:c r="N127" s="139" t="n"/>
      <x:c r="O127" s="139" t="n"/>
      <x:c r="P127" s="139" t="n"/>
      <x:c r="Q127" s="139" t="n"/>
      <x:c r="R127" s="139" t="n"/>
      <x:c r="S127" s="139" t="n"/>
      <x:c r="T127" s="139" t="n"/>
      <x:c r="U127" s="139" t="n"/>
      <x:c r="V127" s="139" t="n"/>
      <x:c r="W127" s="139" t="n"/>
      <x:c r="X127" s="139" t="n"/>
      <x:c r="Y127" s="139" t="n"/>
      <x:c r="Z127" s="139" t="n"/>
      <x:c r="AA127" s="139" t="n"/>
      <x:c r="AB127" s="139" t="n"/>
      <x:c r="AC127" s="139" t="n"/>
      <x:c r="AD127" s="139" t="n"/>
      <x:c r="AE127" s="139" t="n"/>
      <x:c r="AF127" s="139" t="n"/>
      <x:c r="AG127" s="139" t="n"/>
      <x:c r="AH127" s="139" t="n"/>
      <x:c r="AI127" s="139" t="n"/>
      <x:c r="AJ127" s="139" t="n"/>
      <x:c r="AK127" s="139" t="n"/>
      <x:c r="AL127" s="139" t="n"/>
      <x:c r="AM127" s="139" t="n"/>
      <x:c r="AN127" s="139" t="n"/>
      <x:c r="AO127" s="139" t="n"/>
      <x:c r="AP127" s="139" t="n"/>
      <x:c r="AQ127" s="139" t="n"/>
      <x:c r="AR127" s="139" t="n"/>
      <x:c r="AS127" s="139" t="n"/>
      <x:c r="AT127" s="139" t="n"/>
      <x:c r="AU127" s="139" t="n"/>
      <x:c r="AV127" s="139" t="n"/>
      <x:c r="AW127" s="139" t="n"/>
      <x:c r="AX127" s="139" t="n"/>
      <x:c r="AY127" s="139" t="n"/>
      <x:c r="AZ127" s="139" t="n"/>
    </x:row>
    <x:row r="128">
      <x:c r="A128" s="139" t="n"/>
      <x:c r="B128" s="139" t="n"/>
      <x:c r="C128" s="139" t="n"/>
      <x:c r="D128" s="139" t="n"/>
      <x:c r="E128" s="139" t="n"/>
      <x:c r="F128" s="139" t="n"/>
      <x:c r="G128" s="139" t="n"/>
      <x:c r="H128" s="139" t="n"/>
      <x:c r="I128" s="139" t="n"/>
      <x:c r="J128" s="139" t="n"/>
      <x:c r="K128" s="139" t="n"/>
      <x:c r="L128" s="139" t="n"/>
      <x:c r="M128" s="139" t="n"/>
      <x:c r="N128" s="139" t="n"/>
      <x:c r="O128" s="139" t="n"/>
      <x:c r="P128" s="139" t="n"/>
      <x:c r="Q128" s="139" t="n"/>
      <x:c r="R128" s="139" t="n"/>
      <x:c r="S128" s="139" t="n"/>
      <x:c r="T128" s="139" t="n"/>
      <x:c r="U128" s="139" t="n"/>
      <x:c r="V128" s="139" t="n"/>
      <x:c r="W128" s="139" t="n"/>
      <x:c r="X128" s="139" t="n"/>
      <x:c r="Y128" s="139" t="n"/>
      <x:c r="Z128" s="139" t="n"/>
      <x:c r="AA128" s="139" t="n"/>
      <x:c r="AB128" s="139" t="n"/>
      <x:c r="AC128" s="139" t="n"/>
      <x:c r="AD128" s="139" t="n"/>
      <x:c r="AE128" s="139" t="n"/>
      <x:c r="AF128" s="139" t="n"/>
      <x:c r="AG128" s="139" t="n"/>
      <x:c r="AH128" s="139" t="n"/>
      <x:c r="AI128" s="139" t="n"/>
      <x:c r="AJ128" s="139" t="n"/>
      <x:c r="AK128" s="139" t="n"/>
      <x:c r="AL128" s="139" t="n"/>
      <x:c r="AM128" s="139" t="n"/>
      <x:c r="AN128" s="139" t="n"/>
      <x:c r="AO128" s="139" t="n"/>
      <x:c r="AP128" s="139" t="n"/>
      <x:c r="AQ128" s="139" t="n"/>
      <x:c r="AR128" s="139" t="n"/>
      <x:c r="AS128" s="139" t="n"/>
      <x:c r="AT128" s="139" t="n"/>
      <x:c r="AU128" s="139" t="n"/>
      <x:c r="AV128" s="139" t="n"/>
      <x:c r="AW128" s="139" t="n"/>
      <x:c r="AX128" s="139" t="n"/>
      <x:c r="AY128" s="139" t="n"/>
      <x:c r="AZ128" s="139" t="n"/>
    </x:row>
    <x:row r="129">
      <x:c r="A129" s="139" t="n"/>
      <x:c r="B129" s="139" t="n"/>
      <x:c r="C129" s="139" t="n"/>
      <x:c r="D129" s="139" t="n"/>
      <x:c r="E129" s="139" t="n"/>
      <x:c r="F129" s="139" t="n"/>
      <x:c r="G129" s="139" t="n"/>
      <x:c r="H129" s="139" t="n"/>
      <x:c r="I129" s="139" t="n"/>
      <x:c r="J129" s="139" t="n"/>
      <x:c r="K129" s="139" t="n"/>
      <x:c r="L129" s="139" t="n"/>
      <x:c r="M129" s="139" t="n"/>
      <x:c r="N129" s="139" t="n"/>
      <x:c r="O129" s="139" t="n"/>
      <x:c r="P129" s="139" t="n"/>
      <x:c r="Q129" s="139" t="n"/>
      <x:c r="R129" s="139" t="n"/>
      <x:c r="S129" s="139" t="n"/>
      <x:c r="T129" s="139" t="n"/>
      <x:c r="U129" s="139" t="n"/>
      <x:c r="V129" s="139" t="n"/>
      <x:c r="W129" s="139" t="n"/>
      <x:c r="X129" s="139" t="n"/>
      <x:c r="Y129" s="139" t="n"/>
      <x:c r="Z129" s="139" t="n"/>
      <x:c r="AA129" s="139" t="n"/>
      <x:c r="AB129" s="139" t="n"/>
      <x:c r="AC129" s="139" t="n"/>
      <x:c r="AD129" s="139" t="n"/>
      <x:c r="AE129" s="139" t="n"/>
      <x:c r="AF129" s="139" t="n"/>
      <x:c r="AG129" s="139" t="n"/>
      <x:c r="AH129" s="139" t="n"/>
      <x:c r="AI129" s="139" t="n"/>
      <x:c r="AJ129" s="139" t="n"/>
      <x:c r="AK129" s="139" t="n"/>
      <x:c r="AL129" s="139" t="n"/>
      <x:c r="AM129" s="139" t="n"/>
      <x:c r="AN129" s="139" t="n"/>
      <x:c r="AO129" s="139" t="n"/>
      <x:c r="AP129" s="139" t="n"/>
      <x:c r="AQ129" s="139" t="n"/>
      <x:c r="AR129" s="139" t="n"/>
      <x:c r="AS129" s="139" t="n"/>
      <x:c r="AT129" s="139" t="n"/>
      <x:c r="AU129" s="139" t="n"/>
      <x:c r="AV129" s="139" t="n"/>
      <x:c r="AW129" s="139" t="n"/>
      <x:c r="AX129" s="139" t="n"/>
      <x:c r="AY129" s="139" t="n"/>
      <x:c r="AZ129" s="139" t="n"/>
    </x:row>
    <x:row r="130">
      <x:c r="A130" s="139" t="n"/>
      <x:c r="B130" s="139" t="n"/>
      <x:c r="C130" s="139" t="n"/>
      <x:c r="D130" s="139" t="n"/>
      <x:c r="E130" s="139" t="n"/>
      <x:c r="F130" s="139" t="n"/>
      <x:c r="G130" s="139" t="n"/>
      <x:c r="H130" s="139" t="n"/>
      <x:c r="I130" s="139" t="n"/>
      <x:c r="J130" s="139" t="n"/>
      <x:c r="K130" s="139" t="n"/>
      <x:c r="L130" s="139" t="n"/>
      <x:c r="M130" s="139" t="n"/>
      <x:c r="N130" s="139" t="n"/>
      <x:c r="O130" s="139" t="n"/>
      <x:c r="P130" s="139" t="n"/>
      <x:c r="Q130" s="139" t="n"/>
      <x:c r="R130" s="139" t="n"/>
      <x:c r="S130" s="139" t="n"/>
      <x:c r="T130" s="139" t="n"/>
      <x:c r="U130" s="139" t="n"/>
      <x:c r="V130" s="139" t="n"/>
      <x:c r="W130" s="139" t="n"/>
      <x:c r="X130" s="139" t="n"/>
      <x:c r="Y130" s="139" t="n"/>
      <x:c r="Z130" s="139" t="n"/>
      <x:c r="AA130" s="139" t="n"/>
      <x:c r="AB130" s="139" t="n"/>
      <x:c r="AC130" s="139" t="n"/>
      <x:c r="AD130" s="139" t="n"/>
      <x:c r="AE130" s="139" t="n"/>
      <x:c r="AF130" s="139" t="n"/>
      <x:c r="AG130" s="139" t="n"/>
      <x:c r="AH130" s="139" t="n"/>
      <x:c r="AI130" s="139" t="n"/>
      <x:c r="AJ130" s="139" t="n"/>
      <x:c r="AK130" s="139" t="n"/>
      <x:c r="AL130" s="139" t="n"/>
      <x:c r="AM130" s="139" t="n"/>
      <x:c r="AN130" s="139" t="n"/>
      <x:c r="AO130" s="139" t="n"/>
      <x:c r="AP130" s="139" t="n"/>
      <x:c r="AQ130" s="139" t="n"/>
      <x:c r="AR130" s="139" t="n"/>
      <x:c r="AS130" s="139" t="n"/>
      <x:c r="AT130" s="139" t="n"/>
      <x:c r="AU130" s="139" t="n"/>
      <x:c r="AV130" s="139" t="n"/>
      <x:c r="AW130" s="139" t="n"/>
      <x:c r="AX130" s="139" t="n"/>
      <x:c r="AY130" s="139" t="n"/>
      <x:c r="AZ130" s="139" t="n"/>
    </x:row>
    <x:row r="131">
      <x:c r="A131" s="139" t="n"/>
      <x:c r="B131" s="139" t="n"/>
      <x:c r="C131" s="139" t="n"/>
      <x:c r="D131" s="139" t="n"/>
      <x:c r="E131" s="139" t="n"/>
      <x:c r="F131" s="139" t="n"/>
      <x:c r="G131" s="139" t="n"/>
      <x:c r="H131" s="139" t="n"/>
      <x:c r="I131" s="139" t="n"/>
      <x:c r="J131" s="139" t="n"/>
      <x:c r="K131" s="139" t="n"/>
      <x:c r="L131" s="139" t="n"/>
      <x:c r="M131" s="139" t="n"/>
      <x:c r="N131" s="139" t="n"/>
      <x:c r="O131" s="139" t="n"/>
      <x:c r="P131" s="139" t="n"/>
      <x:c r="Q131" s="139" t="n"/>
      <x:c r="R131" s="139" t="n"/>
      <x:c r="S131" s="139" t="n"/>
      <x:c r="T131" s="139" t="n"/>
      <x:c r="U131" s="139" t="n"/>
      <x:c r="V131" s="139" t="n"/>
      <x:c r="W131" s="139" t="n"/>
      <x:c r="X131" s="139" t="n"/>
      <x:c r="Y131" s="139" t="n"/>
      <x:c r="Z131" s="139" t="n"/>
      <x:c r="AA131" s="139" t="n"/>
      <x:c r="AB131" s="139" t="n"/>
      <x:c r="AC131" s="139" t="n"/>
      <x:c r="AD131" s="139" t="n"/>
      <x:c r="AE131" s="139" t="n"/>
      <x:c r="AF131" s="139" t="n"/>
      <x:c r="AG131" s="139" t="n"/>
      <x:c r="AH131" s="139" t="n"/>
      <x:c r="AI131" s="139" t="n"/>
      <x:c r="AJ131" s="139" t="n"/>
      <x:c r="AK131" s="139" t="n"/>
      <x:c r="AL131" s="139" t="n"/>
      <x:c r="AM131" s="139" t="n"/>
      <x:c r="AN131" s="139" t="n"/>
      <x:c r="AO131" s="139" t="n"/>
      <x:c r="AP131" s="139" t="n"/>
      <x:c r="AQ131" s="139" t="n"/>
      <x:c r="AR131" s="139" t="n"/>
      <x:c r="AS131" s="139" t="n"/>
      <x:c r="AT131" s="139" t="n"/>
      <x:c r="AU131" s="139" t="n"/>
      <x:c r="AV131" s="139" t="n"/>
      <x:c r="AW131" s="139" t="n"/>
      <x:c r="AX131" s="139" t="n"/>
      <x:c r="AY131" s="139" t="n"/>
      <x:c r="AZ131" s="139" t="n"/>
    </x:row>
    <x:row r="132">
      <x:c r="A132" s="139" t="n"/>
      <x:c r="B132" s="139" t="n"/>
      <x:c r="C132" s="139" t="n"/>
      <x:c r="D132" s="139" t="n"/>
      <x:c r="E132" s="139" t="n"/>
      <x:c r="F132" s="139" t="n"/>
      <x:c r="G132" s="139" t="n"/>
      <x:c r="H132" s="139" t="n"/>
      <x:c r="I132" s="139" t="n"/>
      <x:c r="J132" s="139" t="n"/>
      <x:c r="K132" s="139" t="n"/>
      <x:c r="L132" s="139" t="n"/>
      <x:c r="M132" s="139" t="n"/>
      <x:c r="N132" s="139" t="n"/>
      <x:c r="O132" s="139" t="n"/>
      <x:c r="P132" s="139" t="n"/>
      <x:c r="Q132" s="139" t="n"/>
      <x:c r="R132" s="139" t="n"/>
      <x:c r="S132" s="139" t="n"/>
      <x:c r="T132" s="139" t="n"/>
      <x:c r="U132" s="139" t="n"/>
      <x:c r="V132" s="139" t="n"/>
      <x:c r="W132" s="139" t="n"/>
      <x:c r="X132" s="139" t="n"/>
      <x:c r="Y132" s="139" t="n"/>
      <x:c r="Z132" s="139" t="n"/>
      <x:c r="AA132" s="139" t="n"/>
      <x:c r="AB132" s="139" t="n"/>
      <x:c r="AC132" s="139" t="n"/>
      <x:c r="AD132" s="139" t="n"/>
      <x:c r="AE132" s="139" t="n"/>
      <x:c r="AF132" s="139" t="n"/>
      <x:c r="AG132" s="139" t="n"/>
      <x:c r="AH132" s="139" t="n"/>
      <x:c r="AI132" s="139" t="n"/>
      <x:c r="AJ132" s="139" t="n"/>
      <x:c r="AK132" s="139" t="n"/>
      <x:c r="AL132" s="139" t="n"/>
      <x:c r="AM132" s="139" t="n"/>
      <x:c r="AN132" s="139" t="n"/>
      <x:c r="AO132" s="139" t="n"/>
      <x:c r="AP132" s="139" t="n"/>
      <x:c r="AQ132" s="139" t="n"/>
      <x:c r="AR132" s="139" t="n"/>
      <x:c r="AS132" s="139" t="n"/>
      <x:c r="AT132" s="139" t="n"/>
      <x:c r="AU132" s="139" t="n"/>
      <x:c r="AV132" s="139" t="n"/>
      <x:c r="AW132" s="139" t="n"/>
      <x:c r="AX132" s="139" t="n"/>
      <x:c r="AY132" s="139" t="n"/>
      <x:c r="AZ132" s="139" t="n"/>
    </x:row>
    <x:row r="133">
      <x:c r="A133" s="139" t="n"/>
      <x:c r="B133" s="139" t="n"/>
      <x:c r="C133" s="139" t="n"/>
      <x:c r="D133" s="139" t="n"/>
      <x:c r="E133" s="139" t="n"/>
      <x:c r="F133" s="139" t="n"/>
      <x:c r="G133" s="139" t="n"/>
      <x:c r="H133" s="139" t="n"/>
      <x:c r="I133" s="139" t="n"/>
      <x:c r="J133" s="139" t="n"/>
      <x:c r="K133" s="139" t="n"/>
      <x:c r="L133" s="139" t="n"/>
      <x:c r="M133" s="139" t="n"/>
      <x:c r="N133" s="139" t="n"/>
      <x:c r="O133" s="139" t="n"/>
      <x:c r="P133" s="139" t="n"/>
      <x:c r="Q133" s="139" t="n"/>
      <x:c r="R133" s="139" t="n"/>
      <x:c r="S133" s="139" t="n"/>
      <x:c r="T133" s="139" t="n"/>
      <x:c r="U133" s="139" t="n"/>
      <x:c r="V133" s="139" t="n"/>
      <x:c r="W133" s="139" t="n"/>
      <x:c r="X133" s="139" t="n"/>
      <x:c r="Y133" s="139" t="n"/>
      <x:c r="Z133" s="139" t="n"/>
      <x:c r="AA133" s="139" t="n"/>
      <x:c r="AB133" s="139" t="n"/>
      <x:c r="AC133" s="139" t="n"/>
      <x:c r="AD133" s="139" t="n"/>
      <x:c r="AE133" s="139" t="n"/>
      <x:c r="AF133" s="139" t="n"/>
      <x:c r="AG133" s="139" t="n"/>
      <x:c r="AH133" s="139" t="n"/>
      <x:c r="AI133" s="139" t="n"/>
      <x:c r="AJ133" s="139" t="n"/>
      <x:c r="AK133" s="139" t="n"/>
      <x:c r="AL133" s="139" t="n"/>
      <x:c r="AM133" s="139" t="n"/>
      <x:c r="AN133" s="139" t="n"/>
      <x:c r="AO133" s="139" t="n"/>
      <x:c r="AP133" s="139" t="n"/>
      <x:c r="AQ133" s="139" t="n"/>
      <x:c r="AR133" s="139" t="n"/>
      <x:c r="AS133" s="139" t="n"/>
      <x:c r="AT133" s="139" t="n"/>
      <x:c r="AU133" s="139" t="n"/>
      <x:c r="AV133" s="139" t="n"/>
      <x:c r="AW133" s="139" t="n"/>
      <x:c r="AX133" s="139" t="n"/>
      <x:c r="AY133" s="139" t="n"/>
      <x:c r="AZ133" s="139" t="n"/>
    </x:row>
    <x:row r="134">
      <x:c r="A134" s="139" t="n"/>
      <x:c r="B134" s="139" t="n"/>
      <x:c r="C134" s="139" t="n"/>
      <x:c r="D134" s="139" t="n"/>
      <x:c r="E134" s="139" t="n"/>
      <x:c r="F134" s="139" t="n"/>
      <x:c r="G134" s="139" t="n"/>
      <x:c r="H134" s="139" t="n"/>
      <x:c r="I134" s="139" t="n"/>
      <x:c r="J134" s="139" t="n"/>
      <x:c r="K134" s="139" t="n"/>
      <x:c r="L134" s="139" t="n"/>
      <x:c r="M134" s="139" t="n"/>
      <x:c r="N134" s="139" t="n"/>
      <x:c r="O134" s="139" t="n"/>
      <x:c r="P134" s="139" t="n"/>
      <x:c r="Q134" s="139" t="n"/>
      <x:c r="R134" s="139" t="n"/>
      <x:c r="S134" s="139" t="n"/>
      <x:c r="T134" s="139" t="n"/>
      <x:c r="U134" s="139" t="n"/>
      <x:c r="V134" s="139" t="n"/>
      <x:c r="W134" s="139" t="n"/>
      <x:c r="X134" s="139" t="n"/>
      <x:c r="Y134" s="139" t="n"/>
      <x:c r="Z134" s="139" t="n"/>
      <x:c r="AA134" s="139" t="n"/>
      <x:c r="AB134" s="139" t="n"/>
      <x:c r="AC134" s="139" t="n"/>
      <x:c r="AD134" s="139" t="n"/>
      <x:c r="AE134" s="139" t="n"/>
      <x:c r="AF134" s="139" t="n"/>
      <x:c r="AG134" s="139" t="n"/>
      <x:c r="AH134" s="139" t="n"/>
      <x:c r="AI134" s="139" t="n"/>
      <x:c r="AJ134" s="139" t="n"/>
      <x:c r="AK134" s="139" t="n"/>
      <x:c r="AL134" s="139" t="n"/>
      <x:c r="AM134" s="139" t="n"/>
      <x:c r="AN134" s="139" t="n"/>
      <x:c r="AO134" s="139" t="n"/>
      <x:c r="AP134" s="139" t="n"/>
      <x:c r="AQ134" s="139" t="n"/>
      <x:c r="AR134" s="139" t="n"/>
      <x:c r="AS134" s="139" t="n"/>
      <x:c r="AT134" s="139" t="n"/>
      <x:c r="AU134" s="139" t="n"/>
      <x:c r="AV134" s="139" t="n"/>
      <x:c r="AW134" s="139" t="n"/>
      <x:c r="AX134" s="139" t="n"/>
      <x:c r="AY134" s="139" t="n"/>
      <x:c r="AZ134" s="139" t="n"/>
    </x:row>
    <x:row r="135">
      <x:c r="A135" s="139" t="n"/>
      <x:c r="B135" s="139" t="n"/>
      <x:c r="C135" s="139" t="n"/>
      <x:c r="D135" s="139" t="n"/>
      <x:c r="E135" s="139" t="n"/>
      <x:c r="F135" s="139" t="n"/>
      <x:c r="G135" s="139" t="n"/>
      <x:c r="H135" s="139" t="n"/>
      <x:c r="I135" s="139" t="n"/>
      <x:c r="J135" s="139" t="n"/>
      <x:c r="K135" s="139" t="n"/>
      <x:c r="L135" s="139" t="n"/>
      <x:c r="M135" s="139" t="n"/>
      <x:c r="N135" s="139" t="n"/>
      <x:c r="O135" s="139" t="n"/>
      <x:c r="P135" s="139" t="n"/>
      <x:c r="Q135" s="139" t="n"/>
      <x:c r="R135" s="139" t="n"/>
      <x:c r="S135" s="139" t="n"/>
      <x:c r="T135" s="139" t="n"/>
      <x:c r="U135" s="139" t="n"/>
      <x:c r="V135" s="139" t="n"/>
      <x:c r="W135" s="139" t="n"/>
      <x:c r="X135" s="139" t="n"/>
      <x:c r="Y135" s="139" t="n"/>
      <x:c r="Z135" s="139" t="n"/>
      <x:c r="AA135" s="139" t="n"/>
      <x:c r="AB135" s="139" t="n"/>
      <x:c r="AC135" s="139" t="n"/>
      <x:c r="AD135" s="139" t="n"/>
      <x:c r="AE135" s="139" t="n"/>
      <x:c r="AF135" s="139" t="n"/>
      <x:c r="AG135" s="139" t="n"/>
      <x:c r="AH135" s="139" t="n"/>
      <x:c r="AI135" s="139" t="n"/>
      <x:c r="AJ135" s="139" t="n"/>
      <x:c r="AK135" s="139" t="n"/>
      <x:c r="AL135" s="139" t="n"/>
      <x:c r="AM135" s="139" t="n"/>
      <x:c r="AN135" s="139" t="n"/>
      <x:c r="AO135" s="139" t="n"/>
      <x:c r="AP135" s="139" t="n"/>
      <x:c r="AQ135" s="139" t="n"/>
      <x:c r="AR135" s="139" t="n"/>
      <x:c r="AS135" s="139" t="n"/>
      <x:c r="AT135" s="139" t="n"/>
      <x:c r="AU135" s="139" t="n"/>
      <x:c r="AV135" s="139" t="n"/>
      <x:c r="AW135" s="139" t="n"/>
      <x:c r="AX135" s="139" t="n"/>
      <x:c r="AY135" s="139" t="n"/>
      <x:c r="AZ135" s="139" t="n"/>
    </x:row>
    <x:row r="136">
      <x:c r="A136" s="139" t="n"/>
      <x:c r="B136" s="139" t="n"/>
      <x:c r="C136" s="139" t="n"/>
      <x:c r="D136" s="139" t="n"/>
      <x:c r="E136" s="139" t="n"/>
      <x:c r="F136" s="139" t="n"/>
      <x:c r="G136" s="139" t="n"/>
      <x:c r="H136" s="139" t="n"/>
      <x:c r="I136" s="139" t="n"/>
      <x:c r="J136" s="139" t="n"/>
      <x:c r="K136" s="139" t="n"/>
      <x:c r="L136" s="139" t="n"/>
      <x:c r="M136" s="139" t="n"/>
      <x:c r="N136" s="139" t="n"/>
      <x:c r="O136" s="139" t="n"/>
      <x:c r="P136" s="139" t="n"/>
      <x:c r="Q136" s="139" t="n"/>
      <x:c r="R136" s="139" t="n"/>
      <x:c r="S136" s="139" t="n"/>
      <x:c r="T136" s="139" t="n"/>
      <x:c r="U136" s="139" t="n"/>
      <x:c r="V136" s="139" t="n"/>
      <x:c r="W136" s="139" t="n"/>
      <x:c r="X136" s="139" t="n"/>
      <x:c r="Y136" s="139" t="n"/>
      <x:c r="Z136" s="139" t="n"/>
      <x:c r="AA136" s="139" t="n"/>
      <x:c r="AB136" s="139" t="n"/>
      <x:c r="AC136" s="139" t="n"/>
      <x:c r="AD136" s="139" t="n"/>
      <x:c r="AE136" s="139" t="n"/>
      <x:c r="AF136" s="139" t="n"/>
      <x:c r="AG136" s="139" t="n"/>
      <x:c r="AH136" s="139" t="n"/>
      <x:c r="AI136" s="139" t="n"/>
      <x:c r="AJ136" s="139" t="n"/>
      <x:c r="AK136" s="139" t="n"/>
      <x:c r="AL136" s="139" t="n"/>
      <x:c r="AM136" s="139" t="n"/>
      <x:c r="AN136" s="139" t="n"/>
      <x:c r="AO136" s="139" t="n"/>
      <x:c r="AP136" s="139" t="n"/>
      <x:c r="AQ136" s="139" t="n"/>
      <x:c r="AR136" s="139" t="n"/>
      <x:c r="AS136" s="139" t="n"/>
      <x:c r="AT136" s="139" t="n"/>
      <x:c r="AU136" s="139" t="n"/>
      <x:c r="AV136" s="139" t="n"/>
      <x:c r="AW136" s="139" t="n"/>
      <x:c r="AX136" s="139" t="n"/>
      <x:c r="AY136" s="139" t="n"/>
      <x:c r="AZ136" s="139" t="n"/>
    </x:row>
    <x:row r="137">
      <x:c r="A137" s="139" t="n"/>
      <x:c r="B137" s="139" t="n"/>
      <x:c r="C137" s="139" t="n"/>
      <x:c r="D137" s="139" t="n"/>
      <x:c r="E137" s="139" t="n"/>
      <x:c r="F137" s="139" t="n"/>
      <x:c r="G137" s="139" t="n"/>
      <x:c r="H137" s="139" t="n"/>
      <x:c r="I137" s="139" t="n"/>
      <x:c r="J137" s="139" t="n"/>
      <x:c r="K137" s="139" t="n"/>
      <x:c r="L137" s="139" t="n"/>
      <x:c r="M137" s="139" t="n"/>
      <x:c r="N137" s="139" t="n"/>
      <x:c r="O137" s="139" t="n"/>
      <x:c r="P137" s="139" t="n"/>
      <x:c r="Q137" s="139" t="n"/>
      <x:c r="R137" s="139" t="n"/>
      <x:c r="S137" s="139" t="n"/>
      <x:c r="T137" s="139" t="n"/>
      <x:c r="U137" s="139" t="n"/>
      <x:c r="V137" s="139" t="n"/>
      <x:c r="W137" s="139" t="n"/>
      <x:c r="X137" s="139" t="n"/>
      <x:c r="Y137" s="139" t="n"/>
      <x:c r="Z137" s="139" t="n"/>
      <x:c r="AA137" s="139" t="n"/>
      <x:c r="AB137" s="139" t="n"/>
      <x:c r="AC137" s="139" t="n"/>
      <x:c r="AD137" s="139" t="n"/>
      <x:c r="AE137" s="139" t="n"/>
      <x:c r="AF137" s="139" t="n"/>
      <x:c r="AG137" s="139" t="n"/>
      <x:c r="AH137" s="139" t="n"/>
      <x:c r="AI137" s="139" t="n"/>
      <x:c r="AJ137" s="139" t="n"/>
      <x:c r="AK137" s="139" t="n"/>
      <x:c r="AL137" s="139" t="n"/>
      <x:c r="AM137" s="139" t="n"/>
      <x:c r="AN137" s="139" t="n"/>
      <x:c r="AO137" s="139" t="n"/>
      <x:c r="AP137" s="139" t="n"/>
      <x:c r="AQ137" s="139" t="n"/>
      <x:c r="AR137" s="139" t="n"/>
      <x:c r="AS137" s="139" t="n"/>
      <x:c r="AT137" s="139" t="n"/>
      <x:c r="AU137" s="139" t="n"/>
      <x:c r="AV137" s="139" t="n"/>
      <x:c r="AW137" s="139" t="n"/>
      <x:c r="AX137" s="139" t="n"/>
      <x:c r="AY137" s="139" t="n"/>
      <x:c r="AZ137" s="139" t="n"/>
    </x:row>
    <x:row r="138">
      <x:c r="A138" s="139" t="n"/>
      <x:c r="B138" s="139" t="n"/>
      <x:c r="C138" s="139" t="n"/>
      <x:c r="D138" s="139" t="n"/>
      <x:c r="E138" s="139" t="n"/>
      <x:c r="F138" s="139" t="n"/>
      <x:c r="G138" s="139" t="n"/>
      <x:c r="H138" s="139" t="n"/>
      <x:c r="I138" s="139" t="n"/>
      <x:c r="J138" s="139" t="n"/>
      <x:c r="K138" s="139" t="n"/>
      <x:c r="L138" s="139" t="n"/>
      <x:c r="M138" s="139" t="n"/>
      <x:c r="N138" s="139" t="n"/>
      <x:c r="O138" s="139" t="n"/>
      <x:c r="P138" s="139" t="n"/>
      <x:c r="Q138" s="139" t="n"/>
      <x:c r="R138" s="139" t="n"/>
      <x:c r="S138" s="139" t="n"/>
      <x:c r="T138" s="139" t="n"/>
      <x:c r="U138" s="139" t="n"/>
      <x:c r="V138" s="139" t="n"/>
      <x:c r="W138" s="139" t="n"/>
      <x:c r="X138" s="139" t="n"/>
      <x:c r="Y138" s="139" t="n"/>
      <x:c r="Z138" s="139" t="n"/>
      <x:c r="AA138" s="139" t="n"/>
      <x:c r="AB138" s="139" t="n"/>
      <x:c r="AC138" s="139" t="n"/>
      <x:c r="AD138" s="139" t="n"/>
      <x:c r="AE138" s="139" t="n"/>
      <x:c r="AF138" s="139" t="n"/>
      <x:c r="AG138" s="139" t="n"/>
      <x:c r="AH138" s="139" t="n"/>
      <x:c r="AI138" s="139" t="n"/>
      <x:c r="AJ138" s="139" t="n"/>
      <x:c r="AK138" s="139" t="n"/>
      <x:c r="AL138" s="139" t="n"/>
      <x:c r="AM138" s="139" t="n"/>
      <x:c r="AN138" s="139" t="n"/>
      <x:c r="AO138" s="139" t="n"/>
      <x:c r="AP138" s="139" t="n"/>
      <x:c r="AQ138" s="139" t="n"/>
      <x:c r="AR138" s="139" t="n"/>
      <x:c r="AS138" s="139" t="n"/>
      <x:c r="AT138" s="139" t="n"/>
      <x:c r="AU138" s="139" t="n"/>
      <x:c r="AV138" s="139" t="n"/>
      <x:c r="AW138" s="139" t="n"/>
      <x:c r="AX138" s="139" t="n"/>
      <x:c r="AY138" s="139" t="n"/>
      <x:c r="AZ138" s="139" t="n"/>
    </x:row>
    <x:row r="139">
      <x:c r="A139" s="139" t="n"/>
      <x:c r="B139" s="139" t="n"/>
      <x:c r="C139" s="139" t="n"/>
      <x:c r="D139" s="139" t="n"/>
      <x:c r="E139" s="139" t="n"/>
      <x:c r="F139" s="139" t="n"/>
      <x:c r="G139" s="139" t="n"/>
      <x:c r="H139" s="139" t="n"/>
      <x:c r="I139" s="139" t="n"/>
      <x:c r="J139" s="139" t="n"/>
      <x:c r="K139" s="139" t="n"/>
      <x:c r="L139" s="139" t="n"/>
      <x:c r="M139" s="139" t="n"/>
      <x:c r="N139" s="139" t="n"/>
      <x:c r="O139" s="139" t="n"/>
      <x:c r="P139" s="139" t="n"/>
      <x:c r="Q139" s="139" t="n"/>
      <x:c r="R139" s="139" t="n"/>
      <x:c r="S139" s="139" t="n"/>
      <x:c r="T139" s="139" t="n"/>
      <x:c r="U139" s="139" t="n"/>
      <x:c r="V139" s="139" t="n"/>
      <x:c r="W139" s="139" t="n"/>
      <x:c r="X139" s="139" t="n"/>
      <x:c r="Y139" s="139" t="n"/>
      <x:c r="Z139" s="139" t="n"/>
      <x:c r="AA139" s="139" t="n"/>
      <x:c r="AB139" s="139" t="n"/>
      <x:c r="AC139" s="139" t="n"/>
      <x:c r="AD139" s="139" t="n"/>
      <x:c r="AE139" s="139" t="n"/>
      <x:c r="AF139" s="139" t="n"/>
      <x:c r="AG139" s="139" t="n"/>
      <x:c r="AH139" s="139" t="n"/>
      <x:c r="AI139" s="139" t="n"/>
      <x:c r="AJ139" s="139" t="n"/>
      <x:c r="AK139" s="139" t="n"/>
      <x:c r="AL139" s="139" t="n"/>
      <x:c r="AM139" s="139" t="n"/>
      <x:c r="AN139" s="139" t="n"/>
      <x:c r="AO139" s="139" t="n"/>
      <x:c r="AP139" s="139" t="n"/>
      <x:c r="AQ139" s="139" t="n"/>
      <x:c r="AR139" s="139" t="n"/>
      <x:c r="AS139" s="139" t="n"/>
      <x:c r="AT139" s="139" t="n"/>
      <x:c r="AU139" s="139" t="n"/>
      <x:c r="AV139" s="139" t="n"/>
      <x:c r="AW139" s="139" t="n"/>
      <x:c r="AX139" s="139" t="n"/>
      <x:c r="AY139" s="139" t="n"/>
      <x:c r="AZ139" s="139" t="n"/>
    </x:row>
    <x:row r="140">
      <x:c r="A140" s="139" t="n"/>
      <x:c r="B140" s="139" t="n"/>
      <x:c r="C140" s="139" t="n"/>
      <x:c r="D140" s="139" t="n"/>
      <x:c r="E140" s="139" t="n"/>
      <x:c r="F140" s="139" t="n"/>
      <x:c r="G140" s="139" t="n"/>
      <x:c r="H140" s="139" t="n"/>
      <x:c r="I140" s="139" t="n"/>
      <x:c r="J140" s="139" t="n"/>
      <x:c r="K140" s="139" t="n"/>
      <x:c r="L140" s="139" t="n"/>
      <x:c r="M140" s="139" t="n"/>
      <x:c r="N140" s="139" t="n"/>
      <x:c r="O140" s="139" t="n"/>
      <x:c r="P140" s="139" t="n"/>
      <x:c r="Q140" s="139" t="n"/>
      <x:c r="R140" s="139" t="n"/>
      <x:c r="S140" s="139" t="n"/>
      <x:c r="T140" s="139" t="n"/>
      <x:c r="U140" s="139" t="n"/>
      <x:c r="V140" s="139" t="n"/>
      <x:c r="W140" s="139" t="n"/>
      <x:c r="X140" s="139" t="n"/>
      <x:c r="Y140" s="139" t="n"/>
      <x:c r="Z140" s="139" t="n"/>
      <x:c r="AA140" s="139" t="n"/>
      <x:c r="AB140" s="139" t="n"/>
      <x:c r="AC140" s="139" t="n"/>
      <x:c r="AD140" s="139" t="n"/>
      <x:c r="AE140" s="139" t="n"/>
      <x:c r="AF140" s="139" t="n"/>
      <x:c r="AG140" s="139" t="n"/>
      <x:c r="AH140" s="139" t="n"/>
      <x:c r="AI140" s="139" t="n"/>
      <x:c r="AJ140" s="139" t="n"/>
      <x:c r="AK140" s="139" t="n"/>
      <x:c r="AL140" s="139" t="n"/>
      <x:c r="AM140" s="139" t="n"/>
      <x:c r="AN140" s="139" t="n"/>
      <x:c r="AO140" s="139" t="n"/>
      <x:c r="AP140" s="139" t="n"/>
      <x:c r="AQ140" s="139" t="n"/>
      <x:c r="AR140" s="139" t="n"/>
      <x:c r="AS140" s="139" t="n"/>
      <x:c r="AT140" s="139" t="n"/>
      <x:c r="AU140" s="139" t="n"/>
      <x:c r="AV140" s="139" t="n"/>
      <x:c r="AW140" s="139" t="n"/>
      <x:c r="AX140" s="139" t="n"/>
      <x:c r="AY140" s="139" t="n"/>
      <x:c r="AZ140" s="139" t="n"/>
    </x:row>
    <x:row r="141">
      <x:c r="A141" s="139" t="n"/>
      <x:c r="B141" s="139" t="n"/>
      <x:c r="C141" s="139" t="n"/>
      <x:c r="D141" s="139" t="n"/>
      <x:c r="E141" s="139" t="n"/>
      <x:c r="F141" s="139" t="n"/>
      <x:c r="G141" s="139" t="n"/>
      <x:c r="H141" s="139" t="n"/>
      <x:c r="I141" s="139" t="n"/>
      <x:c r="J141" s="139" t="n"/>
      <x:c r="K141" s="139" t="n"/>
      <x:c r="L141" s="139" t="n"/>
      <x:c r="M141" s="139" t="n"/>
      <x:c r="N141" s="139" t="n"/>
      <x:c r="O141" s="139" t="n"/>
      <x:c r="P141" s="139" t="n"/>
      <x:c r="Q141" s="139" t="n"/>
      <x:c r="R141" s="139" t="n"/>
      <x:c r="S141" s="139" t="n"/>
      <x:c r="T141" s="139" t="n"/>
      <x:c r="U141" s="139" t="n"/>
      <x:c r="V141" s="139" t="n"/>
      <x:c r="W141" s="139" t="n"/>
      <x:c r="X141" s="139" t="n"/>
      <x:c r="Y141" s="139" t="n"/>
      <x:c r="Z141" s="139" t="n"/>
      <x:c r="AA141" s="139" t="n"/>
      <x:c r="AB141" s="139" t="n"/>
      <x:c r="AC141" s="139" t="n"/>
      <x:c r="AD141" s="139" t="n"/>
      <x:c r="AE141" s="139" t="n"/>
      <x:c r="AF141" s="139" t="n"/>
      <x:c r="AG141" s="139" t="n"/>
      <x:c r="AH141" s="139" t="n"/>
      <x:c r="AI141" s="139" t="n"/>
      <x:c r="AJ141" s="139" t="n"/>
      <x:c r="AK141" s="139" t="n"/>
      <x:c r="AL141" s="139" t="n"/>
      <x:c r="AM141" s="139" t="n"/>
      <x:c r="AN141" s="139" t="n"/>
      <x:c r="AO141" s="139" t="n"/>
      <x:c r="AP141" s="139" t="n"/>
      <x:c r="AQ141" s="139" t="n"/>
      <x:c r="AR141" s="139" t="n"/>
      <x:c r="AS141" s="139" t="n"/>
      <x:c r="AT141" s="139" t="n"/>
      <x:c r="AU141" s="139" t="n"/>
      <x:c r="AV141" s="139" t="n"/>
      <x:c r="AW141" s="139" t="n"/>
      <x:c r="AX141" s="139" t="n"/>
      <x:c r="AY141" s="139" t="n"/>
      <x:c r="AZ141" s="139" t="n"/>
    </x:row>
    <x:row r="142">
      <x:c r="A142" s="139" t="n"/>
      <x:c r="B142" s="139" t="n"/>
      <x:c r="C142" s="139" t="n"/>
      <x:c r="D142" s="139" t="n"/>
      <x:c r="E142" s="139" t="n"/>
      <x:c r="F142" s="139" t="n"/>
      <x:c r="G142" s="139" t="n"/>
      <x:c r="H142" s="139" t="n"/>
      <x:c r="I142" s="139" t="n"/>
      <x:c r="J142" s="139" t="n"/>
      <x:c r="K142" s="139" t="n"/>
      <x:c r="L142" s="139" t="n"/>
      <x:c r="M142" s="139" t="n"/>
      <x:c r="N142" s="139" t="n"/>
      <x:c r="O142" s="139" t="n"/>
      <x:c r="P142" s="139" t="n"/>
      <x:c r="Q142" s="139" t="n"/>
      <x:c r="R142" s="139" t="n"/>
      <x:c r="S142" s="139" t="n"/>
      <x:c r="T142" s="139" t="n"/>
      <x:c r="U142" s="139" t="n"/>
      <x:c r="V142" s="139" t="n"/>
      <x:c r="W142" s="139" t="n"/>
      <x:c r="X142" s="139" t="n"/>
      <x:c r="Y142" s="139" t="n"/>
      <x:c r="Z142" s="139" t="n"/>
      <x:c r="AA142" s="139" t="n"/>
      <x:c r="AB142" s="139" t="n"/>
      <x:c r="AC142" s="139" t="n"/>
      <x:c r="AD142" s="139" t="n"/>
      <x:c r="AE142" s="139" t="n"/>
      <x:c r="AF142" s="139" t="n"/>
      <x:c r="AG142" s="139" t="n"/>
      <x:c r="AH142" s="139" t="n"/>
      <x:c r="AI142" s="139" t="n"/>
      <x:c r="AJ142" s="139" t="n"/>
      <x:c r="AK142" s="139" t="n"/>
      <x:c r="AL142" s="139" t="n"/>
      <x:c r="AM142" s="139" t="n"/>
      <x:c r="AN142" s="139" t="n"/>
      <x:c r="AO142" s="139" t="n"/>
      <x:c r="AP142" s="139" t="n"/>
      <x:c r="AQ142" s="139" t="n"/>
      <x:c r="AR142" s="139" t="n"/>
      <x:c r="AS142" s="139" t="n"/>
      <x:c r="AT142" s="139" t="n"/>
      <x:c r="AU142" s="139" t="n"/>
      <x:c r="AV142" s="139" t="n"/>
      <x:c r="AW142" s="139" t="n"/>
      <x:c r="AX142" s="139" t="n"/>
      <x:c r="AY142" s="139" t="n"/>
      <x:c r="AZ142" s="139" t="n"/>
    </x:row>
    <x:row r="143">
      <x:c r="A143" s="139" t="n"/>
      <x:c r="B143" s="139" t="n"/>
      <x:c r="C143" s="139" t="n"/>
      <x:c r="D143" s="139" t="n"/>
      <x:c r="E143" s="139" t="n"/>
      <x:c r="F143" s="139" t="n"/>
      <x:c r="G143" s="139" t="n"/>
      <x:c r="H143" s="139" t="n"/>
      <x:c r="I143" s="139" t="n"/>
      <x:c r="J143" s="139" t="n"/>
      <x:c r="K143" s="139" t="n"/>
      <x:c r="L143" s="139" t="n"/>
      <x:c r="M143" s="139" t="n"/>
      <x:c r="N143" s="139" t="n"/>
      <x:c r="O143" s="139" t="n"/>
      <x:c r="P143" s="139" t="n"/>
      <x:c r="Q143" s="139" t="n"/>
      <x:c r="R143" s="139" t="n"/>
      <x:c r="S143" s="139" t="n"/>
      <x:c r="T143" s="139" t="n"/>
      <x:c r="U143" s="139" t="n"/>
      <x:c r="V143" s="139" t="n"/>
      <x:c r="W143" s="139" t="n"/>
      <x:c r="X143" s="139" t="n"/>
      <x:c r="Y143" s="139" t="n"/>
      <x:c r="Z143" s="139" t="n"/>
      <x:c r="AA143" s="139" t="n"/>
      <x:c r="AB143" s="139" t="n"/>
      <x:c r="AC143" s="139" t="n"/>
      <x:c r="AD143" s="139" t="n"/>
      <x:c r="AE143" s="139" t="n"/>
      <x:c r="AF143" s="139" t="n"/>
      <x:c r="AG143" s="139" t="n"/>
      <x:c r="AH143" s="139" t="n"/>
      <x:c r="AI143" s="139" t="n"/>
      <x:c r="AJ143" s="139" t="n"/>
      <x:c r="AK143" s="139" t="n"/>
      <x:c r="AL143" s="139" t="n"/>
      <x:c r="AM143" s="139" t="n"/>
      <x:c r="AN143" s="139" t="n"/>
      <x:c r="AO143" s="139" t="n"/>
      <x:c r="AP143" s="139" t="n"/>
      <x:c r="AQ143" s="139" t="n"/>
      <x:c r="AR143" s="139" t="n"/>
      <x:c r="AS143" s="139" t="n"/>
      <x:c r="AT143" s="139" t="n"/>
      <x:c r="AU143" s="139" t="n"/>
      <x:c r="AV143" s="139" t="n"/>
      <x:c r="AW143" s="139" t="n"/>
      <x:c r="AX143" s="139" t="n"/>
      <x:c r="AY143" s="139" t="n"/>
      <x:c r="AZ143" s="139" t="n"/>
    </x:row>
    <x:row r="144">
      <x:c r="A144" s="139" t="n"/>
      <x:c r="B144" s="139" t="n"/>
      <x:c r="C144" s="139" t="n"/>
      <x:c r="D144" s="139" t="n"/>
      <x:c r="E144" s="139" t="n"/>
      <x:c r="F144" s="139" t="n"/>
      <x:c r="G144" s="139" t="n"/>
      <x:c r="H144" s="139" t="n"/>
      <x:c r="I144" s="139" t="n"/>
      <x:c r="J144" s="139" t="n"/>
      <x:c r="K144" s="139" t="n"/>
      <x:c r="L144" s="139" t="n"/>
      <x:c r="M144" s="139" t="n"/>
      <x:c r="N144" s="139" t="n"/>
      <x:c r="O144" s="139" t="n"/>
      <x:c r="P144" s="139" t="n"/>
      <x:c r="Q144" s="139" t="n"/>
      <x:c r="R144" s="139" t="n"/>
      <x:c r="S144" s="139" t="n"/>
      <x:c r="T144" s="139" t="n"/>
      <x:c r="U144" s="139" t="n"/>
      <x:c r="V144" s="139" t="n"/>
      <x:c r="W144" s="139" t="n"/>
      <x:c r="X144" s="139" t="n"/>
      <x:c r="Y144" s="139" t="n"/>
      <x:c r="Z144" s="139" t="n"/>
      <x:c r="AA144" s="139" t="n"/>
      <x:c r="AB144" s="139" t="n"/>
      <x:c r="AC144" s="139" t="n"/>
      <x:c r="AD144" s="139" t="n"/>
      <x:c r="AE144" s="139" t="n"/>
      <x:c r="AF144" s="139" t="n"/>
      <x:c r="AG144" s="139" t="n"/>
      <x:c r="AH144" s="139" t="n"/>
      <x:c r="AI144" s="139" t="n"/>
      <x:c r="AJ144" s="139" t="n"/>
      <x:c r="AK144" s="139" t="n"/>
      <x:c r="AL144" s="139" t="n"/>
      <x:c r="AM144" s="139" t="n"/>
      <x:c r="AN144" s="139" t="n"/>
      <x:c r="AO144" s="139" t="n"/>
      <x:c r="AP144" s="139" t="n"/>
      <x:c r="AQ144" s="139" t="n"/>
      <x:c r="AR144" s="139" t="n"/>
      <x:c r="AS144" s="139" t="n"/>
      <x:c r="AT144" s="139" t="n"/>
      <x:c r="AU144" s="139" t="n"/>
      <x:c r="AV144" s="139" t="n"/>
      <x:c r="AW144" s="139" t="n"/>
      <x:c r="AX144" s="139" t="n"/>
      <x:c r="AY144" s="139" t="n"/>
      <x:c r="AZ144" s="139" t="n"/>
    </x:row>
    <x:row r="145">
      <x:c r="A145" s="139" t="n"/>
      <x:c r="B145" s="139" t="n"/>
      <x:c r="C145" s="139" t="n"/>
      <x:c r="D145" s="139" t="n"/>
      <x:c r="E145" s="139" t="n"/>
      <x:c r="F145" s="139" t="n"/>
      <x:c r="G145" s="139" t="n"/>
      <x:c r="H145" s="139" t="n"/>
      <x:c r="I145" s="139" t="n"/>
      <x:c r="J145" s="139" t="n"/>
      <x:c r="K145" s="139" t="n"/>
      <x:c r="L145" s="139" t="n"/>
      <x:c r="M145" s="139" t="n"/>
      <x:c r="N145" s="139" t="n"/>
      <x:c r="O145" s="139" t="n"/>
      <x:c r="P145" s="139" t="n"/>
      <x:c r="Q145" s="139" t="n"/>
      <x:c r="R145" s="139" t="n"/>
      <x:c r="S145" s="139" t="n"/>
      <x:c r="T145" s="139" t="n"/>
      <x:c r="U145" s="139" t="n"/>
      <x:c r="V145" s="139" t="n"/>
      <x:c r="W145" s="139" t="n"/>
      <x:c r="X145" s="139" t="n"/>
      <x:c r="Y145" s="139" t="n"/>
      <x:c r="Z145" s="139" t="n"/>
      <x:c r="AA145" s="139" t="n"/>
      <x:c r="AB145" s="139" t="n"/>
      <x:c r="AC145" s="139" t="n"/>
      <x:c r="AD145" s="139" t="n"/>
      <x:c r="AE145" s="139" t="n"/>
      <x:c r="AF145" s="139" t="n"/>
      <x:c r="AG145" s="139" t="n"/>
      <x:c r="AH145" s="139" t="n"/>
      <x:c r="AI145" s="139" t="n"/>
      <x:c r="AJ145" s="139" t="n"/>
      <x:c r="AK145" s="139" t="n"/>
      <x:c r="AL145" s="139" t="n"/>
      <x:c r="AM145" s="139" t="n"/>
      <x:c r="AN145" s="139" t="n"/>
      <x:c r="AO145" s="139" t="n"/>
      <x:c r="AP145" s="139" t="n"/>
      <x:c r="AQ145" s="139" t="n"/>
      <x:c r="AR145" s="139" t="n"/>
      <x:c r="AS145" s="139" t="n"/>
      <x:c r="AT145" s="139" t="n"/>
      <x:c r="AU145" s="139" t="n"/>
      <x:c r="AV145" s="139" t="n"/>
      <x:c r="AW145" s="139" t="n"/>
      <x:c r="AX145" s="139" t="n"/>
      <x:c r="AY145" s="139" t="n"/>
      <x:c r="AZ145" s="139" t="n"/>
    </x:row>
    <x:row r="146">
      <x:c r="A146" s="139" t="n"/>
      <x:c r="B146" s="139" t="n"/>
      <x:c r="C146" s="139" t="n"/>
      <x:c r="D146" s="139" t="n"/>
      <x:c r="E146" s="139" t="n"/>
      <x:c r="F146" s="139" t="n"/>
      <x:c r="G146" s="139" t="n"/>
      <x:c r="H146" s="139" t="n"/>
      <x:c r="I146" s="139" t="n"/>
      <x:c r="J146" s="139" t="n"/>
      <x:c r="K146" s="139" t="n"/>
      <x:c r="L146" s="139" t="n"/>
      <x:c r="M146" s="139" t="n"/>
      <x:c r="N146" s="139" t="n"/>
      <x:c r="O146" s="139" t="n"/>
      <x:c r="P146" s="139" t="n"/>
      <x:c r="Q146" s="139" t="n"/>
      <x:c r="R146" s="139" t="n"/>
      <x:c r="S146" s="139" t="n"/>
      <x:c r="T146" s="139" t="n"/>
      <x:c r="U146" s="139" t="n"/>
      <x:c r="V146" s="139" t="n"/>
      <x:c r="W146" s="139" t="n"/>
      <x:c r="X146" s="139" t="n"/>
      <x:c r="Y146" s="139" t="n"/>
      <x:c r="Z146" s="139" t="n"/>
      <x:c r="AA146" s="139" t="n"/>
      <x:c r="AB146" s="139" t="n"/>
      <x:c r="AC146" s="139" t="n"/>
      <x:c r="AD146" s="139" t="n"/>
      <x:c r="AE146" s="139" t="n"/>
      <x:c r="AF146" s="139" t="n"/>
      <x:c r="AG146" s="139" t="n"/>
      <x:c r="AH146" s="139" t="n"/>
      <x:c r="AI146" s="139" t="n"/>
      <x:c r="AJ146" s="139" t="n"/>
      <x:c r="AK146" s="139" t="n"/>
      <x:c r="AL146" s="139" t="n"/>
      <x:c r="AM146" s="139" t="n"/>
      <x:c r="AN146" s="139" t="n"/>
      <x:c r="AO146" s="139" t="n"/>
      <x:c r="AP146" s="139" t="n"/>
      <x:c r="AQ146" s="139" t="n"/>
      <x:c r="AR146" s="139" t="n"/>
      <x:c r="AS146" s="139" t="n"/>
      <x:c r="AT146" s="139" t="n"/>
      <x:c r="AU146" s="139" t="n"/>
      <x:c r="AV146" s="139" t="n"/>
      <x:c r="AW146" s="139" t="n"/>
      <x:c r="AX146" s="139" t="n"/>
      <x:c r="AY146" s="139" t="n"/>
      <x:c r="AZ146" s="139" t="n"/>
    </x:row>
    <x:row r="147">
      <x:c r="A147" s="139" t="n"/>
      <x:c r="B147" s="139" t="n"/>
      <x:c r="C147" s="139" t="n"/>
      <x:c r="D147" s="139" t="n"/>
      <x:c r="E147" s="139" t="n"/>
      <x:c r="F147" s="139" t="n"/>
      <x:c r="G147" s="139" t="n"/>
      <x:c r="H147" s="139" t="n"/>
      <x:c r="I147" s="139" t="n"/>
      <x:c r="J147" s="139" t="n"/>
      <x:c r="K147" s="139" t="n"/>
      <x:c r="L147" s="139" t="n"/>
      <x:c r="M147" s="139" t="n"/>
      <x:c r="N147" s="139" t="n"/>
      <x:c r="O147" s="139" t="n"/>
      <x:c r="P147" s="139" t="n"/>
      <x:c r="Q147" s="139" t="n"/>
      <x:c r="R147" s="139" t="n"/>
      <x:c r="S147" s="139" t="n"/>
      <x:c r="T147" s="139" t="n"/>
      <x:c r="U147" s="139" t="n"/>
      <x:c r="V147" s="139" t="n"/>
      <x:c r="W147" s="139" t="n"/>
      <x:c r="X147" s="139" t="n"/>
      <x:c r="Y147" s="139" t="n"/>
      <x:c r="Z147" s="139" t="n"/>
      <x:c r="AA147" s="139" t="n"/>
      <x:c r="AB147" s="139" t="n"/>
      <x:c r="AC147" s="139" t="n"/>
      <x:c r="AD147" s="139" t="n"/>
      <x:c r="AE147" s="139" t="n"/>
      <x:c r="AF147" s="139" t="n"/>
      <x:c r="AG147" s="139" t="n"/>
      <x:c r="AH147" s="139" t="n"/>
      <x:c r="AI147" s="139" t="n"/>
      <x:c r="AJ147" s="139" t="n"/>
      <x:c r="AK147" s="139" t="n"/>
      <x:c r="AL147" s="139" t="n"/>
      <x:c r="AM147" s="139" t="n"/>
      <x:c r="AN147" s="139" t="n"/>
      <x:c r="AO147" s="139" t="n"/>
      <x:c r="AP147" s="139" t="n"/>
      <x:c r="AQ147" s="139" t="n"/>
      <x:c r="AR147" s="139" t="n"/>
      <x:c r="AS147" s="139" t="n"/>
      <x:c r="AT147" s="139" t="n"/>
      <x:c r="AU147" s="139" t="n"/>
      <x:c r="AV147" s="139" t="n"/>
      <x:c r="AW147" s="139" t="n"/>
      <x:c r="AX147" s="139" t="n"/>
      <x:c r="AY147" s="139" t="n"/>
      <x:c r="AZ147" s="139" t="n"/>
    </x:row>
    <x:row r="148">
      <x:c r="A148" s="139" t="n"/>
      <x:c r="B148" s="139" t="n"/>
      <x:c r="C148" s="139" t="n"/>
      <x:c r="D148" s="139" t="n"/>
      <x:c r="E148" s="139" t="n"/>
      <x:c r="F148" s="139" t="n"/>
      <x:c r="G148" s="139" t="n"/>
      <x:c r="H148" s="139" t="n"/>
      <x:c r="I148" s="139" t="n"/>
      <x:c r="J148" s="139" t="n"/>
      <x:c r="K148" s="139" t="n"/>
      <x:c r="L148" s="139" t="n"/>
      <x:c r="M148" s="139" t="n"/>
      <x:c r="N148" s="139" t="n"/>
      <x:c r="O148" s="139" t="n"/>
      <x:c r="P148" s="139" t="n"/>
      <x:c r="Q148" s="139" t="n"/>
      <x:c r="R148" s="139" t="n"/>
      <x:c r="S148" s="139" t="n"/>
      <x:c r="T148" s="139" t="n"/>
      <x:c r="U148" s="139" t="n"/>
      <x:c r="V148" s="139" t="n"/>
      <x:c r="W148" s="139" t="n"/>
      <x:c r="X148" s="139" t="n"/>
      <x:c r="Y148" s="139" t="n"/>
      <x:c r="Z148" s="139" t="n"/>
      <x:c r="AA148" s="139" t="n"/>
      <x:c r="AB148" s="139" t="n"/>
      <x:c r="AC148" s="139" t="n"/>
      <x:c r="AD148" s="139" t="n"/>
      <x:c r="AE148" s="139" t="n"/>
      <x:c r="AF148" s="139" t="n"/>
      <x:c r="AG148" s="139" t="n"/>
      <x:c r="AH148" s="139" t="n"/>
      <x:c r="AI148" s="139" t="n"/>
      <x:c r="AJ148" s="139" t="n"/>
      <x:c r="AK148" s="139" t="n"/>
      <x:c r="AL148" s="139" t="n"/>
      <x:c r="AM148" s="139" t="n"/>
      <x:c r="AN148" s="139" t="n"/>
      <x:c r="AO148" s="139" t="n"/>
      <x:c r="AP148" s="139" t="n"/>
      <x:c r="AQ148" s="139" t="n"/>
      <x:c r="AR148" s="139" t="n"/>
      <x:c r="AS148" s="139" t="n"/>
      <x:c r="AT148" s="139" t="n"/>
      <x:c r="AU148" s="139" t="n"/>
      <x:c r="AV148" s="139" t="n"/>
      <x:c r="AW148" s="139" t="n"/>
      <x:c r="AX148" s="139" t="n"/>
      <x:c r="AY148" s="139" t="n"/>
      <x:c r="AZ148" s="139" t="n"/>
    </x:row>
    <x:row r="149">
      <x:c r="A149" s="139" t="n"/>
      <x:c r="B149" s="139" t="n"/>
      <x:c r="C149" s="139" t="n"/>
      <x:c r="D149" s="139" t="n"/>
      <x:c r="E149" s="139" t="n"/>
      <x:c r="F149" s="139" t="n"/>
      <x:c r="G149" s="139" t="n"/>
      <x:c r="H149" s="139" t="n"/>
      <x:c r="I149" s="139" t="n"/>
      <x:c r="J149" s="139" t="n"/>
      <x:c r="K149" s="139" t="n"/>
      <x:c r="L149" s="139" t="n"/>
      <x:c r="M149" s="139" t="n"/>
      <x:c r="N149" s="139" t="n"/>
      <x:c r="O149" s="139" t="n"/>
      <x:c r="P149" s="139" t="n"/>
      <x:c r="Q149" s="139" t="n"/>
      <x:c r="R149" s="139" t="n"/>
      <x:c r="S149" s="139" t="n"/>
      <x:c r="T149" s="139" t="n"/>
      <x:c r="U149" s="139" t="n"/>
      <x:c r="V149" s="139" t="n"/>
      <x:c r="W149" s="139" t="n"/>
      <x:c r="X149" s="139" t="n"/>
      <x:c r="Y149" s="139" t="n"/>
      <x:c r="Z149" s="139" t="n"/>
      <x:c r="AA149" s="139" t="n"/>
      <x:c r="AB149" s="139" t="n"/>
      <x:c r="AC149" s="139" t="n"/>
      <x:c r="AD149" s="139" t="n"/>
      <x:c r="AE149" s="139" t="n"/>
      <x:c r="AF149" s="139" t="n"/>
      <x:c r="AG149" s="139" t="n"/>
      <x:c r="AH149" s="139" t="n"/>
      <x:c r="AI149" s="139" t="n"/>
      <x:c r="AJ149" s="139" t="n"/>
      <x:c r="AK149" s="139" t="n"/>
      <x:c r="AL149" s="139" t="n"/>
      <x:c r="AM149" s="139" t="n"/>
      <x:c r="AN149" s="139" t="n"/>
      <x:c r="AO149" s="139" t="n"/>
      <x:c r="AP149" s="139" t="n"/>
      <x:c r="AQ149" s="139" t="n"/>
      <x:c r="AR149" s="139" t="n"/>
      <x:c r="AS149" s="139" t="n"/>
      <x:c r="AT149" s="139" t="n"/>
      <x:c r="AU149" s="139" t="n"/>
      <x:c r="AV149" s="139" t="n"/>
      <x:c r="AW149" s="139" t="n"/>
      <x:c r="AX149" s="139" t="n"/>
      <x:c r="AY149" s="139" t="n"/>
      <x:c r="AZ149" s="139" t="n"/>
    </x:row>
    <x:row r="150">
      <x:c r="A150" s="139" t="n"/>
      <x:c r="B150" s="139" t="n"/>
      <x:c r="C150" s="139" t="n"/>
      <x:c r="D150" s="139" t="n"/>
      <x:c r="E150" s="139" t="n"/>
      <x:c r="F150" s="139" t="n"/>
      <x:c r="G150" s="139" t="n"/>
      <x:c r="H150" s="139" t="n"/>
      <x:c r="I150" s="139" t="n"/>
      <x:c r="J150" s="139" t="n"/>
      <x:c r="K150" s="139" t="n"/>
      <x:c r="L150" s="139" t="n"/>
      <x:c r="M150" s="139" t="n"/>
      <x:c r="N150" s="139" t="n"/>
      <x:c r="O150" s="139" t="n"/>
      <x:c r="P150" s="139" t="n"/>
      <x:c r="Q150" s="139" t="n"/>
      <x:c r="R150" s="139" t="n"/>
      <x:c r="S150" s="139" t="n"/>
      <x:c r="T150" s="139" t="n"/>
      <x:c r="U150" s="139" t="n"/>
      <x:c r="V150" s="139" t="n"/>
      <x:c r="W150" s="139" t="n"/>
      <x:c r="X150" s="139" t="n"/>
      <x:c r="Y150" s="139" t="n"/>
      <x:c r="Z150" s="139" t="n"/>
      <x:c r="AA150" s="139" t="n"/>
      <x:c r="AB150" s="139" t="n"/>
      <x:c r="AC150" s="139" t="n"/>
      <x:c r="AD150" s="139" t="n"/>
      <x:c r="AE150" s="139" t="n"/>
      <x:c r="AF150" s="139" t="n"/>
      <x:c r="AG150" s="139" t="n"/>
      <x:c r="AH150" s="139" t="n"/>
      <x:c r="AI150" s="139" t="n"/>
      <x:c r="AJ150" s="139" t="n"/>
      <x:c r="AK150" s="139" t="n"/>
      <x:c r="AL150" s="139" t="n"/>
      <x:c r="AM150" s="139" t="n"/>
      <x:c r="AN150" s="139" t="n"/>
      <x:c r="AO150" s="139" t="n"/>
      <x:c r="AP150" s="139" t="n"/>
      <x:c r="AQ150" s="139" t="n"/>
      <x:c r="AR150" s="139" t="n"/>
      <x:c r="AS150" s="139" t="n"/>
      <x:c r="AT150" s="139" t="n"/>
      <x:c r="AU150" s="139" t="n"/>
      <x:c r="AV150" s="139" t="n"/>
      <x:c r="AW150" s="139" t="n"/>
      <x:c r="AX150" s="139" t="n"/>
      <x:c r="AY150" s="139" t="n"/>
      <x:c r="AZ150" s="139" t="n"/>
    </x:row>
    <x:row r="151">
      <x:c r="A151" s="139" t="n"/>
      <x:c r="B151" s="139" t="n"/>
      <x:c r="C151" s="139" t="n"/>
      <x:c r="D151" s="139" t="n"/>
      <x:c r="E151" s="139" t="n"/>
      <x:c r="F151" s="139" t="n"/>
      <x:c r="G151" s="139" t="n"/>
      <x:c r="H151" s="139" t="n"/>
      <x:c r="I151" s="139" t="n"/>
      <x:c r="J151" s="139" t="n"/>
      <x:c r="K151" s="139" t="n"/>
      <x:c r="L151" s="139" t="n"/>
      <x:c r="M151" s="139" t="n"/>
      <x:c r="N151" s="139" t="n"/>
      <x:c r="O151" s="139" t="n"/>
      <x:c r="P151" s="139" t="n"/>
      <x:c r="Q151" s="139" t="n"/>
      <x:c r="R151" s="139" t="n"/>
      <x:c r="S151" s="139" t="n"/>
      <x:c r="T151" s="139" t="n"/>
      <x:c r="U151" s="139" t="n"/>
      <x:c r="V151" s="139" t="n"/>
      <x:c r="W151" s="139" t="n"/>
      <x:c r="X151" s="139" t="n"/>
      <x:c r="Y151" s="139" t="n"/>
      <x:c r="Z151" s="139" t="n"/>
      <x:c r="AA151" s="139" t="n"/>
      <x:c r="AB151" s="139" t="n"/>
      <x:c r="AC151" s="139" t="n"/>
      <x:c r="AD151" s="139" t="n"/>
      <x:c r="AE151" s="139" t="n"/>
      <x:c r="AF151" s="139" t="n"/>
      <x:c r="AG151" s="139" t="n"/>
      <x:c r="AH151" s="139" t="n"/>
      <x:c r="AI151" s="139" t="n"/>
      <x:c r="AJ151" s="139" t="n"/>
      <x:c r="AK151" s="139" t="n"/>
      <x:c r="AL151" s="139" t="n"/>
      <x:c r="AM151" s="139" t="n"/>
      <x:c r="AN151" s="139" t="n"/>
      <x:c r="AO151" s="139" t="n"/>
      <x:c r="AP151" s="139" t="n"/>
      <x:c r="AQ151" s="139" t="n"/>
      <x:c r="AR151" s="139" t="n"/>
      <x:c r="AS151" s="139" t="n"/>
      <x:c r="AT151" s="139" t="n"/>
      <x:c r="AU151" s="139" t="n"/>
      <x:c r="AV151" s="139" t="n"/>
      <x:c r="AW151" s="139" t="n"/>
      <x:c r="AX151" s="139" t="n"/>
      <x:c r="AY151" s="139" t="n"/>
      <x:c r="AZ151" s="139" t="n"/>
    </x:row>
    <x:row r="152">
      <x:c r="A152" s="139" t="n"/>
      <x:c r="B152" s="139" t="n"/>
      <x:c r="C152" s="139" t="n"/>
      <x:c r="D152" s="139" t="n"/>
      <x:c r="E152" s="139" t="n"/>
      <x:c r="F152" s="139" t="n"/>
      <x:c r="G152" s="139" t="n"/>
      <x:c r="H152" s="139" t="n"/>
      <x:c r="I152" s="139" t="n"/>
      <x:c r="J152" s="139" t="n"/>
      <x:c r="K152" s="139" t="n"/>
      <x:c r="L152" s="139" t="n"/>
      <x:c r="M152" s="139" t="n"/>
      <x:c r="N152" s="139" t="n"/>
      <x:c r="O152" s="139" t="n"/>
      <x:c r="P152" s="139" t="n"/>
      <x:c r="Q152" s="139" t="n"/>
      <x:c r="R152" s="139" t="n"/>
      <x:c r="S152" s="139" t="n"/>
      <x:c r="T152" s="139" t="n"/>
      <x:c r="U152" s="139" t="n"/>
      <x:c r="V152" s="139" t="n"/>
      <x:c r="W152" s="139" t="n"/>
      <x:c r="X152" s="139" t="n"/>
      <x:c r="Y152" s="139" t="n"/>
      <x:c r="Z152" s="139" t="n"/>
      <x:c r="AA152" s="139" t="n"/>
      <x:c r="AB152" s="139" t="n"/>
      <x:c r="AC152" s="139" t="n"/>
      <x:c r="AD152" s="139" t="n"/>
      <x:c r="AE152" s="139" t="n"/>
      <x:c r="AF152" s="139" t="n"/>
      <x:c r="AG152" s="139" t="n"/>
      <x:c r="AH152" s="139" t="n"/>
      <x:c r="AI152" s="139" t="n"/>
      <x:c r="AJ152" s="139" t="n"/>
      <x:c r="AK152" s="139" t="n"/>
      <x:c r="AL152" s="139" t="n"/>
      <x:c r="AM152" s="139" t="n"/>
      <x:c r="AN152" s="139" t="n"/>
      <x:c r="AO152" s="139" t="n"/>
      <x:c r="AP152" s="139" t="n"/>
      <x:c r="AQ152" s="139" t="n"/>
      <x:c r="AR152" s="139" t="n"/>
      <x:c r="AS152" s="139" t="n"/>
      <x:c r="AT152" s="139" t="n"/>
      <x:c r="AU152" s="139" t="n"/>
      <x:c r="AV152" s="139" t="n"/>
      <x:c r="AW152" s="139" t="n"/>
      <x:c r="AX152" s="139" t="n"/>
      <x:c r="AY152" s="139" t="n"/>
      <x:c r="AZ152" s="139" t="n"/>
    </x:row>
    <x:row r="153">
      <x:c r="A153" s="139" t="n"/>
      <x:c r="B153" s="139" t="n"/>
      <x:c r="C153" s="139" t="n"/>
      <x:c r="D153" s="139" t="n"/>
      <x:c r="E153" s="139" t="n"/>
      <x:c r="F153" s="139" t="n"/>
      <x:c r="G153" s="139" t="n"/>
      <x:c r="H153" s="139" t="n"/>
      <x:c r="I153" s="139" t="n"/>
      <x:c r="J153" s="139" t="n"/>
      <x:c r="K153" s="139" t="n"/>
      <x:c r="L153" s="139" t="n"/>
      <x:c r="M153" s="139" t="n"/>
      <x:c r="N153" s="139" t="n"/>
      <x:c r="O153" s="139" t="n"/>
      <x:c r="P153" s="139" t="n"/>
      <x:c r="Q153" s="139" t="n"/>
      <x:c r="R153" s="139" t="n"/>
      <x:c r="S153" s="139" t="n"/>
      <x:c r="T153" s="139" t="n"/>
      <x:c r="U153" s="139" t="n"/>
      <x:c r="V153" s="139" t="n"/>
      <x:c r="W153" s="139" t="n"/>
      <x:c r="X153" s="139" t="n"/>
      <x:c r="Y153" s="139" t="n"/>
      <x:c r="Z153" s="139" t="n"/>
      <x:c r="AA153" s="139" t="n"/>
      <x:c r="AB153" s="139" t="n"/>
      <x:c r="AC153" s="139" t="n"/>
      <x:c r="AD153" s="139" t="n"/>
      <x:c r="AE153" s="139" t="n"/>
      <x:c r="AF153" s="139" t="n"/>
      <x:c r="AG153" s="139" t="n"/>
      <x:c r="AH153" s="139" t="n"/>
      <x:c r="AI153" s="139" t="n"/>
      <x:c r="AJ153" s="139" t="n"/>
      <x:c r="AK153" s="139" t="n"/>
      <x:c r="AL153" s="139" t="n"/>
      <x:c r="AM153" s="139" t="n"/>
      <x:c r="AN153" s="139" t="n"/>
      <x:c r="AO153" s="139" t="n"/>
      <x:c r="AP153" s="139" t="n"/>
      <x:c r="AQ153" s="139" t="n"/>
      <x:c r="AR153" s="139" t="n"/>
      <x:c r="AS153" s="139" t="n"/>
      <x:c r="AT153" s="139" t="n"/>
      <x:c r="AU153" s="139" t="n"/>
      <x:c r="AV153" s="139" t="n"/>
      <x:c r="AW153" s="139" t="n"/>
      <x:c r="AX153" s="139" t="n"/>
      <x:c r="AY153" s="139" t="n"/>
      <x:c r="AZ153" s="139" t="n"/>
    </x:row>
    <x:row r="154">
      <x:c r="A154" s="139" t="n"/>
      <x:c r="B154" s="139" t="n"/>
      <x:c r="C154" s="139" t="n"/>
      <x:c r="D154" s="139" t="n"/>
      <x:c r="E154" s="139" t="n"/>
      <x:c r="F154" s="139" t="n"/>
      <x:c r="G154" s="139" t="n"/>
      <x:c r="H154" s="139" t="n"/>
      <x:c r="I154" s="139" t="n"/>
      <x:c r="J154" s="139" t="n"/>
      <x:c r="K154" s="139" t="n"/>
      <x:c r="L154" s="139" t="n"/>
      <x:c r="M154" s="139" t="n"/>
      <x:c r="N154" s="139" t="n"/>
      <x:c r="O154" s="139" t="n"/>
      <x:c r="P154" s="139" t="n"/>
      <x:c r="Q154" s="139" t="n"/>
      <x:c r="R154" s="139" t="n"/>
      <x:c r="S154" s="139" t="n"/>
      <x:c r="T154" s="139" t="n"/>
      <x:c r="U154" s="139" t="n"/>
      <x:c r="V154" s="139" t="n"/>
      <x:c r="W154" s="139" t="n"/>
      <x:c r="X154" s="139" t="n"/>
      <x:c r="Y154" s="139" t="n"/>
      <x:c r="Z154" s="139" t="n"/>
      <x:c r="AA154" s="139" t="n"/>
      <x:c r="AB154" s="139" t="n"/>
      <x:c r="AC154" s="139" t="n"/>
      <x:c r="AD154" s="139" t="n"/>
      <x:c r="AE154" s="139" t="n"/>
      <x:c r="AF154" s="139" t="n"/>
      <x:c r="AG154" s="139" t="n"/>
      <x:c r="AH154" s="139" t="n"/>
      <x:c r="AI154" s="139" t="n"/>
      <x:c r="AJ154" s="139" t="n"/>
      <x:c r="AK154" s="139" t="n"/>
      <x:c r="AL154" s="139" t="n"/>
      <x:c r="AM154" s="139" t="n"/>
      <x:c r="AN154" s="139" t="n"/>
      <x:c r="AO154" s="139" t="n"/>
      <x:c r="AP154" s="139" t="n"/>
      <x:c r="AQ154" s="139" t="n"/>
      <x:c r="AR154" s="139" t="n"/>
      <x:c r="AS154" s="139" t="n"/>
      <x:c r="AT154" s="139" t="n"/>
      <x:c r="AU154" s="139" t="n"/>
      <x:c r="AV154" s="139" t="n"/>
      <x:c r="AW154" s="139" t="n"/>
      <x:c r="AX154" s="139" t="n"/>
      <x:c r="AY154" s="139" t="n"/>
      <x:c r="AZ154" s="139" t="n"/>
    </x:row>
    <x:row r="155">
      <x:c r="A155" s="139" t="n"/>
      <x:c r="B155" s="139" t="n"/>
      <x:c r="C155" s="139" t="n"/>
      <x:c r="D155" s="139" t="n"/>
      <x:c r="E155" s="139" t="n"/>
      <x:c r="F155" s="139" t="n"/>
      <x:c r="G155" s="139" t="n"/>
      <x:c r="H155" s="139" t="n"/>
      <x:c r="I155" s="139" t="n"/>
      <x:c r="J155" s="139" t="n"/>
      <x:c r="K155" s="139" t="n"/>
      <x:c r="L155" s="139" t="n"/>
      <x:c r="M155" s="139" t="n"/>
      <x:c r="N155" s="139" t="n"/>
      <x:c r="O155" s="139" t="n"/>
      <x:c r="P155" s="139" t="n"/>
      <x:c r="Q155" s="139" t="n"/>
      <x:c r="R155" s="139" t="n"/>
      <x:c r="S155" s="139" t="n"/>
      <x:c r="T155" s="139" t="n"/>
      <x:c r="U155" s="139" t="n"/>
      <x:c r="V155" s="139" t="n"/>
      <x:c r="W155" s="139" t="n"/>
      <x:c r="X155" s="139" t="n"/>
      <x:c r="Y155" s="139" t="n"/>
      <x:c r="Z155" s="139" t="n"/>
      <x:c r="AA155" s="139" t="n"/>
      <x:c r="AB155" s="139" t="n"/>
      <x:c r="AC155" s="139" t="n"/>
      <x:c r="AD155" s="139" t="n"/>
      <x:c r="AE155" s="139" t="n"/>
      <x:c r="AF155" s="139" t="n"/>
      <x:c r="AG155" s="139" t="n"/>
      <x:c r="AH155" s="139" t="n"/>
      <x:c r="AI155" s="139" t="n"/>
      <x:c r="AJ155" s="139" t="n"/>
      <x:c r="AK155" s="139" t="n"/>
      <x:c r="AL155" s="139" t="n"/>
      <x:c r="AM155" s="139" t="n"/>
      <x:c r="AN155" s="139" t="n"/>
      <x:c r="AO155" s="139" t="n"/>
      <x:c r="AP155" s="139" t="n"/>
      <x:c r="AQ155" s="139" t="n"/>
      <x:c r="AR155" s="139" t="n"/>
      <x:c r="AS155" s="139" t="n"/>
      <x:c r="AT155" s="139" t="n"/>
      <x:c r="AU155" s="139" t="n"/>
      <x:c r="AV155" s="139" t="n"/>
      <x:c r="AW155" s="139" t="n"/>
      <x:c r="AX155" s="139" t="n"/>
      <x:c r="AY155" s="139" t="n"/>
      <x:c r="AZ155" s="139" t="n"/>
    </x:row>
    <x:row r="156">
      <x:c r="A156" s="139" t="n"/>
      <x:c r="B156" s="139" t="n"/>
      <x:c r="C156" s="139" t="n"/>
      <x:c r="D156" s="139" t="n"/>
      <x:c r="E156" s="139" t="n"/>
      <x:c r="F156" s="139" t="n"/>
      <x:c r="G156" s="139" t="n"/>
      <x:c r="H156" s="139" t="n"/>
      <x:c r="I156" s="139" t="n"/>
      <x:c r="J156" s="139" t="n"/>
      <x:c r="K156" s="139" t="n"/>
      <x:c r="L156" s="139" t="n"/>
      <x:c r="M156" s="139" t="n"/>
      <x:c r="N156" s="139" t="n"/>
      <x:c r="O156" s="139" t="n"/>
      <x:c r="P156" s="139" t="n"/>
      <x:c r="Q156" s="139" t="n"/>
      <x:c r="R156" s="139" t="n"/>
      <x:c r="S156" s="139" t="n"/>
      <x:c r="T156" s="139" t="n"/>
      <x:c r="U156" s="139" t="n"/>
      <x:c r="V156" s="139" t="n"/>
      <x:c r="W156" s="139" t="n"/>
      <x:c r="X156" s="139" t="n"/>
      <x:c r="Y156" s="139" t="n"/>
      <x:c r="Z156" s="139" t="n"/>
      <x:c r="AA156" s="139" t="n"/>
      <x:c r="AB156" s="139" t="n"/>
      <x:c r="AC156" s="139" t="n"/>
      <x:c r="AD156" s="139" t="n"/>
      <x:c r="AE156" s="139" t="n"/>
      <x:c r="AF156" s="139" t="n"/>
      <x:c r="AG156" s="139" t="n"/>
      <x:c r="AH156" s="139" t="n"/>
      <x:c r="AI156" s="139" t="n"/>
      <x:c r="AJ156" s="139" t="n"/>
      <x:c r="AK156" s="139" t="n"/>
      <x:c r="AL156" s="139" t="n"/>
      <x:c r="AM156" s="139" t="n"/>
      <x:c r="AN156" s="139" t="n"/>
      <x:c r="AO156" s="139" t="n"/>
      <x:c r="AP156" s="139" t="n"/>
      <x:c r="AQ156" s="139" t="n"/>
      <x:c r="AR156" s="139" t="n"/>
      <x:c r="AS156" s="139" t="n"/>
      <x:c r="AT156" s="139" t="n"/>
      <x:c r="AU156" s="139" t="n"/>
      <x:c r="AV156" s="139" t="n"/>
      <x:c r="AW156" s="139" t="n"/>
      <x:c r="AX156" s="139" t="n"/>
      <x:c r="AY156" s="139" t="n"/>
      <x:c r="AZ156" s="139" t="n"/>
    </x:row>
    <x:row r="157">
      <x:c r="A157" s="139" t="n"/>
      <x:c r="B157" s="139" t="n"/>
      <x:c r="C157" s="139" t="n"/>
      <x:c r="D157" s="139" t="n"/>
      <x:c r="E157" s="139" t="n"/>
      <x:c r="F157" s="139" t="n"/>
      <x:c r="G157" s="139" t="n"/>
      <x:c r="H157" s="139" t="n"/>
      <x:c r="I157" s="139" t="n"/>
      <x:c r="J157" s="139" t="n"/>
      <x:c r="K157" s="139" t="n"/>
      <x:c r="L157" s="139" t="n"/>
      <x:c r="M157" s="139" t="n"/>
      <x:c r="N157" s="139" t="n"/>
      <x:c r="O157" s="139" t="n"/>
      <x:c r="P157" s="139" t="n"/>
      <x:c r="Q157" s="139" t="n"/>
      <x:c r="R157" s="139" t="n"/>
      <x:c r="S157" s="139" t="n"/>
      <x:c r="T157" s="139" t="n"/>
      <x:c r="U157" s="139" t="n"/>
      <x:c r="V157" s="139" t="n"/>
      <x:c r="W157" s="139" t="n"/>
      <x:c r="X157" s="139" t="n"/>
      <x:c r="Y157" s="139" t="n"/>
      <x:c r="Z157" s="139" t="n"/>
      <x:c r="AA157" s="139" t="n"/>
      <x:c r="AB157" s="139" t="n"/>
      <x:c r="AC157" s="139" t="n"/>
      <x:c r="AD157" s="139" t="n"/>
      <x:c r="AE157" s="139" t="n"/>
      <x:c r="AF157" s="139" t="n"/>
      <x:c r="AG157" s="139" t="n"/>
      <x:c r="AH157" s="139" t="n"/>
      <x:c r="AI157" s="139" t="n"/>
      <x:c r="AJ157" s="139" t="n"/>
      <x:c r="AK157" s="139" t="n"/>
      <x:c r="AL157" s="139" t="n"/>
      <x:c r="AM157" s="139" t="n"/>
      <x:c r="AN157" s="139" t="n"/>
      <x:c r="AO157" s="139" t="n"/>
      <x:c r="AP157" s="139" t="n"/>
      <x:c r="AQ157" s="139" t="n"/>
      <x:c r="AR157" s="139" t="n"/>
      <x:c r="AS157" s="139" t="n"/>
      <x:c r="AT157" s="139" t="n"/>
      <x:c r="AU157" s="139" t="n"/>
      <x:c r="AV157" s="139" t="n"/>
      <x:c r="AW157" s="139" t="n"/>
      <x:c r="AX157" s="139" t="n"/>
      <x:c r="AY157" s="139" t="n"/>
      <x:c r="AZ157" s="139" t="n"/>
    </x:row>
    <x:row r="158">
      <x:c r="A158" s="139" t="n"/>
      <x:c r="B158" s="139" t="n"/>
      <x:c r="C158" s="139" t="n"/>
      <x:c r="D158" s="139" t="n"/>
      <x:c r="E158" s="139" t="n"/>
      <x:c r="F158" s="139" t="n"/>
      <x:c r="G158" s="139" t="n"/>
      <x:c r="H158" s="139" t="n"/>
      <x:c r="I158" s="139" t="n"/>
      <x:c r="J158" s="139" t="n"/>
      <x:c r="K158" s="139" t="n"/>
      <x:c r="L158" s="139" t="n"/>
      <x:c r="M158" s="139" t="n"/>
      <x:c r="N158" s="139" t="n"/>
      <x:c r="O158" s="139" t="n"/>
      <x:c r="P158" s="139" t="n"/>
      <x:c r="Q158" s="139" t="n"/>
      <x:c r="R158" s="139" t="n"/>
      <x:c r="S158" s="139" t="n"/>
      <x:c r="T158" s="139" t="n"/>
      <x:c r="U158" s="139" t="n"/>
      <x:c r="V158" s="139" t="n"/>
      <x:c r="W158" s="139" t="n"/>
      <x:c r="X158" s="139" t="n"/>
      <x:c r="Y158" s="139" t="n"/>
      <x:c r="Z158" s="139" t="n"/>
      <x:c r="AA158" s="139" t="n"/>
      <x:c r="AB158" s="139" t="n"/>
      <x:c r="AC158" s="139" t="n"/>
      <x:c r="AD158" s="139" t="n"/>
      <x:c r="AE158" s="139" t="n"/>
      <x:c r="AF158" s="139" t="n"/>
      <x:c r="AG158" s="139" t="n"/>
      <x:c r="AH158" s="139" t="n"/>
      <x:c r="AI158" s="139" t="n"/>
      <x:c r="AJ158" s="139" t="n"/>
      <x:c r="AK158" s="139" t="n"/>
      <x:c r="AL158" s="139" t="n"/>
      <x:c r="AM158" s="139" t="n"/>
      <x:c r="AN158" s="139" t="n"/>
      <x:c r="AO158" s="139" t="n"/>
      <x:c r="AP158" s="139" t="n"/>
      <x:c r="AQ158" s="139" t="n"/>
      <x:c r="AR158" s="139" t="n"/>
      <x:c r="AS158" s="139" t="n"/>
      <x:c r="AT158" s="139" t="n"/>
      <x:c r="AU158" s="139" t="n"/>
      <x:c r="AV158" s="139" t="n"/>
      <x:c r="AW158" s="139" t="n"/>
      <x:c r="AX158" s="139" t="n"/>
      <x:c r="AY158" s="139" t="n"/>
      <x:c r="AZ158" s="139" t="n"/>
    </x:row>
    <x:row r="159">
      <x:c r="A159" s="139" t="n"/>
      <x:c r="B159" s="139" t="n"/>
      <x:c r="C159" s="139" t="n"/>
      <x:c r="D159" s="139" t="n"/>
      <x:c r="E159" s="139" t="n"/>
      <x:c r="F159" s="139" t="n"/>
      <x:c r="G159" s="139" t="n"/>
      <x:c r="H159" s="139" t="n"/>
      <x:c r="I159" s="139" t="n"/>
      <x:c r="J159" s="139" t="n"/>
      <x:c r="K159" s="139" t="n"/>
      <x:c r="L159" s="139" t="n"/>
      <x:c r="M159" s="139" t="n"/>
      <x:c r="N159" s="139" t="n"/>
      <x:c r="O159" s="139" t="n"/>
      <x:c r="P159" s="139" t="n"/>
      <x:c r="Q159" s="139" t="n"/>
      <x:c r="R159" s="139" t="n"/>
      <x:c r="S159" s="139" t="n"/>
      <x:c r="T159" s="139" t="n"/>
      <x:c r="U159" s="139" t="n"/>
      <x:c r="V159" s="139" t="n"/>
      <x:c r="W159" s="139" t="n"/>
      <x:c r="X159" s="139" t="n"/>
      <x:c r="Y159" s="139" t="n"/>
      <x:c r="Z159" s="139" t="n"/>
      <x:c r="AA159" s="139" t="n"/>
      <x:c r="AB159" s="139" t="n"/>
      <x:c r="AC159" s="139" t="n"/>
      <x:c r="AD159" s="139" t="n"/>
      <x:c r="AE159" s="139" t="n"/>
      <x:c r="AF159" s="139" t="n"/>
      <x:c r="AG159" s="139" t="n"/>
      <x:c r="AH159" s="139" t="n"/>
      <x:c r="AI159" s="139" t="n"/>
      <x:c r="AJ159" s="139" t="n"/>
      <x:c r="AK159" s="139" t="n"/>
      <x:c r="AL159" s="139" t="n"/>
      <x:c r="AM159" s="139" t="n"/>
      <x:c r="AN159" s="139" t="n"/>
      <x:c r="AO159" s="139" t="n"/>
      <x:c r="AP159" s="139" t="n"/>
      <x:c r="AQ159" s="139" t="n"/>
      <x:c r="AR159" s="139" t="n"/>
      <x:c r="AS159" s="139" t="n"/>
      <x:c r="AT159" s="139" t="n"/>
      <x:c r="AU159" s="139" t="n"/>
      <x:c r="AV159" s="139" t="n"/>
      <x:c r="AW159" s="139" t="n"/>
      <x:c r="AX159" s="139" t="n"/>
      <x:c r="AY159" s="139" t="n"/>
      <x:c r="AZ159" s="139" t="n"/>
    </x:row>
    <x:row r="160">
      <x:c r="A160" s="139" t="n"/>
      <x:c r="B160" s="139" t="n"/>
      <x:c r="C160" s="139" t="n"/>
      <x:c r="D160" s="139" t="n"/>
      <x:c r="E160" s="139" t="n"/>
      <x:c r="F160" s="139" t="n"/>
      <x:c r="G160" s="139" t="n"/>
      <x:c r="H160" s="139" t="n"/>
      <x:c r="I160" s="139" t="n"/>
      <x:c r="J160" s="139" t="n"/>
      <x:c r="K160" s="139" t="n"/>
      <x:c r="L160" s="139" t="n"/>
      <x:c r="M160" s="139" t="n"/>
      <x:c r="N160" s="139" t="n"/>
      <x:c r="O160" s="139" t="n"/>
      <x:c r="P160" s="139" t="n"/>
      <x:c r="Q160" s="139" t="n"/>
      <x:c r="R160" s="139" t="n"/>
      <x:c r="S160" s="139" t="n"/>
      <x:c r="T160" s="139" t="n"/>
      <x:c r="U160" s="139" t="n"/>
      <x:c r="V160" s="139" t="n"/>
      <x:c r="W160" s="139" t="n"/>
      <x:c r="X160" s="139" t="n"/>
      <x:c r="Y160" s="139" t="n"/>
      <x:c r="Z160" s="139" t="n"/>
      <x:c r="AA160" s="139" t="n"/>
      <x:c r="AB160" s="139" t="n"/>
      <x:c r="AC160" s="139" t="n"/>
      <x:c r="AD160" s="139" t="n"/>
      <x:c r="AE160" s="139" t="n"/>
      <x:c r="AF160" s="139" t="n"/>
      <x:c r="AG160" s="139" t="n"/>
      <x:c r="AH160" s="139" t="n"/>
      <x:c r="AI160" s="139" t="n"/>
      <x:c r="AJ160" s="139" t="n"/>
      <x:c r="AK160" s="139" t="n"/>
      <x:c r="AL160" s="139" t="n"/>
      <x:c r="AM160" s="139" t="n"/>
      <x:c r="AN160" s="139" t="n"/>
      <x:c r="AO160" s="139" t="n"/>
      <x:c r="AP160" s="139" t="n"/>
      <x:c r="AQ160" s="139" t="n"/>
      <x:c r="AR160" s="139" t="n"/>
      <x:c r="AS160" s="139" t="n"/>
      <x:c r="AT160" s="139" t="n"/>
      <x:c r="AU160" s="139" t="n"/>
      <x:c r="AV160" s="139" t="n"/>
      <x:c r="AW160" s="139" t="n"/>
      <x:c r="AX160" s="139" t="n"/>
      <x:c r="AY160" s="139" t="n"/>
      <x:c r="AZ160" s="139" t="n"/>
    </x:row>
    <x:row r="161">
      <x:c r="A161" s="139" t="n"/>
      <x:c r="B161" s="139" t="n"/>
      <x:c r="C161" s="139" t="n"/>
      <x:c r="D161" s="139" t="n"/>
      <x:c r="E161" s="139" t="n"/>
      <x:c r="F161" s="139" t="n"/>
      <x:c r="G161" s="139" t="n"/>
      <x:c r="H161" s="139" t="n"/>
      <x:c r="I161" s="139" t="n"/>
      <x:c r="J161" s="139" t="n"/>
      <x:c r="K161" s="139" t="n"/>
      <x:c r="L161" s="139" t="n"/>
      <x:c r="M161" s="139" t="n"/>
      <x:c r="N161" s="139" t="n"/>
      <x:c r="O161" s="139" t="n"/>
      <x:c r="P161" s="139" t="n"/>
      <x:c r="Q161" s="139" t="n"/>
      <x:c r="R161" s="139" t="n"/>
      <x:c r="S161" s="139" t="n"/>
      <x:c r="T161" s="139" t="n"/>
      <x:c r="U161" s="139" t="n"/>
      <x:c r="V161" s="139" t="n"/>
      <x:c r="W161" s="139" t="n"/>
      <x:c r="X161" s="139" t="n"/>
      <x:c r="Y161" s="139" t="n"/>
      <x:c r="Z161" s="139" t="n"/>
      <x:c r="AA161" s="139" t="n"/>
      <x:c r="AB161" s="139" t="n"/>
      <x:c r="AC161" s="139" t="n"/>
      <x:c r="AD161" s="139" t="n"/>
      <x:c r="AE161" s="139" t="n"/>
      <x:c r="AF161" s="139" t="n"/>
      <x:c r="AG161" s="139" t="n"/>
      <x:c r="AH161" s="139" t="n"/>
      <x:c r="AI161" s="139" t="n"/>
      <x:c r="AJ161" s="139" t="n"/>
      <x:c r="AK161" s="139" t="n"/>
      <x:c r="AL161" s="139" t="n"/>
      <x:c r="AM161" s="139" t="n"/>
      <x:c r="AN161" s="139" t="n"/>
      <x:c r="AO161" s="139" t="n"/>
      <x:c r="AP161" s="139" t="n"/>
      <x:c r="AQ161" s="139" t="n"/>
      <x:c r="AR161" s="139" t="n"/>
      <x:c r="AS161" s="139" t="n"/>
      <x:c r="AT161" s="139" t="n"/>
      <x:c r="AU161" s="139" t="n"/>
      <x:c r="AV161" s="139" t="n"/>
      <x:c r="AW161" s="139" t="n"/>
      <x:c r="AX161" s="139" t="n"/>
      <x:c r="AY161" s="139" t="n"/>
      <x:c r="AZ161" s="139" t="n"/>
    </x:row>
    <x:row r="162">
      <x:c r="A162" s="139" t="n"/>
      <x:c r="B162" s="139" t="n"/>
      <x:c r="C162" s="139" t="n"/>
      <x:c r="D162" s="139" t="n"/>
      <x:c r="E162" s="139" t="n"/>
      <x:c r="F162" s="139" t="n"/>
      <x:c r="G162" s="139" t="n"/>
      <x:c r="H162" s="139" t="n"/>
      <x:c r="I162" s="139" t="n"/>
      <x:c r="J162" s="139" t="n"/>
      <x:c r="K162" s="139" t="n"/>
      <x:c r="L162" s="139" t="n"/>
      <x:c r="M162" s="139" t="n"/>
      <x:c r="N162" s="139" t="n"/>
      <x:c r="O162" s="139" t="n"/>
      <x:c r="P162" s="139" t="n"/>
      <x:c r="Q162" s="139" t="n"/>
      <x:c r="R162" s="139" t="n"/>
      <x:c r="S162" s="139" t="n"/>
      <x:c r="T162" s="139" t="n"/>
      <x:c r="U162" s="139" t="n"/>
      <x:c r="V162" s="139" t="n"/>
      <x:c r="W162" s="139" t="n"/>
      <x:c r="X162" s="139" t="n"/>
      <x:c r="Y162" s="139" t="n"/>
      <x:c r="Z162" s="139" t="n"/>
      <x:c r="AA162" s="139" t="n"/>
      <x:c r="AB162" s="139" t="n"/>
      <x:c r="AC162" s="139" t="n"/>
      <x:c r="AD162" s="139" t="n"/>
      <x:c r="AE162" s="139" t="n"/>
      <x:c r="AF162" s="139" t="n"/>
      <x:c r="AG162" s="139" t="n"/>
      <x:c r="AH162" s="139" t="n"/>
      <x:c r="AI162" s="139" t="n"/>
      <x:c r="AJ162" s="139" t="n"/>
      <x:c r="AK162" s="139" t="n"/>
      <x:c r="AL162" s="139" t="n"/>
      <x:c r="AM162" s="139" t="n"/>
      <x:c r="AN162" s="139" t="n"/>
      <x:c r="AO162" s="139" t="n"/>
      <x:c r="AP162" s="139" t="n"/>
      <x:c r="AQ162" s="139" t="n"/>
      <x:c r="AR162" s="139" t="n"/>
      <x:c r="AS162" s="139" t="n"/>
      <x:c r="AT162" s="139" t="n"/>
      <x:c r="AU162" s="139" t="n"/>
      <x:c r="AV162" s="139" t="n"/>
      <x:c r="AW162" s="139" t="n"/>
      <x:c r="AX162" s="139" t="n"/>
      <x:c r="AY162" s="139" t="n"/>
      <x:c r="AZ162" s="139" t="n"/>
    </x:row>
    <x:row r="163">
      <x:c r="A163" s="139" t="n"/>
      <x:c r="B163" s="139" t="n"/>
      <x:c r="C163" s="139" t="n"/>
      <x:c r="D163" s="139" t="n"/>
      <x:c r="E163" s="139" t="n"/>
      <x:c r="F163" s="139" t="n"/>
      <x:c r="G163" s="139" t="n"/>
      <x:c r="H163" s="139" t="n"/>
      <x:c r="I163" s="139" t="n"/>
      <x:c r="J163" s="139" t="n"/>
      <x:c r="K163" s="139" t="n"/>
      <x:c r="L163" s="139" t="n"/>
      <x:c r="M163" s="139" t="n"/>
      <x:c r="N163" s="139" t="n"/>
      <x:c r="O163" s="139" t="n"/>
      <x:c r="P163" s="139" t="n"/>
      <x:c r="Q163" s="139" t="n"/>
      <x:c r="R163" s="139" t="n"/>
      <x:c r="S163" s="139" t="n"/>
      <x:c r="T163" s="139" t="n"/>
      <x:c r="U163" s="139" t="n"/>
      <x:c r="V163" s="139" t="n"/>
      <x:c r="W163" s="139" t="n"/>
      <x:c r="X163" s="139" t="n"/>
      <x:c r="Y163" s="139" t="n"/>
      <x:c r="Z163" s="139" t="n"/>
      <x:c r="AA163" s="139" t="n"/>
      <x:c r="AB163" s="139" t="n"/>
      <x:c r="AC163" s="139" t="n"/>
      <x:c r="AD163" s="139" t="n"/>
      <x:c r="AE163" s="139" t="n"/>
      <x:c r="AF163" s="139" t="n"/>
      <x:c r="AG163" s="139" t="n"/>
      <x:c r="AH163" s="139" t="n"/>
      <x:c r="AI163" s="139" t="n"/>
      <x:c r="AJ163" s="139" t="n"/>
      <x:c r="AK163" s="139" t="n"/>
      <x:c r="AL163" s="139" t="n"/>
      <x:c r="AM163" s="139" t="n"/>
      <x:c r="AN163" s="139" t="n"/>
      <x:c r="AO163" s="139" t="n"/>
      <x:c r="AP163" s="139" t="n"/>
      <x:c r="AQ163" s="139" t="n"/>
      <x:c r="AR163" s="139" t="n"/>
      <x:c r="AS163" s="139" t="n"/>
      <x:c r="AT163" s="139" t="n"/>
      <x:c r="AU163" s="139" t="n"/>
      <x:c r="AV163" s="139" t="n"/>
      <x:c r="AW163" s="139" t="n"/>
      <x:c r="AX163" s="139" t="n"/>
      <x:c r="AY163" s="139" t="n"/>
      <x:c r="AZ163" s="139" t="n"/>
    </x:row>
    <x:row r="164">
      <x:c r="A164" s="139" t="n"/>
      <x:c r="B164" s="139" t="n"/>
      <x:c r="C164" s="139" t="n"/>
      <x:c r="D164" s="139" t="n"/>
      <x:c r="E164" s="139" t="n"/>
      <x:c r="F164" s="139" t="n"/>
      <x:c r="G164" s="139" t="n"/>
      <x:c r="H164" s="139" t="n"/>
      <x:c r="I164" s="139" t="n"/>
      <x:c r="J164" s="139" t="n"/>
      <x:c r="K164" s="139" t="n"/>
      <x:c r="L164" s="139" t="n"/>
      <x:c r="M164" s="139" t="n"/>
      <x:c r="N164" s="139" t="n"/>
      <x:c r="O164" s="139" t="n"/>
      <x:c r="P164" s="139" t="n"/>
      <x:c r="Q164" s="139" t="n"/>
      <x:c r="R164" s="139" t="n"/>
      <x:c r="S164" s="139" t="n"/>
      <x:c r="T164" s="139" t="n"/>
      <x:c r="U164" s="139" t="n"/>
      <x:c r="V164" s="139" t="n"/>
      <x:c r="W164" s="139" t="n"/>
      <x:c r="X164" s="139" t="n"/>
      <x:c r="Y164" s="139" t="n"/>
      <x:c r="Z164" s="139" t="n"/>
      <x:c r="AA164" s="139" t="n"/>
      <x:c r="AB164" s="139" t="n"/>
      <x:c r="AC164" s="139" t="n"/>
      <x:c r="AD164" s="139" t="n"/>
      <x:c r="AE164" s="139" t="n"/>
      <x:c r="AF164" s="139" t="n"/>
      <x:c r="AG164" s="139" t="n"/>
      <x:c r="AH164" s="139" t="n"/>
      <x:c r="AI164" s="139" t="n"/>
      <x:c r="AJ164" s="139" t="n"/>
      <x:c r="AK164" s="139" t="n"/>
      <x:c r="AL164" s="139" t="n"/>
      <x:c r="AM164" s="139" t="n"/>
      <x:c r="AN164" s="139" t="n"/>
      <x:c r="AO164" s="139" t="n"/>
      <x:c r="AP164" s="139" t="n"/>
      <x:c r="AQ164" s="139" t="n"/>
      <x:c r="AR164" s="139" t="n"/>
      <x:c r="AS164" s="139" t="n"/>
      <x:c r="AT164" s="139" t="n"/>
      <x:c r="AU164" s="139" t="n"/>
      <x:c r="AV164" s="139" t="n"/>
      <x:c r="AW164" s="139" t="n"/>
      <x:c r="AX164" s="139" t="n"/>
      <x:c r="AY164" s="139" t="n"/>
      <x:c r="AZ164" s="139" t="n"/>
    </x:row>
    <x:row r="165">
      <x:c r="A165" s="139" t="n"/>
      <x:c r="B165" s="139" t="n"/>
      <x:c r="C165" s="139" t="n"/>
      <x:c r="D165" s="139" t="n"/>
      <x:c r="E165" s="139" t="n"/>
      <x:c r="F165" s="139" t="n"/>
      <x:c r="G165" s="139" t="n"/>
      <x:c r="H165" s="139" t="n"/>
      <x:c r="I165" s="139" t="n"/>
      <x:c r="J165" s="139" t="n"/>
      <x:c r="K165" s="139" t="n"/>
      <x:c r="L165" s="139" t="n"/>
      <x:c r="M165" s="139" t="n"/>
      <x:c r="N165" s="139" t="n"/>
      <x:c r="O165" s="139" t="n"/>
      <x:c r="P165" s="139" t="n"/>
      <x:c r="Q165" s="139" t="n"/>
      <x:c r="R165" s="139" t="n"/>
      <x:c r="S165" s="139" t="n"/>
      <x:c r="T165" s="139" t="n"/>
      <x:c r="U165" s="139" t="n"/>
      <x:c r="V165" s="139" t="n"/>
      <x:c r="W165" s="139" t="n"/>
      <x:c r="X165" s="139" t="n"/>
      <x:c r="Y165" s="139" t="n"/>
      <x:c r="Z165" s="139" t="n"/>
      <x:c r="AA165" s="139" t="n"/>
      <x:c r="AB165" s="139" t="n"/>
      <x:c r="AC165" s="139" t="n"/>
      <x:c r="AD165" s="139" t="n"/>
      <x:c r="AE165" s="139" t="n"/>
      <x:c r="AF165" s="139" t="n"/>
      <x:c r="AG165" s="139" t="n"/>
      <x:c r="AH165" s="139" t="n"/>
      <x:c r="AI165" s="139" t="n"/>
      <x:c r="AJ165" s="139" t="n"/>
      <x:c r="AK165" s="139" t="n"/>
      <x:c r="AL165" s="139" t="n"/>
      <x:c r="AM165" s="139" t="n"/>
      <x:c r="AN165" s="139" t="n"/>
      <x:c r="AO165" s="139" t="n"/>
      <x:c r="AP165" s="139" t="n"/>
      <x:c r="AQ165" s="139" t="n"/>
      <x:c r="AR165" s="139" t="n"/>
      <x:c r="AS165" s="139" t="n"/>
      <x:c r="AT165" s="139" t="n"/>
      <x:c r="AU165" s="139" t="n"/>
      <x:c r="AV165" s="139" t="n"/>
      <x:c r="AW165" s="139" t="n"/>
      <x:c r="AX165" s="139" t="n"/>
      <x:c r="AY165" s="139" t="n"/>
      <x:c r="AZ165" s="139" t="n"/>
    </x:row>
    <x:row r="166">
      <x:c r="A166" s="139" t="n"/>
      <x:c r="B166" s="139" t="n"/>
      <x:c r="C166" s="139" t="n"/>
      <x:c r="D166" s="139" t="n"/>
      <x:c r="E166" s="139" t="n"/>
      <x:c r="F166" s="139" t="n"/>
      <x:c r="G166" s="139" t="n"/>
      <x:c r="H166" s="139" t="n"/>
      <x:c r="I166" s="139" t="n"/>
      <x:c r="J166" s="139" t="n"/>
      <x:c r="K166" s="139" t="n"/>
      <x:c r="L166" s="139" t="n"/>
      <x:c r="M166" s="139" t="n"/>
      <x:c r="N166" s="139" t="n"/>
      <x:c r="O166" s="139" t="n"/>
      <x:c r="P166" s="139" t="n"/>
      <x:c r="Q166" s="139" t="n"/>
      <x:c r="R166" s="139" t="n"/>
      <x:c r="S166" s="139" t="n"/>
      <x:c r="T166" s="139" t="n"/>
      <x:c r="U166" s="139" t="n"/>
      <x:c r="V166" s="139" t="n"/>
      <x:c r="W166" s="139" t="n"/>
      <x:c r="X166" s="139" t="n"/>
      <x:c r="Y166" s="139" t="n"/>
      <x:c r="Z166" s="139" t="n"/>
      <x:c r="AA166" s="139" t="n"/>
      <x:c r="AB166" s="139" t="n"/>
      <x:c r="AC166" s="139" t="n"/>
      <x:c r="AD166" s="139" t="n"/>
      <x:c r="AE166" s="139" t="n"/>
      <x:c r="AF166" s="139" t="n"/>
      <x:c r="AG166" s="139" t="n"/>
      <x:c r="AH166" s="139" t="n"/>
      <x:c r="AI166" s="139" t="n"/>
      <x:c r="AJ166" s="139" t="n"/>
      <x:c r="AK166" s="139" t="n"/>
      <x:c r="AL166" s="139" t="n"/>
      <x:c r="AM166" s="139" t="n"/>
      <x:c r="AN166" s="139" t="n"/>
      <x:c r="AO166" s="139" t="n"/>
      <x:c r="AP166" s="139" t="n"/>
      <x:c r="AQ166" s="139" t="n"/>
      <x:c r="AR166" s="139" t="n"/>
      <x:c r="AS166" s="139" t="n"/>
      <x:c r="AT166" s="139" t="n"/>
      <x:c r="AU166" s="139" t="n"/>
      <x:c r="AV166" s="139" t="n"/>
      <x:c r="AW166" s="139" t="n"/>
      <x:c r="AX166" s="139" t="n"/>
      <x:c r="AY166" s="139" t="n"/>
      <x:c r="AZ166" s="139" t="n"/>
    </x:row>
    <x:row r="167">
      <x:c r="A167" s="139" t="n"/>
      <x:c r="B167" s="139" t="n"/>
      <x:c r="C167" s="139" t="n"/>
      <x:c r="D167" s="139" t="n"/>
      <x:c r="E167" s="139" t="n"/>
      <x:c r="F167" s="139" t="n"/>
      <x:c r="G167" s="139" t="n"/>
      <x:c r="H167" s="139" t="n"/>
      <x:c r="I167" s="139" t="n"/>
      <x:c r="J167" s="139" t="n"/>
      <x:c r="K167" s="139" t="n"/>
      <x:c r="L167" s="139" t="n"/>
      <x:c r="M167" s="139" t="n"/>
      <x:c r="N167" s="139" t="n"/>
      <x:c r="O167" s="139" t="n"/>
      <x:c r="P167" s="139" t="n"/>
      <x:c r="Q167" s="139" t="n"/>
      <x:c r="R167" s="139" t="n"/>
      <x:c r="S167" s="139" t="n"/>
      <x:c r="T167" s="139" t="n"/>
      <x:c r="U167" s="139" t="n"/>
      <x:c r="V167" s="139" t="n"/>
      <x:c r="W167" s="139" t="n"/>
      <x:c r="X167" s="139" t="n"/>
      <x:c r="Y167" s="139" t="n"/>
      <x:c r="Z167" s="139" t="n"/>
      <x:c r="AA167" s="139" t="n"/>
      <x:c r="AB167" s="139" t="n"/>
      <x:c r="AC167" s="139" t="n"/>
      <x:c r="AD167" s="139" t="n"/>
      <x:c r="AE167" s="139" t="n"/>
      <x:c r="AF167" s="139" t="n"/>
      <x:c r="AG167" s="139" t="n"/>
      <x:c r="AH167" s="139" t="n"/>
      <x:c r="AI167" s="139" t="n"/>
      <x:c r="AJ167" s="139" t="n"/>
      <x:c r="AK167" s="139" t="n"/>
      <x:c r="AL167" s="139" t="n"/>
      <x:c r="AM167" s="139" t="n"/>
      <x:c r="AN167" s="139" t="n"/>
      <x:c r="AO167" s="139" t="n"/>
      <x:c r="AP167" s="139" t="n"/>
      <x:c r="AQ167" s="139" t="n"/>
      <x:c r="AR167" s="139" t="n"/>
      <x:c r="AS167" s="139" t="n"/>
      <x:c r="AT167" s="139" t="n"/>
      <x:c r="AU167" s="139" t="n"/>
      <x:c r="AV167" s="139" t="n"/>
      <x:c r="AW167" s="139" t="n"/>
      <x:c r="AX167" s="139" t="n"/>
      <x:c r="AY167" s="139" t="n"/>
      <x:c r="AZ167" s="139" t="n"/>
    </x:row>
    <x:row r="168">
      <x:c r="A168" s="139" t="n"/>
      <x:c r="B168" s="139" t="n"/>
      <x:c r="C168" s="139" t="n"/>
      <x:c r="D168" s="139" t="n"/>
      <x:c r="E168" s="139" t="n"/>
      <x:c r="F168" s="139" t="n"/>
      <x:c r="G168" s="139" t="n"/>
      <x:c r="H168" s="139" t="n"/>
      <x:c r="I168" s="139" t="n"/>
      <x:c r="J168" s="139" t="n"/>
      <x:c r="K168" s="139" t="n"/>
      <x:c r="L168" s="139" t="n"/>
      <x:c r="M168" s="139" t="n"/>
      <x:c r="N168" s="139" t="n"/>
      <x:c r="O168" s="139" t="n"/>
      <x:c r="P168" s="139" t="n"/>
      <x:c r="Q168" s="139" t="n"/>
      <x:c r="R168" s="139" t="n"/>
      <x:c r="S168" s="139" t="n"/>
      <x:c r="T168" s="139" t="n"/>
      <x:c r="U168" s="139" t="n"/>
      <x:c r="V168" s="139" t="n"/>
      <x:c r="W168" s="139" t="n"/>
      <x:c r="X168" s="139" t="n"/>
      <x:c r="Y168" s="139" t="n"/>
      <x:c r="Z168" s="139" t="n"/>
      <x:c r="AA168" s="139" t="n"/>
      <x:c r="AB168" s="139" t="n"/>
      <x:c r="AC168" s="139" t="n"/>
      <x:c r="AD168" s="139" t="n"/>
      <x:c r="AE168" s="139" t="n"/>
      <x:c r="AF168" s="139" t="n"/>
      <x:c r="AG168" s="139" t="n"/>
      <x:c r="AH168" s="139" t="n"/>
      <x:c r="AI168" s="139" t="n"/>
      <x:c r="AJ168" s="139" t="n"/>
      <x:c r="AK168" s="139" t="n"/>
      <x:c r="AL168" s="139" t="n"/>
      <x:c r="AM168" s="139" t="n"/>
      <x:c r="AN168" s="139" t="n"/>
      <x:c r="AO168" s="139" t="n"/>
      <x:c r="AP168" s="139" t="n"/>
      <x:c r="AQ168" s="139" t="n"/>
      <x:c r="AR168" s="139" t="n"/>
      <x:c r="AS168" s="139" t="n"/>
      <x:c r="AT168" s="139" t="n"/>
      <x:c r="AU168" s="139" t="n"/>
      <x:c r="AV168" s="139" t="n"/>
      <x:c r="AW168" s="139" t="n"/>
      <x:c r="AX168" s="139" t="n"/>
      <x:c r="AY168" s="139" t="n"/>
      <x:c r="AZ168" s="139" t="n"/>
    </x:row>
    <x:row r="169">
      <x:c r="A169" s="139" t="n"/>
      <x:c r="B169" s="139" t="n"/>
      <x:c r="C169" s="139" t="n"/>
      <x:c r="D169" s="139" t="n"/>
      <x:c r="E169" s="139" t="n"/>
      <x:c r="F169" s="139" t="n"/>
      <x:c r="G169" s="139" t="n"/>
      <x:c r="H169" s="139" t="n"/>
      <x:c r="I169" s="139" t="n"/>
      <x:c r="J169" s="139" t="n"/>
      <x:c r="K169" s="139" t="n"/>
      <x:c r="L169" s="139" t="n"/>
      <x:c r="M169" s="139" t="n"/>
      <x:c r="N169" s="139" t="n"/>
      <x:c r="O169" s="139" t="n"/>
      <x:c r="P169" s="139" t="n"/>
      <x:c r="Q169" s="139" t="n"/>
      <x:c r="R169" s="139" t="n"/>
      <x:c r="S169" s="139" t="n"/>
      <x:c r="T169" s="139" t="n"/>
      <x:c r="U169" s="139" t="n"/>
      <x:c r="V169" s="139" t="n"/>
      <x:c r="W169" s="139" t="n"/>
      <x:c r="X169" s="139" t="n"/>
      <x:c r="Y169" s="139" t="n"/>
      <x:c r="Z169" s="139" t="n"/>
      <x:c r="AA169" s="139" t="n"/>
      <x:c r="AB169" s="139" t="n"/>
      <x:c r="AC169" s="139" t="n"/>
      <x:c r="AD169" s="139" t="n"/>
      <x:c r="AE169" s="139" t="n"/>
      <x:c r="AF169" s="139" t="n"/>
      <x:c r="AG169" s="139" t="n"/>
      <x:c r="AH169" s="139" t="n"/>
      <x:c r="AI169" s="139" t="n"/>
      <x:c r="AJ169" s="139" t="n"/>
      <x:c r="AK169" s="139" t="n"/>
      <x:c r="AL169" s="139" t="n"/>
      <x:c r="AM169" s="139" t="n"/>
      <x:c r="AN169" s="139" t="n"/>
      <x:c r="AO169" s="139" t="n"/>
      <x:c r="AP169" s="139" t="n"/>
      <x:c r="AQ169" s="139" t="n"/>
      <x:c r="AR169" s="139" t="n"/>
      <x:c r="AS169" s="139" t="n"/>
      <x:c r="AT169" s="139" t="n"/>
      <x:c r="AU169" s="139" t="n"/>
      <x:c r="AV169" s="139" t="n"/>
      <x:c r="AW169" s="139" t="n"/>
      <x:c r="AX169" s="139" t="n"/>
      <x:c r="AY169" s="139" t="n"/>
      <x:c r="AZ169" s="139" t="n"/>
    </x:row>
    <x:row r="170">
      <x:c r="A170" s="139" t="n"/>
      <x:c r="B170" s="139" t="n"/>
      <x:c r="C170" s="139" t="n"/>
      <x:c r="D170" s="139" t="n"/>
      <x:c r="E170" s="139" t="n"/>
      <x:c r="F170" s="139" t="n"/>
      <x:c r="G170" s="139" t="n"/>
      <x:c r="H170" s="139" t="n"/>
      <x:c r="I170" s="139" t="n"/>
      <x:c r="J170" s="139" t="n"/>
      <x:c r="K170" s="139" t="n"/>
      <x:c r="L170" s="139" t="n"/>
      <x:c r="M170" s="139" t="n"/>
      <x:c r="N170" s="139" t="n"/>
      <x:c r="O170" s="139" t="n"/>
      <x:c r="P170" s="139" t="n"/>
      <x:c r="Q170" s="139" t="n"/>
      <x:c r="R170" s="139" t="n"/>
      <x:c r="S170" s="139" t="n"/>
      <x:c r="T170" s="139" t="n"/>
      <x:c r="U170" s="139" t="n"/>
      <x:c r="V170" s="139" t="n"/>
      <x:c r="W170" s="139" t="n"/>
      <x:c r="X170" s="139" t="n"/>
      <x:c r="Y170" s="139" t="n"/>
      <x:c r="Z170" s="139" t="n"/>
      <x:c r="AA170" s="139" t="n"/>
      <x:c r="AB170" s="139" t="n"/>
      <x:c r="AC170" s="139" t="n"/>
      <x:c r="AD170" s="139" t="n"/>
      <x:c r="AE170" s="139" t="n"/>
      <x:c r="AF170" s="139" t="n"/>
      <x:c r="AG170" s="139" t="n"/>
      <x:c r="AH170" s="139" t="n"/>
      <x:c r="AI170" s="139" t="n"/>
      <x:c r="AJ170" s="139" t="n"/>
      <x:c r="AK170" s="139" t="n"/>
      <x:c r="AL170" s="139" t="n"/>
      <x:c r="AM170" s="139" t="n"/>
      <x:c r="AN170" s="139" t="n"/>
      <x:c r="AO170" s="139" t="n"/>
      <x:c r="AP170" s="139" t="n"/>
      <x:c r="AQ170" s="139" t="n"/>
      <x:c r="AR170" s="139" t="n"/>
      <x:c r="AS170" s="139" t="n"/>
      <x:c r="AT170" s="139" t="n"/>
      <x:c r="AU170" s="139" t="n"/>
      <x:c r="AV170" s="139" t="n"/>
      <x:c r="AW170" s="139" t="n"/>
      <x:c r="AX170" s="139" t="n"/>
      <x:c r="AY170" s="139" t="n"/>
      <x:c r="AZ170" s="139" t="n"/>
    </x:row>
    <x:row r="171">
      <x:c r="A171" s="139" t="n"/>
      <x:c r="B171" s="139" t="n"/>
      <x:c r="C171" s="139" t="n"/>
      <x:c r="D171" s="139" t="n"/>
      <x:c r="E171" s="139" t="n"/>
      <x:c r="F171" s="139" t="n"/>
      <x:c r="G171" s="139" t="n"/>
      <x:c r="H171" s="139" t="n"/>
      <x:c r="I171" s="139" t="n"/>
      <x:c r="J171" s="139" t="n"/>
      <x:c r="K171" s="139" t="n"/>
      <x:c r="L171" s="139" t="n"/>
      <x:c r="M171" s="139" t="n"/>
      <x:c r="N171" s="139" t="n"/>
      <x:c r="O171" s="139" t="n"/>
      <x:c r="P171" s="139" t="n"/>
      <x:c r="Q171" s="139" t="n"/>
      <x:c r="R171" s="139" t="n"/>
      <x:c r="S171" s="139" t="n"/>
      <x:c r="T171" s="139" t="n"/>
      <x:c r="U171" s="139" t="n"/>
      <x:c r="V171" s="139" t="n"/>
      <x:c r="W171" s="139" t="n"/>
      <x:c r="X171" s="139" t="n"/>
      <x:c r="Y171" s="139" t="n"/>
      <x:c r="Z171" s="139" t="n"/>
      <x:c r="AA171" s="139" t="n"/>
      <x:c r="AB171" s="139" t="n"/>
      <x:c r="AC171" s="139" t="n"/>
      <x:c r="AD171" s="139" t="n"/>
      <x:c r="AE171" s="139" t="n"/>
      <x:c r="AF171" s="139" t="n"/>
      <x:c r="AG171" s="139" t="n"/>
      <x:c r="AH171" s="139" t="n"/>
      <x:c r="AI171" s="139" t="n"/>
      <x:c r="AJ171" s="139" t="n"/>
      <x:c r="AK171" s="139" t="n"/>
      <x:c r="AL171" s="139" t="n"/>
      <x:c r="AM171" s="139" t="n"/>
      <x:c r="AN171" s="139" t="n"/>
      <x:c r="AO171" s="139" t="n"/>
      <x:c r="AP171" s="139" t="n"/>
      <x:c r="AQ171" s="139" t="n"/>
      <x:c r="AR171" s="139" t="n"/>
      <x:c r="AS171" s="139" t="n"/>
      <x:c r="AT171" s="139" t="n"/>
      <x:c r="AU171" s="139" t="n"/>
      <x:c r="AV171" s="139" t="n"/>
      <x:c r="AW171" s="139" t="n"/>
      <x:c r="AX171" s="139" t="n"/>
      <x:c r="AY171" s="139" t="n"/>
      <x:c r="AZ171" s="139" t="n"/>
    </x:row>
    <x:row r="172">
      <x:c r="A172" s="139" t="n"/>
      <x:c r="B172" s="139" t="n"/>
      <x:c r="C172" s="139" t="n"/>
      <x:c r="D172" s="139" t="n"/>
      <x:c r="E172" s="139" t="n"/>
      <x:c r="F172" s="139" t="n"/>
      <x:c r="G172" s="139" t="n"/>
      <x:c r="H172" s="139" t="n"/>
      <x:c r="I172" s="139" t="n"/>
      <x:c r="J172" s="139" t="n"/>
      <x:c r="K172" s="139" t="n"/>
      <x:c r="L172" s="139" t="n"/>
      <x:c r="M172" s="139" t="n"/>
      <x:c r="N172" s="139" t="n"/>
      <x:c r="O172" s="139" t="n"/>
      <x:c r="P172" s="139" t="n"/>
      <x:c r="Q172" s="139" t="n"/>
      <x:c r="R172" s="139" t="n"/>
      <x:c r="S172" s="139" t="n"/>
      <x:c r="T172" s="139" t="n"/>
      <x:c r="U172" s="139" t="n"/>
      <x:c r="V172" s="139" t="n"/>
      <x:c r="W172" s="139" t="n"/>
      <x:c r="X172" s="139" t="n"/>
      <x:c r="Y172" s="139" t="n"/>
      <x:c r="Z172" s="139" t="n"/>
      <x:c r="AA172" s="139" t="n"/>
      <x:c r="AB172" s="139" t="n"/>
      <x:c r="AC172" s="139" t="n"/>
      <x:c r="AD172" s="139" t="n"/>
      <x:c r="AE172" s="139" t="n"/>
      <x:c r="AF172" s="139" t="n"/>
      <x:c r="AG172" s="139" t="n"/>
      <x:c r="AH172" s="139" t="n"/>
      <x:c r="AI172" s="139" t="n"/>
      <x:c r="AJ172" s="139" t="n"/>
      <x:c r="AK172" s="139" t="n"/>
      <x:c r="AL172" s="139" t="n"/>
      <x:c r="AM172" s="139" t="n"/>
      <x:c r="AN172" s="139" t="n"/>
      <x:c r="AO172" s="139" t="n"/>
      <x:c r="AP172" s="139" t="n"/>
      <x:c r="AQ172" s="139" t="n"/>
      <x:c r="AR172" s="139" t="n"/>
      <x:c r="AS172" s="139" t="n"/>
      <x:c r="AT172" s="139" t="n"/>
      <x:c r="AU172" s="139" t="n"/>
      <x:c r="AV172" s="139" t="n"/>
      <x:c r="AW172" s="139" t="n"/>
      <x:c r="AX172" s="139" t="n"/>
      <x:c r="AY172" s="139" t="n"/>
      <x:c r="AZ172" s="139" t="n"/>
    </x:row>
    <x:row r="173">
      <x:c r="A173" s="139" t="n"/>
      <x:c r="B173" s="139" t="n"/>
      <x:c r="C173" s="139" t="n"/>
      <x:c r="D173" s="139" t="n"/>
      <x:c r="E173" s="139" t="n"/>
      <x:c r="F173" s="139" t="n"/>
      <x:c r="G173" s="139" t="n"/>
      <x:c r="H173" s="139" t="n"/>
      <x:c r="I173" s="139" t="n"/>
      <x:c r="J173" s="139" t="n"/>
      <x:c r="K173" s="139" t="n"/>
      <x:c r="L173" s="139" t="n"/>
      <x:c r="M173" s="139" t="n"/>
      <x:c r="N173" s="139" t="n"/>
      <x:c r="O173" s="139" t="n"/>
      <x:c r="P173" s="139" t="n"/>
      <x:c r="Q173" s="139" t="n"/>
      <x:c r="R173" s="139" t="n"/>
      <x:c r="S173" s="139" t="n"/>
      <x:c r="T173" s="139" t="n"/>
      <x:c r="U173" s="139" t="n"/>
      <x:c r="V173" s="139" t="n"/>
      <x:c r="W173" s="139" t="n"/>
      <x:c r="X173" s="139" t="n"/>
      <x:c r="Y173" s="139" t="n"/>
      <x:c r="Z173" s="139" t="n"/>
      <x:c r="AA173" s="139" t="n"/>
      <x:c r="AB173" s="139" t="n"/>
      <x:c r="AC173" s="139" t="n"/>
      <x:c r="AD173" s="139" t="n"/>
      <x:c r="AE173" s="139" t="n"/>
      <x:c r="AF173" s="139" t="n"/>
      <x:c r="AG173" s="139" t="n"/>
      <x:c r="AH173" s="139" t="n"/>
      <x:c r="AI173" s="139" t="n"/>
      <x:c r="AJ173" s="139" t="n"/>
      <x:c r="AK173" s="139" t="n"/>
      <x:c r="AL173" s="139" t="n"/>
      <x:c r="AM173" s="139" t="n"/>
      <x:c r="AN173" s="139" t="n"/>
      <x:c r="AO173" s="139" t="n"/>
      <x:c r="AP173" s="139" t="n"/>
      <x:c r="AQ173" s="139" t="n"/>
      <x:c r="AR173" s="139" t="n"/>
      <x:c r="AS173" s="139" t="n"/>
      <x:c r="AT173" s="139" t="n"/>
      <x:c r="AU173" s="139" t="n"/>
      <x:c r="AV173" s="139" t="n"/>
      <x:c r="AW173" s="139" t="n"/>
      <x:c r="AX173" s="139" t="n"/>
      <x:c r="AY173" s="139" t="n"/>
      <x:c r="AZ173" s="139" t="n"/>
    </x:row>
    <x:row r="174">
      <x:c r="A174" s="139" t="n"/>
      <x:c r="B174" s="139" t="n"/>
      <x:c r="C174" s="139" t="n"/>
      <x:c r="D174" s="139" t="n"/>
      <x:c r="E174" s="139" t="n"/>
      <x:c r="F174" s="139" t="n"/>
      <x:c r="G174" s="139" t="n"/>
      <x:c r="H174" s="139" t="n"/>
      <x:c r="I174" s="139" t="n"/>
      <x:c r="J174" s="139" t="n"/>
      <x:c r="K174" s="139" t="n"/>
      <x:c r="L174" s="139" t="n"/>
      <x:c r="M174" s="139" t="n"/>
      <x:c r="N174" s="139" t="n"/>
      <x:c r="O174" s="139" t="n"/>
      <x:c r="P174" s="139" t="n"/>
      <x:c r="Q174" s="139" t="n"/>
      <x:c r="R174" s="139" t="n"/>
      <x:c r="S174" s="139" t="n"/>
      <x:c r="T174" s="139" t="n"/>
      <x:c r="U174" s="139" t="n"/>
      <x:c r="V174" s="139" t="n"/>
      <x:c r="W174" s="139" t="n"/>
      <x:c r="X174" s="139" t="n"/>
      <x:c r="Y174" s="139" t="n"/>
      <x:c r="Z174" s="139" t="n"/>
      <x:c r="AA174" s="139" t="n"/>
      <x:c r="AB174" s="139" t="n"/>
      <x:c r="AC174" s="139" t="n"/>
      <x:c r="AD174" s="139" t="n"/>
      <x:c r="AE174" s="139" t="n"/>
      <x:c r="AF174" s="139" t="n"/>
      <x:c r="AG174" s="139" t="n"/>
      <x:c r="AH174" s="139" t="n"/>
      <x:c r="AI174" s="139" t="n"/>
      <x:c r="AJ174" s="139" t="n"/>
      <x:c r="AK174" s="139" t="n"/>
      <x:c r="AL174" s="139" t="n"/>
      <x:c r="AM174" s="139" t="n"/>
      <x:c r="AN174" s="139" t="n"/>
      <x:c r="AO174" s="139" t="n"/>
      <x:c r="AP174" s="139" t="n"/>
      <x:c r="AQ174" s="139" t="n"/>
      <x:c r="AR174" s="139" t="n"/>
      <x:c r="AS174" s="139" t="n"/>
      <x:c r="AT174" s="139" t="n"/>
      <x:c r="AU174" s="139" t="n"/>
      <x:c r="AV174" s="139" t="n"/>
      <x:c r="AW174" s="139" t="n"/>
      <x:c r="AX174" s="139" t="n"/>
      <x:c r="AY174" s="139" t="n"/>
      <x:c r="AZ174" s="139" t="n"/>
    </x:row>
    <x:row r="175">
      <x:c r="A175" s="139" t="n"/>
      <x:c r="B175" s="139" t="n"/>
      <x:c r="C175" s="139" t="n"/>
      <x:c r="D175" s="139" t="n"/>
      <x:c r="E175" s="139" t="n"/>
      <x:c r="F175" s="139" t="n"/>
      <x:c r="G175" s="139" t="n"/>
      <x:c r="H175" s="139" t="n"/>
      <x:c r="I175" s="139" t="n"/>
      <x:c r="J175" s="139" t="n"/>
      <x:c r="K175" s="139" t="n"/>
      <x:c r="L175" s="139" t="n"/>
      <x:c r="M175" s="139" t="n"/>
      <x:c r="N175" s="139" t="n"/>
      <x:c r="O175" s="139" t="n"/>
      <x:c r="P175" s="139" t="n"/>
      <x:c r="Q175" s="139" t="n"/>
      <x:c r="R175" s="139" t="n"/>
      <x:c r="S175" s="139" t="n"/>
      <x:c r="T175" s="139" t="n"/>
      <x:c r="U175" s="139" t="n"/>
      <x:c r="V175" s="139" t="n"/>
      <x:c r="W175" s="139" t="n"/>
      <x:c r="X175" s="139" t="n"/>
      <x:c r="Y175" s="139" t="n"/>
      <x:c r="Z175" s="139" t="n"/>
      <x:c r="AA175" s="139" t="n"/>
      <x:c r="AB175" s="139" t="n"/>
      <x:c r="AC175" s="139" t="n"/>
      <x:c r="AD175" s="139" t="n"/>
      <x:c r="AE175" s="139" t="n"/>
      <x:c r="AF175" s="139" t="n"/>
      <x:c r="AG175" s="139" t="n"/>
      <x:c r="AH175" s="139" t="n"/>
      <x:c r="AI175" s="139" t="n"/>
      <x:c r="AJ175" s="139" t="n"/>
      <x:c r="AK175" s="139" t="n"/>
      <x:c r="AL175" s="139" t="n"/>
      <x:c r="AM175" s="139" t="n"/>
      <x:c r="AN175" s="139" t="n"/>
      <x:c r="AO175" s="139" t="n"/>
      <x:c r="AP175" s="139" t="n"/>
      <x:c r="AQ175" s="139" t="n"/>
      <x:c r="AR175" s="139" t="n"/>
      <x:c r="AS175" s="139" t="n"/>
      <x:c r="AT175" s="139" t="n"/>
      <x:c r="AU175" s="139" t="n"/>
      <x:c r="AV175" s="139" t="n"/>
      <x:c r="AW175" s="139" t="n"/>
      <x:c r="AX175" s="139" t="n"/>
      <x:c r="AY175" s="139" t="n"/>
      <x:c r="AZ175" s="139" t="n"/>
    </x:row>
    <x:row r="176">
      <x:c r="A176" s="139" t="n"/>
      <x:c r="B176" s="139" t="n"/>
      <x:c r="C176" s="139" t="n"/>
      <x:c r="D176" s="139" t="n"/>
      <x:c r="E176" s="139" t="n"/>
      <x:c r="F176" s="139" t="n"/>
      <x:c r="G176" s="139" t="n"/>
      <x:c r="H176" s="139" t="n"/>
      <x:c r="I176" s="139" t="n"/>
      <x:c r="J176" s="139" t="n"/>
      <x:c r="K176" s="139" t="n"/>
      <x:c r="L176" s="139" t="n"/>
      <x:c r="M176" s="139" t="n"/>
      <x:c r="N176" s="139" t="n"/>
      <x:c r="O176" s="139" t="n"/>
      <x:c r="P176" s="139" t="n"/>
      <x:c r="Q176" s="139" t="n"/>
      <x:c r="R176" s="139" t="n"/>
      <x:c r="S176" s="139" t="n"/>
      <x:c r="T176" s="139" t="n"/>
      <x:c r="U176" s="139" t="n"/>
      <x:c r="V176" s="139" t="n"/>
      <x:c r="W176" s="139" t="n"/>
      <x:c r="X176" s="139" t="n"/>
      <x:c r="Y176" s="139" t="n"/>
      <x:c r="Z176" s="139" t="n"/>
      <x:c r="AA176" s="139" t="n"/>
      <x:c r="AB176" s="139" t="n"/>
      <x:c r="AC176" s="139" t="n"/>
      <x:c r="AD176" s="139" t="n"/>
      <x:c r="AE176" s="139" t="n"/>
      <x:c r="AF176" s="139" t="n"/>
      <x:c r="AG176" s="139" t="n"/>
      <x:c r="AH176" s="139" t="n"/>
      <x:c r="AI176" s="139" t="n"/>
      <x:c r="AJ176" s="139" t="n"/>
      <x:c r="AK176" s="139" t="n"/>
      <x:c r="AL176" s="139" t="n"/>
      <x:c r="AM176" s="139" t="n"/>
      <x:c r="AN176" s="139" t="n"/>
      <x:c r="AO176" s="139" t="n"/>
      <x:c r="AP176" s="139" t="n"/>
      <x:c r="AQ176" s="139" t="n"/>
      <x:c r="AR176" s="139" t="n"/>
      <x:c r="AS176" s="139" t="n"/>
      <x:c r="AT176" s="139" t="n"/>
      <x:c r="AU176" s="139" t="n"/>
      <x:c r="AV176" s="139" t="n"/>
      <x:c r="AW176" s="139" t="n"/>
      <x:c r="AX176" s="139" t="n"/>
      <x:c r="AY176" s="139" t="n"/>
      <x:c r="AZ176" s="139" t="n"/>
    </x:row>
    <x:row r="177">
      <x:c r="A177" s="139" t="n"/>
      <x:c r="B177" s="139" t="n"/>
      <x:c r="C177" s="139" t="n"/>
      <x:c r="D177" s="139" t="n"/>
      <x:c r="E177" s="139" t="n"/>
      <x:c r="F177" s="139" t="n"/>
      <x:c r="G177" s="139" t="n"/>
      <x:c r="H177" s="139" t="n"/>
      <x:c r="I177" s="139" t="n"/>
      <x:c r="J177" s="139" t="n"/>
      <x:c r="K177" s="139" t="n"/>
      <x:c r="L177" s="139" t="n"/>
      <x:c r="M177" s="139" t="n"/>
      <x:c r="N177" s="139" t="n"/>
      <x:c r="O177" s="139" t="n"/>
      <x:c r="P177" s="139" t="n"/>
      <x:c r="Q177" s="139" t="n"/>
      <x:c r="R177" s="139" t="n"/>
      <x:c r="S177" s="139" t="n"/>
      <x:c r="T177" s="139" t="n"/>
      <x:c r="U177" s="139" t="n"/>
      <x:c r="V177" s="139" t="n"/>
      <x:c r="W177" s="139" t="n"/>
      <x:c r="X177" s="139" t="n"/>
      <x:c r="Y177" s="139" t="n"/>
      <x:c r="Z177" s="139" t="n"/>
      <x:c r="AA177" s="139" t="n"/>
      <x:c r="AB177" s="139" t="n"/>
      <x:c r="AC177" s="139" t="n"/>
      <x:c r="AD177" s="139" t="n"/>
      <x:c r="AE177" s="139" t="n"/>
      <x:c r="AF177" s="139" t="n"/>
      <x:c r="AG177" s="139" t="n"/>
      <x:c r="AH177" s="139" t="n"/>
      <x:c r="AI177" s="139" t="n"/>
      <x:c r="AJ177" s="139" t="n"/>
      <x:c r="AK177" s="139" t="n"/>
      <x:c r="AL177" s="139" t="n"/>
      <x:c r="AM177" s="139" t="n"/>
      <x:c r="AN177" s="139" t="n"/>
      <x:c r="AO177" s="139" t="n"/>
      <x:c r="AP177" s="139" t="n"/>
      <x:c r="AQ177" s="139" t="n"/>
      <x:c r="AR177" s="139" t="n"/>
      <x:c r="AS177" s="139" t="n"/>
      <x:c r="AT177" s="139" t="n"/>
      <x:c r="AU177" s="139" t="n"/>
      <x:c r="AV177" s="139" t="n"/>
      <x:c r="AW177" s="139" t="n"/>
      <x:c r="AX177" s="139" t="n"/>
      <x:c r="AY177" s="139" t="n"/>
      <x:c r="AZ177" s="139" t="n"/>
    </x:row>
    <x:row r="178">
      <x:c r="A178" s="139" t="n"/>
      <x:c r="B178" s="139" t="n"/>
      <x:c r="C178" s="139" t="n"/>
      <x:c r="D178" s="139" t="n"/>
      <x:c r="E178" s="139" t="n"/>
      <x:c r="F178" s="139" t="n"/>
      <x:c r="G178" s="139" t="n"/>
      <x:c r="H178" s="139" t="n"/>
      <x:c r="I178" s="139" t="n"/>
      <x:c r="J178" s="139" t="n"/>
      <x:c r="K178" s="139" t="n"/>
      <x:c r="L178" s="139" t="n"/>
      <x:c r="M178" s="139" t="n"/>
      <x:c r="N178" s="139" t="n"/>
      <x:c r="O178" s="139" t="n"/>
      <x:c r="P178" s="139" t="n"/>
      <x:c r="Q178" s="139" t="n"/>
      <x:c r="R178" s="139" t="n"/>
      <x:c r="S178" s="139" t="n"/>
      <x:c r="T178" s="139" t="n"/>
      <x:c r="U178" s="139" t="n"/>
      <x:c r="V178" s="139" t="n"/>
      <x:c r="W178" s="139" t="n"/>
      <x:c r="X178" s="139" t="n"/>
      <x:c r="Y178" s="139" t="n"/>
      <x:c r="Z178" s="139" t="n"/>
      <x:c r="AA178" s="139" t="n"/>
      <x:c r="AB178" s="139" t="n"/>
      <x:c r="AC178" s="139" t="n"/>
      <x:c r="AD178" s="139" t="n"/>
      <x:c r="AE178" s="139" t="n"/>
      <x:c r="AF178" s="139" t="n"/>
      <x:c r="AG178" s="139" t="n"/>
      <x:c r="AH178" s="139" t="n"/>
      <x:c r="AI178" s="139" t="n"/>
      <x:c r="AJ178" s="139" t="n"/>
      <x:c r="AK178" s="139" t="n"/>
      <x:c r="AL178" s="139" t="n"/>
      <x:c r="AM178" s="139" t="n"/>
      <x:c r="AN178" s="139" t="n"/>
      <x:c r="AO178" s="139" t="n"/>
      <x:c r="AP178" s="139" t="n"/>
      <x:c r="AQ178" s="139" t="n"/>
      <x:c r="AR178" s="139" t="n"/>
      <x:c r="AS178" s="139" t="n"/>
      <x:c r="AT178" s="139" t="n"/>
      <x:c r="AU178" s="139" t="n"/>
      <x:c r="AV178" s="139" t="n"/>
      <x:c r="AW178" s="139" t="n"/>
      <x:c r="AX178" s="139" t="n"/>
      <x:c r="AY178" s="139" t="n"/>
      <x:c r="AZ178" s="139" t="n"/>
    </x:row>
    <x:row r="179">
      <x:c r="A179" s="139" t="n"/>
      <x:c r="B179" s="139" t="n"/>
      <x:c r="C179" s="139" t="n"/>
      <x:c r="D179" s="139" t="n"/>
      <x:c r="E179" s="139" t="n"/>
      <x:c r="F179" s="139" t="n"/>
      <x:c r="G179" s="139" t="n"/>
      <x:c r="H179" s="139" t="n"/>
      <x:c r="I179" s="139" t="n"/>
      <x:c r="J179" s="139" t="n"/>
      <x:c r="K179" s="139" t="n"/>
      <x:c r="L179" s="139" t="n"/>
      <x:c r="M179" s="139" t="n"/>
      <x:c r="N179" s="139" t="n"/>
      <x:c r="O179" s="139" t="n"/>
      <x:c r="P179" s="139" t="n"/>
      <x:c r="Q179" s="139" t="n"/>
      <x:c r="R179" s="139" t="n"/>
      <x:c r="S179" s="139" t="n"/>
      <x:c r="T179" s="139" t="n"/>
      <x:c r="U179" s="139" t="n"/>
      <x:c r="V179" s="139" t="n"/>
      <x:c r="W179" s="139" t="n"/>
      <x:c r="X179" s="139" t="n"/>
      <x:c r="Y179" s="139" t="n"/>
      <x:c r="Z179" s="139" t="n"/>
      <x:c r="AA179" s="139" t="n"/>
      <x:c r="AB179" s="139" t="n"/>
      <x:c r="AC179" s="139" t="n"/>
      <x:c r="AD179" s="139" t="n"/>
      <x:c r="AE179" s="139" t="n"/>
      <x:c r="AF179" s="139" t="n"/>
      <x:c r="AG179" s="139" t="n"/>
      <x:c r="AH179" s="139" t="n"/>
      <x:c r="AI179" s="139" t="n"/>
      <x:c r="AJ179" s="139" t="n"/>
      <x:c r="AK179" s="139" t="n"/>
      <x:c r="AL179" s="139" t="n"/>
      <x:c r="AM179" s="139" t="n"/>
      <x:c r="AN179" s="139" t="n"/>
      <x:c r="AO179" s="139" t="n"/>
      <x:c r="AP179" s="139" t="n"/>
      <x:c r="AQ179" s="139" t="n"/>
      <x:c r="AR179" s="139" t="n"/>
      <x:c r="AS179" s="139" t="n"/>
      <x:c r="AT179" s="139" t="n"/>
      <x:c r="AU179" s="139" t="n"/>
      <x:c r="AV179" s="139" t="n"/>
      <x:c r="AW179" s="139" t="n"/>
      <x:c r="AX179" s="139" t="n"/>
      <x:c r="AY179" s="139" t="n"/>
      <x:c r="AZ179" s="139" t="n"/>
    </x:row>
    <x:row r="180">
      <x:c r="A180" s="139" t="n"/>
      <x:c r="B180" s="139" t="n"/>
      <x:c r="C180" s="139" t="n"/>
      <x:c r="D180" s="139" t="n"/>
      <x:c r="E180" s="139" t="n"/>
      <x:c r="F180" s="139" t="n"/>
      <x:c r="G180" s="139" t="n"/>
      <x:c r="H180" s="139" t="n"/>
      <x:c r="I180" s="139" t="n"/>
      <x:c r="J180" s="139" t="n"/>
      <x:c r="K180" s="139" t="n"/>
      <x:c r="L180" s="139" t="n"/>
      <x:c r="M180" s="139" t="n"/>
      <x:c r="N180" s="139" t="n"/>
      <x:c r="O180" s="139" t="n"/>
      <x:c r="P180" s="139" t="n"/>
      <x:c r="Q180" s="139" t="n"/>
      <x:c r="R180" s="139" t="n"/>
      <x:c r="S180" s="139" t="n"/>
      <x:c r="T180" s="139" t="n"/>
      <x:c r="U180" s="139" t="n"/>
      <x:c r="V180" s="139" t="n"/>
      <x:c r="W180" s="139" t="n"/>
      <x:c r="X180" s="139" t="n"/>
      <x:c r="Y180" s="139" t="n"/>
      <x:c r="Z180" s="139" t="n"/>
      <x:c r="AA180" s="139" t="n"/>
      <x:c r="AB180" s="139" t="n"/>
      <x:c r="AC180" s="139" t="n"/>
      <x:c r="AD180" s="139" t="n"/>
      <x:c r="AE180" s="139" t="n"/>
      <x:c r="AF180" s="139" t="n"/>
      <x:c r="AG180" s="139" t="n"/>
      <x:c r="AH180" s="139" t="n"/>
      <x:c r="AI180" s="139" t="n"/>
      <x:c r="AJ180" s="139" t="n"/>
      <x:c r="AK180" s="139" t="n"/>
      <x:c r="AL180" s="139" t="n"/>
      <x:c r="AM180" s="139" t="n"/>
      <x:c r="AN180" s="139" t="n"/>
      <x:c r="AO180" s="139" t="n"/>
      <x:c r="AP180" s="139" t="n"/>
      <x:c r="AQ180" s="139" t="n"/>
      <x:c r="AR180" s="139" t="n"/>
      <x:c r="AS180" s="139" t="n"/>
      <x:c r="AT180" s="139" t="n"/>
      <x:c r="AU180" s="139" t="n"/>
      <x:c r="AV180" s="139" t="n"/>
      <x:c r="AW180" s="139" t="n"/>
      <x:c r="AX180" s="139" t="n"/>
      <x:c r="AY180" s="139" t="n"/>
      <x:c r="AZ180" s="139" t="n"/>
    </x:row>
    <x:row r="181">
      <x:c r="A181" s="139" t="n"/>
      <x:c r="B181" s="139" t="n"/>
      <x:c r="C181" s="139" t="n"/>
      <x:c r="D181" s="139" t="n"/>
      <x:c r="E181" s="139" t="n"/>
      <x:c r="F181" s="139" t="n"/>
      <x:c r="G181" s="139" t="n"/>
      <x:c r="H181" s="139" t="n"/>
      <x:c r="I181" s="139" t="n"/>
      <x:c r="J181" s="139" t="n"/>
      <x:c r="K181" s="139" t="n"/>
      <x:c r="L181" s="139" t="n"/>
      <x:c r="M181" s="139" t="n"/>
      <x:c r="N181" s="139" t="n"/>
      <x:c r="O181" s="139" t="n"/>
      <x:c r="P181" s="139" t="n"/>
      <x:c r="Q181" s="139" t="n"/>
      <x:c r="R181" s="139" t="n"/>
      <x:c r="S181" s="139" t="n"/>
      <x:c r="T181" s="139" t="n"/>
      <x:c r="U181" s="139" t="n"/>
      <x:c r="V181" s="139" t="n"/>
      <x:c r="W181" s="139" t="n"/>
      <x:c r="X181" s="139" t="n"/>
      <x:c r="Y181" s="139" t="n"/>
      <x:c r="Z181" s="139" t="n"/>
      <x:c r="AA181" s="139" t="n"/>
      <x:c r="AB181" s="139" t="n"/>
      <x:c r="AC181" s="139" t="n"/>
      <x:c r="AD181" s="139" t="n"/>
      <x:c r="AE181" s="139" t="n"/>
      <x:c r="AF181" s="139" t="n"/>
      <x:c r="AG181" s="139" t="n"/>
      <x:c r="AH181" s="139" t="n"/>
      <x:c r="AI181" s="139" t="n"/>
      <x:c r="AJ181" s="139" t="n"/>
      <x:c r="AK181" s="139" t="n"/>
      <x:c r="AL181" s="139" t="n"/>
      <x:c r="AM181" s="139" t="n"/>
      <x:c r="AN181" s="139" t="n"/>
      <x:c r="AO181" s="139" t="n"/>
      <x:c r="AP181" s="139" t="n"/>
      <x:c r="AQ181" s="139" t="n"/>
      <x:c r="AR181" s="139" t="n"/>
      <x:c r="AS181" s="139" t="n"/>
      <x:c r="AT181" s="139" t="n"/>
      <x:c r="AU181" s="139" t="n"/>
      <x:c r="AV181" s="139" t="n"/>
      <x:c r="AW181" s="139" t="n"/>
      <x:c r="AX181" s="139" t="n"/>
      <x:c r="AY181" s="139" t="n"/>
      <x:c r="AZ181" s="139" t="n"/>
    </x:row>
    <x:row r="182">
      <x:c r="A182" s="139" t="n"/>
      <x:c r="B182" s="139" t="n"/>
      <x:c r="C182" s="139" t="n"/>
      <x:c r="D182" s="139" t="n"/>
      <x:c r="E182" s="139" t="n"/>
      <x:c r="F182" s="139" t="n"/>
      <x:c r="G182" s="139" t="n"/>
      <x:c r="H182" s="139" t="n"/>
      <x:c r="I182" s="139" t="n"/>
      <x:c r="J182" s="139" t="n"/>
      <x:c r="K182" s="139" t="n"/>
      <x:c r="L182" s="139" t="n"/>
      <x:c r="M182" s="139" t="n"/>
      <x:c r="N182" s="139" t="n"/>
      <x:c r="O182" s="139" t="n"/>
      <x:c r="P182" s="139" t="n"/>
      <x:c r="Q182" s="139" t="n"/>
      <x:c r="R182" s="139" t="n"/>
      <x:c r="S182" s="139" t="n"/>
      <x:c r="T182" s="139" t="n"/>
      <x:c r="U182" s="139" t="n"/>
      <x:c r="V182" s="139" t="n"/>
      <x:c r="W182" s="139" t="n"/>
      <x:c r="X182" s="139" t="n"/>
      <x:c r="Y182" s="139" t="n"/>
      <x:c r="Z182" s="139" t="n"/>
      <x:c r="AA182" s="139" t="n"/>
      <x:c r="AB182" s="139" t="n"/>
      <x:c r="AC182" s="139" t="n"/>
      <x:c r="AD182" s="139" t="n"/>
      <x:c r="AE182" s="139" t="n"/>
      <x:c r="AF182" s="139" t="n"/>
      <x:c r="AG182" s="139" t="n"/>
      <x:c r="AH182" s="139" t="n"/>
      <x:c r="AI182" s="139" t="n"/>
      <x:c r="AJ182" s="139" t="n"/>
      <x:c r="AK182" s="139" t="n"/>
      <x:c r="AL182" s="139" t="n"/>
      <x:c r="AM182" s="139" t="n"/>
      <x:c r="AN182" s="139" t="n"/>
      <x:c r="AO182" s="139" t="n"/>
      <x:c r="AP182" s="139" t="n"/>
      <x:c r="AQ182" s="139" t="n"/>
      <x:c r="AR182" s="139" t="n"/>
      <x:c r="AS182" s="139" t="n"/>
      <x:c r="AT182" s="139" t="n"/>
      <x:c r="AU182" s="139" t="n"/>
      <x:c r="AV182" s="139" t="n"/>
      <x:c r="AW182" s="139" t="n"/>
      <x:c r="AX182" s="139" t="n"/>
      <x:c r="AY182" s="139" t="n"/>
      <x:c r="AZ182" s="139" t="n"/>
    </x:row>
    <x:row r="183">
      <x:c r="A183" s="139" t="n"/>
      <x:c r="B183" s="139" t="n"/>
      <x:c r="C183" s="139" t="n"/>
      <x:c r="D183" s="139" t="n"/>
      <x:c r="E183" s="139" t="n"/>
      <x:c r="F183" s="139" t="n"/>
      <x:c r="G183" s="139" t="n"/>
      <x:c r="H183" s="139" t="n"/>
      <x:c r="I183" s="139" t="n"/>
      <x:c r="J183" s="139" t="n"/>
      <x:c r="K183" s="139" t="n"/>
      <x:c r="L183" s="139" t="n"/>
      <x:c r="M183" s="139" t="n"/>
      <x:c r="N183" s="139" t="n"/>
      <x:c r="O183" s="139" t="n"/>
      <x:c r="P183" s="139" t="n"/>
      <x:c r="Q183" s="139" t="n"/>
      <x:c r="R183" s="139" t="n"/>
      <x:c r="S183" s="139" t="n"/>
      <x:c r="T183" s="139" t="n"/>
      <x:c r="U183" s="139" t="n"/>
      <x:c r="V183" s="139" t="n"/>
      <x:c r="W183" s="139" t="n"/>
      <x:c r="X183" s="139" t="n"/>
      <x:c r="Y183" s="139" t="n"/>
      <x:c r="Z183" s="139" t="n"/>
      <x:c r="AA183" s="139" t="n"/>
      <x:c r="AB183" s="139" t="n"/>
      <x:c r="AC183" s="139" t="n"/>
      <x:c r="AD183" s="139" t="n"/>
      <x:c r="AE183" s="139" t="n"/>
      <x:c r="AF183" s="139" t="n"/>
      <x:c r="AG183" s="139" t="n"/>
      <x:c r="AH183" s="139" t="n"/>
      <x:c r="AI183" s="139" t="n"/>
      <x:c r="AJ183" s="139" t="n"/>
      <x:c r="AK183" s="139" t="n"/>
      <x:c r="AL183" s="139" t="n"/>
      <x:c r="AM183" s="139" t="n"/>
      <x:c r="AN183" s="139" t="n"/>
      <x:c r="AO183" s="139" t="n"/>
      <x:c r="AP183" s="139" t="n"/>
      <x:c r="AQ183" s="139" t="n"/>
      <x:c r="AR183" s="139" t="n"/>
      <x:c r="AS183" s="139" t="n"/>
      <x:c r="AT183" s="139" t="n"/>
      <x:c r="AU183" s="139" t="n"/>
      <x:c r="AV183" s="139" t="n"/>
      <x:c r="AW183" s="139" t="n"/>
      <x:c r="AX183" s="139" t="n"/>
      <x:c r="AY183" s="139" t="n"/>
      <x:c r="AZ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c r="V184" s="139" t="n"/>
      <x:c r="W184" s="139" t="n"/>
      <x:c r="X184" s="139" t="n"/>
      <x:c r="Y184" s="139" t="n"/>
      <x:c r="Z184" s="139" t="n"/>
      <x:c r="AA184" s="139" t="n"/>
      <x:c r="AB184" s="139" t="n"/>
      <x:c r="AC184" s="139" t="n"/>
      <x:c r="AD184" s="139" t="n"/>
      <x:c r="AE184" s="139" t="n"/>
      <x:c r="AF184" s="139" t="n"/>
      <x:c r="AG184" s="139" t="n"/>
      <x:c r="AH184" s="139" t="n"/>
      <x:c r="AI184" s="139" t="n"/>
      <x:c r="AJ184" s="139" t="n"/>
      <x:c r="AK184" s="139" t="n"/>
      <x:c r="AL184" s="139" t="n"/>
      <x:c r="AM184" s="139" t="n"/>
      <x:c r="AN184" s="139" t="n"/>
      <x:c r="AO184" s="139" t="n"/>
      <x:c r="AP184" s="139" t="n"/>
      <x:c r="AQ184" s="139" t="n"/>
      <x:c r="AR184" s="139" t="n"/>
      <x:c r="AS184" s="139" t="n"/>
      <x:c r="AT184" s="139" t="n"/>
      <x:c r="AU184" s="139" t="n"/>
      <x:c r="AV184" s="139" t="n"/>
      <x:c r="AW184" s="139" t="n"/>
      <x:c r="AX184" s="139" t="n"/>
      <x:c r="AY184" s="139" t="n"/>
      <x:c r="AZ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c r="V185" s="139" t="n"/>
      <x:c r="W185" s="139" t="n"/>
      <x:c r="X185" s="139" t="n"/>
      <x:c r="Y185" s="139" t="n"/>
      <x:c r="Z185" s="139" t="n"/>
      <x:c r="AA185" s="139" t="n"/>
      <x:c r="AB185" s="139" t="n"/>
      <x:c r="AC185" s="139" t="n"/>
      <x:c r="AD185" s="139" t="n"/>
      <x:c r="AE185" s="139" t="n"/>
      <x:c r="AF185" s="139" t="n"/>
      <x:c r="AG185" s="139" t="n"/>
      <x:c r="AH185" s="139" t="n"/>
      <x:c r="AI185" s="139" t="n"/>
      <x:c r="AJ185" s="139" t="n"/>
      <x:c r="AK185" s="139" t="n"/>
      <x:c r="AL185" s="139" t="n"/>
      <x:c r="AM185" s="139" t="n"/>
      <x:c r="AN185" s="139" t="n"/>
      <x:c r="AO185" s="139" t="n"/>
      <x:c r="AP185" s="139" t="n"/>
      <x:c r="AQ185" s="139" t="n"/>
      <x:c r="AR185" s="139" t="n"/>
      <x:c r="AS185" s="139" t="n"/>
      <x:c r="AT185" s="139" t="n"/>
      <x:c r="AU185" s="139" t="n"/>
      <x:c r="AV185" s="139" t="n"/>
      <x:c r="AW185" s="139" t="n"/>
      <x:c r="AX185" s="139" t="n"/>
      <x:c r="AY185" s="139" t="n"/>
      <x:c r="AZ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c r="V186" s="139" t="n"/>
      <x:c r="W186" s="139" t="n"/>
      <x:c r="X186" s="139" t="n"/>
      <x:c r="Y186" s="139" t="n"/>
      <x:c r="Z186" s="139" t="n"/>
      <x:c r="AA186" s="139" t="n"/>
      <x:c r="AB186" s="139" t="n"/>
      <x:c r="AC186" s="139" t="n"/>
      <x:c r="AD186" s="139" t="n"/>
      <x:c r="AE186" s="139" t="n"/>
      <x:c r="AF186" s="139" t="n"/>
      <x:c r="AG186" s="139" t="n"/>
      <x:c r="AH186" s="139" t="n"/>
      <x:c r="AI186" s="139" t="n"/>
      <x:c r="AJ186" s="139" t="n"/>
      <x:c r="AK186" s="139" t="n"/>
      <x:c r="AL186" s="139" t="n"/>
      <x:c r="AM186" s="139" t="n"/>
      <x:c r="AN186" s="139" t="n"/>
      <x:c r="AO186" s="139" t="n"/>
      <x:c r="AP186" s="139" t="n"/>
      <x:c r="AQ186" s="139" t="n"/>
      <x:c r="AR186" s="139" t="n"/>
      <x:c r="AS186" s="139" t="n"/>
      <x:c r="AT186" s="139" t="n"/>
      <x:c r="AU186" s="139" t="n"/>
      <x:c r="AV186" s="139" t="n"/>
      <x:c r="AW186" s="139" t="n"/>
      <x:c r="AX186" s="139" t="n"/>
      <x:c r="AY186" s="139" t="n"/>
      <x:c r="AZ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c r="V187" s="139" t="n"/>
      <x:c r="W187" s="139" t="n"/>
      <x:c r="X187" s="139" t="n"/>
      <x:c r="Y187" s="139" t="n"/>
      <x:c r="Z187" s="139" t="n"/>
      <x:c r="AA187" s="139" t="n"/>
      <x:c r="AB187" s="139" t="n"/>
      <x:c r="AC187" s="139" t="n"/>
      <x:c r="AD187" s="139" t="n"/>
      <x:c r="AE187" s="139" t="n"/>
      <x:c r="AF187" s="139" t="n"/>
      <x:c r="AG187" s="139" t="n"/>
      <x:c r="AH187" s="139" t="n"/>
      <x:c r="AI187" s="139" t="n"/>
      <x:c r="AJ187" s="139" t="n"/>
      <x:c r="AK187" s="139" t="n"/>
      <x:c r="AL187" s="139" t="n"/>
      <x:c r="AM187" s="139" t="n"/>
      <x:c r="AN187" s="139" t="n"/>
      <x:c r="AO187" s="139" t="n"/>
      <x:c r="AP187" s="139" t="n"/>
      <x:c r="AQ187" s="139" t="n"/>
      <x:c r="AR187" s="139" t="n"/>
      <x:c r="AS187" s="139" t="n"/>
      <x:c r="AT187" s="139" t="n"/>
      <x:c r="AU187" s="139" t="n"/>
      <x:c r="AV187" s="139" t="n"/>
      <x:c r="AW187" s="139" t="n"/>
      <x:c r="AX187" s="139" t="n"/>
      <x:c r="AY187" s="139" t="n"/>
      <x:c r="AZ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c r="V188" s="139" t="n"/>
      <x:c r="W188" s="139" t="n"/>
      <x:c r="X188" s="139" t="n"/>
      <x:c r="Y188" s="139" t="n"/>
      <x:c r="Z188" s="139" t="n"/>
      <x:c r="AA188" s="139" t="n"/>
      <x:c r="AB188" s="139" t="n"/>
      <x:c r="AC188" s="139" t="n"/>
      <x:c r="AD188" s="139" t="n"/>
      <x:c r="AE188" s="139" t="n"/>
      <x:c r="AF188" s="139" t="n"/>
      <x:c r="AG188" s="139" t="n"/>
      <x:c r="AH188" s="139" t="n"/>
      <x:c r="AI188" s="139" t="n"/>
      <x:c r="AJ188" s="139" t="n"/>
      <x:c r="AK188" s="139" t="n"/>
      <x:c r="AL188" s="139" t="n"/>
      <x:c r="AM188" s="139" t="n"/>
      <x:c r="AN188" s="139" t="n"/>
      <x:c r="AO188" s="139" t="n"/>
      <x:c r="AP188" s="139" t="n"/>
      <x:c r="AQ188" s="139" t="n"/>
      <x:c r="AR188" s="139" t="n"/>
      <x:c r="AS188" s="139" t="n"/>
      <x:c r="AT188" s="139" t="n"/>
      <x:c r="AU188" s="139" t="n"/>
      <x:c r="AV188" s="139" t="n"/>
      <x:c r="AW188" s="139" t="n"/>
      <x:c r="AX188" s="139" t="n"/>
      <x:c r="AY188" s="139" t="n"/>
      <x:c r="AZ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c r="V189" s="139" t="n"/>
      <x:c r="W189" s="139" t="n"/>
      <x:c r="X189" s="139" t="n"/>
      <x:c r="Y189" s="139" t="n"/>
      <x:c r="Z189" s="139" t="n"/>
      <x:c r="AA189" s="139" t="n"/>
      <x:c r="AB189" s="139" t="n"/>
      <x:c r="AC189" s="139" t="n"/>
      <x:c r="AD189" s="139" t="n"/>
      <x:c r="AE189" s="139" t="n"/>
      <x:c r="AF189" s="139" t="n"/>
      <x:c r="AG189" s="139" t="n"/>
      <x:c r="AH189" s="139" t="n"/>
      <x:c r="AI189" s="139" t="n"/>
      <x:c r="AJ189" s="139" t="n"/>
      <x:c r="AK189" s="139" t="n"/>
      <x:c r="AL189" s="139" t="n"/>
      <x:c r="AM189" s="139" t="n"/>
      <x:c r="AN189" s="139" t="n"/>
      <x:c r="AO189" s="139" t="n"/>
      <x:c r="AP189" s="139" t="n"/>
      <x:c r="AQ189" s="139" t="n"/>
      <x:c r="AR189" s="139" t="n"/>
      <x:c r="AS189" s="139" t="n"/>
      <x:c r="AT189" s="139" t="n"/>
      <x:c r="AU189" s="139" t="n"/>
      <x:c r="AV189" s="139" t="n"/>
      <x:c r="AW189" s="139" t="n"/>
      <x:c r="AX189" s="139" t="n"/>
      <x:c r="AY189" s="139" t="n"/>
      <x:c r="AZ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c r="V190" s="139" t="n"/>
      <x:c r="W190" s="139" t="n"/>
      <x:c r="X190" s="139" t="n"/>
      <x:c r="Y190" s="139" t="n"/>
      <x:c r="Z190" s="139" t="n"/>
      <x:c r="AA190" s="139" t="n"/>
      <x:c r="AB190" s="139" t="n"/>
      <x:c r="AC190" s="139" t="n"/>
      <x:c r="AD190" s="139" t="n"/>
      <x:c r="AE190" s="139" t="n"/>
      <x:c r="AF190" s="139" t="n"/>
      <x:c r="AG190" s="139" t="n"/>
      <x:c r="AH190" s="139" t="n"/>
      <x:c r="AI190" s="139" t="n"/>
      <x:c r="AJ190" s="139" t="n"/>
      <x:c r="AK190" s="139" t="n"/>
      <x:c r="AL190" s="139" t="n"/>
      <x:c r="AM190" s="139" t="n"/>
      <x:c r="AN190" s="139" t="n"/>
      <x:c r="AO190" s="139" t="n"/>
      <x:c r="AP190" s="139" t="n"/>
      <x:c r="AQ190" s="139" t="n"/>
      <x:c r="AR190" s="139" t="n"/>
      <x:c r="AS190" s="139" t="n"/>
      <x:c r="AT190" s="139" t="n"/>
      <x:c r="AU190" s="139" t="n"/>
      <x:c r="AV190" s="139" t="n"/>
      <x:c r="AW190" s="139" t="n"/>
      <x:c r="AX190" s="139" t="n"/>
      <x:c r="AY190" s="139" t="n"/>
      <x:c r="AZ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c r="V191" s="139" t="n"/>
      <x:c r="W191" s="139" t="n"/>
      <x:c r="X191" s="139" t="n"/>
      <x:c r="Y191" s="139" t="n"/>
      <x:c r="Z191" s="139" t="n"/>
      <x:c r="AA191" s="139" t="n"/>
      <x:c r="AB191" s="139" t="n"/>
      <x:c r="AC191" s="139" t="n"/>
      <x:c r="AD191" s="139" t="n"/>
      <x:c r="AE191" s="139" t="n"/>
      <x:c r="AF191" s="139" t="n"/>
      <x:c r="AG191" s="139" t="n"/>
      <x:c r="AH191" s="139" t="n"/>
      <x:c r="AI191" s="139" t="n"/>
      <x:c r="AJ191" s="139" t="n"/>
      <x:c r="AK191" s="139" t="n"/>
      <x:c r="AL191" s="139" t="n"/>
      <x:c r="AM191" s="139" t="n"/>
      <x:c r="AN191" s="139" t="n"/>
      <x:c r="AO191" s="139" t="n"/>
      <x:c r="AP191" s="139" t="n"/>
      <x:c r="AQ191" s="139" t="n"/>
      <x:c r="AR191" s="139" t="n"/>
      <x:c r="AS191" s="139" t="n"/>
      <x:c r="AT191" s="139" t="n"/>
      <x:c r="AU191" s="139" t="n"/>
      <x:c r="AV191" s="139" t="n"/>
      <x:c r="AW191" s="139" t="n"/>
      <x:c r="AX191" s="139" t="n"/>
      <x:c r="AY191" s="139" t="n"/>
      <x:c r="AZ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c r="V192" s="139" t="n"/>
      <x:c r="W192" s="139" t="n"/>
      <x:c r="X192" s="139" t="n"/>
      <x:c r="Y192" s="139" t="n"/>
      <x:c r="Z192" s="139" t="n"/>
      <x:c r="AA192" s="139" t="n"/>
      <x:c r="AB192" s="139" t="n"/>
      <x:c r="AC192" s="139" t="n"/>
      <x:c r="AD192" s="139" t="n"/>
      <x:c r="AE192" s="139" t="n"/>
      <x:c r="AF192" s="139" t="n"/>
      <x:c r="AG192" s="139" t="n"/>
      <x:c r="AH192" s="139" t="n"/>
      <x:c r="AI192" s="139" t="n"/>
      <x:c r="AJ192" s="139" t="n"/>
      <x:c r="AK192" s="139" t="n"/>
      <x:c r="AL192" s="139" t="n"/>
      <x:c r="AM192" s="139" t="n"/>
      <x:c r="AN192" s="139" t="n"/>
      <x:c r="AO192" s="139" t="n"/>
      <x:c r="AP192" s="139" t="n"/>
      <x:c r="AQ192" s="139" t="n"/>
      <x:c r="AR192" s="139" t="n"/>
      <x:c r="AS192" s="139" t="n"/>
      <x:c r="AT192" s="139" t="n"/>
      <x:c r="AU192" s="139" t="n"/>
      <x:c r="AV192" s="139" t="n"/>
      <x:c r="AW192" s="139" t="n"/>
      <x:c r="AX192" s="139" t="n"/>
      <x:c r="AY192" s="139" t="n"/>
      <x:c r="AZ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c r="V193" s="139" t="n"/>
      <x:c r="W193" s="139" t="n"/>
      <x:c r="X193" s="139" t="n"/>
      <x:c r="Y193" s="139" t="n"/>
      <x:c r="Z193" s="139" t="n"/>
      <x:c r="AA193" s="139" t="n"/>
      <x:c r="AB193" s="139" t="n"/>
      <x:c r="AC193" s="139" t="n"/>
      <x:c r="AD193" s="139" t="n"/>
      <x:c r="AE193" s="139" t="n"/>
      <x:c r="AF193" s="139" t="n"/>
      <x:c r="AG193" s="139" t="n"/>
      <x:c r="AH193" s="139" t="n"/>
      <x:c r="AI193" s="139" t="n"/>
      <x:c r="AJ193" s="139" t="n"/>
      <x:c r="AK193" s="139" t="n"/>
      <x:c r="AL193" s="139" t="n"/>
      <x:c r="AM193" s="139" t="n"/>
      <x:c r="AN193" s="139" t="n"/>
      <x:c r="AO193" s="139" t="n"/>
      <x:c r="AP193" s="139" t="n"/>
      <x:c r="AQ193" s="139" t="n"/>
      <x:c r="AR193" s="139" t="n"/>
      <x:c r="AS193" s="139" t="n"/>
      <x:c r="AT193" s="139" t="n"/>
      <x:c r="AU193" s="139" t="n"/>
      <x:c r="AV193" s="139" t="n"/>
      <x:c r="AW193" s="139" t="n"/>
      <x:c r="AX193" s="139" t="n"/>
      <x:c r="AY193" s="139" t="n"/>
      <x:c r="AZ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c r="V194" s="139" t="n"/>
      <x:c r="W194" s="139" t="n"/>
      <x:c r="X194" s="139" t="n"/>
      <x:c r="Y194" s="139" t="n"/>
      <x:c r="Z194" s="139" t="n"/>
      <x:c r="AA194" s="139" t="n"/>
      <x:c r="AB194" s="139" t="n"/>
      <x:c r="AC194" s="139" t="n"/>
      <x:c r="AD194" s="139" t="n"/>
      <x:c r="AE194" s="139" t="n"/>
      <x:c r="AF194" s="139" t="n"/>
      <x:c r="AG194" s="139" t="n"/>
      <x:c r="AH194" s="139" t="n"/>
      <x:c r="AI194" s="139" t="n"/>
      <x:c r="AJ194" s="139" t="n"/>
      <x:c r="AK194" s="139" t="n"/>
      <x:c r="AL194" s="139" t="n"/>
      <x:c r="AM194" s="139" t="n"/>
      <x:c r="AN194" s="139" t="n"/>
      <x:c r="AO194" s="139" t="n"/>
      <x:c r="AP194" s="139" t="n"/>
      <x:c r="AQ194" s="139" t="n"/>
      <x:c r="AR194" s="139" t="n"/>
      <x:c r="AS194" s="139" t="n"/>
      <x:c r="AT194" s="139" t="n"/>
      <x:c r="AU194" s="139" t="n"/>
      <x:c r="AV194" s="139" t="n"/>
      <x:c r="AW194" s="139" t="n"/>
      <x:c r="AX194" s="139" t="n"/>
      <x:c r="AY194" s="139" t="n"/>
      <x:c r="AZ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c r="V195" s="139" t="n"/>
      <x:c r="W195" s="139" t="n"/>
      <x:c r="X195" s="139" t="n"/>
      <x:c r="Y195" s="139" t="n"/>
      <x:c r="Z195" s="139" t="n"/>
      <x:c r="AA195" s="139" t="n"/>
      <x:c r="AB195" s="139" t="n"/>
      <x:c r="AC195" s="139" t="n"/>
      <x:c r="AD195" s="139" t="n"/>
      <x:c r="AE195" s="139" t="n"/>
      <x:c r="AF195" s="139" t="n"/>
      <x:c r="AG195" s="139" t="n"/>
      <x:c r="AH195" s="139" t="n"/>
      <x:c r="AI195" s="139" t="n"/>
      <x:c r="AJ195" s="139" t="n"/>
      <x:c r="AK195" s="139" t="n"/>
      <x:c r="AL195" s="139" t="n"/>
      <x:c r="AM195" s="139" t="n"/>
      <x:c r="AN195" s="139" t="n"/>
      <x:c r="AO195" s="139" t="n"/>
      <x:c r="AP195" s="139" t="n"/>
      <x:c r="AQ195" s="139" t="n"/>
      <x:c r="AR195" s="139" t="n"/>
      <x:c r="AS195" s="139" t="n"/>
      <x:c r="AT195" s="139" t="n"/>
      <x:c r="AU195" s="139" t="n"/>
      <x:c r="AV195" s="139" t="n"/>
      <x:c r="AW195" s="139" t="n"/>
      <x:c r="AX195" s="139" t="n"/>
      <x:c r="AY195" s="139" t="n"/>
      <x:c r="AZ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c r="V196" s="139" t="n"/>
      <x:c r="W196" s="139" t="n"/>
      <x:c r="X196" s="139" t="n"/>
      <x:c r="Y196" s="139" t="n"/>
      <x:c r="Z196" s="139" t="n"/>
      <x:c r="AA196" s="139" t="n"/>
      <x:c r="AB196" s="139" t="n"/>
      <x:c r="AC196" s="139" t="n"/>
      <x:c r="AD196" s="139" t="n"/>
      <x:c r="AE196" s="139" t="n"/>
      <x:c r="AF196" s="139" t="n"/>
      <x:c r="AG196" s="139" t="n"/>
      <x:c r="AH196" s="139" t="n"/>
      <x:c r="AI196" s="139" t="n"/>
      <x:c r="AJ196" s="139" t="n"/>
      <x:c r="AK196" s="139" t="n"/>
      <x:c r="AL196" s="139" t="n"/>
      <x:c r="AM196" s="139" t="n"/>
      <x:c r="AN196" s="139" t="n"/>
      <x:c r="AO196" s="139" t="n"/>
      <x:c r="AP196" s="139" t="n"/>
      <x:c r="AQ196" s="139" t="n"/>
      <x:c r="AR196" s="139" t="n"/>
      <x:c r="AS196" s="139" t="n"/>
      <x:c r="AT196" s="139" t="n"/>
      <x:c r="AU196" s="139" t="n"/>
      <x:c r="AV196" s="139" t="n"/>
      <x:c r="AW196" s="139" t="n"/>
      <x:c r="AX196" s="139" t="n"/>
      <x:c r="AY196" s="139" t="n"/>
      <x:c r="AZ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c r="V197" s="139" t="n"/>
      <x:c r="W197" s="139" t="n"/>
      <x:c r="X197" s="139" t="n"/>
      <x:c r="Y197" s="139" t="n"/>
      <x:c r="Z197" s="139" t="n"/>
      <x:c r="AA197" s="139" t="n"/>
      <x:c r="AB197" s="139" t="n"/>
      <x:c r="AC197" s="139" t="n"/>
      <x:c r="AD197" s="139" t="n"/>
      <x:c r="AE197" s="139" t="n"/>
      <x:c r="AF197" s="139" t="n"/>
      <x:c r="AG197" s="139" t="n"/>
      <x:c r="AH197" s="139" t="n"/>
      <x:c r="AI197" s="139" t="n"/>
      <x:c r="AJ197" s="139" t="n"/>
      <x:c r="AK197" s="139" t="n"/>
      <x:c r="AL197" s="139" t="n"/>
      <x:c r="AM197" s="139" t="n"/>
      <x:c r="AN197" s="139" t="n"/>
      <x:c r="AO197" s="139" t="n"/>
      <x:c r="AP197" s="139" t="n"/>
      <x:c r="AQ197" s="139" t="n"/>
      <x:c r="AR197" s="139" t="n"/>
      <x:c r="AS197" s="139" t="n"/>
      <x:c r="AT197" s="139" t="n"/>
      <x:c r="AU197" s="139" t="n"/>
      <x:c r="AV197" s="139" t="n"/>
      <x:c r="AW197" s="139" t="n"/>
      <x:c r="AX197" s="139" t="n"/>
      <x:c r="AY197" s="139" t="n"/>
      <x:c r="AZ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c r="V198" s="139" t="n"/>
      <x:c r="W198" s="139" t="n"/>
      <x:c r="X198" s="139" t="n"/>
      <x:c r="Y198" s="139" t="n"/>
      <x:c r="Z198" s="139" t="n"/>
      <x:c r="AA198" s="139" t="n"/>
      <x:c r="AB198" s="139" t="n"/>
      <x:c r="AC198" s="139" t="n"/>
      <x:c r="AD198" s="139" t="n"/>
      <x:c r="AE198" s="139" t="n"/>
      <x:c r="AF198" s="139" t="n"/>
      <x:c r="AG198" s="139" t="n"/>
      <x:c r="AH198" s="139" t="n"/>
      <x:c r="AI198" s="139" t="n"/>
      <x:c r="AJ198" s="139" t="n"/>
      <x:c r="AK198" s="139" t="n"/>
      <x:c r="AL198" s="139" t="n"/>
      <x:c r="AM198" s="139" t="n"/>
      <x:c r="AN198" s="139" t="n"/>
      <x:c r="AO198" s="139" t="n"/>
      <x:c r="AP198" s="139" t="n"/>
      <x:c r="AQ198" s="139" t="n"/>
      <x:c r="AR198" s="139" t="n"/>
      <x:c r="AS198" s="139" t="n"/>
      <x:c r="AT198" s="139" t="n"/>
      <x:c r="AU198" s="139" t="n"/>
      <x:c r="AV198" s="139" t="n"/>
      <x:c r="AW198" s="139" t="n"/>
      <x:c r="AX198" s="139" t="n"/>
      <x:c r="AY198" s="139" t="n"/>
      <x:c r="AZ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c r="V199" s="139" t="n"/>
      <x:c r="W199" s="139" t="n"/>
      <x:c r="X199" s="139" t="n"/>
      <x:c r="Y199" s="139" t="n"/>
      <x:c r="Z199" s="139" t="n"/>
      <x:c r="AA199" s="139" t="n"/>
      <x:c r="AB199" s="139" t="n"/>
      <x:c r="AC199" s="139" t="n"/>
      <x:c r="AD199" s="139" t="n"/>
      <x:c r="AE199" s="139" t="n"/>
      <x:c r="AF199" s="139" t="n"/>
      <x:c r="AG199" s="139" t="n"/>
      <x:c r="AH199" s="139" t="n"/>
      <x:c r="AI199" s="139" t="n"/>
      <x:c r="AJ199" s="139" t="n"/>
      <x:c r="AK199" s="139" t="n"/>
      <x:c r="AL199" s="139" t="n"/>
      <x:c r="AM199" s="139" t="n"/>
      <x:c r="AN199" s="139" t="n"/>
      <x:c r="AO199" s="139" t="n"/>
      <x:c r="AP199" s="139" t="n"/>
      <x:c r="AQ199" s="139" t="n"/>
      <x:c r="AR199" s="139" t="n"/>
      <x:c r="AS199" s="139" t="n"/>
      <x:c r="AT199" s="139" t="n"/>
      <x:c r="AU199" s="139" t="n"/>
      <x:c r="AV199" s="139" t="n"/>
      <x:c r="AW199" s="139" t="n"/>
      <x:c r="AX199" s="139" t="n"/>
      <x:c r="AY199" s="139" t="n"/>
      <x:c r="AZ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c r="V200" s="139" t="n"/>
      <x:c r="W200" s="139" t="n"/>
      <x:c r="X200" s="139" t="n"/>
      <x:c r="Y200" s="139" t="n"/>
      <x:c r="Z200" s="139" t="n"/>
      <x:c r="AA200" s="139" t="n"/>
      <x:c r="AB200" s="139" t="n"/>
      <x:c r="AC200" s="139" t="n"/>
      <x:c r="AD200" s="139" t="n"/>
      <x:c r="AE200" s="139" t="n"/>
      <x:c r="AF200" s="139" t="n"/>
      <x:c r="AG200" s="139" t="n"/>
      <x:c r="AH200" s="139" t="n"/>
      <x:c r="AI200" s="139" t="n"/>
      <x:c r="AJ200" s="139" t="n"/>
      <x:c r="AK200" s="139" t="n"/>
      <x:c r="AL200" s="139" t="n"/>
      <x:c r="AM200" s="139" t="n"/>
      <x:c r="AN200" s="139" t="n"/>
      <x:c r="AO200" s="139" t="n"/>
      <x:c r="AP200" s="139" t="n"/>
      <x:c r="AQ200" s="139" t="n"/>
      <x:c r="AR200" s="139" t="n"/>
      <x:c r="AS200" s="139" t="n"/>
      <x:c r="AT200" s="139" t="n"/>
      <x:c r="AU200" s="139" t="n"/>
      <x:c r="AV200" s="139" t="n"/>
      <x:c r="AW200" s="139" t="n"/>
      <x:c r="AX200" s="139" t="n"/>
      <x:c r="AY200" s="139" t="n"/>
      <x:c r="AZ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c r="V201" s="139" t="n"/>
      <x:c r="W201" s="139" t="n"/>
      <x:c r="X201" s="139" t="n"/>
      <x:c r="Y201" s="139" t="n"/>
      <x:c r="Z201" s="139" t="n"/>
      <x:c r="AA201" s="139" t="n"/>
      <x:c r="AB201" s="139" t="n"/>
      <x:c r="AC201" s="139" t="n"/>
      <x:c r="AD201" s="139" t="n"/>
      <x:c r="AE201" s="139" t="n"/>
      <x:c r="AF201" s="139" t="n"/>
      <x:c r="AG201" s="139" t="n"/>
      <x:c r="AH201" s="139" t="n"/>
      <x:c r="AI201" s="139" t="n"/>
      <x:c r="AJ201" s="139" t="n"/>
      <x:c r="AK201" s="139" t="n"/>
      <x:c r="AL201" s="139" t="n"/>
      <x:c r="AM201" s="139" t="n"/>
      <x:c r="AN201" s="139" t="n"/>
      <x:c r="AO201" s="139" t="n"/>
      <x:c r="AP201" s="139" t="n"/>
      <x:c r="AQ201" s="139" t="n"/>
      <x:c r="AR201" s="139" t="n"/>
      <x:c r="AS201" s="139" t="n"/>
      <x:c r="AT201" s="139" t="n"/>
      <x:c r="AU201" s="139" t="n"/>
      <x:c r="AV201" s="139" t="n"/>
      <x:c r="AW201" s="139" t="n"/>
      <x:c r="AX201" s="139" t="n"/>
      <x:c r="AY201" s="139" t="n"/>
      <x:c r="AZ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c r="V202" s="139" t="n"/>
      <x:c r="W202" s="139" t="n"/>
      <x:c r="X202" s="139" t="n"/>
      <x:c r="Y202" s="139" t="n"/>
      <x:c r="Z202" s="139" t="n"/>
      <x:c r="AA202" s="139" t="n"/>
      <x:c r="AB202" s="139" t="n"/>
      <x:c r="AC202" s="139" t="n"/>
      <x:c r="AD202" s="139" t="n"/>
      <x:c r="AE202" s="139" t="n"/>
      <x:c r="AF202" s="139" t="n"/>
      <x:c r="AG202" s="139" t="n"/>
      <x:c r="AH202" s="139" t="n"/>
      <x:c r="AI202" s="139" t="n"/>
      <x:c r="AJ202" s="139" t="n"/>
      <x:c r="AK202" s="139" t="n"/>
      <x:c r="AL202" s="139" t="n"/>
      <x:c r="AM202" s="139" t="n"/>
      <x:c r="AN202" s="139" t="n"/>
      <x:c r="AO202" s="139" t="n"/>
      <x:c r="AP202" s="139" t="n"/>
      <x:c r="AQ202" s="139" t="n"/>
      <x:c r="AR202" s="139" t="n"/>
      <x:c r="AS202" s="139" t="n"/>
      <x:c r="AT202" s="139" t="n"/>
      <x:c r="AU202" s="139" t="n"/>
      <x:c r="AV202" s="139" t="n"/>
      <x:c r="AW202" s="139" t="n"/>
      <x:c r="AX202" s="139" t="n"/>
      <x:c r="AY202" s="139" t="n"/>
      <x:c r="AZ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c r="V203" s="139" t="n"/>
      <x:c r="W203" s="139" t="n"/>
      <x:c r="X203" s="139" t="n"/>
      <x:c r="Y203" s="139" t="n"/>
      <x:c r="Z203" s="139" t="n"/>
      <x:c r="AA203" s="139" t="n"/>
      <x:c r="AB203" s="139" t="n"/>
      <x:c r="AC203" s="139" t="n"/>
      <x:c r="AD203" s="139" t="n"/>
      <x:c r="AE203" s="139" t="n"/>
      <x:c r="AF203" s="139" t="n"/>
      <x:c r="AG203" s="139" t="n"/>
      <x:c r="AH203" s="139" t="n"/>
      <x:c r="AI203" s="139" t="n"/>
      <x:c r="AJ203" s="139" t="n"/>
      <x:c r="AK203" s="139" t="n"/>
      <x:c r="AL203" s="139" t="n"/>
      <x:c r="AM203" s="139" t="n"/>
      <x:c r="AN203" s="139" t="n"/>
      <x:c r="AO203" s="139" t="n"/>
      <x:c r="AP203" s="139" t="n"/>
      <x:c r="AQ203" s="139" t="n"/>
      <x:c r="AR203" s="139" t="n"/>
      <x:c r="AS203" s="139" t="n"/>
      <x:c r="AT203" s="139" t="n"/>
      <x:c r="AU203" s="139" t="n"/>
      <x:c r="AV203" s="139" t="n"/>
      <x:c r="AW203" s="139" t="n"/>
      <x:c r="AX203" s="139" t="n"/>
      <x:c r="AY203" s="139" t="n"/>
      <x:c r="AZ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c r="V204" s="139" t="n"/>
      <x:c r="W204" s="139" t="n"/>
      <x:c r="X204" s="139" t="n"/>
      <x:c r="Y204" s="139" t="n"/>
      <x:c r="Z204" s="139" t="n"/>
      <x:c r="AA204" s="139" t="n"/>
      <x:c r="AB204" s="139" t="n"/>
      <x:c r="AC204" s="139" t="n"/>
      <x:c r="AD204" s="139" t="n"/>
      <x:c r="AE204" s="139" t="n"/>
      <x:c r="AF204" s="139" t="n"/>
      <x:c r="AG204" s="139" t="n"/>
      <x:c r="AH204" s="139" t="n"/>
      <x:c r="AI204" s="139" t="n"/>
      <x:c r="AJ204" s="139" t="n"/>
      <x:c r="AK204" s="139" t="n"/>
      <x:c r="AL204" s="139" t="n"/>
      <x:c r="AM204" s="139" t="n"/>
      <x:c r="AN204" s="139" t="n"/>
      <x:c r="AO204" s="139" t="n"/>
      <x:c r="AP204" s="139" t="n"/>
      <x:c r="AQ204" s="139" t="n"/>
      <x:c r="AR204" s="139" t="n"/>
      <x:c r="AS204" s="139" t="n"/>
      <x:c r="AT204" s="139" t="n"/>
      <x:c r="AU204" s="139" t="n"/>
      <x:c r="AV204" s="139" t="n"/>
      <x:c r="AW204" s="139" t="n"/>
      <x:c r="AX204" s="139" t="n"/>
      <x:c r="AY204" s="139" t="n"/>
      <x:c r="AZ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c r="V205" s="139" t="n"/>
      <x:c r="W205" s="139" t="n"/>
      <x:c r="X205" s="139" t="n"/>
      <x:c r="Y205" s="139" t="n"/>
      <x:c r="Z205" s="139" t="n"/>
      <x:c r="AA205" s="139" t="n"/>
      <x:c r="AB205" s="139" t="n"/>
      <x:c r="AC205" s="139" t="n"/>
      <x:c r="AD205" s="139" t="n"/>
      <x:c r="AE205" s="139" t="n"/>
      <x:c r="AF205" s="139" t="n"/>
      <x:c r="AG205" s="139" t="n"/>
      <x:c r="AH205" s="139" t="n"/>
      <x:c r="AI205" s="139" t="n"/>
      <x:c r="AJ205" s="139" t="n"/>
      <x:c r="AK205" s="139" t="n"/>
      <x:c r="AL205" s="139" t="n"/>
      <x:c r="AM205" s="139" t="n"/>
      <x:c r="AN205" s="139" t="n"/>
      <x:c r="AO205" s="139" t="n"/>
      <x:c r="AP205" s="139" t="n"/>
      <x:c r="AQ205" s="139" t="n"/>
      <x:c r="AR205" s="139" t="n"/>
      <x:c r="AS205" s="139" t="n"/>
      <x:c r="AT205" s="139" t="n"/>
      <x:c r="AU205" s="139" t="n"/>
      <x:c r="AV205" s="139" t="n"/>
      <x:c r="AW205" s="139" t="n"/>
      <x:c r="AX205" s="139" t="n"/>
      <x:c r="AY205" s="139" t="n"/>
      <x:c r="AZ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c r="V206" s="139" t="n"/>
      <x:c r="W206" s="139" t="n"/>
      <x:c r="X206" s="139" t="n"/>
      <x:c r="Y206" s="139" t="n"/>
      <x:c r="Z206" s="139" t="n"/>
      <x:c r="AA206" s="139" t="n"/>
      <x:c r="AB206" s="139" t="n"/>
      <x:c r="AC206" s="139" t="n"/>
      <x:c r="AD206" s="139" t="n"/>
      <x:c r="AE206" s="139" t="n"/>
      <x:c r="AF206" s="139" t="n"/>
      <x:c r="AG206" s="139" t="n"/>
      <x:c r="AH206" s="139" t="n"/>
      <x:c r="AI206" s="139" t="n"/>
      <x:c r="AJ206" s="139" t="n"/>
      <x:c r="AK206" s="139" t="n"/>
      <x:c r="AL206" s="139" t="n"/>
      <x:c r="AM206" s="139" t="n"/>
      <x:c r="AN206" s="139" t="n"/>
      <x:c r="AO206" s="139" t="n"/>
      <x:c r="AP206" s="139" t="n"/>
      <x:c r="AQ206" s="139" t="n"/>
      <x:c r="AR206" s="139" t="n"/>
      <x:c r="AS206" s="139" t="n"/>
      <x:c r="AT206" s="139" t="n"/>
      <x:c r="AU206" s="139" t="n"/>
      <x:c r="AV206" s="139" t="n"/>
      <x:c r="AW206" s="139" t="n"/>
      <x:c r="AX206" s="139" t="n"/>
      <x:c r="AY206" s="139" t="n"/>
      <x:c r="AZ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c r="V207" s="139" t="n"/>
      <x:c r="W207" s="139" t="n"/>
      <x:c r="X207" s="139" t="n"/>
      <x:c r="Y207" s="139" t="n"/>
      <x:c r="Z207" s="139" t="n"/>
      <x:c r="AA207" s="139" t="n"/>
      <x:c r="AB207" s="139" t="n"/>
      <x:c r="AC207" s="139" t="n"/>
      <x:c r="AD207" s="139" t="n"/>
      <x:c r="AE207" s="139" t="n"/>
      <x:c r="AF207" s="139" t="n"/>
      <x:c r="AG207" s="139" t="n"/>
      <x:c r="AH207" s="139" t="n"/>
      <x:c r="AI207" s="139" t="n"/>
      <x:c r="AJ207" s="139" t="n"/>
      <x:c r="AK207" s="139" t="n"/>
      <x:c r="AL207" s="139" t="n"/>
      <x:c r="AM207" s="139" t="n"/>
      <x:c r="AN207" s="139" t="n"/>
      <x:c r="AO207" s="139" t="n"/>
      <x:c r="AP207" s="139" t="n"/>
      <x:c r="AQ207" s="139" t="n"/>
      <x:c r="AR207" s="139" t="n"/>
      <x:c r="AS207" s="139" t="n"/>
      <x:c r="AT207" s="139" t="n"/>
      <x:c r="AU207" s="139" t="n"/>
      <x:c r="AV207" s="139" t="n"/>
      <x:c r="AW207" s="139" t="n"/>
      <x:c r="AX207" s="139" t="n"/>
      <x:c r="AY207" s="139" t="n"/>
      <x:c r="AZ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c r="V208" s="139" t="n"/>
      <x:c r="W208" s="139" t="n"/>
      <x:c r="X208" s="139" t="n"/>
      <x:c r="Y208" s="139" t="n"/>
      <x:c r="Z208" s="139" t="n"/>
      <x:c r="AA208" s="139" t="n"/>
      <x:c r="AB208" s="139" t="n"/>
      <x:c r="AC208" s="139" t="n"/>
      <x:c r="AD208" s="139" t="n"/>
      <x:c r="AE208" s="139" t="n"/>
      <x:c r="AF208" s="139" t="n"/>
      <x:c r="AG208" s="139" t="n"/>
      <x:c r="AH208" s="139" t="n"/>
      <x:c r="AI208" s="139" t="n"/>
      <x:c r="AJ208" s="139" t="n"/>
      <x:c r="AK208" s="139" t="n"/>
      <x:c r="AL208" s="139" t="n"/>
      <x:c r="AM208" s="139" t="n"/>
      <x:c r="AN208" s="139" t="n"/>
      <x:c r="AO208" s="139" t="n"/>
      <x:c r="AP208" s="139" t="n"/>
      <x:c r="AQ208" s="139" t="n"/>
      <x:c r="AR208" s="139" t="n"/>
      <x:c r="AS208" s="139" t="n"/>
      <x:c r="AT208" s="139" t="n"/>
      <x:c r="AU208" s="139" t="n"/>
      <x:c r="AV208" s="139" t="n"/>
      <x:c r="AW208" s="139" t="n"/>
      <x:c r="AX208" s="139" t="n"/>
      <x:c r="AY208" s="139" t="n"/>
      <x:c r="AZ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c r="V209" s="139" t="n"/>
      <x:c r="W209" s="139" t="n"/>
      <x:c r="X209" s="139" t="n"/>
      <x:c r="Y209" s="139" t="n"/>
      <x:c r="Z209" s="139" t="n"/>
      <x:c r="AA209" s="139" t="n"/>
      <x:c r="AB209" s="139" t="n"/>
      <x:c r="AC209" s="139" t="n"/>
      <x:c r="AD209" s="139" t="n"/>
      <x:c r="AE209" s="139" t="n"/>
      <x:c r="AF209" s="139" t="n"/>
      <x:c r="AG209" s="139" t="n"/>
      <x:c r="AH209" s="139" t="n"/>
      <x:c r="AI209" s="139" t="n"/>
      <x:c r="AJ209" s="139" t="n"/>
      <x:c r="AK209" s="139" t="n"/>
      <x:c r="AL209" s="139" t="n"/>
      <x:c r="AM209" s="139" t="n"/>
      <x:c r="AN209" s="139" t="n"/>
      <x:c r="AO209" s="139" t="n"/>
      <x:c r="AP209" s="139" t="n"/>
      <x:c r="AQ209" s="139" t="n"/>
      <x:c r="AR209" s="139" t="n"/>
      <x:c r="AS209" s="139" t="n"/>
      <x:c r="AT209" s="139" t="n"/>
      <x:c r="AU209" s="139" t="n"/>
      <x:c r="AV209" s="139" t="n"/>
      <x:c r="AW209" s="139" t="n"/>
      <x:c r="AX209" s="139" t="n"/>
      <x:c r="AY209" s="139" t="n"/>
      <x:c r="AZ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c r="V210" s="139" t="n"/>
      <x:c r="W210" s="139" t="n"/>
      <x:c r="X210" s="139" t="n"/>
      <x:c r="Y210" s="139" t="n"/>
      <x:c r="Z210" s="139" t="n"/>
      <x:c r="AA210" s="139" t="n"/>
      <x:c r="AB210" s="139" t="n"/>
      <x:c r="AC210" s="139" t="n"/>
      <x:c r="AD210" s="139" t="n"/>
      <x:c r="AE210" s="139" t="n"/>
      <x:c r="AF210" s="139" t="n"/>
      <x:c r="AG210" s="139" t="n"/>
      <x:c r="AH210" s="139" t="n"/>
      <x:c r="AI210" s="139" t="n"/>
      <x:c r="AJ210" s="139" t="n"/>
      <x:c r="AK210" s="139" t="n"/>
      <x:c r="AL210" s="139" t="n"/>
      <x:c r="AM210" s="139" t="n"/>
      <x:c r="AN210" s="139" t="n"/>
      <x:c r="AO210" s="139" t="n"/>
      <x:c r="AP210" s="139" t="n"/>
      <x:c r="AQ210" s="139" t="n"/>
      <x:c r="AR210" s="139" t="n"/>
      <x:c r="AS210" s="139" t="n"/>
      <x:c r="AT210" s="139" t="n"/>
      <x:c r="AU210" s="139" t="n"/>
      <x:c r="AV210" s="139" t="n"/>
      <x:c r="AW210" s="139" t="n"/>
      <x:c r="AX210" s="139" t="n"/>
      <x:c r="AY210" s="139" t="n"/>
      <x:c r="AZ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c r="V211" s="139" t="n"/>
      <x:c r="W211" s="139" t="n"/>
      <x:c r="X211" s="139" t="n"/>
      <x:c r="Y211" s="139" t="n"/>
      <x:c r="Z211" s="139" t="n"/>
      <x:c r="AA211" s="139" t="n"/>
      <x:c r="AB211" s="139" t="n"/>
      <x:c r="AC211" s="139" t="n"/>
      <x:c r="AD211" s="139" t="n"/>
      <x:c r="AE211" s="139" t="n"/>
      <x:c r="AF211" s="139" t="n"/>
      <x:c r="AG211" s="139" t="n"/>
      <x:c r="AH211" s="139" t="n"/>
      <x:c r="AI211" s="139" t="n"/>
      <x:c r="AJ211" s="139" t="n"/>
      <x:c r="AK211" s="139" t="n"/>
      <x:c r="AL211" s="139" t="n"/>
      <x:c r="AM211" s="139" t="n"/>
      <x:c r="AN211" s="139" t="n"/>
      <x:c r="AO211" s="139" t="n"/>
      <x:c r="AP211" s="139" t="n"/>
      <x:c r="AQ211" s="139" t="n"/>
      <x:c r="AR211" s="139" t="n"/>
      <x:c r="AS211" s="139" t="n"/>
      <x:c r="AT211" s="139" t="n"/>
      <x:c r="AU211" s="139" t="n"/>
      <x:c r="AV211" s="139" t="n"/>
      <x:c r="AW211" s="139" t="n"/>
      <x:c r="AX211" s="139" t="n"/>
      <x:c r="AY211" s="139" t="n"/>
      <x:c r="AZ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c r="V212" s="139" t="n"/>
      <x:c r="W212" s="139" t="n"/>
      <x:c r="X212" s="139" t="n"/>
      <x:c r="Y212" s="139" t="n"/>
      <x:c r="Z212" s="139" t="n"/>
      <x:c r="AA212" s="139" t="n"/>
      <x:c r="AB212" s="139" t="n"/>
      <x:c r="AC212" s="139" t="n"/>
      <x:c r="AD212" s="139" t="n"/>
      <x:c r="AE212" s="139" t="n"/>
      <x:c r="AF212" s="139" t="n"/>
      <x:c r="AG212" s="139" t="n"/>
      <x:c r="AH212" s="139" t="n"/>
      <x:c r="AI212" s="139" t="n"/>
      <x:c r="AJ212" s="139" t="n"/>
      <x:c r="AK212" s="139" t="n"/>
      <x:c r="AL212" s="139" t="n"/>
      <x:c r="AM212" s="139" t="n"/>
      <x:c r="AN212" s="139" t="n"/>
      <x:c r="AO212" s="139" t="n"/>
      <x:c r="AP212" s="139" t="n"/>
      <x:c r="AQ212" s="139" t="n"/>
      <x:c r="AR212" s="139" t="n"/>
      <x:c r="AS212" s="139" t="n"/>
      <x:c r="AT212" s="139" t="n"/>
      <x:c r="AU212" s="139" t="n"/>
      <x:c r="AV212" s="139" t="n"/>
      <x:c r="AW212" s="139" t="n"/>
      <x:c r="AX212" s="139" t="n"/>
      <x:c r="AY212" s="139" t="n"/>
      <x:c r="AZ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c r="V213" s="139" t="n"/>
      <x:c r="W213" s="139" t="n"/>
      <x:c r="X213" s="139" t="n"/>
      <x:c r="Y213" s="139" t="n"/>
      <x:c r="Z213" s="139" t="n"/>
      <x:c r="AA213" s="139" t="n"/>
      <x:c r="AB213" s="139" t="n"/>
      <x:c r="AC213" s="139" t="n"/>
      <x:c r="AD213" s="139" t="n"/>
      <x:c r="AE213" s="139" t="n"/>
      <x:c r="AF213" s="139" t="n"/>
      <x:c r="AG213" s="139" t="n"/>
      <x:c r="AH213" s="139" t="n"/>
      <x:c r="AI213" s="139" t="n"/>
      <x:c r="AJ213" s="139" t="n"/>
      <x:c r="AK213" s="139" t="n"/>
      <x:c r="AL213" s="139" t="n"/>
      <x:c r="AM213" s="139" t="n"/>
      <x:c r="AN213" s="139" t="n"/>
      <x:c r="AO213" s="139" t="n"/>
      <x:c r="AP213" s="139" t="n"/>
      <x:c r="AQ213" s="139" t="n"/>
      <x:c r="AR213" s="139" t="n"/>
      <x:c r="AS213" s="139" t="n"/>
      <x:c r="AT213" s="139" t="n"/>
      <x:c r="AU213" s="139" t="n"/>
      <x:c r="AV213" s="139" t="n"/>
      <x:c r="AW213" s="139" t="n"/>
      <x:c r="AX213" s="139" t="n"/>
      <x:c r="AY213" s="139" t="n"/>
      <x:c r="AZ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c r="V214" s="139" t="n"/>
      <x:c r="W214" s="139" t="n"/>
      <x:c r="X214" s="139" t="n"/>
      <x:c r="Y214" s="139" t="n"/>
      <x:c r="Z214" s="139" t="n"/>
      <x:c r="AA214" s="139" t="n"/>
      <x:c r="AB214" s="139" t="n"/>
      <x:c r="AC214" s="139" t="n"/>
      <x:c r="AD214" s="139" t="n"/>
      <x:c r="AE214" s="139" t="n"/>
      <x:c r="AF214" s="139" t="n"/>
      <x:c r="AG214" s="139" t="n"/>
      <x:c r="AH214" s="139" t="n"/>
      <x:c r="AI214" s="139" t="n"/>
      <x:c r="AJ214" s="139" t="n"/>
      <x:c r="AK214" s="139" t="n"/>
      <x:c r="AL214" s="139" t="n"/>
      <x:c r="AM214" s="139" t="n"/>
      <x:c r="AN214" s="139" t="n"/>
      <x:c r="AO214" s="139" t="n"/>
      <x:c r="AP214" s="139" t="n"/>
      <x:c r="AQ214" s="139" t="n"/>
      <x:c r="AR214" s="139" t="n"/>
      <x:c r="AS214" s="139" t="n"/>
      <x:c r="AT214" s="139" t="n"/>
      <x:c r="AU214" s="139" t="n"/>
      <x:c r="AV214" s="139" t="n"/>
      <x:c r="AW214" s="139" t="n"/>
      <x:c r="AX214" s="139" t="n"/>
      <x:c r="AY214" s="139" t="n"/>
      <x:c r="AZ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c r="V215" s="139" t="n"/>
      <x:c r="W215" s="139" t="n"/>
      <x:c r="X215" s="139" t="n"/>
      <x:c r="Y215" s="139" t="n"/>
      <x:c r="Z215" s="139" t="n"/>
      <x:c r="AA215" s="139" t="n"/>
      <x:c r="AB215" s="139" t="n"/>
      <x:c r="AC215" s="139" t="n"/>
      <x:c r="AD215" s="139" t="n"/>
      <x:c r="AE215" s="139" t="n"/>
      <x:c r="AF215" s="139" t="n"/>
      <x:c r="AG215" s="139" t="n"/>
      <x:c r="AH215" s="139" t="n"/>
      <x:c r="AI215" s="139" t="n"/>
      <x:c r="AJ215" s="139" t="n"/>
      <x:c r="AK215" s="139" t="n"/>
      <x:c r="AL215" s="139" t="n"/>
      <x:c r="AM215" s="139" t="n"/>
      <x:c r="AN215" s="139" t="n"/>
      <x:c r="AO215" s="139" t="n"/>
      <x:c r="AP215" s="139" t="n"/>
      <x:c r="AQ215" s="139" t="n"/>
      <x:c r="AR215" s="139" t="n"/>
      <x:c r="AS215" s="139" t="n"/>
      <x:c r="AT215" s="139" t="n"/>
      <x:c r="AU215" s="139" t="n"/>
      <x:c r="AV215" s="139" t="n"/>
      <x:c r="AW215" s="139" t="n"/>
      <x:c r="AX215" s="139" t="n"/>
      <x:c r="AY215" s="139" t="n"/>
      <x:c r="AZ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c r="V216" s="139" t="n"/>
      <x:c r="W216" s="139" t="n"/>
      <x:c r="X216" s="139" t="n"/>
      <x:c r="Y216" s="139" t="n"/>
      <x:c r="Z216" s="139" t="n"/>
      <x:c r="AA216" s="139" t="n"/>
      <x:c r="AB216" s="139" t="n"/>
      <x:c r="AC216" s="139" t="n"/>
      <x:c r="AD216" s="139" t="n"/>
      <x:c r="AE216" s="139" t="n"/>
      <x:c r="AF216" s="139" t="n"/>
      <x:c r="AG216" s="139" t="n"/>
      <x:c r="AH216" s="139" t="n"/>
      <x:c r="AI216" s="139" t="n"/>
      <x:c r="AJ216" s="139" t="n"/>
      <x:c r="AK216" s="139" t="n"/>
      <x:c r="AL216" s="139" t="n"/>
      <x:c r="AM216" s="139" t="n"/>
      <x:c r="AN216" s="139" t="n"/>
      <x:c r="AO216" s="139" t="n"/>
      <x:c r="AP216" s="139" t="n"/>
      <x:c r="AQ216" s="139" t="n"/>
      <x:c r="AR216" s="139" t="n"/>
      <x:c r="AS216" s="139" t="n"/>
      <x:c r="AT216" s="139" t="n"/>
      <x:c r="AU216" s="139" t="n"/>
      <x:c r="AV216" s="139" t="n"/>
      <x:c r="AW216" s="139" t="n"/>
      <x:c r="AX216" s="139" t="n"/>
      <x:c r="AY216" s="139" t="n"/>
      <x:c r="AZ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c r="V217" s="139" t="n"/>
      <x:c r="W217" s="139" t="n"/>
      <x:c r="X217" s="139" t="n"/>
      <x:c r="Y217" s="139" t="n"/>
      <x:c r="Z217" s="139" t="n"/>
      <x:c r="AA217" s="139" t="n"/>
      <x:c r="AB217" s="139" t="n"/>
      <x:c r="AC217" s="139" t="n"/>
      <x:c r="AD217" s="139" t="n"/>
      <x:c r="AE217" s="139" t="n"/>
      <x:c r="AF217" s="139" t="n"/>
      <x:c r="AG217" s="139" t="n"/>
      <x:c r="AH217" s="139" t="n"/>
      <x:c r="AI217" s="139" t="n"/>
      <x:c r="AJ217" s="139" t="n"/>
      <x:c r="AK217" s="139" t="n"/>
      <x:c r="AL217" s="139" t="n"/>
      <x:c r="AM217" s="139" t="n"/>
      <x:c r="AN217" s="139" t="n"/>
      <x:c r="AO217" s="139" t="n"/>
      <x:c r="AP217" s="139" t="n"/>
      <x:c r="AQ217" s="139" t="n"/>
      <x:c r="AR217" s="139" t="n"/>
      <x:c r="AS217" s="139" t="n"/>
      <x:c r="AT217" s="139" t="n"/>
      <x:c r="AU217" s="139" t="n"/>
      <x:c r="AV217" s="139" t="n"/>
      <x:c r="AW217" s="139" t="n"/>
      <x:c r="AX217" s="139" t="n"/>
      <x:c r="AY217" s="139" t="n"/>
      <x:c r="AZ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c r="V218" s="139" t="n"/>
      <x:c r="W218" s="139" t="n"/>
      <x:c r="X218" s="139" t="n"/>
      <x:c r="Y218" s="139" t="n"/>
      <x:c r="Z218" s="139" t="n"/>
      <x:c r="AA218" s="139" t="n"/>
      <x:c r="AB218" s="139" t="n"/>
      <x:c r="AC218" s="139" t="n"/>
      <x:c r="AD218" s="139" t="n"/>
      <x:c r="AE218" s="139" t="n"/>
      <x:c r="AF218" s="139" t="n"/>
      <x:c r="AG218" s="139" t="n"/>
      <x:c r="AH218" s="139" t="n"/>
      <x:c r="AI218" s="139" t="n"/>
      <x:c r="AJ218" s="139" t="n"/>
      <x:c r="AK218" s="139" t="n"/>
      <x:c r="AL218" s="139" t="n"/>
      <x:c r="AM218" s="139" t="n"/>
      <x:c r="AN218" s="139" t="n"/>
      <x:c r="AO218" s="139" t="n"/>
      <x:c r="AP218" s="139" t="n"/>
      <x:c r="AQ218" s="139" t="n"/>
      <x:c r="AR218" s="139" t="n"/>
      <x:c r="AS218" s="139" t="n"/>
      <x:c r="AT218" s="139" t="n"/>
      <x:c r="AU218" s="139" t="n"/>
      <x:c r="AV218" s="139" t="n"/>
      <x:c r="AW218" s="139" t="n"/>
      <x:c r="AX218" s="139" t="n"/>
      <x:c r="AY218" s="139" t="n"/>
      <x:c r="AZ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c r="V219" s="139" t="n"/>
      <x:c r="W219" s="139" t="n"/>
      <x:c r="X219" s="139" t="n"/>
      <x:c r="Y219" s="139" t="n"/>
      <x:c r="Z219" s="139" t="n"/>
      <x:c r="AA219" s="139" t="n"/>
      <x:c r="AB219" s="139" t="n"/>
      <x:c r="AC219" s="139" t="n"/>
      <x:c r="AD219" s="139" t="n"/>
      <x:c r="AE219" s="139" t="n"/>
      <x:c r="AF219" s="139" t="n"/>
      <x:c r="AG219" s="139" t="n"/>
      <x:c r="AH219" s="139" t="n"/>
      <x:c r="AI219" s="139" t="n"/>
      <x:c r="AJ219" s="139" t="n"/>
      <x:c r="AK219" s="139" t="n"/>
      <x:c r="AL219" s="139" t="n"/>
      <x:c r="AM219" s="139" t="n"/>
      <x:c r="AN219" s="139" t="n"/>
      <x:c r="AO219" s="139" t="n"/>
      <x:c r="AP219" s="139" t="n"/>
      <x:c r="AQ219" s="139" t="n"/>
      <x:c r="AR219" s="139" t="n"/>
      <x:c r="AS219" s="139" t="n"/>
      <x:c r="AT219" s="139" t="n"/>
      <x:c r="AU219" s="139" t="n"/>
      <x:c r="AV219" s="139" t="n"/>
      <x:c r="AW219" s="139" t="n"/>
      <x:c r="AX219" s="139" t="n"/>
      <x:c r="AY219" s="139" t="n"/>
      <x:c r="AZ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c r="V220" s="139" t="n"/>
      <x:c r="W220" s="139" t="n"/>
      <x:c r="X220" s="139" t="n"/>
      <x:c r="Y220" s="139" t="n"/>
      <x:c r="Z220" s="139" t="n"/>
      <x:c r="AA220" s="139" t="n"/>
      <x:c r="AB220" s="139" t="n"/>
      <x:c r="AC220" s="139" t="n"/>
      <x:c r="AD220" s="139" t="n"/>
      <x:c r="AE220" s="139" t="n"/>
      <x:c r="AF220" s="139" t="n"/>
      <x:c r="AG220" s="139" t="n"/>
      <x:c r="AH220" s="139" t="n"/>
      <x:c r="AI220" s="139" t="n"/>
      <x:c r="AJ220" s="139" t="n"/>
      <x:c r="AK220" s="139" t="n"/>
      <x:c r="AL220" s="139" t="n"/>
      <x:c r="AM220" s="139" t="n"/>
      <x:c r="AN220" s="139" t="n"/>
      <x:c r="AO220" s="139" t="n"/>
      <x:c r="AP220" s="139" t="n"/>
      <x:c r="AQ220" s="139" t="n"/>
      <x:c r="AR220" s="139" t="n"/>
      <x:c r="AS220" s="139" t="n"/>
      <x:c r="AT220" s="139" t="n"/>
      <x:c r="AU220" s="139" t="n"/>
      <x:c r="AV220" s="139" t="n"/>
      <x:c r="AW220" s="139" t="n"/>
      <x:c r="AX220" s="139" t="n"/>
      <x:c r="AY220" s="139" t="n"/>
      <x:c r="AZ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c r="V221" s="139" t="n"/>
      <x:c r="W221" s="139" t="n"/>
      <x:c r="X221" s="139" t="n"/>
      <x:c r="Y221" s="139" t="n"/>
      <x:c r="Z221" s="139" t="n"/>
      <x:c r="AA221" s="139" t="n"/>
      <x:c r="AB221" s="139" t="n"/>
      <x:c r="AC221" s="139" t="n"/>
      <x:c r="AD221" s="139" t="n"/>
      <x:c r="AE221" s="139" t="n"/>
      <x:c r="AF221" s="139" t="n"/>
      <x:c r="AG221" s="139" t="n"/>
      <x:c r="AH221" s="139" t="n"/>
      <x:c r="AI221" s="139" t="n"/>
      <x:c r="AJ221" s="139" t="n"/>
      <x:c r="AK221" s="139" t="n"/>
      <x:c r="AL221" s="139" t="n"/>
      <x:c r="AM221" s="139" t="n"/>
      <x:c r="AN221" s="139" t="n"/>
      <x:c r="AO221" s="139" t="n"/>
      <x:c r="AP221" s="139" t="n"/>
      <x:c r="AQ221" s="139" t="n"/>
      <x:c r="AR221" s="139" t="n"/>
      <x:c r="AS221" s="139" t="n"/>
      <x:c r="AT221" s="139" t="n"/>
      <x:c r="AU221" s="139" t="n"/>
      <x:c r="AV221" s="139" t="n"/>
      <x:c r="AW221" s="139" t="n"/>
      <x:c r="AX221" s="139" t="n"/>
      <x:c r="AY221" s="139" t="n"/>
      <x:c r="AZ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c r="V222" s="139" t="n"/>
      <x:c r="W222" s="139" t="n"/>
      <x:c r="X222" s="139" t="n"/>
      <x:c r="Y222" s="139" t="n"/>
      <x:c r="Z222" s="139" t="n"/>
      <x:c r="AA222" s="139" t="n"/>
      <x:c r="AB222" s="139" t="n"/>
      <x:c r="AC222" s="139" t="n"/>
      <x:c r="AD222" s="139" t="n"/>
      <x:c r="AE222" s="139" t="n"/>
      <x:c r="AF222" s="139" t="n"/>
      <x:c r="AG222" s="139" t="n"/>
      <x:c r="AH222" s="139" t="n"/>
      <x:c r="AI222" s="139" t="n"/>
      <x:c r="AJ222" s="139" t="n"/>
      <x:c r="AK222" s="139" t="n"/>
      <x:c r="AL222" s="139" t="n"/>
      <x:c r="AM222" s="139" t="n"/>
      <x:c r="AN222" s="139" t="n"/>
      <x:c r="AO222" s="139" t="n"/>
      <x:c r="AP222" s="139" t="n"/>
      <x:c r="AQ222" s="139" t="n"/>
      <x:c r="AR222" s="139" t="n"/>
      <x:c r="AS222" s="139" t="n"/>
      <x:c r="AT222" s="139" t="n"/>
      <x:c r="AU222" s="139" t="n"/>
      <x:c r="AV222" s="139" t="n"/>
      <x:c r="AW222" s="139" t="n"/>
      <x:c r="AX222" s="139" t="n"/>
      <x:c r="AY222" s="139" t="n"/>
      <x:c r="AZ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c r="V223" s="139" t="n"/>
      <x:c r="W223" s="139" t="n"/>
      <x:c r="X223" s="139" t="n"/>
      <x:c r="Y223" s="139" t="n"/>
      <x:c r="Z223" s="139" t="n"/>
      <x:c r="AA223" s="139" t="n"/>
      <x:c r="AB223" s="139" t="n"/>
      <x:c r="AC223" s="139" t="n"/>
      <x:c r="AD223" s="139" t="n"/>
      <x:c r="AE223" s="139" t="n"/>
      <x:c r="AF223" s="139" t="n"/>
      <x:c r="AG223" s="139" t="n"/>
      <x:c r="AH223" s="139" t="n"/>
      <x:c r="AI223" s="139" t="n"/>
      <x:c r="AJ223" s="139" t="n"/>
      <x:c r="AK223" s="139" t="n"/>
      <x:c r="AL223" s="139" t="n"/>
      <x:c r="AM223" s="139" t="n"/>
      <x:c r="AN223" s="139" t="n"/>
      <x:c r="AO223" s="139" t="n"/>
      <x:c r="AP223" s="139" t="n"/>
      <x:c r="AQ223" s="139" t="n"/>
      <x:c r="AR223" s="139" t="n"/>
      <x:c r="AS223" s="139" t="n"/>
      <x:c r="AT223" s="139" t="n"/>
      <x:c r="AU223" s="139" t="n"/>
      <x:c r="AV223" s="139" t="n"/>
      <x:c r="AW223" s="139" t="n"/>
      <x:c r="AX223" s="139" t="n"/>
      <x:c r="AY223" s="139" t="n"/>
      <x:c r="AZ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c r="V224" s="139" t="n"/>
      <x:c r="W224" s="139" t="n"/>
      <x:c r="X224" s="139" t="n"/>
      <x:c r="Y224" s="139" t="n"/>
      <x:c r="Z224" s="139" t="n"/>
      <x:c r="AA224" s="139" t="n"/>
      <x:c r="AB224" s="139" t="n"/>
      <x:c r="AC224" s="139" t="n"/>
      <x:c r="AD224" s="139" t="n"/>
      <x:c r="AE224" s="139" t="n"/>
      <x:c r="AF224" s="139" t="n"/>
      <x:c r="AG224" s="139" t="n"/>
      <x:c r="AH224" s="139" t="n"/>
      <x:c r="AI224" s="139" t="n"/>
      <x:c r="AJ224" s="139" t="n"/>
      <x:c r="AK224" s="139" t="n"/>
      <x:c r="AL224" s="139" t="n"/>
      <x:c r="AM224" s="139" t="n"/>
      <x:c r="AN224" s="139" t="n"/>
      <x:c r="AO224" s="139" t="n"/>
      <x:c r="AP224" s="139" t="n"/>
      <x:c r="AQ224" s="139" t="n"/>
      <x:c r="AR224" s="139" t="n"/>
      <x:c r="AS224" s="139" t="n"/>
      <x:c r="AT224" s="139" t="n"/>
      <x:c r="AU224" s="139" t="n"/>
      <x:c r="AV224" s="139" t="n"/>
      <x:c r="AW224" s="139" t="n"/>
      <x:c r="AX224" s="139" t="n"/>
      <x:c r="AY224" s="139" t="n"/>
      <x:c r="AZ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c r="V225" s="139" t="n"/>
      <x:c r="W225" s="139" t="n"/>
      <x:c r="X225" s="139" t="n"/>
      <x:c r="Y225" s="139" t="n"/>
      <x:c r="Z225" s="139" t="n"/>
      <x:c r="AA225" s="139" t="n"/>
      <x:c r="AB225" s="139" t="n"/>
      <x:c r="AC225" s="139" t="n"/>
      <x:c r="AD225" s="139" t="n"/>
      <x:c r="AE225" s="139" t="n"/>
      <x:c r="AF225" s="139" t="n"/>
      <x:c r="AG225" s="139" t="n"/>
      <x:c r="AH225" s="139" t="n"/>
      <x:c r="AI225" s="139" t="n"/>
      <x:c r="AJ225" s="139" t="n"/>
      <x:c r="AK225" s="139" t="n"/>
      <x:c r="AL225" s="139" t="n"/>
      <x:c r="AM225" s="139" t="n"/>
      <x:c r="AN225" s="139" t="n"/>
      <x:c r="AO225" s="139" t="n"/>
      <x:c r="AP225" s="139" t="n"/>
      <x:c r="AQ225" s="139" t="n"/>
      <x:c r="AR225" s="139" t="n"/>
      <x:c r="AS225" s="139" t="n"/>
      <x:c r="AT225" s="139" t="n"/>
      <x:c r="AU225" s="139" t="n"/>
      <x:c r="AV225" s="139" t="n"/>
      <x:c r="AW225" s="139" t="n"/>
      <x:c r="AX225" s="139" t="n"/>
      <x:c r="AY225" s="139" t="n"/>
      <x:c r="AZ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c r="V226" s="139" t="n"/>
      <x:c r="W226" s="139" t="n"/>
      <x:c r="X226" s="139" t="n"/>
      <x:c r="Y226" s="139" t="n"/>
      <x:c r="Z226" s="139" t="n"/>
      <x:c r="AA226" s="139" t="n"/>
      <x:c r="AB226" s="139" t="n"/>
      <x:c r="AC226" s="139" t="n"/>
      <x:c r="AD226" s="139" t="n"/>
      <x:c r="AE226" s="139" t="n"/>
      <x:c r="AF226" s="139" t="n"/>
      <x:c r="AG226" s="139" t="n"/>
      <x:c r="AH226" s="139" t="n"/>
      <x:c r="AI226" s="139" t="n"/>
      <x:c r="AJ226" s="139" t="n"/>
      <x:c r="AK226" s="139" t="n"/>
      <x:c r="AL226" s="139" t="n"/>
      <x:c r="AM226" s="139" t="n"/>
      <x:c r="AN226" s="139" t="n"/>
      <x:c r="AO226" s="139" t="n"/>
      <x:c r="AP226" s="139" t="n"/>
      <x:c r="AQ226" s="139" t="n"/>
      <x:c r="AR226" s="139" t="n"/>
      <x:c r="AS226" s="139" t="n"/>
      <x:c r="AT226" s="139" t="n"/>
      <x:c r="AU226" s="139" t="n"/>
      <x:c r="AV226" s="139" t="n"/>
      <x:c r="AW226" s="139" t="n"/>
      <x:c r="AX226" s="139" t="n"/>
      <x:c r="AY226" s="139" t="n"/>
      <x:c r="AZ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c r="V227" s="139" t="n"/>
      <x:c r="W227" s="139" t="n"/>
      <x:c r="X227" s="139" t="n"/>
      <x:c r="Y227" s="139" t="n"/>
      <x:c r="Z227" s="139" t="n"/>
      <x:c r="AA227" s="139" t="n"/>
      <x:c r="AB227" s="139" t="n"/>
      <x:c r="AC227" s="139" t="n"/>
      <x:c r="AD227" s="139" t="n"/>
      <x:c r="AE227" s="139" t="n"/>
      <x:c r="AF227" s="139" t="n"/>
      <x:c r="AG227" s="139" t="n"/>
      <x:c r="AH227" s="139" t="n"/>
      <x:c r="AI227" s="139" t="n"/>
      <x:c r="AJ227" s="139" t="n"/>
      <x:c r="AK227" s="139" t="n"/>
      <x:c r="AL227" s="139" t="n"/>
      <x:c r="AM227" s="139" t="n"/>
      <x:c r="AN227" s="139" t="n"/>
      <x:c r="AO227" s="139" t="n"/>
      <x:c r="AP227" s="139" t="n"/>
      <x:c r="AQ227" s="139" t="n"/>
      <x:c r="AR227" s="139" t="n"/>
      <x:c r="AS227" s="139" t="n"/>
      <x:c r="AT227" s="139" t="n"/>
      <x:c r="AU227" s="139" t="n"/>
      <x:c r="AV227" s="139" t="n"/>
      <x:c r="AW227" s="139" t="n"/>
      <x:c r="AX227" s="139" t="n"/>
      <x:c r="AY227" s="139" t="n"/>
      <x:c r="AZ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c r="V228" s="139" t="n"/>
      <x:c r="W228" s="139" t="n"/>
      <x:c r="X228" s="139" t="n"/>
      <x:c r="Y228" s="139" t="n"/>
      <x:c r="Z228" s="139" t="n"/>
      <x:c r="AA228" s="139" t="n"/>
      <x:c r="AB228" s="139" t="n"/>
      <x:c r="AC228" s="139" t="n"/>
      <x:c r="AD228" s="139" t="n"/>
      <x:c r="AE228" s="139" t="n"/>
      <x:c r="AF228" s="139" t="n"/>
      <x:c r="AG228" s="139" t="n"/>
      <x:c r="AH228" s="139" t="n"/>
      <x:c r="AI228" s="139" t="n"/>
      <x:c r="AJ228" s="139" t="n"/>
      <x:c r="AK228" s="139" t="n"/>
      <x:c r="AL228" s="139" t="n"/>
      <x:c r="AM228" s="139" t="n"/>
      <x:c r="AN228" s="139" t="n"/>
      <x:c r="AO228" s="139" t="n"/>
      <x:c r="AP228" s="139" t="n"/>
      <x:c r="AQ228" s="139" t="n"/>
      <x:c r="AR228" s="139" t="n"/>
      <x:c r="AS228" s="139" t="n"/>
      <x:c r="AT228" s="139" t="n"/>
      <x:c r="AU228" s="139" t="n"/>
      <x:c r="AV228" s="139" t="n"/>
      <x:c r="AW228" s="139" t="n"/>
      <x:c r="AX228" s="139" t="n"/>
      <x:c r="AY228" s="139" t="n"/>
      <x:c r="AZ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c r="V229" s="139" t="n"/>
      <x:c r="W229" s="139" t="n"/>
      <x:c r="X229" s="139" t="n"/>
      <x:c r="Y229" s="139" t="n"/>
      <x:c r="Z229" s="139" t="n"/>
      <x:c r="AA229" s="139" t="n"/>
      <x:c r="AB229" s="139" t="n"/>
      <x:c r="AC229" s="139" t="n"/>
      <x:c r="AD229" s="139" t="n"/>
      <x:c r="AE229" s="139" t="n"/>
      <x:c r="AF229" s="139" t="n"/>
      <x:c r="AG229" s="139" t="n"/>
      <x:c r="AH229" s="139" t="n"/>
      <x:c r="AI229" s="139" t="n"/>
      <x:c r="AJ229" s="139" t="n"/>
      <x:c r="AK229" s="139" t="n"/>
      <x:c r="AL229" s="139" t="n"/>
      <x:c r="AM229" s="139" t="n"/>
      <x:c r="AN229" s="139" t="n"/>
      <x:c r="AO229" s="139" t="n"/>
      <x:c r="AP229" s="139" t="n"/>
      <x:c r="AQ229" s="139" t="n"/>
      <x:c r="AR229" s="139" t="n"/>
      <x:c r="AS229" s="139" t="n"/>
      <x:c r="AT229" s="139" t="n"/>
      <x:c r="AU229" s="139" t="n"/>
      <x:c r="AV229" s="139" t="n"/>
      <x:c r="AW229" s="139" t="n"/>
      <x:c r="AX229" s="139" t="n"/>
      <x:c r="AY229" s="139" t="n"/>
      <x:c r="AZ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c r="V230" s="139" t="n"/>
      <x:c r="W230" s="139" t="n"/>
      <x:c r="X230" s="139" t="n"/>
      <x:c r="Y230" s="139" t="n"/>
      <x:c r="Z230" s="139" t="n"/>
      <x:c r="AA230" s="139" t="n"/>
      <x:c r="AB230" s="139" t="n"/>
      <x:c r="AC230" s="139" t="n"/>
      <x:c r="AD230" s="139" t="n"/>
      <x:c r="AE230" s="139" t="n"/>
      <x:c r="AF230" s="139" t="n"/>
      <x:c r="AG230" s="139" t="n"/>
      <x:c r="AH230" s="139" t="n"/>
      <x:c r="AI230" s="139" t="n"/>
      <x:c r="AJ230" s="139" t="n"/>
      <x:c r="AK230" s="139" t="n"/>
      <x:c r="AL230" s="139" t="n"/>
      <x:c r="AM230" s="139" t="n"/>
      <x:c r="AN230" s="139" t="n"/>
      <x:c r="AO230" s="139" t="n"/>
      <x:c r="AP230" s="139" t="n"/>
      <x:c r="AQ230" s="139" t="n"/>
      <x:c r="AR230" s="139" t="n"/>
      <x:c r="AS230" s="139" t="n"/>
      <x:c r="AT230" s="139" t="n"/>
      <x:c r="AU230" s="139" t="n"/>
      <x:c r="AV230" s="139" t="n"/>
      <x:c r="AW230" s="139" t="n"/>
      <x:c r="AX230" s="139" t="n"/>
      <x:c r="AY230" s="139" t="n"/>
      <x:c r="AZ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c r="V231" s="139" t="n"/>
      <x:c r="W231" s="139" t="n"/>
      <x:c r="X231" s="139" t="n"/>
      <x:c r="Y231" s="139" t="n"/>
      <x:c r="Z231" s="139" t="n"/>
      <x:c r="AA231" s="139" t="n"/>
      <x:c r="AB231" s="139" t="n"/>
      <x:c r="AC231" s="139" t="n"/>
      <x:c r="AD231" s="139" t="n"/>
      <x:c r="AE231" s="139" t="n"/>
      <x:c r="AF231" s="139" t="n"/>
      <x:c r="AG231" s="139" t="n"/>
      <x:c r="AH231" s="139" t="n"/>
      <x:c r="AI231" s="139" t="n"/>
      <x:c r="AJ231" s="139" t="n"/>
      <x:c r="AK231" s="139" t="n"/>
      <x:c r="AL231" s="139" t="n"/>
      <x:c r="AM231" s="139" t="n"/>
      <x:c r="AN231" s="139" t="n"/>
      <x:c r="AO231" s="139" t="n"/>
      <x:c r="AP231" s="139" t="n"/>
      <x:c r="AQ231" s="139" t="n"/>
      <x:c r="AR231" s="139" t="n"/>
      <x:c r="AS231" s="139" t="n"/>
      <x:c r="AT231" s="139" t="n"/>
      <x:c r="AU231" s="139" t="n"/>
      <x:c r="AV231" s="139" t="n"/>
      <x:c r="AW231" s="139" t="n"/>
      <x:c r="AX231" s="139" t="n"/>
      <x:c r="AY231" s="139" t="n"/>
      <x:c r="AZ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c r="V232" s="139" t="n"/>
      <x:c r="W232" s="139" t="n"/>
      <x:c r="X232" s="139" t="n"/>
      <x:c r="Y232" s="139" t="n"/>
      <x:c r="Z232" s="139" t="n"/>
      <x:c r="AA232" s="139" t="n"/>
      <x:c r="AB232" s="139" t="n"/>
      <x:c r="AC232" s="139" t="n"/>
      <x:c r="AD232" s="139" t="n"/>
      <x:c r="AE232" s="139" t="n"/>
      <x:c r="AF232" s="139" t="n"/>
      <x:c r="AG232" s="139" t="n"/>
      <x:c r="AH232" s="139" t="n"/>
      <x:c r="AI232" s="139" t="n"/>
      <x:c r="AJ232" s="139" t="n"/>
      <x:c r="AK232" s="139" t="n"/>
      <x:c r="AL232" s="139" t="n"/>
      <x:c r="AM232" s="139" t="n"/>
      <x:c r="AN232" s="139" t="n"/>
      <x:c r="AO232" s="139" t="n"/>
      <x:c r="AP232" s="139" t="n"/>
      <x:c r="AQ232" s="139" t="n"/>
      <x:c r="AR232" s="139" t="n"/>
      <x:c r="AS232" s="139" t="n"/>
      <x:c r="AT232" s="139" t="n"/>
      <x:c r="AU232" s="139" t="n"/>
      <x:c r="AV232" s="139" t="n"/>
      <x:c r="AW232" s="139" t="n"/>
      <x:c r="AX232" s="139" t="n"/>
      <x:c r="AY232" s="139" t="n"/>
      <x:c r="AZ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c r="V233" s="139" t="n"/>
      <x:c r="W233" s="139" t="n"/>
      <x:c r="X233" s="139" t="n"/>
      <x:c r="Y233" s="139" t="n"/>
      <x:c r="Z233" s="139" t="n"/>
      <x:c r="AA233" s="139" t="n"/>
      <x:c r="AB233" s="139" t="n"/>
      <x:c r="AC233" s="139" t="n"/>
      <x:c r="AD233" s="139" t="n"/>
      <x:c r="AE233" s="139" t="n"/>
      <x:c r="AF233" s="139" t="n"/>
      <x:c r="AG233" s="139" t="n"/>
      <x:c r="AH233" s="139" t="n"/>
      <x:c r="AI233" s="139" t="n"/>
      <x:c r="AJ233" s="139" t="n"/>
      <x:c r="AK233" s="139" t="n"/>
      <x:c r="AL233" s="139" t="n"/>
      <x:c r="AM233" s="139" t="n"/>
      <x:c r="AN233" s="139" t="n"/>
      <x:c r="AO233" s="139" t="n"/>
      <x:c r="AP233" s="139" t="n"/>
      <x:c r="AQ233" s="139" t="n"/>
      <x:c r="AR233" s="139" t="n"/>
      <x:c r="AS233" s="139" t="n"/>
      <x:c r="AT233" s="139" t="n"/>
      <x:c r="AU233" s="139" t="n"/>
      <x:c r="AV233" s="139" t="n"/>
      <x:c r="AW233" s="139" t="n"/>
      <x:c r="AX233" s="139" t="n"/>
      <x:c r="AY233" s="139" t="n"/>
      <x:c r="AZ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c r="V234" s="139" t="n"/>
      <x:c r="W234" s="139" t="n"/>
      <x:c r="X234" s="139" t="n"/>
      <x:c r="Y234" s="139" t="n"/>
      <x:c r="Z234" s="139" t="n"/>
      <x:c r="AA234" s="139" t="n"/>
      <x:c r="AB234" s="139" t="n"/>
      <x:c r="AC234" s="139" t="n"/>
      <x:c r="AD234" s="139" t="n"/>
      <x:c r="AE234" s="139" t="n"/>
      <x:c r="AF234" s="139" t="n"/>
      <x:c r="AG234" s="139" t="n"/>
      <x:c r="AH234" s="139" t="n"/>
      <x:c r="AI234" s="139" t="n"/>
      <x:c r="AJ234" s="139" t="n"/>
      <x:c r="AK234" s="139" t="n"/>
      <x:c r="AL234" s="139" t="n"/>
      <x:c r="AM234" s="139" t="n"/>
      <x:c r="AN234" s="139" t="n"/>
      <x:c r="AO234" s="139" t="n"/>
      <x:c r="AP234" s="139" t="n"/>
      <x:c r="AQ234" s="139" t="n"/>
      <x:c r="AR234" s="139" t="n"/>
      <x:c r="AS234" s="139" t="n"/>
      <x:c r="AT234" s="139" t="n"/>
      <x:c r="AU234" s="139" t="n"/>
      <x:c r="AV234" s="139" t="n"/>
      <x:c r="AW234" s="139" t="n"/>
      <x:c r="AX234" s="139" t="n"/>
      <x:c r="AY234" s="139" t="n"/>
      <x:c r="AZ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c r="V235" s="139" t="n"/>
      <x:c r="W235" s="139" t="n"/>
      <x:c r="X235" s="139" t="n"/>
      <x:c r="Y235" s="139" t="n"/>
      <x:c r="Z235" s="139" t="n"/>
      <x:c r="AA235" s="139" t="n"/>
      <x:c r="AB235" s="139" t="n"/>
      <x:c r="AC235" s="139" t="n"/>
      <x:c r="AD235" s="139" t="n"/>
      <x:c r="AE235" s="139" t="n"/>
      <x:c r="AF235" s="139" t="n"/>
      <x:c r="AG235" s="139" t="n"/>
      <x:c r="AH235" s="139" t="n"/>
      <x:c r="AI235" s="139" t="n"/>
      <x:c r="AJ235" s="139" t="n"/>
      <x:c r="AK235" s="139" t="n"/>
      <x:c r="AL235" s="139" t="n"/>
      <x:c r="AM235" s="139" t="n"/>
      <x:c r="AN235" s="139" t="n"/>
      <x:c r="AO235" s="139" t="n"/>
      <x:c r="AP235" s="139" t="n"/>
      <x:c r="AQ235" s="139" t="n"/>
      <x:c r="AR235" s="139" t="n"/>
      <x:c r="AS235" s="139" t="n"/>
      <x:c r="AT235" s="139" t="n"/>
      <x:c r="AU235" s="139" t="n"/>
      <x:c r="AV235" s="139" t="n"/>
      <x:c r="AW235" s="139" t="n"/>
      <x:c r="AX235" s="139" t="n"/>
      <x:c r="AY235" s="139" t="n"/>
      <x:c r="AZ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c r="V236" s="139" t="n"/>
      <x:c r="W236" s="139" t="n"/>
      <x:c r="X236" s="139" t="n"/>
      <x:c r="Y236" s="139" t="n"/>
      <x:c r="Z236" s="139" t="n"/>
      <x:c r="AA236" s="139" t="n"/>
      <x:c r="AB236" s="139" t="n"/>
      <x:c r="AC236" s="139" t="n"/>
      <x:c r="AD236" s="139" t="n"/>
      <x:c r="AE236" s="139" t="n"/>
      <x:c r="AF236" s="139" t="n"/>
      <x:c r="AG236" s="139" t="n"/>
      <x:c r="AH236" s="139" t="n"/>
      <x:c r="AI236" s="139" t="n"/>
      <x:c r="AJ236" s="139" t="n"/>
      <x:c r="AK236" s="139" t="n"/>
      <x:c r="AL236" s="139" t="n"/>
      <x:c r="AM236" s="139" t="n"/>
      <x:c r="AN236" s="139" t="n"/>
      <x:c r="AO236" s="139" t="n"/>
      <x:c r="AP236" s="139" t="n"/>
      <x:c r="AQ236" s="139" t="n"/>
      <x:c r="AR236" s="139" t="n"/>
      <x:c r="AS236" s="139" t="n"/>
      <x:c r="AT236" s="139" t="n"/>
      <x:c r="AU236" s="139" t="n"/>
      <x:c r="AV236" s="139" t="n"/>
      <x:c r="AW236" s="139" t="n"/>
      <x:c r="AX236" s="139" t="n"/>
      <x:c r="AY236" s="139" t="n"/>
      <x:c r="AZ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c r="V237" s="139" t="n"/>
      <x:c r="W237" s="139" t="n"/>
      <x:c r="X237" s="139" t="n"/>
      <x:c r="Y237" s="139" t="n"/>
      <x:c r="Z237" s="139" t="n"/>
      <x:c r="AA237" s="139" t="n"/>
      <x:c r="AB237" s="139" t="n"/>
      <x:c r="AC237" s="139" t="n"/>
      <x:c r="AD237" s="139" t="n"/>
      <x:c r="AE237" s="139" t="n"/>
      <x:c r="AF237" s="139" t="n"/>
      <x:c r="AG237" s="139" t="n"/>
      <x:c r="AH237" s="139" t="n"/>
      <x:c r="AI237" s="139" t="n"/>
      <x:c r="AJ237" s="139" t="n"/>
      <x:c r="AK237" s="139" t="n"/>
      <x:c r="AL237" s="139" t="n"/>
      <x:c r="AM237" s="139" t="n"/>
      <x:c r="AN237" s="139" t="n"/>
      <x:c r="AO237" s="139" t="n"/>
      <x:c r="AP237" s="139" t="n"/>
      <x:c r="AQ237" s="139" t="n"/>
      <x:c r="AR237" s="139" t="n"/>
      <x:c r="AS237" s="139" t="n"/>
      <x:c r="AT237" s="139" t="n"/>
      <x:c r="AU237" s="139" t="n"/>
      <x:c r="AV237" s="139" t="n"/>
      <x:c r="AW237" s="139" t="n"/>
      <x:c r="AX237" s="139" t="n"/>
      <x:c r="AY237" s="139" t="n"/>
      <x:c r="AZ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c r="V238" s="139" t="n"/>
      <x:c r="W238" s="139" t="n"/>
      <x:c r="X238" s="139" t="n"/>
      <x:c r="Y238" s="139" t="n"/>
      <x:c r="Z238" s="139" t="n"/>
      <x:c r="AA238" s="139" t="n"/>
      <x:c r="AB238" s="139" t="n"/>
      <x:c r="AC238" s="139" t="n"/>
      <x:c r="AD238" s="139" t="n"/>
      <x:c r="AE238" s="139" t="n"/>
      <x:c r="AF238" s="139" t="n"/>
      <x:c r="AG238" s="139" t="n"/>
      <x:c r="AH238" s="139" t="n"/>
      <x:c r="AI238" s="139" t="n"/>
      <x:c r="AJ238" s="139" t="n"/>
      <x:c r="AK238" s="139" t="n"/>
      <x:c r="AL238" s="139" t="n"/>
      <x:c r="AM238" s="139" t="n"/>
      <x:c r="AN238" s="139" t="n"/>
      <x:c r="AO238" s="139" t="n"/>
      <x:c r="AP238" s="139" t="n"/>
      <x:c r="AQ238" s="139" t="n"/>
      <x:c r="AR238" s="139" t="n"/>
      <x:c r="AS238" s="139" t="n"/>
      <x:c r="AT238" s="139" t="n"/>
      <x:c r="AU238" s="139" t="n"/>
      <x:c r="AV238" s="139" t="n"/>
      <x:c r="AW238" s="139" t="n"/>
      <x:c r="AX238" s="139" t="n"/>
      <x:c r="AY238" s="139" t="n"/>
      <x:c r="AZ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c r="V239" s="139" t="n"/>
      <x:c r="W239" s="139" t="n"/>
      <x:c r="X239" s="139" t="n"/>
      <x:c r="Y239" s="139" t="n"/>
      <x:c r="Z239" s="139" t="n"/>
      <x:c r="AA239" s="139" t="n"/>
      <x:c r="AB239" s="139" t="n"/>
      <x:c r="AC239" s="139" t="n"/>
      <x:c r="AD239" s="139" t="n"/>
      <x:c r="AE239" s="139" t="n"/>
      <x:c r="AF239" s="139" t="n"/>
      <x:c r="AG239" s="139" t="n"/>
      <x:c r="AH239" s="139" t="n"/>
      <x:c r="AI239" s="139" t="n"/>
      <x:c r="AJ239" s="139" t="n"/>
      <x:c r="AK239" s="139" t="n"/>
      <x:c r="AL239" s="139" t="n"/>
      <x:c r="AM239" s="139" t="n"/>
      <x:c r="AN239" s="139" t="n"/>
      <x:c r="AO239" s="139" t="n"/>
      <x:c r="AP239" s="139" t="n"/>
      <x:c r="AQ239" s="139" t="n"/>
      <x:c r="AR239" s="139" t="n"/>
      <x:c r="AS239" s="139" t="n"/>
      <x:c r="AT239" s="139" t="n"/>
      <x:c r="AU239" s="139" t="n"/>
      <x:c r="AV239" s="139" t="n"/>
      <x:c r="AW239" s="139" t="n"/>
      <x:c r="AX239" s="139" t="n"/>
      <x:c r="AY239" s="139" t="n"/>
      <x:c r="AZ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c r="V240" s="139" t="n"/>
      <x:c r="W240" s="139" t="n"/>
      <x:c r="X240" s="139" t="n"/>
      <x:c r="Y240" s="139" t="n"/>
      <x:c r="Z240" s="139" t="n"/>
      <x:c r="AA240" s="139" t="n"/>
      <x:c r="AB240" s="139" t="n"/>
      <x:c r="AC240" s="139" t="n"/>
      <x:c r="AD240" s="139" t="n"/>
      <x:c r="AE240" s="139" t="n"/>
      <x:c r="AF240" s="139" t="n"/>
      <x:c r="AG240" s="139" t="n"/>
      <x:c r="AH240" s="139" t="n"/>
      <x:c r="AI240" s="139" t="n"/>
      <x:c r="AJ240" s="139" t="n"/>
      <x:c r="AK240" s="139" t="n"/>
      <x:c r="AL240" s="139" t="n"/>
      <x:c r="AM240" s="139" t="n"/>
      <x:c r="AN240" s="139" t="n"/>
      <x:c r="AO240" s="139" t="n"/>
      <x:c r="AP240" s="139" t="n"/>
      <x:c r="AQ240" s="139" t="n"/>
      <x:c r="AR240" s="139" t="n"/>
      <x:c r="AS240" s="139" t="n"/>
      <x:c r="AT240" s="139" t="n"/>
      <x:c r="AU240" s="139" t="n"/>
      <x:c r="AV240" s="139" t="n"/>
      <x:c r="AW240" s="139" t="n"/>
      <x:c r="AX240" s="139" t="n"/>
      <x:c r="AY240" s="139" t="n"/>
      <x:c r="AZ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c r="V241" s="139" t="n"/>
      <x:c r="W241" s="139" t="n"/>
      <x:c r="X241" s="139" t="n"/>
      <x:c r="Y241" s="139" t="n"/>
      <x:c r="Z241" s="139" t="n"/>
      <x:c r="AA241" s="139" t="n"/>
      <x:c r="AB241" s="139" t="n"/>
      <x:c r="AC241" s="139" t="n"/>
      <x:c r="AD241" s="139" t="n"/>
      <x:c r="AE241" s="139" t="n"/>
      <x:c r="AF241" s="139" t="n"/>
      <x:c r="AG241" s="139" t="n"/>
      <x:c r="AH241" s="139" t="n"/>
      <x:c r="AI241" s="139" t="n"/>
      <x:c r="AJ241" s="139" t="n"/>
      <x:c r="AK241" s="139" t="n"/>
      <x:c r="AL241" s="139" t="n"/>
      <x:c r="AM241" s="139" t="n"/>
      <x:c r="AN241" s="139" t="n"/>
      <x:c r="AO241" s="139" t="n"/>
      <x:c r="AP241" s="139" t="n"/>
      <x:c r="AQ241" s="139" t="n"/>
      <x:c r="AR241" s="139" t="n"/>
      <x:c r="AS241" s="139" t="n"/>
      <x:c r="AT241" s="139" t="n"/>
      <x:c r="AU241" s="139" t="n"/>
      <x:c r="AV241" s="139" t="n"/>
      <x:c r="AW241" s="139" t="n"/>
      <x:c r="AX241" s="139" t="n"/>
      <x:c r="AY241" s="139" t="n"/>
      <x:c r="AZ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c r="V242" s="139" t="n"/>
      <x:c r="W242" s="139" t="n"/>
      <x:c r="X242" s="139" t="n"/>
      <x:c r="Y242" s="139" t="n"/>
      <x:c r="Z242" s="139" t="n"/>
      <x:c r="AA242" s="139" t="n"/>
      <x:c r="AB242" s="139" t="n"/>
      <x:c r="AC242" s="139" t="n"/>
      <x:c r="AD242" s="139" t="n"/>
      <x:c r="AE242" s="139" t="n"/>
      <x:c r="AF242" s="139" t="n"/>
      <x:c r="AG242" s="139" t="n"/>
      <x:c r="AH242" s="139" t="n"/>
      <x:c r="AI242" s="139" t="n"/>
      <x:c r="AJ242" s="139" t="n"/>
      <x:c r="AK242" s="139" t="n"/>
      <x:c r="AL242" s="139" t="n"/>
      <x:c r="AM242" s="139" t="n"/>
      <x:c r="AN242" s="139" t="n"/>
      <x:c r="AO242" s="139" t="n"/>
      <x:c r="AP242" s="139" t="n"/>
      <x:c r="AQ242" s="139" t="n"/>
      <x:c r="AR242" s="139" t="n"/>
      <x:c r="AS242" s="139" t="n"/>
      <x:c r="AT242" s="139" t="n"/>
      <x:c r="AU242" s="139" t="n"/>
      <x:c r="AV242" s="139" t="n"/>
      <x:c r="AW242" s="139" t="n"/>
      <x:c r="AX242" s="139" t="n"/>
      <x:c r="AY242" s="139" t="n"/>
      <x:c r="AZ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c r="V243" s="139" t="n"/>
      <x:c r="W243" s="139" t="n"/>
      <x:c r="X243" s="139" t="n"/>
      <x:c r="Y243" s="139" t="n"/>
      <x:c r="Z243" s="139" t="n"/>
      <x:c r="AA243" s="139" t="n"/>
      <x:c r="AB243" s="139" t="n"/>
      <x:c r="AC243" s="139" t="n"/>
      <x:c r="AD243" s="139" t="n"/>
      <x:c r="AE243" s="139" t="n"/>
      <x:c r="AF243" s="139" t="n"/>
      <x:c r="AG243" s="139" t="n"/>
      <x:c r="AH243" s="139" t="n"/>
      <x:c r="AI243" s="139" t="n"/>
      <x:c r="AJ243" s="139" t="n"/>
      <x:c r="AK243" s="139" t="n"/>
      <x:c r="AL243" s="139" t="n"/>
      <x:c r="AM243" s="139" t="n"/>
      <x:c r="AN243" s="139" t="n"/>
      <x:c r="AO243" s="139" t="n"/>
      <x:c r="AP243" s="139" t="n"/>
      <x:c r="AQ243" s="139" t="n"/>
      <x:c r="AR243" s="139" t="n"/>
      <x:c r="AS243" s="139" t="n"/>
      <x:c r="AT243" s="139" t="n"/>
      <x:c r="AU243" s="139" t="n"/>
      <x:c r="AV243" s="139" t="n"/>
      <x:c r="AW243" s="139" t="n"/>
      <x:c r="AX243" s="139" t="n"/>
      <x:c r="AY243" s="139" t="n"/>
      <x:c r="AZ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c r="V244" s="139" t="n"/>
      <x:c r="W244" s="139" t="n"/>
      <x:c r="X244" s="139" t="n"/>
      <x:c r="Y244" s="139" t="n"/>
      <x:c r="Z244" s="139" t="n"/>
      <x:c r="AA244" s="139" t="n"/>
      <x:c r="AB244" s="139" t="n"/>
      <x:c r="AC244" s="139" t="n"/>
      <x:c r="AD244" s="139" t="n"/>
      <x:c r="AE244" s="139" t="n"/>
      <x:c r="AF244" s="139" t="n"/>
      <x:c r="AG244" s="139" t="n"/>
      <x:c r="AH244" s="139" t="n"/>
      <x:c r="AI244" s="139" t="n"/>
      <x:c r="AJ244" s="139" t="n"/>
      <x:c r="AK244" s="139" t="n"/>
      <x:c r="AL244" s="139" t="n"/>
      <x:c r="AM244" s="139" t="n"/>
      <x:c r="AN244" s="139" t="n"/>
      <x:c r="AO244" s="139" t="n"/>
      <x:c r="AP244" s="139" t="n"/>
      <x:c r="AQ244" s="139" t="n"/>
      <x:c r="AR244" s="139" t="n"/>
      <x:c r="AS244" s="139" t="n"/>
      <x:c r="AT244" s="139" t="n"/>
      <x:c r="AU244" s="139" t="n"/>
      <x:c r="AV244" s="139" t="n"/>
      <x:c r="AW244" s="139" t="n"/>
      <x:c r="AX244" s="139" t="n"/>
      <x:c r="AY244" s="139" t="n"/>
      <x:c r="AZ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c r="V245" s="139" t="n"/>
      <x:c r="W245" s="139" t="n"/>
      <x:c r="X245" s="139" t="n"/>
      <x:c r="Y245" s="139" t="n"/>
      <x:c r="Z245" s="139" t="n"/>
      <x:c r="AA245" s="139" t="n"/>
      <x:c r="AB245" s="139" t="n"/>
      <x:c r="AC245" s="139" t="n"/>
      <x:c r="AD245" s="139" t="n"/>
      <x:c r="AE245" s="139" t="n"/>
      <x:c r="AF245" s="139" t="n"/>
      <x:c r="AG245" s="139" t="n"/>
      <x:c r="AH245" s="139" t="n"/>
      <x:c r="AI245" s="139" t="n"/>
      <x:c r="AJ245" s="139" t="n"/>
      <x:c r="AK245" s="139" t="n"/>
      <x:c r="AL245" s="139" t="n"/>
      <x:c r="AM245" s="139" t="n"/>
      <x:c r="AN245" s="139" t="n"/>
      <x:c r="AO245" s="139" t="n"/>
      <x:c r="AP245" s="139" t="n"/>
      <x:c r="AQ245" s="139" t="n"/>
      <x:c r="AR245" s="139" t="n"/>
      <x:c r="AS245" s="139" t="n"/>
      <x:c r="AT245" s="139" t="n"/>
      <x:c r="AU245" s="139" t="n"/>
      <x:c r="AV245" s="139" t="n"/>
      <x:c r="AW245" s="139" t="n"/>
      <x:c r="AX245" s="139" t="n"/>
      <x:c r="AY245" s="139" t="n"/>
      <x:c r="AZ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c r="V246" s="139" t="n"/>
      <x:c r="W246" s="139" t="n"/>
      <x:c r="X246" s="139" t="n"/>
      <x:c r="Y246" s="139" t="n"/>
      <x:c r="Z246" s="139" t="n"/>
      <x:c r="AA246" s="139" t="n"/>
      <x:c r="AB246" s="139" t="n"/>
      <x:c r="AC246" s="139" t="n"/>
      <x:c r="AD246" s="139" t="n"/>
      <x:c r="AE246" s="139" t="n"/>
      <x:c r="AF246" s="139" t="n"/>
      <x:c r="AG246" s="139" t="n"/>
      <x:c r="AH246" s="139" t="n"/>
      <x:c r="AI246" s="139" t="n"/>
      <x:c r="AJ246" s="139" t="n"/>
      <x:c r="AK246" s="139" t="n"/>
      <x:c r="AL246" s="139" t="n"/>
      <x:c r="AM246" s="139" t="n"/>
      <x:c r="AN246" s="139" t="n"/>
      <x:c r="AO246" s="139" t="n"/>
      <x:c r="AP246" s="139" t="n"/>
      <x:c r="AQ246" s="139" t="n"/>
      <x:c r="AR246" s="139" t="n"/>
      <x:c r="AS246" s="139" t="n"/>
      <x:c r="AT246" s="139" t="n"/>
      <x:c r="AU246" s="139" t="n"/>
      <x:c r="AV246" s="139" t="n"/>
      <x:c r="AW246" s="139" t="n"/>
      <x:c r="AX246" s="139" t="n"/>
      <x:c r="AY246" s="139" t="n"/>
      <x:c r="AZ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c r="V247" s="139" t="n"/>
      <x:c r="W247" s="139" t="n"/>
      <x:c r="X247" s="139" t="n"/>
      <x:c r="Y247" s="139" t="n"/>
      <x:c r="Z247" s="139" t="n"/>
      <x:c r="AA247" s="139" t="n"/>
      <x:c r="AB247" s="139" t="n"/>
      <x:c r="AC247" s="139" t="n"/>
      <x:c r="AD247" s="139" t="n"/>
      <x:c r="AE247" s="139" t="n"/>
      <x:c r="AF247" s="139" t="n"/>
      <x:c r="AG247" s="139" t="n"/>
      <x:c r="AH247" s="139" t="n"/>
      <x:c r="AI247" s="139" t="n"/>
      <x:c r="AJ247" s="139" t="n"/>
      <x:c r="AK247" s="139" t="n"/>
      <x:c r="AL247" s="139" t="n"/>
      <x:c r="AM247" s="139" t="n"/>
      <x:c r="AN247" s="139" t="n"/>
      <x:c r="AO247" s="139" t="n"/>
      <x:c r="AP247" s="139" t="n"/>
      <x:c r="AQ247" s="139" t="n"/>
      <x:c r="AR247" s="139" t="n"/>
      <x:c r="AS247" s="139" t="n"/>
      <x:c r="AT247" s="139" t="n"/>
      <x:c r="AU247" s="139" t="n"/>
      <x:c r="AV247" s="139" t="n"/>
      <x:c r="AW247" s="139" t="n"/>
      <x:c r="AX247" s="139" t="n"/>
      <x:c r="AY247" s="139" t="n"/>
      <x:c r="AZ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c r="V248" s="139" t="n"/>
      <x:c r="W248" s="139" t="n"/>
      <x:c r="X248" s="139" t="n"/>
      <x:c r="Y248" s="139" t="n"/>
      <x:c r="Z248" s="139" t="n"/>
      <x:c r="AA248" s="139" t="n"/>
      <x:c r="AB248" s="139" t="n"/>
      <x:c r="AC248" s="139" t="n"/>
      <x:c r="AD248" s="139" t="n"/>
      <x:c r="AE248" s="139" t="n"/>
      <x:c r="AF248" s="139" t="n"/>
      <x:c r="AG248" s="139" t="n"/>
      <x:c r="AH248" s="139" t="n"/>
      <x:c r="AI248" s="139" t="n"/>
      <x:c r="AJ248" s="139" t="n"/>
      <x:c r="AK248" s="139" t="n"/>
      <x:c r="AL248" s="139" t="n"/>
      <x:c r="AM248" s="139" t="n"/>
      <x:c r="AN248" s="139" t="n"/>
      <x:c r="AO248" s="139" t="n"/>
      <x:c r="AP248" s="139" t="n"/>
      <x:c r="AQ248" s="139" t="n"/>
      <x:c r="AR248" s="139" t="n"/>
      <x:c r="AS248" s="139" t="n"/>
      <x:c r="AT248" s="139" t="n"/>
      <x:c r="AU248" s="139" t="n"/>
      <x:c r="AV248" s="139" t="n"/>
      <x:c r="AW248" s="139" t="n"/>
      <x:c r="AX248" s="139" t="n"/>
      <x:c r="AY248" s="139" t="n"/>
      <x:c r="AZ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c r="V249" s="139" t="n"/>
      <x:c r="W249" s="139" t="n"/>
      <x:c r="X249" s="139" t="n"/>
      <x:c r="Y249" s="139" t="n"/>
      <x:c r="Z249" s="139" t="n"/>
      <x:c r="AA249" s="139" t="n"/>
      <x:c r="AB249" s="139" t="n"/>
      <x:c r="AC249" s="139" t="n"/>
      <x:c r="AD249" s="139" t="n"/>
      <x:c r="AE249" s="139" t="n"/>
      <x:c r="AF249" s="139" t="n"/>
      <x:c r="AG249" s="139" t="n"/>
      <x:c r="AH249" s="139" t="n"/>
      <x:c r="AI249" s="139" t="n"/>
      <x:c r="AJ249" s="139" t="n"/>
      <x:c r="AK249" s="139" t="n"/>
      <x:c r="AL249" s="139" t="n"/>
      <x:c r="AM249" s="139" t="n"/>
      <x:c r="AN249" s="139" t="n"/>
      <x:c r="AO249" s="139" t="n"/>
      <x:c r="AP249" s="139" t="n"/>
      <x:c r="AQ249" s="139" t="n"/>
      <x:c r="AR249" s="139" t="n"/>
      <x:c r="AS249" s="139" t="n"/>
      <x:c r="AT249" s="139" t="n"/>
      <x:c r="AU249" s="139" t="n"/>
      <x:c r="AV249" s="139" t="n"/>
      <x:c r="AW249" s="139" t="n"/>
      <x:c r="AX249" s="139" t="n"/>
      <x:c r="AY249" s="139" t="n"/>
      <x:c r="AZ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c r="V250" s="139" t="n"/>
      <x:c r="W250" s="139" t="n"/>
      <x:c r="X250" s="139" t="n"/>
      <x:c r="Y250" s="139" t="n"/>
      <x:c r="Z250" s="139" t="n"/>
      <x:c r="AA250" s="139" t="n"/>
      <x:c r="AB250" s="139" t="n"/>
      <x:c r="AC250" s="139" t="n"/>
      <x:c r="AD250" s="139" t="n"/>
      <x:c r="AE250" s="139" t="n"/>
      <x:c r="AF250" s="139" t="n"/>
      <x:c r="AG250" s="139" t="n"/>
      <x:c r="AH250" s="139" t="n"/>
      <x:c r="AI250" s="139" t="n"/>
      <x:c r="AJ250" s="139" t="n"/>
      <x:c r="AK250" s="139" t="n"/>
      <x:c r="AL250" s="139" t="n"/>
      <x:c r="AM250" s="139" t="n"/>
      <x:c r="AN250" s="139" t="n"/>
      <x:c r="AO250" s="139" t="n"/>
      <x:c r="AP250" s="139" t="n"/>
      <x:c r="AQ250" s="139" t="n"/>
      <x:c r="AR250" s="139" t="n"/>
      <x:c r="AS250" s="139" t="n"/>
      <x:c r="AT250" s="139" t="n"/>
      <x:c r="AU250" s="139" t="n"/>
      <x:c r="AV250" s="139" t="n"/>
      <x:c r="AW250" s="139" t="n"/>
      <x:c r="AX250" s="139" t="n"/>
      <x:c r="AY250" s="139" t="n"/>
      <x:c r="AZ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c r="V251" s="139" t="n"/>
      <x:c r="W251" s="139" t="n"/>
      <x:c r="X251" s="139" t="n"/>
      <x:c r="Y251" s="139" t="n"/>
      <x:c r="Z251" s="139" t="n"/>
      <x:c r="AA251" s="139" t="n"/>
      <x:c r="AB251" s="139" t="n"/>
      <x:c r="AC251" s="139" t="n"/>
      <x:c r="AD251" s="139" t="n"/>
      <x:c r="AE251" s="139" t="n"/>
      <x:c r="AF251" s="139" t="n"/>
      <x:c r="AG251" s="139" t="n"/>
      <x:c r="AH251" s="139" t="n"/>
      <x:c r="AI251" s="139" t="n"/>
      <x:c r="AJ251" s="139" t="n"/>
      <x:c r="AK251" s="139" t="n"/>
      <x:c r="AL251" s="139" t="n"/>
      <x:c r="AM251" s="139" t="n"/>
      <x:c r="AN251" s="139" t="n"/>
      <x:c r="AO251" s="139" t="n"/>
      <x:c r="AP251" s="139" t="n"/>
      <x:c r="AQ251" s="139" t="n"/>
      <x:c r="AR251" s="139" t="n"/>
      <x:c r="AS251" s="139" t="n"/>
      <x:c r="AT251" s="139" t="n"/>
      <x:c r="AU251" s="139" t="n"/>
      <x:c r="AV251" s="139" t="n"/>
      <x:c r="AW251" s="139" t="n"/>
      <x:c r="AX251" s="139" t="n"/>
      <x:c r="AY251" s="139" t="n"/>
      <x:c r="AZ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c r="V252" s="139" t="n"/>
      <x:c r="W252" s="139" t="n"/>
      <x:c r="X252" s="139" t="n"/>
      <x:c r="Y252" s="139" t="n"/>
      <x:c r="Z252" s="139" t="n"/>
      <x:c r="AA252" s="139" t="n"/>
      <x:c r="AB252" s="139" t="n"/>
      <x:c r="AC252" s="139" t="n"/>
      <x:c r="AD252" s="139" t="n"/>
      <x:c r="AE252" s="139" t="n"/>
      <x:c r="AF252" s="139" t="n"/>
      <x:c r="AG252" s="139" t="n"/>
      <x:c r="AH252" s="139" t="n"/>
      <x:c r="AI252" s="139" t="n"/>
      <x:c r="AJ252" s="139" t="n"/>
      <x:c r="AK252" s="139" t="n"/>
      <x:c r="AL252" s="139" t="n"/>
      <x:c r="AM252" s="139" t="n"/>
      <x:c r="AN252" s="139" t="n"/>
      <x:c r="AO252" s="139" t="n"/>
      <x:c r="AP252" s="139" t="n"/>
      <x:c r="AQ252" s="139" t="n"/>
      <x:c r="AR252" s="139" t="n"/>
      <x:c r="AS252" s="139" t="n"/>
      <x:c r="AT252" s="139" t="n"/>
      <x:c r="AU252" s="139" t="n"/>
      <x:c r="AV252" s="139" t="n"/>
      <x:c r="AW252" s="139" t="n"/>
      <x:c r="AX252" s="139" t="n"/>
      <x:c r="AY252" s="139" t="n"/>
      <x:c r="AZ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c r="V253" s="139" t="n"/>
      <x:c r="W253" s="139" t="n"/>
      <x:c r="X253" s="139" t="n"/>
      <x:c r="Y253" s="139" t="n"/>
      <x:c r="Z253" s="139" t="n"/>
      <x:c r="AA253" s="139" t="n"/>
      <x:c r="AB253" s="139" t="n"/>
      <x:c r="AC253" s="139" t="n"/>
      <x:c r="AD253" s="139" t="n"/>
      <x:c r="AE253" s="139" t="n"/>
      <x:c r="AF253" s="139" t="n"/>
      <x:c r="AG253" s="139" t="n"/>
      <x:c r="AH253" s="139" t="n"/>
      <x:c r="AI253" s="139" t="n"/>
      <x:c r="AJ253" s="139" t="n"/>
      <x:c r="AK253" s="139" t="n"/>
      <x:c r="AL253" s="139" t="n"/>
      <x:c r="AM253" s="139" t="n"/>
      <x:c r="AN253" s="139" t="n"/>
      <x:c r="AO253" s="139" t="n"/>
      <x:c r="AP253" s="139" t="n"/>
      <x:c r="AQ253" s="139" t="n"/>
      <x:c r="AR253" s="139" t="n"/>
      <x:c r="AS253" s="139" t="n"/>
      <x:c r="AT253" s="139" t="n"/>
      <x:c r="AU253" s="139" t="n"/>
      <x:c r="AV253" s="139" t="n"/>
      <x:c r="AW253" s="139" t="n"/>
      <x:c r="AX253" s="139" t="n"/>
      <x:c r="AY253" s="139" t="n"/>
      <x:c r="AZ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c r="V254" s="139" t="n"/>
      <x:c r="W254" s="139" t="n"/>
      <x:c r="X254" s="139" t="n"/>
      <x:c r="Y254" s="139" t="n"/>
      <x:c r="Z254" s="139" t="n"/>
      <x:c r="AA254" s="139" t="n"/>
      <x:c r="AB254" s="139" t="n"/>
      <x:c r="AC254" s="139" t="n"/>
      <x:c r="AD254" s="139" t="n"/>
      <x:c r="AE254" s="139" t="n"/>
      <x:c r="AF254" s="139" t="n"/>
      <x:c r="AG254" s="139" t="n"/>
      <x:c r="AH254" s="139" t="n"/>
      <x:c r="AI254" s="139" t="n"/>
      <x:c r="AJ254" s="139" t="n"/>
      <x:c r="AK254" s="139" t="n"/>
      <x:c r="AL254" s="139" t="n"/>
      <x:c r="AM254" s="139" t="n"/>
      <x:c r="AN254" s="139" t="n"/>
      <x:c r="AO254" s="139" t="n"/>
      <x:c r="AP254" s="139" t="n"/>
      <x:c r="AQ254" s="139" t="n"/>
      <x:c r="AR254" s="139" t="n"/>
      <x:c r="AS254" s="139" t="n"/>
      <x:c r="AT254" s="139" t="n"/>
      <x:c r="AU254" s="139" t="n"/>
      <x:c r="AV254" s="139" t="n"/>
      <x:c r="AW254" s="139" t="n"/>
      <x:c r="AX254" s="139" t="n"/>
      <x:c r="AY254" s="139" t="n"/>
      <x:c r="AZ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c r="V255" s="139" t="n"/>
      <x:c r="W255" s="139" t="n"/>
      <x:c r="X255" s="139" t="n"/>
      <x:c r="Y255" s="139" t="n"/>
      <x:c r="Z255" s="139" t="n"/>
      <x:c r="AA255" s="139" t="n"/>
      <x:c r="AB255" s="139" t="n"/>
      <x:c r="AC255" s="139" t="n"/>
      <x:c r="AD255" s="139" t="n"/>
      <x:c r="AE255" s="139" t="n"/>
      <x:c r="AF255" s="139" t="n"/>
      <x:c r="AG255" s="139" t="n"/>
      <x:c r="AH255" s="139" t="n"/>
      <x:c r="AI255" s="139" t="n"/>
      <x:c r="AJ255" s="139" t="n"/>
      <x:c r="AK255" s="139" t="n"/>
      <x:c r="AL255" s="139" t="n"/>
      <x:c r="AM255" s="139" t="n"/>
      <x:c r="AN255" s="139" t="n"/>
      <x:c r="AO255" s="139" t="n"/>
      <x:c r="AP255" s="139" t="n"/>
      <x:c r="AQ255" s="139" t="n"/>
      <x:c r="AR255" s="139" t="n"/>
      <x:c r="AS255" s="139" t="n"/>
      <x:c r="AT255" s="139" t="n"/>
      <x:c r="AU255" s="139" t="n"/>
      <x:c r="AV255" s="139" t="n"/>
      <x:c r="AW255" s="139" t="n"/>
      <x:c r="AX255" s="139" t="n"/>
      <x:c r="AY255" s="139" t="n"/>
      <x:c r="AZ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c r="V256" s="139" t="n"/>
      <x:c r="W256" s="139" t="n"/>
      <x:c r="X256" s="139" t="n"/>
      <x:c r="Y256" s="139" t="n"/>
      <x:c r="Z256" s="139" t="n"/>
      <x:c r="AA256" s="139" t="n"/>
      <x:c r="AB256" s="139" t="n"/>
      <x:c r="AC256" s="139" t="n"/>
      <x:c r="AD256" s="139" t="n"/>
      <x:c r="AE256" s="139" t="n"/>
      <x:c r="AF256" s="139" t="n"/>
      <x:c r="AG256" s="139" t="n"/>
      <x:c r="AH256" s="139" t="n"/>
      <x:c r="AI256" s="139" t="n"/>
      <x:c r="AJ256" s="139" t="n"/>
      <x:c r="AK256" s="139" t="n"/>
      <x:c r="AL256" s="139" t="n"/>
      <x:c r="AM256" s="139" t="n"/>
      <x:c r="AN256" s="139" t="n"/>
      <x:c r="AO256" s="139" t="n"/>
      <x:c r="AP256" s="139" t="n"/>
      <x:c r="AQ256" s="139" t="n"/>
      <x:c r="AR256" s="139" t="n"/>
      <x:c r="AS256" s="139" t="n"/>
      <x:c r="AT256" s="139" t="n"/>
      <x:c r="AU256" s="139" t="n"/>
      <x:c r="AV256" s="139" t="n"/>
      <x:c r="AW256" s="139" t="n"/>
      <x:c r="AX256" s="139" t="n"/>
      <x:c r="AY256" s="139" t="n"/>
      <x:c r="AZ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c r="V257" s="139" t="n"/>
      <x:c r="W257" s="139" t="n"/>
      <x:c r="X257" s="139" t="n"/>
      <x:c r="Y257" s="139" t="n"/>
      <x:c r="Z257" s="139" t="n"/>
      <x:c r="AA257" s="139" t="n"/>
      <x:c r="AB257" s="139" t="n"/>
      <x:c r="AC257" s="139" t="n"/>
      <x:c r="AD257" s="139" t="n"/>
      <x:c r="AE257" s="139" t="n"/>
      <x:c r="AF257" s="139" t="n"/>
      <x:c r="AG257" s="139" t="n"/>
      <x:c r="AH257" s="139" t="n"/>
      <x:c r="AI257" s="139" t="n"/>
      <x:c r="AJ257" s="139" t="n"/>
      <x:c r="AK257" s="139" t="n"/>
      <x:c r="AL257" s="139" t="n"/>
      <x:c r="AM257" s="139" t="n"/>
      <x:c r="AN257" s="139" t="n"/>
      <x:c r="AO257" s="139" t="n"/>
      <x:c r="AP257" s="139" t="n"/>
      <x:c r="AQ257" s="139" t="n"/>
      <x:c r="AR257" s="139" t="n"/>
      <x:c r="AS257" s="139" t="n"/>
      <x:c r="AT257" s="139" t="n"/>
      <x:c r="AU257" s="139" t="n"/>
      <x:c r="AV257" s="139" t="n"/>
      <x:c r="AW257" s="139" t="n"/>
      <x:c r="AX257" s="139" t="n"/>
      <x:c r="AY257" s="139" t="n"/>
      <x:c r="AZ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c r="V258" s="139" t="n"/>
      <x:c r="W258" s="139" t="n"/>
      <x:c r="X258" s="139" t="n"/>
      <x:c r="Y258" s="139" t="n"/>
      <x:c r="Z258" s="139" t="n"/>
      <x:c r="AA258" s="139" t="n"/>
      <x:c r="AB258" s="139" t="n"/>
      <x:c r="AC258" s="139" t="n"/>
      <x:c r="AD258" s="139" t="n"/>
      <x:c r="AE258" s="139" t="n"/>
      <x:c r="AF258" s="139" t="n"/>
      <x:c r="AG258" s="139" t="n"/>
      <x:c r="AH258" s="139" t="n"/>
      <x:c r="AI258" s="139" t="n"/>
      <x:c r="AJ258" s="139" t="n"/>
      <x:c r="AK258" s="139" t="n"/>
      <x:c r="AL258" s="139" t="n"/>
      <x:c r="AM258" s="139" t="n"/>
      <x:c r="AN258" s="139" t="n"/>
      <x:c r="AO258" s="139" t="n"/>
      <x:c r="AP258" s="139" t="n"/>
      <x:c r="AQ258" s="139" t="n"/>
      <x:c r="AR258" s="139" t="n"/>
      <x:c r="AS258" s="139" t="n"/>
      <x:c r="AT258" s="139" t="n"/>
      <x:c r="AU258" s="139" t="n"/>
      <x:c r="AV258" s="139" t="n"/>
      <x:c r="AW258" s="139" t="n"/>
      <x:c r="AX258" s="139" t="n"/>
      <x:c r="AY258" s="139" t="n"/>
      <x:c r="AZ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c r="V259" s="139" t="n"/>
      <x:c r="W259" s="139" t="n"/>
      <x:c r="X259" s="139" t="n"/>
      <x:c r="Y259" s="139" t="n"/>
      <x:c r="Z259" s="139" t="n"/>
      <x:c r="AA259" s="139" t="n"/>
      <x:c r="AB259" s="139" t="n"/>
      <x:c r="AC259" s="139" t="n"/>
      <x:c r="AD259" s="139" t="n"/>
      <x:c r="AE259" s="139" t="n"/>
      <x:c r="AF259" s="139" t="n"/>
      <x:c r="AG259" s="139" t="n"/>
      <x:c r="AH259" s="139" t="n"/>
      <x:c r="AI259" s="139" t="n"/>
      <x:c r="AJ259" s="139" t="n"/>
      <x:c r="AK259" s="139" t="n"/>
      <x:c r="AL259" s="139" t="n"/>
      <x:c r="AM259" s="139" t="n"/>
      <x:c r="AN259" s="139" t="n"/>
      <x:c r="AO259" s="139" t="n"/>
      <x:c r="AP259" s="139" t="n"/>
      <x:c r="AQ259" s="139" t="n"/>
      <x:c r="AR259" s="139" t="n"/>
      <x:c r="AS259" s="139" t="n"/>
      <x:c r="AT259" s="139" t="n"/>
      <x:c r="AU259" s="139" t="n"/>
      <x:c r="AV259" s="139" t="n"/>
      <x:c r="AW259" s="139" t="n"/>
      <x:c r="AX259" s="139" t="n"/>
      <x:c r="AY259" s="139" t="n"/>
      <x:c r="AZ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c r="V260" s="139" t="n"/>
      <x:c r="W260" s="139" t="n"/>
      <x:c r="X260" s="139" t="n"/>
      <x:c r="Y260" s="139" t="n"/>
      <x:c r="Z260" s="139" t="n"/>
      <x:c r="AA260" s="139" t="n"/>
      <x:c r="AB260" s="139" t="n"/>
      <x:c r="AC260" s="139" t="n"/>
      <x:c r="AD260" s="139" t="n"/>
      <x:c r="AE260" s="139" t="n"/>
      <x:c r="AF260" s="139" t="n"/>
      <x:c r="AG260" s="139" t="n"/>
      <x:c r="AH260" s="139" t="n"/>
      <x:c r="AI260" s="139" t="n"/>
      <x:c r="AJ260" s="139" t="n"/>
      <x:c r="AK260" s="139" t="n"/>
      <x:c r="AL260" s="139" t="n"/>
      <x:c r="AM260" s="139" t="n"/>
      <x:c r="AN260" s="139" t="n"/>
      <x:c r="AO260" s="139" t="n"/>
      <x:c r="AP260" s="139" t="n"/>
      <x:c r="AQ260" s="139" t="n"/>
      <x:c r="AR260" s="139" t="n"/>
      <x:c r="AS260" s="139" t="n"/>
      <x:c r="AT260" s="139" t="n"/>
      <x:c r="AU260" s="139" t="n"/>
      <x:c r="AV260" s="139" t="n"/>
      <x:c r="AW260" s="139" t="n"/>
      <x:c r="AX260" s="139" t="n"/>
      <x:c r="AY260" s="139" t="n"/>
      <x:c r="AZ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c r="V261" s="139" t="n"/>
      <x:c r="W261" s="139" t="n"/>
      <x:c r="X261" s="139" t="n"/>
      <x:c r="Y261" s="139" t="n"/>
      <x:c r="Z261" s="139" t="n"/>
      <x:c r="AA261" s="139" t="n"/>
      <x:c r="AB261" s="139" t="n"/>
      <x:c r="AC261" s="139" t="n"/>
      <x:c r="AD261" s="139" t="n"/>
      <x:c r="AE261" s="139" t="n"/>
      <x:c r="AF261" s="139" t="n"/>
      <x:c r="AG261" s="139" t="n"/>
      <x:c r="AH261" s="139" t="n"/>
      <x:c r="AI261" s="139" t="n"/>
      <x:c r="AJ261" s="139" t="n"/>
      <x:c r="AK261" s="139" t="n"/>
      <x:c r="AL261" s="139" t="n"/>
      <x:c r="AM261" s="139" t="n"/>
      <x:c r="AN261" s="139" t="n"/>
      <x:c r="AO261" s="139" t="n"/>
      <x:c r="AP261" s="139" t="n"/>
      <x:c r="AQ261" s="139" t="n"/>
      <x:c r="AR261" s="139" t="n"/>
      <x:c r="AS261" s="139" t="n"/>
      <x:c r="AT261" s="139" t="n"/>
      <x:c r="AU261" s="139" t="n"/>
      <x:c r="AV261" s="139" t="n"/>
      <x:c r="AW261" s="139" t="n"/>
      <x:c r="AX261" s="139" t="n"/>
      <x:c r="AY261" s="139" t="n"/>
      <x:c r="AZ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c r="V262" s="139" t="n"/>
      <x:c r="W262" s="139" t="n"/>
      <x:c r="X262" s="139" t="n"/>
      <x:c r="Y262" s="139" t="n"/>
      <x:c r="Z262" s="139" t="n"/>
      <x:c r="AA262" s="139" t="n"/>
      <x:c r="AB262" s="139" t="n"/>
      <x:c r="AC262" s="139" t="n"/>
      <x:c r="AD262" s="139" t="n"/>
      <x:c r="AE262" s="139" t="n"/>
      <x:c r="AF262" s="139" t="n"/>
      <x:c r="AG262" s="139" t="n"/>
      <x:c r="AH262" s="139" t="n"/>
      <x:c r="AI262" s="139" t="n"/>
      <x:c r="AJ262" s="139" t="n"/>
      <x:c r="AK262" s="139" t="n"/>
      <x:c r="AL262" s="139" t="n"/>
      <x:c r="AM262" s="139" t="n"/>
      <x:c r="AN262" s="139" t="n"/>
      <x:c r="AO262" s="139" t="n"/>
      <x:c r="AP262" s="139" t="n"/>
      <x:c r="AQ262" s="139" t="n"/>
      <x:c r="AR262" s="139" t="n"/>
      <x:c r="AS262" s="139" t="n"/>
      <x:c r="AT262" s="139" t="n"/>
      <x:c r="AU262" s="139" t="n"/>
      <x:c r="AV262" s="139" t="n"/>
      <x:c r="AW262" s="139" t="n"/>
      <x:c r="AX262" s="139" t="n"/>
      <x:c r="AY262" s="139" t="n"/>
      <x:c r="AZ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c r="V263" s="139" t="n"/>
      <x:c r="W263" s="139" t="n"/>
      <x:c r="X263" s="139" t="n"/>
      <x:c r="Y263" s="139" t="n"/>
      <x:c r="Z263" s="139" t="n"/>
      <x:c r="AA263" s="139" t="n"/>
      <x:c r="AB263" s="139" t="n"/>
      <x:c r="AC263" s="139" t="n"/>
      <x:c r="AD263" s="139" t="n"/>
      <x:c r="AE263" s="139" t="n"/>
      <x:c r="AF263" s="139" t="n"/>
      <x:c r="AG263" s="139" t="n"/>
      <x:c r="AH263" s="139" t="n"/>
      <x:c r="AI263" s="139" t="n"/>
      <x:c r="AJ263" s="139" t="n"/>
      <x:c r="AK263" s="139" t="n"/>
      <x:c r="AL263" s="139" t="n"/>
      <x:c r="AM263" s="139" t="n"/>
      <x:c r="AN263" s="139" t="n"/>
      <x:c r="AO263" s="139" t="n"/>
      <x:c r="AP263" s="139" t="n"/>
      <x:c r="AQ263" s="139" t="n"/>
      <x:c r="AR263" s="139" t="n"/>
      <x:c r="AS263" s="139" t="n"/>
      <x:c r="AT263" s="139" t="n"/>
      <x:c r="AU263" s="139" t="n"/>
      <x:c r="AV263" s="139" t="n"/>
      <x:c r="AW263" s="139" t="n"/>
      <x:c r="AX263" s="139" t="n"/>
      <x:c r="AY263" s="139" t="n"/>
      <x:c r="AZ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c r="V264" s="139" t="n"/>
      <x:c r="W264" s="139" t="n"/>
      <x:c r="X264" s="139" t="n"/>
      <x:c r="Y264" s="139" t="n"/>
      <x:c r="Z264" s="139" t="n"/>
      <x:c r="AA264" s="139" t="n"/>
      <x:c r="AB264" s="139" t="n"/>
      <x:c r="AC264" s="139" t="n"/>
      <x:c r="AD264" s="139" t="n"/>
      <x:c r="AE264" s="139" t="n"/>
      <x:c r="AF264" s="139" t="n"/>
      <x:c r="AG264" s="139" t="n"/>
      <x:c r="AH264" s="139" t="n"/>
      <x:c r="AI264" s="139" t="n"/>
      <x:c r="AJ264" s="139" t="n"/>
      <x:c r="AK264" s="139" t="n"/>
      <x:c r="AL264" s="139" t="n"/>
      <x:c r="AM264" s="139" t="n"/>
      <x:c r="AN264" s="139" t="n"/>
      <x:c r="AO264" s="139" t="n"/>
      <x:c r="AP264" s="139" t="n"/>
      <x:c r="AQ264" s="139" t="n"/>
      <x:c r="AR264" s="139" t="n"/>
      <x:c r="AS264" s="139" t="n"/>
      <x:c r="AT264" s="139" t="n"/>
      <x:c r="AU264" s="139" t="n"/>
      <x:c r="AV264" s="139" t="n"/>
      <x:c r="AW264" s="139" t="n"/>
      <x:c r="AX264" s="139" t="n"/>
      <x:c r="AY264" s="139" t="n"/>
      <x:c r="AZ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c r="V265" s="139" t="n"/>
      <x:c r="W265" s="139" t="n"/>
      <x:c r="X265" s="139" t="n"/>
      <x:c r="Y265" s="139" t="n"/>
      <x:c r="Z265" s="139" t="n"/>
      <x:c r="AA265" s="139" t="n"/>
      <x:c r="AB265" s="139" t="n"/>
      <x:c r="AC265" s="139" t="n"/>
      <x:c r="AD265" s="139" t="n"/>
      <x:c r="AE265" s="139" t="n"/>
      <x:c r="AF265" s="139" t="n"/>
      <x:c r="AG265" s="139" t="n"/>
      <x:c r="AH265" s="139" t="n"/>
      <x:c r="AI265" s="139" t="n"/>
      <x:c r="AJ265" s="139" t="n"/>
      <x:c r="AK265" s="139" t="n"/>
      <x:c r="AL265" s="139" t="n"/>
      <x:c r="AM265" s="139" t="n"/>
      <x:c r="AN265" s="139" t="n"/>
      <x:c r="AO265" s="139" t="n"/>
      <x:c r="AP265" s="139" t="n"/>
      <x:c r="AQ265" s="139" t="n"/>
      <x:c r="AR265" s="139" t="n"/>
      <x:c r="AS265" s="139" t="n"/>
      <x:c r="AT265" s="139" t="n"/>
      <x:c r="AU265" s="139" t="n"/>
      <x:c r="AV265" s="139" t="n"/>
      <x:c r="AW265" s="139" t="n"/>
      <x:c r="AX265" s="139" t="n"/>
      <x:c r="AY265" s="139" t="n"/>
      <x:c r="AZ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c r="V266" s="139" t="n"/>
      <x:c r="W266" s="139" t="n"/>
      <x:c r="X266" s="139" t="n"/>
      <x:c r="Y266" s="139" t="n"/>
      <x:c r="Z266" s="139" t="n"/>
      <x:c r="AA266" s="139" t="n"/>
      <x:c r="AB266" s="139" t="n"/>
      <x:c r="AC266" s="139" t="n"/>
      <x:c r="AD266" s="139" t="n"/>
      <x:c r="AE266" s="139" t="n"/>
      <x:c r="AF266" s="139" t="n"/>
      <x:c r="AG266" s="139" t="n"/>
      <x:c r="AH266" s="139" t="n"/>
      <x:c r="AI266" s="139" t="n"/>
      <x:c r="AJ266" s="139" t="n"/>
      <x:c r="AK266" s="139" t="n"/>
      <x:c r="AL266" s="139" t="n"/>
      <x:c r="AM266" s="139" t="n"/>
      <x:c r="AN266" s="139" t="n"/>
      <x:c r="AO266" s="139" t="n"/>
      <x:c r="AP266" s="139" t="n"/>
      <x:c r="AQ266" s="139" t="n"/>
      <x:c r="AR266" s="139" t="n"/>
      <x:c r="AS266" s="139" t="n"/>
      <x:c r="AT266" s="139" t="n"/>
      <x:c r="AU266" s="139" t="n"/>
      <x:c r="AV266" s="139" t="n"/>
      <x:c r="AW266" s="139" t="n"/>
      <x:c r="AX266" s="139" t="n"/>
      <x:c r="AY266" s="139" t="n"/>
      <x:c r="AZ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c r="V267" s="139" t="n"/>
      <x:c r="W267" s="139" t="n"/>
      <x:c r="X267" s="139" t="n"/>
      <x:c r="Y267" s="139" t="n"/>
      <x:c r="Z267" s="139" t="n"/>
      <x:c r="AA267" s="139" t="n"/>
      <x:c r="AB267" s="139" t="n"/>
      <x:c r="AC267" s="139" t="n"/>
      <x:c r="AD267" s="139" t="n"/>
      <x:c r="AE267" s="139" t="n"/>
      <x:c r="AF267" s="139" t="n"/>
      <x:c r="AG267" s="139" t="n"/>
      <x:c r="AH267" s="139" t="n"/>
      <x:c r="AI267" s="139" t="n"/>
      <x:c r="AJ267" s="139" t="n"/>
      <x:c r="AK267" s="139" t="n"/>
      <x:c r="AL267" s="139" t="n"/>
      <x:c r="AM267" s="139" t="n"/>
      <x:c r="AN267" s="139" t="n"/>
      <x:c r="AO267" s="139" t="n"/>
      <x:c r="AP267" s="139" t="n"/>
      <x:c r="AQ267" s="139" t="n"/>
      <x:c r="AR267" s="139" t="n"/>
      <x:c r="AS267" s="139" t="n"/>
      <x:c r="AT267" s="139" t="n"/>
      <x:c r="AU267" s="139" t="n"/>
      <x:c r="AV267" s="139" t="n"/>
      <x:c r="AW267" s="139" t="n"/>
      <x:c r="AX267" s="139" t="n"/>
      <x:c r="AY267" s="139" t="n"/>
      <x:c r="AZ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c r="V268" s="139" t="n"/>
      <x:c r="W268" s="139" t="n"/>
      <x:c r="X268" s="139" t="n"/>
      <x:c r="Y268" s="139" t="n"/>
      <x:c r="Z268" s="139" t="n"/>
      <x:c r="AA268" s="139" t="n"/>
      <x:c r="AB268" s="139" t="n"/>
      <x:c r="AC268" s="139" t="n"/>
      <x:c r="AD268" s="139" t="n"/>
      <x:c r="AE268" s="139" t="n"/>
      <x:c r="AF268" s="139" t="n"/>
      <x:c r="AG268" s="139" t="n"/>
      <x:c r="AH268" s="139" t="n"/>
      <x:c r="AI268" s="139" t="n"/>
      <x:c r="AJ268" s="139" t="n"/>
      <x:c r="AK268" s="139" t="n"/>
      <x:c r="AL268" s="139" t="n"/>
      <x:c r="AM268" s="139" t="n"/>
      <x:c r="AN268" s="139" t="n"/>
      <x:c r="AO268" s="139" t="n"/>
      <x:c r="AP268" s="139" t="n"/>
      <x:c r="AQ268" s="139" t="n"/>
      <x:c r="AR268" s="139" t="n"/>
      <x:c r="AS268" s="139" t="n"/>
      <x:c r="AT268" s="139" t="n"/>
      <x:c r="AU268" s="139" t="n"/>
      <x:c r="AV268" s="139" t="n"/>
      <x:c r="AW268" s="139" t="n"/>
      <x:c r="AX268" s="139" t="n"/>
      <x:c r="AY268" s="139" t="n"/>
      <x:c r="AZ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c r="V269" s="139" t="n"/>
      <x:c r="W269" s="139" t="n"/>
      <x:c r="X269" s="139" t="n"/>
      <x:c r="Y269" s="139" t="n"/>
      <x:c r="Z269" s="139" t="n"/>
      <x:c r="AA269" s="139" t="n"/>
      <x:c r="AB269" s="139" t="n"/>
      <x:c r="AC269" s="139" t="n"/>
      <x:c r="AD269" s="139" t="n"/>
      <x:c r="AE269" s="139" t="n"/>
      <x:c r="AF269" s="139" t="n"/>
      <x:c r="AG269" s="139" t="n"/>
      <x:c r="AH269" s="139" t="n"/>
      <x:c r="AI269" s="139" t="n"/>
      <x:c r="AJ269" s="139" t="n"/>
      <x:c r="AK269" s="139" t="n"/>
      <x:c r="AL269" s="139" t="n"/>
      <x:c r="AM269" s="139" t="n"/>
      <x:c r="AN269" s="139" t="n"/>
      <x:c r="AO269" s="139" t="n"/>
      <x:c r="AP269" s="139" t="n"/>
      <x:c r="AQ269" s="139" t="n"/>
      <x:c r="AR269" s="139" t="n"/>
      <x:c r="AS269" s="139" t="n"/>
      <x:c r="AT269" s="139" t="n"/>
      <x:c r="AU269" s="139" t="n"/>
      <x:c r="AV269" s="139" t="n"/>
      <x:c r="AW269" s="139" t="n"/>
      <x:c r="AX269" s="139" t="n"/>
      <x:c r="AY269" s="139" t="n"/>
      <x:c r="AZ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c r="V270" s="139" t="n"/>
      <x:c r="W270" s="139" t="n"/>
      <x:c r="X270" s="139" t="n"/>
      <x:c r="Y270" s="139" t="n"/>
      <x:c r="Z270" s="139" t="n"/>
      <x:c r="AA270" s="139" t="n"/>
      <x:c r="AB270" s="139" t="n"/>
      <x:c r="AC270" s="139" t="n"/>
      <x:c r="AD270" s="139" t="n"/>
      <x:c r="AE270" s="139" t="n"/>
      <x:c r="AF270" s="139" t="n"/>
      <x:c r="AG270" s="139" t="n"/>
      <x:c r="AH270" s="139" t="n"/>
      <x:c r="AI270" s="139" t="n"/>
      <x:c r="AJ270" s="139" t="n"/>
      <x:c r="AK270" s="139" t="n"/>
      <x:c r="AL270" s="139" t="n"/>
      <x:c r="AM270" s="139" t="n"/>
      <x:c r="AN270" s="139" t="n"/>
      <x:c r="AO270" s="139" t="n"/>
      <x:c r="AP270" s="139" t="n"/>
      <x:c r="AQ270" s="139" t="n"/>
      <x:c r="AR270" s="139" t="n"/>
      <x:c r="AS270" s="139" t="n"/>
      <x:c r="AT270" s="139" t="n"/>
      <x:c r="AU270" s="139" t="n"/>
      <x:c r="AV270" s="139" t="n"/>
      <x:c r="AW270" s="139" t="n"/>
      <x:c r="AX270" s="139" t="n"/>
      <x:c r="AY270" s="139" t="n"/>
      <x:c r="AZ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c r="V271" s="139" t="n"/>
      <x:c r="W271" s="139" t="n"/>
      <x:c r="X271" s="139" t="n"/>
      <x:c r="Y271" s="139" t="n"/>
      <x:c r="Z271" s="139" t="n"/>
      <x:c r="AA271" s="139" t="n"/>
      <x:c r="AB271" s="139" t="n"/>
      <x:c r="AC271" s="139" t="n"/>
      <x:c r="AD271" s="139" t="n"/>
      <x:c r="AE271" s="139" t="n"/>
      <x:c r="AF271" s="139" t="n"/>
      <x:c r="AG271" s="139" t="n"/>
      <x:c r="AH271" s="139" t="n"/>
      <x:c r="AI271" s="139" t="n"/>
      <x:c r="AJ271" s="139" t="n"/>
      <x:c r="AK271" s="139" t="n"/>
      <x:c r="AL271" s="139" t="n"/>
      <x:c r="AM271" s="139" t="n"/>
      <x:c r="AN271" s="139" t="n"/>
      <x:c r="AO271" s="139" t="n"/>
      <x:c r="AP271" s="139" t="n"/>
      <x:c r="AQ271" s="139" t="n"/>
      <x:c r="AR271" s="139" t="n"/>
      <x:c r="AS271" s="139" t="n"/>
      <x:c r="AT271" s="139" t="n"/>
      <x:c r="AU271" s="139" t="n"/>
      <x:c r="AV271" s="139" t="n"/>
      <x:c r="AW271" s="139" t="n"/>
      <x:c r="AX271" s="139" t="n"/>
      <x:c r="AY271" s="139" t="n"/>
      <x:c r="AZ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c r="V272" s="139" t="n"/>
      <x:c r="W272" s="139" t="n"/>
      <x:c r="X272" s="139" t="n"/>
      <x:c r="Y272" s="139" t="n"/>
      <x:c r="Z272" s="139" t="n"/>
      <x:c r="AA272" s="139" t="n"/>
      <x:c r="AB272" s="139" t="n"/>
      <x:c r="AC272" s="139" t="n"/>
      <x:c r="AD272" s="139" t="n"/>
      <x:c r="AE272" s="139" t="n"/>
      <x:c r="AF272" s="139" t="n"/>
      <x:c r="AG272" s="139" t="n"/>
      <x:c r="AH272" s="139" t="n"/>
      <x:c r="AI272" s="139" t="n"/>
      <x:c r="AJ272" s="139" t="n"/>
      <x:c r="AK272" s="139" t="n"/>
      <x:c r="AL272" s="139" t="n"/>
      <x:c r="AM272" s="139" t="n"/>
      <x:c r="AN272" s="139" t="n"/>
      <x:c r="AO272" s="139" t="n"/>
      <x:c r="AP272" s="139" t="n"/>
      <x:c r="AQ272" s="139" t="n"/>
      <x:c r="AR272" s="139" t="n"/>
      <x:c r="AS272" s="139" t="n"/>
      <x:c r="AT272" s="139" t="n"/>
      <x:c r="AU272" s="139" t="n"/>
      <x:c r="AV272" s="139" t="n"/>
      <x:c r="AW272" s="139" t="n"/>
      <x:c r="AX272" s="139" t="n"/>
      <x:c r="AY272" s="139" t="n"/>
      <x:c r="AZ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c r="V273" s="139" t="n"/>
      <x:c r="W273" s="139" t="n"/>
      <x:c r="X273" s="139" t="n"/>
      <x:c r="Y273" s="139" t="n"/>
      <x:c r="Z273" s="139" t="n"/>
      <x:c r="AA273" s="139" t="n"/>
      <x:c r="AB273" s="139" t="n"/>
      <x:c r="AC273" s="139" t="n"/>
      <x:c r="AD273" s="139" t="n"/>
      <x:c r="AE273" s="139" t="n"/>
      <x:c r="AF273" s="139" t="n"/>
      <x:c r="AG273" s="139" t="n"/>
      <x:c r="AH273" s="139" t="n"/>
      <x:c r="AI273" s="139" t="n"/>
      <x:c r="AJ273" s="139" t="n"/>
      <x:c r="AK273" s="139" t="n"/>
      <x:c r="AL273" s="139" t="n"/>
      <x:c r="AM273" s="139" t="n"/>
      <x:c r="AN273" s="139" t="n"/>
      <x:c r="AO273" s="139" t="n"/>
      <x:c r="AP273" s="139" t="n"/>
      <x:c r="AQ273" s="139" t="n"/>
      <x:c r="AR273" s="139" t="n"/>
      <x:c r="AS273" s="139" t="n"/>
      <x:c r="AT273" s="139" t="n"/>
      <x:c r="AU273" s="139" t="n"/>
      <x:c r="AV273" s="139" t="n"/>
      <x:c r="AW273" s="139" t="n"/>
      <x:c r="AX273" s="139" t="n"/>
      <x:c r="AY273" s="139" t="n"/>
      <x:c r="AZ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c r="V274" s="139" t="n"/>
      <x:c r="W274" s="139" t="n"/>
      <x:c r="X274" s="139" t="n"/>
      <x:c r="Y274" s="139" t="n"/>
      <x:c r="Z274" s="139" t="n"/>
      <x:c r="AA274" s="139" t="n"/>
      <x:c r="AB274" s="139" t="n"/>
      <x:c r="AC274" s="139" t="n"/>
      <x:c r="AD274" s="139" t="n"/>
      <x:c r="AE274" s="139" t="n"/>
      <x:c r="AF274" s="139" t="n"/>
      <x:c r="AG274" s="139" t="n"/>
      <x:c r="AH274" s="139" t="n"/>
      <x:c r="AI274" s="139" t="n"/>
      <x:c r="AJ274" s="139" t="n"/>
      <x:c r="AK274" s="139" t="n"/>
      <x:c r="AL274" s="139" t="n"/>
      <x:c r="AM274" s="139" t="n"/>
      <x:c r="AN274" s="139" t="n"/>
      <x:c r="AO274" s="139" t="n"/>
      <x:c r="AP274" s="139" t="n"/>
      <x:c r="AQ274" s="139" t="n"/>
      <x:c r="AR274" s="139" t="n"/>
      <x:c r="AS274" s="139" t="n"/>
      <x:c r="AT274" s="139" t="n"/>
      <x:c r="AU274" s="139" t="n"/>
      <x:c r="AV274" s="139" t="n"/>
      <x:c r="AW274" s="139" t="n"/>
      <x:c r="AX274" s="139" t="n"/>
      <x:c r="AY274" s="139" t="n"/>
      <x:c r="AZ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c r="V275" s="139" t="n"/>
      <x:c r="W275" s="139" t="n"/>
      <x:c r="X275" s="139" t="n"/>
      <x:c r="Y275" s="139" t="n"/>
      <x:c r="Z275" s="139" t="n"/>
      <x:c r="AA275" s="139" t="n"/>
      <x:c r="AB275" s="139" t="n"/>
      <x:c r="AC275" s="139" t="n"/>
      <x:c r="AD275" s="139" t="n"/>
      <x:c r="AE275" s="139" t="n"/>
      <x:c r="AF275" s="139" t="n"/>
      <x:c r="AG275" s="139" t="n"/>
      <x:c r="AH275" s="139" t="n"/>
      <x:c r="AI275" s="139" t="n"/>
      <x:c r="AJ275" s="139" t="n"/>
      <x:c r="AK275" s="139" t="n"/>
      <x:c r="AL275" s="139" t="n"/>
      <x:c r="AM275" s="139" t="n"/>
      <x:c r="AN275" s="139" t="n"/>
      <x:c r="AO275" s="139" t="n"/>
      <x:c r="AP275" s="139" t="n"/>
      <x:c r="AQ275" s="139" t="n"/>
      <x:c r="AR275" s="139" t="n"/>
      <x:c r="AS275" s="139" t="n"/>
      <x:c r="AT275" s="139" t="n"/>
      <x:c r="AU275" s="139" t="n"/>
      <x:c r="AV275" s="139" t="n"/>
      <x:c r="AW275" s="139" t="n"/>
      <x:c r="AX275" s="139" t="n"/>
      <x:c r="AY275" s="139" t="n"/>
      <x:c r="AZ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c r="V276" s="139" t="n"/>
      <x:c r="W276" s="139" t="n"/>
      <x:c r="X276" s="139" t="n"/>
      <x:c r="Y276" s="139" t="n"/>
      <x:c r="Z276" s="139" t="n"/>
      <x:c r="AA276" s="139" t="n"/>
      <x:c r="AB276" s="139" t="n"/>
      <x:c r="AC276" s="139" t="n"/>
      <x:c r="AD276" s="139" t="n"/>
      <x:c r="AE276" s="139" t="n"/>
      <x:c r="AF276" s="139" t="n"/>
      <x:c r="AG276" s="139" t="n"/>
      <x:c r="AH276" s="139" t="n"/>
      <x:c r="AI276" s="139" t="n"/>
      <x:c r="AJ276" s="139" t="n"/>
      <x:c r="AK276" s="139" t="n"/>
      <x:c r="AL276" s="139" t="n"/>
      <x:c r="AM276" s="139" t="n"/>
      <x:c r="AN276" s="139" t="n"/>
      <x:c r="AO276" s="139" t="n"/>
      <x:c r="AP276" s="139" t="n"/>
      <x:c r="AQ276" s="139" t="n"/>
      <x:c r="AR276" s="139" t="n"/>
      <x:c r="AS276" s="139" t="n"/>
      <x:c r="AT276" s="139" t="n"/>
      <x:c r="AU276" s="139" t="n"/>
      <x:c r="AV276" s="139" t="n"/>
      <x:c r="AW276" s="139" t="n"/>
      <x:c r="AX276" s="139" t="n"/>
      <x:c r="AY276" s="139" t="n"/>
      <x:c r="AZ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c r="V277" s="139" t="n"/>
      <x:c r="W277" s="139" t="n"/>
      <x:c r="X277" s="139" t="n"/>
      <x:c r="Y277" s="139" t="n"/>
      <x:c r="Z277" s="139" t="n"/>
      <x:c r="AA277" s="139" t="n"/>
      <x:c r="AB277" s="139" t="n"/>
      <x:c r="AC277" s="139" t="n"/>
      <x:c r="AD277" s="139" t="n"/>
      <x:c r="AE277" s="139" t="n"/>
      <x:c r="AF277" s="139" t="n"/>
      <x:c r="AG277" s="139" t="n"/>
      <x:c r="AH277" s="139" t="n"/>
      <x:c r="AI277" s="139" t="n"/>
      <x:c r="AJ277" s="139" t="n"/>
      <x:c r="AK277" s="139" t="n"/>
      <x:c r="AL277" s="139" t="n"/>
      <x:c r="AM277" s="139" t="n"/>
      <x:c r="AN277" s="139" t="n"/>
      <x:c r="AO277" s="139" t="n"/>
      <x:c r="AP277" s="139" t="n"/>
      <x:c r="AQ277" s="139" t="n"/>
      <x:c r="AR277" s="139" t="n"/>
      <x:c r="AS277" s="139" t="n"/>
      <x:c r="AT277" s="139" t="n"/>
      <x:c r="AU277" s="139" t="n"/>
      <x:c r="AV277" s="139" t="n"/>
      <x:c r="AW277" s="139" t="n"/>
      <x:c r="AX277" s="139" t="n"/>
      <x:c r="AY277" s="139" t="n"/>
      <x:c r="AZ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c r="V278" s="139" t="n"/>
      <x:c r="W278" s="139" t="n"/>
      <x:c r="X278" s="139" t="n"/>
      <x:c r="Y278" s="139" t="n"/>
      <x:c r="Z278" s="139" t="n"/>
      <x:c r="AA278" s="139" t="n"/>
      <x:c r="AB278" s="139" t="n"/>
      <x:c r="AC278" s="139" t="n"/>
      <x:c r="AD278" s="139" t="n"/>
      <x:c r="AE278" s="139" t="n"/>
      <x:c r="AF278" s="139" t="n"/>
      <x:c r="AG278" s="139" t="n"/>
      <x:c r="AH278" s="139" t="n"/>
      <x:c r="AI278" s="139" t="n"/>
      <x:c r="AJ278" s="139" t="n"/>
      <x:c r="AK278" s="139" t="n"/>
      <x:c r="AL278" s="139" t="n"/>
      <x:c r="AM278" s="139" t="n"/>
      <x:c r="AN278" s="139" t="n"/>
      <x:c r="AO278" s="139" t="n"/>
      <x:c r="AP278" s="139" t="n"/>
      <x:c r="AQ278" s="139" t="n"/>
      <x:c r="AR278" s="139" t="n"/>
      <x:c r="AS278" s="139" t="n"/>
      <x:c r="AT278" s="139" t="n"/>
      <x:c r="AU278" s="139" t="n"/>
      <x:c r="AV278" s="139" t="n"/>
      <x:c r="AW278" s="139" t="n"/>
      <x:c r="AX278" s="139" t="n"/>
      <x:c r="AY278" s="139" t="n"/>
      <x:c r="AZ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c r="V279" s="139" t="n"/>
      <x:c r="W279" s="139" t="n"/>
      <x:c r="X279" s="139" t="n"/>
      <x:c r="Y279" s="139" t="n"/>
      <x:c r="Z279" s="139" t="n"/>
      <x:c r="AA279" s="139" t="n"/>
      <x:c r="AB279" s="139" t="n"/>
      <x:c r="AC279" s="139" t="n"/>
      <x:c r="AD279" s="139" t="n"/>
      <x:c r="AE279" s="139" t="n"/>
      <x:c r="AF279" s="139" t="n"/>
      <x:c r="AG279" s="139" t="n"/>
      <x:c r="AH279" s="139" t="n"/>
      <x:c r="AI279" s="139" t="n"/>
      <x:c r="AJ279" s="139" t="n"/>
      <x:c r="AK279" s="139" t="n"/>
      <x:c r="AL279" s="139" t="n"/>
      <x:c r="AM279" s="139" t="n"/>
      <x:c r="AN279" s="139" t="n"/>
      <x:c r="AO279" s="139" t="n"/>
      <x:c r="AP279" s="139" t="n"/>
      <x:c r="AQ279" s="139" t="n"/>
      <x:c r="AR279" s="139" t="n"/>
      <x:c r="AS279" s="139" t="n"/>
      <x:c r="AT279" s="139" t="n"/>
      <x:c r="AU279" s="139" t="n"/>
      <x:c r="AV279" s="139" t="n"/>
      <x:c r="AW279" s="139" t="n"/>
      <x:c r="AX279" s="139" t="n"/>
      <x:c r="AY279" s="139" t="n"/>
      <x:c r="AZ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c r="V280" s="139" t="n"/>
      <x:c r="W280" s="139" t="n"/>
      <x:c r="X280" s="139" t="n"/>
      <x:c r="Y280" s="139" t="n"/>
      <x:c r="Z280" s="139" t="n"/>
      <x:c r="AA280" s="139" t="n"/>
      <x:c r="AB280" s="139" t="n"/>
      <x:c r="AC280" s="139" t="n"/>
      <x:c r="AD280" s="139" t="n"/>
      <x:c r="AE280" s="139" t="n"/>
      <x:c r="AF280" s="139" t="n"/>
      <x:c r="AG280" s="139" t="n"/>
      <x:c r="AH280" s="139" t="n"/>
      <x:c r="AI280" s="139" t="n"/>
      <x:c r="AJ280" s="139" t="n"/>
      <x:c r="AK280" s="139" t="n"/>
      <x:c r="AL280" s="139" t="n"/>
      <x:c r="AM280" s="139" t="n"/>
      <x:c r="AN280" s="139" t="n"/>
      <x:c r="AO280" s="139" t="n"/>
      <x:c r="AP280" s="139" t="n"/>
      <x:c r="AQ280" s="139" t="n"/>
      <x:c r="AR280" s="139" t="n"/>
      <x:c r="AS280" s="139" t="n"/>
      <x:c r="AT280" s="139" t="n"/>
      <x:c r="AU280" s="139" t="n"/>
      <x:c r="AV280" s="139" t="n"/>
      <x:c r="AW280" s="139" t="n"/>
      <x:c r="AX280" s="139" t="n"/>
      <x:c r="AY280" s="139" t="n"/>
      <x:c r="AZ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c r="V281" s="139" t="n"/>
      <x:c r="W281" s="139" t="n"/>
      <x:c r="X281" s="139" t="n"/>
      <x:c r="Y281" s="139" t="n"/>
      <x:c r="Z281" s="139" t="n"/>
      <x:c r="AA281" s="139" t="n"/>
      <x:c r="AB281" s="139" t="n"/>
      <x:c r="AC281" s="139" t="n"/>
      <x:c r="AD281" s="139" t="n"/>
      <x:c r="AE281" s="139" t="n"/>
      <x:c r="AF281" s="139" t="n"/>
      <x:c r="AG281" s="139" t="n"/>
      <x:c r="AH281" s="139" t="n"/>
      <x:c r="AI281" s="139" t="n"/>
      <x:c r="AJ281" s="139" t="n"/>
      <x:c r="AK281" s="139" t="n"/>
      <x:c r="AL281" s="139" t="n"/>
      <x:c r="AM281" s="139" t="n"/>
      <x:c r="AN281" s="139" t="n"/>
      <x:c r="AO281" s="139" t="n"/>
      <x:c r="AP281" s="139" t="n"/>
      <x:c r="AQ281" s="139" t="n"/>
      <x:c r="AR281" s="139" t="n"/>
      <x:c r="AS281" s="139" t="n"/>
      <x:c r="AT281" s="139" t="n"/>
      <x:c r="AU281" s="139" t="n"/>
      <x:c r="AV281" s="139" t="n"/>
      <x:c r="AW281" s="139" t="n"/>
      <x:c r="AX281" s="139" t="n"/>
      <x:c r="AY281" s="139" t="n"/>
      <x:c r="AZ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c r="V282" s="139" t="n"/>
      <x:c r="W282" s="139" t="n"/>
      <x:c r="X282" s="139" t="n"/>
      <x:c r="Y282" s="139" t="n"/>
      <x:c r="Z282" s="139" t="n"/>
      <x:c r="AA282" s="139" t="n"/>
      <x:c r="AB282" s="139" t="n"/>
      <x:c r="AC282" s="139" t="n"/>
      <x:c r="AD282" s="139" t="n"/>
      <x:c r="AE282" s="139" t="n"/>
      <x:c r="AF282" s="139" t="n"/>
      <x:c r="AG282" s="139" t="n"/>
      <x:c r="AH282" s="139" t="n"/>
      <x:c r="AI282" s="139" t="n"/>
      <x:c r="AJ282" s="139" t="n"/>
      <x:c r="AK282" s="139" t="n"/>
      <x:c r="AL282" s="139" t="n"/>
      <x:c r="AM282" s="139" t="n"/>
      <x:c r="AN282" s="139" t="n"/>
      <x:c r="AO282" s="139" t="n"/>
      <x:c r="AP282" s="139" t="n"/>
      <x:c r="AQ282" s="139" t="n"/>
      <x:c r="AR282" s="139" t="n"/>
      <x:c r="AS282" s="139" t="n"/>
      <x:c r="AT282" s="139" t="n"/>
      <x:c r="AU282" s="139" t="n"/>
      <x:c r="AV282" s="139" t="n"/>
      <x:c r="AW282" s="139" t="n"/>
      <x:c r="AX282" s="139" t="n"/>
      <x:c r="AY282" s="139" t="n"/>
      <x:c r="AZ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c r="V283" s="139" t="n"/>
      <x:c r="W283" s="139" t="n"/>
      <x:c r="X283" s="139" t="n"/>
      <x:c r="Y283" s="139" t="n"/>
      <x:c r="Z283" s="139" t="n"/>
      <x:c r="AA283" s="139" t="n"/>
      <x:c r="AB283" s="139" t="n"/>
      <x:c r="AC283" s="139" t="n"/>
      <x:c r="AD283" s="139" t="n"/>
      <x:c r="AE283" s="139" t="n"/>
      <x:c r="AF283" s="139" t="n"/>
      <x:c r="AG283" s="139" t="n"/>
      <x:c r="AH283" s="139" t="n"/>
      <x:c r="AI283" s="139" t="n"/>
      <x:c r="AJ283" s="139" t="n"/>
      <x:c r="AK283" s="139" t="n"/>
      <x:c r="AL283" s="139" t="n"/>
      <x:c r="AM283" s="139" t="n"/>
      <x:c r="AN283" s="139" t="n"/>
      <x:c r="AO283" s="139" t="n"/>
      <x:c r="AP283" s="139" t="n"/>
      <x:c r="AQ283" s="139" t="n"/>
      <x:c r="AR283" s="139" t="n"/>
      <x:c r="AS283" s="139" t="n"/>
      <x:c r="AT283" s="139" t="n"/>
      <x:c r="AU283" s="139" t="n"/>
      <x:c r="AV283" s="139" t="n"/>
      <x:c r="AW283" s="139" t="n"/>
      <x:c r="AX283" s="139" t="n"/>
      <x:c r="AY283" s="139" t="n"/>
      <x:c r="AZ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c r="V284" s="139" t="n"/>
      <x:c r="W284" s="139" t="n"/>
      <x:c r="X284" s="139" t="n"/>
      <x:c r="Y284" s="139" t="n"/>
      <x:c r="Z284" s="139" t="n"/>
      <x:c r="AA284" s="139" t="n"/>
      <x:c r="AB284" s="139" t="n"/>
      <x:c r="AC284" s="139" t="n"/>
      <x:c r="AD284" s="139" t="n"/>
      <x:c r="AE284" s="139" t="n"/>
      <x:c r="AF284" s="139" t="n"/>
      <x:c r="AG284" s="139" t="n"/>
      <x:c r="AH284" s="139" t="n"/>
      <x:c r="AI284" s="139" t="n"/>
      <x:c r="AJ284" s="139" t="n"/>
      <x:c r="AK284" s="139" t="n"/>
      <x:c r="AL284" s="139" t="n"/>
      <x:c r="AM284" s="139" t="n"/>
      <x:c r="AN284" s="139" t="n"/>
      <x:c r="AO284" s="139" t="n"/>
      <x:c r="AP284" s="139" t="n"/>
      <x:c r="AQ284" s="139" t="n"/>
      <x:c r="AR284" s="139" t="n"/>
      <x:c r="AS284" s="139" t="n"/>
      <x:c r="AT284" s="139" t="n"/>
      <x:c r="AU284" s="139" t="n"/>
      <x:c r="AV284" s="139" t="n"/>
      <x:c r="AW284" s="139" t="n"/>
      <x:c r="AX284" s="139" t="n"/>
      <x:c r="AY284" s="139" t="n"/>
      <x:c r="AZ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c r="V285" s="139" t="n"/>
      <x:c r="W285" s="139" t="n"/>
      <x:c r="X285" s="139" t="n"/>
      <x:c r="Y285" s="139" t="n"/>
      <x:c r="Z285" s="139" t="n"/>
      <x:c r="AA285" s="139" t="n"/>
      <x:c r="AB285" s="139" t="n"/>
      <x:c r="AC285" s="139" t="n"/>
      <x:c r="AD285" s="139" t="n"/>
      <x:c r="AE285" s="139" t="n"/>
      <x:c r="AF285" s="139" t="n"/>
      <x:c r="AG285" s="139" t="n"/>
      <x:c r="AH285" s="139" t="n"/>
      <x:c r="AI285" s="139" t="n"/>
      <x:c r="AJ285" s="139" t="n"/>
      <x:c r="AK285" s="139" t="n"/>
      <x:c r="AL285" s="139" t="n"/>
      <x:c r="AM285" s="139" t="n"/>
      <x:c r="AN285" s="139" t="n"/>
      <x:c r="AO285" s="139" t="n"/>
      <x:c r="AP285" s="139" t="n"/>
      <x:c r="AQ285" s="139" t="n"/>
      <x:c r="AR285" s="139" t="n"/>
      <x:c r="AS285" s="139" t="n"/>
      <x:c r="AT285" s="139" t="n"/>
      <x:c r="AU285" s="139" t="n"/>
      <x:c r="AV285" s="139" t="n"/>
      <x:c r="AW285" s="139" t="n"/>
      <x:c r="AX285" s="139" t="n"/>
      <x:c r="AY285" s="139" t="n"/>
      <x:c r="AZ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c r="V286" s="139" t="n"/>
      <x:c r="W286" s="139" t="n"/>
      <x:c r="X286" s="139" t="n"/>
      <x:c r="Y286" s="139" t="n"/>
      <x:c r="Z286" s="139" t="n"/>
      <x:c r="AA286" s="139" t="n"/>
      <x:c r="AB286" s="139" t="n"/>
      <x:c r="AC286" s="139" t="n"/>
      <x:c r="AD286" s="139" t="n"/>
      <x:c r="AE286" s="139" t="n"/>
      <x:c r="AF286" s="139" t="n"/>
      <x:c r="AG286" s="139" t="n"/>
      <x:c r="AH286" s="139" t="n"/>
      <x:c r="AI286" s="139" t="n"/>
      <x:c r="AJ286" s="139" t="n"/>
      <x:c r="AK286" s="139" t="n"/>
      <x:c r="AL286" s="139" t="n"/>
      <x:c r="AM286" s="139" t="n"/>
      <x:c r="AN286" s="139" t="n"/>
      <x:c r="AO286" s="139" t="n"/>
      <x:c r="AP286" s="139" t="n"/>
      <x:c r="AQ286" s="139" t="n"/>
      <x:c r="AR286" s="139" t="n"/>
      <x:c r="AS286" s="139" t="n"/>
      <x:c r="AT286" s="139" t="n"/>
      <x:c r="AU286" s="139" t="n"/>
      <x:c r="AV286" s="139" t="n"/>
      <x:c r="AW286" s="139" t="n"/>
      <x:c r="AX286" s="139" t="n"/>
      <x:c r="AY286" s="139" t="n"/>
      <x:c r="AZ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c r="V287" s="139" t="n"/>
      <x:c r="W287" s="139" t="n"/>
      <x:c r="X287" s="139" t="n"/>
      <x:c r="Y287" s="139" t="n"/>
      <x:c r="Z287" s="139" t="n"/>
      <x:c r="AA287" s="139" t="n"/>
      <x:c r="AB287" s="139" t="n"/>
      <x:c r="AC287" s="139" t="n"/>
      <x:c r="AD287" s="139" t="n"/>
      <x:c r="AE287" s="139" t="n"/>
      <x:c r="AF287" s="139" t="n"/>
      <x:c r="AG287" s="139" t="n"/>
      <x:c r="AH287" s="139" t="n"/>
      <x:c r="AI287" s="139" t="n"/>
      <x:c r="AJ287" s="139" t="n"/>
      <x:c r="AK287" s="139" t="n"/>
      <x:c r="AL287" s="139" t="n"/>
      <x:c r="AM287" s="139" t="n"/>
      <x:c r="AN287" s="139" t="n"/>
      <x:c r="AO287" s="139" t="n"/>
      <x:c r="AP287" s="139" t="n"/>
      <x:c r="AQ287" s="139" t="n"/>
      <x:c r="AR287" s="139" t="n"/>
      <x:c r="AS287" s="139" t="n"/>
      <x:c r="AT287" s="139" t="n"/>
      <x:c r="AU287" s="139" t="n"/>
      <x:c r="AV287" s="139" t="n"/>
      <x:c r="AW287" s="139" t="n"/>
      <x:c r="AX287" s="139" t="n"/>
      <x:c r="AY287" s="139" t="n"/>
      <x:c r="AZ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c r="V288" s="139" t="n"/>
      <x:c r="W288" s="139" t="n"/>
      <x:c r="X288" s="139" t="n"/>
      <x:c r="Y288" s="139" t="n"/>
      <x:c r="Z288" s="139" t="n"/>
      <x:c r="AA288" s="139" t="n"/>
      <x:c r="AB288" s="139" t="n"/>
      <x:c r="AC288" s="139" t="n"/>
      <x:c r="AD288" s="139" t="n"/>
      <x:c r="AE288" s="139" t="n"/>
      <x:c r="AF288" s="139" t="n"/>
      <x:c r="AG288" s="139" t="n"/>
      <x:c r="AH288" s="139" t="n"/>
      <x:c r="AI288" s="139" t="n"/>
      <x:c r="AJ288" s="139" t="n"/>
      <x:c r="AK288" s="139" t="n"/>
      <x:c r="AL288" s="139" t="n"/>
      <x:c r="AM288" s="139" t="n"/>
      <x:c r="AN288" s="139" t="n"/>
      <x:c r="AO288" s="139" t="n"/>
      <x:c r="AP288" s="139" t="n"/>
      <x:c r="AQ288" s="139" t="n"/>
      <x:c r="AR288" s="139" t="n"/>
      <x:c r="AS288" s="139" t="n"/>
      <x:c r="AT288" s="139" t="n"/>
      <x:c r="AU288" s="139" t="n"/>
      <x:c r="AV288" s="139" t="n"/>
      <x:c r="AW288" s="139" t="n"/>
      <x:c r="AX288" s="139" t="n"/>
      <x:c r="AY288" s="139" t="n"/>
      <x:c r="AZ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c r="V289" s="139" t="n"/>
      <x:c r="W289" s="139" t="n"/>
      <x:c r="X289" s="139" t="n"/>
      <x:c r="Y289" s="139" t="n"/>
      <x:c r="Z289" s="139" t="n"/>
      <x:c r="AA289" s="139" t="n"/>
      <x:c r="AB289" s="139" t="n"/>
      <x:c r="AC289" s="139" t="n"/>
      <x:c r="AD289" s="139" t="n"/>
      <x:c r="AE289" s="139" t="n"/>
      <x:c r="AF289" s="139" t="n"/>
      <x:c r="AG289" s="139" t="n"/>
      <x:c r="AH289" s="139" t="n"/>
      <x:c r="AI289" s="139" t="n"/>
      <x:c r="AJ289" s="139" t="n"/>
      <x:c r="AK289" s="139" t="n"/>
      <x:c r="AL289" s="139" t="n"/>
      <x:c r="AM289" s="139" t="n"/>
      <x:c r="AN289" s="139" t="n"/>
      <x:c r="AO289" s="139" t="n"/>
      <x:c r="AP289" s="139" t="n"/>
      <x:c r="AQ289" s="139" t="n"/>
      <x:c r="AR289" s="139" t="n"/>
      <x:c r="AS289" s="139" t="n"/>
      <x:c r="AT289" s="139" t="n"/>
      <x:c r="AU289" s="139" t="n"/>
      <x:c r="AV289" s="139" t="n"/>
      <x:c r="AW289" s="139" t="n"/>
      <x:c r="AX289" s="139" t="n"/>
      <x:c r="AY289" s="139" t="n"/>
      <x:c r="AZ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c r="V290" s="139" t="n"/>
      <x:c r="W290" s="139" t="n"/>
      <x:c r="X290" s="139" t="n"/>
      <x:c r="Y290" s="139" t="n"/>
      <x:c r="Z290" s="139" t="n"/>
      <x:c r="AA290" s="139" t="n"/>
      <x:c r="AB290" s="139" t="n"/>
      <x:c r="AC290" s="139" t="n"/>
      <x:c r="AD290" s="139" t="n"/>
      <x:c r="AE290" s="139" t="n"/>
      <x:c r="AF290" s="139" t="n"/>
      <x:c r="AG290" s="139" t="n"/>
      <x:c r="AH290" s="139" t="n"/>
      <x:c r="AI290" s="139" t="n"/>
      <x:c r="AJ290" s="139" t="n"/>
      <x:c r="AK290" s="139" t="n"/>
      <x:c r="AL290" s="139" t="n"/>
      <x:c r="AM290" s="139" t="n"/>
      <x:c r="AN290" s="139" t="n"/>
      <x:c r="AO290" s="139" t="n"/>
      <x:c r="AP290" s="139" t="n"/>
      <x:c r="AQ290" s="139" t="n"/>
      <x:c r="AR290" s="139" t="n"/>
      <x:c r="AS290" s="139" t="n"/>
      <x:c r="AT290" s="139" t="n"/>
      <x:c r="AU290" s="139" t="n"/>
      <x:c r="AV290" s="139" t="n"/>
      <x:c r="AW290" s="139" t="n"/>
      <x:c r="AX290" s="139" t="n"/>
      <x:c r="AY290" s="139" t="n"/>
      <x:c r="AZ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c r="V291" s="139" t="n"/>
      <x:c r="W291" s="139" t="n"/>
      <x:c r="X291" s="139" t="n"/>
      <x:c r="Y291" s="139" t="n"/>
      <x:c r="Z291" s="139" t="n"/>
      <x:c r="AA291" s="139" t="n"/>
      <x:c r="AB291" s="139" t="n"/>
      <x:c r="AC291" s="139" t="n"/>
      <x:c r="AD291" s="139" t="n"/>
      <x:c r="AE291" s="139" t="n"/>
      <x:c r="AF291" s="139" t="n"/>
      <x:c r="AG291" s="139" t="n"/>
      <x:c r="AH291" s="139" t="n"/>
      <x:c r="AI291" s="139" t="n"/>
      <x:c r="AJ291" s="139" t="n"/>
      <x:c r="AK291" s="139" t="n"/>
      <x:c r="AL291" s="139" t="n"/>
      <x:c r="AM291" s="139" t="n"/>
      <x:c r="AN291" s="139" t="n"/>
      <x:c r="AO291" s="139" t="n"/>
      <x:c r="AP291" s="139" t="n"/>
      <x:c r="AQ291" s="139" t="n"/>
      <x:c r="AR291" s="139" t="n"/>
      <x:c r="AS291" s="139" t="n"/>
      <x:c r="AT291" s="139" t="n"/>
      <x:c r="AU291" s="139" t="n"/>
      <x:c r="AV291" s="139" t="n"/>
      <x:c r="AW291" s="139" t="n"/>
      <x:c r="AX291" s="139" t="n"/>
      <x:c r="AY291" s="139" t="n"/>
      <x:c r="AZ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c r="V292" s="139" t="n"/>
      <x:c r="W292" s="139" t="n"/>
      <x:c r="X292" s="139" t="n"/>
      <x:c r="Y292" s="139" t="n"/>
      <x:c r="Z292" s="139" t="n"/>
      <x:c r="AA292" s="139" t="n"/>
      <x:c r="AB292" s="139" t="n"/>
      <x:c r="AC292" s="139" t="n"/>
      <x:c r="AD292" s="139" t="n"/>
      <x:c r="AE292" s="139" t="n"/>
      <x:c r="AF292" s="139" t="n"/>
      <x:c r="AG292" s="139" t="n"/>
      <x:c r="AH292" s="139" t="n"/>
      <x:c r="AI292" s="139" t="n"/>
      <x:c r="AJ292" s="139" t="n"/>
      <x:c r="AK292" s="139" t="n"/>
      <x:c r="AL292" s="139" t="n"/>
      <x:c r="AM292" s="139" t="n"/>
      <x:c r="AN292" s="139" t="n"/>
      <x:c r="AO292" s="139" t="n"/>
      <x:c r="AP292" s="139" t="n"/>
      <x:c r="AQ292" s="139" t="n"/>
      <x:c r="AR292" s="139" t="n"/>
      <x:c r="AS292" s="139" t="n"/>
      <x:c r="AT292" s="139" t="n"/>
      <x:c r="AU292" s="139" t="n"/>
      <x:c r="AV292" s="139" t="n"/>
      <x:c r="AW292" s="139" t="n"/>
      <x:c r="AX292" s="139" t="n"/>
      <x:c r="AY292" s="139" t="n"/>
      <x:c r="AZ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c r="V293" s="139" t="n"/>
      <x:c r="W293" s="139" t="n"/>
      <x:c r="X293" s="139" t="n"/>
      <x:c r="Y293" s="139" t="n"/>
      <x:c r="Z293" s="139" t="n"/>
      <x:c r="AA293" s="139" t="n"/>
      <x:c r="AB293" s="139" t="n"/>
      <x:c r="AC293" s="139" t="n"/>
      <x:c r="AD293" s="139" t="n"/>
      <x:c r="AE293" s="139" t="n"/>
      <x:c r="AF293" s="139" t="n"/>
      <x:c r="AG293" s="139" t="n"/>
      <x:c r="AH293" s="139" t="n"/>
      <x:c r="AI293" s="139" t="n"/>
      <x:c r="AJ293" s="139" t="n"/>
      <x:c r="AK293" s="139" t="n"/>
      <x:c r="AL293" s="139" t="n"/>
      <x:c r="AM293" s="139" t="n"/>
      <x:c r="AN293" s="139" t="n"/>
      <x:c r="AO293" s="139" t="n"/>
      <x:c r="AP293" s="139" t="n"/>
      <x:c r="AQ293" s="139" t="n"/>
      <x:c r="AR293" s="139" t="n"/>
      <x:c r="AS293" s="139" t="n"/>
      <x:c r="AT293" s="139" t="n"/>
      <x:c r="AU293" s="139" t="n"/>
      <x:c r="AV293" s="139" t="n"/>
      <x:c r="AW293" s="139" t="n"/>
      <x:c r="AX293" s="139" t="n"/>
      <x:c r="AY293" s="139" t="n"/>
      <x:c r="AZ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c r="V294" s="139" t="n"/>
      <x:c r="W294" s="139" t="n"/>
      <x:c r="X294" s="139" t="n"/>
      <x:c r="Y294" s="139" t="n"/>
      <x:c r="Z294" s="139" t="n"/>
      <x:c r="AA294" s="139" t="n"/>
      <x:c r="AB294" s="139" t="n"/>
      <x:c r="AC294" s="139" t="n"/>
      <x:c r="AD294" s="139" t="n"/>
      <x:c r="AE294" s="139" t="n"/>
      <x:c r="AF294" s="139" t="n"/>
      <x:c r="AG294" s="139" t="n"/>
      <x:c r="AH294" s="139" t="n"/>
      <x:c r="AI294" s="139" t="n"/>
      <x:c r="AJ294" s="139" t="n"/>
      <x:c r="AK294" s="139" t="n"/>
      <x:c r="AL294" s="139" t="n"/>
      <x:c r="AM294" s="139" t="n"/>
      <x:c r="AN294" s="139" t="n"/>
      <x:c r="AO294" s="139" t="n"/>
      <x:c r="AP294" s="139" t="n"/>
      <x:c r="AQ294" s="139" t="n"/>
      <x:c r="AR294" s="139" t="n"/>
      <x:c r="AS294" s="139" t="n"/>
      <x:c r="AT294" s="139" t="n"/>
      <x:c r="AU294" s="139" t="n"/>
      <x:c r="AV294" s="139" t="n"/>
      <x:c r="AW294" s="139" t="n"/>
      <x:c r="AX294" s="139" t="n"/>
      <x:c r="AY294" s="139" t="n"/>
      <x:c r="AZ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c r="V295" s="139" t="n"/>
      <x:c r="W295" s="139" t="n"/>
      <x:c r="X295" s="139" t="n"/>
      <x:c r="Y295" s="139" t="n"/>
      <x:c r="Z295" s="139" t="n"/>
      <x:c r="AA295" s="139" t="n"/>
      <x:c r="AB295" s="139" t="n"/>
      <x:c r="AC295" s="139" t="n"/>
      <x:c r="AD295" s="139" t="n"/>
      <x:c r="AE295" s="139" t="n"/>
      <x:c r="AF295" s="139" t="n"/>
      <x:c r="AG295" s="139" t="n"/>
      <x:c r="AH295" s="139" t="n"/>
      <x:c r="AI295" s="139" t="n"/>
      <x:c r="AJ295" s="139" t="n"/>
      <x:c r="AK295" s="139" t="n"/>
      <x:c r="AL295" s="139" t="n"/>
      <x:c r="AM295" s="139" t="n"/>
      <x:c r="AN295" s="139" t="n"/>
      <x:c r="AO295" s="139" t="n"/>
      <x:c r="AP295" s="139" t="n"/>
      <x:c r="AQ295" s="139" t="n"/>
      <x:c r="AR295" s="139" t="n"/>
      <x:c r="AS295" s="139" t="n"/>
      <x:c r="AT295" s="139" t="n"/>
      <x:c r="AU295" s="139" t="n"/>
      <x:c r="AV295" s="139" t="n"/>
      <x:c r="AW295" s="139" t="n"/>
      <x:c r="AX295" s="139" t="n"/>
      <x:c r="AY295" s="139" t="n"/>
      <x:c r="AZ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c r="V296" s="139" t="n"/>
      <x:c r="W296" s="139" t="n"/>
      <x:c r="X296" s="139" t="n"/>
      <x:c r="Y296" s="139" t="n"/>
      <x:c r="Z296" s="139" t="n"/>
      <x:c r="AA296" s="139" t="n"/>
      <x:c r="AB296" s="139" t="n"/>
      <x:c r="AC296" s="139" t="n"/>
      <x:c r="AD296" s="139" t="n"/>
      <x:c r="AE296" s="139" t="n"/>
      <x:c r="AF296" s="139" t="n"/>
      <x:c r="AG296" s="139" t="n"/>
      <x:c r="AH296" s="139" t="n"/>
      <x:c r="AI296" s="139" t="n"/>
      <x:c r="AJ296" s="139" t="n"/>
      <x:c r="AK296" s="139" t="n"/>
      <x:c r="AL296" s="139" t="n"/>
      <x:c r="AM296" s="139" t="n"/>
      <x:c r="AN296" s="139" t="n"/>
      <x:c r="AO296" s="139" t="n"/>
      <x:c r="AP296" s="139" t="n"/>
      <x:c r="AQ296" s="139" t="n"/>
      <x:c r="AR296" s="139" t="n"/>
      <x:c r="AS296" s="139" t="n"/>
      <x:c r="AT296" s="139" t="n"/>
      <x:c r="AU296" s="139" t="n"/>
      <x:c r="AV296" s="139" t="n"/>
      <x:c r="AW296" s="139" t="n"/>
      <x:c r="AX296" s="139" t="n"/>
      <x:c r="AY296" s="139" t="n"/>
      <x:c r="AZ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c r="V297" s="139" t="n"/>
      <x:c r="W297" s="139" t="n"/>
      <x:c r="X297" s="139" t="n"/>
      <x:c r="Y297" s="139" t="n"/>
      <x:c r="Z297" s="139" t="n"/>
      <x:c r="AA297" s="139" t="n"/>
      <x:c r="AB297" s="139" t="n"/>
      <x:c r="AC297" s="139" t="n"/>
      <x:c r="AD297" s="139" t="n"/>
      <x:c r="AE297" s="139" t="n"/>
      <x:c r="AF297" s="139" t="n"/>
      <x:c r="AG297" s="139" t="n"/>
      <x:c r="AH297" s="139" t="n"/>
      <x:c r="AI297" s="139" t="n"/>
      <x:c r="AJ297" s="139" t="n"/>
      <x:c r="AK297" s="139" t="n"/>
      <x:c r="AL297" s="139" t="n"/>
      <x:c r="AM297" s="139" t="n"/>
      <x:c r="AN297" s="139" t="n"/>
      <x:c r="AO297" s="139" t="n"/>
      <x:c r="AP297" s="139" t="n"/>
      <x:c r="AQ297" s="139" t="n"/>
      <x:c r="AR297" s="139" t="n"/>
      <x:c r="AS297" s="139" t="n"/>
      <x:c r="AT297" s="139" t="n"/>
      <x:c r="AU297" s="139" t="n"/>
      <x:c r="AV297" s="139" t="n"/>
      <x:c r="AW297" s="139" t="n"/>
      <x:c r="AX297" s="139" t="n"/>
      <x:c r="AY297" s="139" t="n"/>
      <x:c r="AZ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c r="V298" s="139" t="n"/>
      <x:c r="W298" s="139" t="n"/>
      <x:c r="X298" s="139" t="n"/>
      <x:c r="Y298" s="139" t="n"/>
      <x:c r="Z298" s="139" t="n"/>
      <x:c r="AA298" s="139" t="n"/>
      <x:c r="AB298" s="139" t="n"/>
      <x:c r="AC298" s="139" t="n"/>
      <x:c r="AD298" s="139" t="n"/>
      <x:c r="AE298" s="139" t="n"/>
      <x:c r="AF298" s="139" t="n"/>
      <x:c r="AG298" s="139" t="n"/>
      <x:c r="AH298" s="139" t="n"/>
      <x:c r="AI298" s="139" t="n"/>
      <x:c r="AJ298" s="139" t="n"/>
      <x:c r="AK298" s="139" t="n"/>
      <x:c r="AL298" s="139" t="n"/>
      <x:c r="AM298" s="139" t="n"/>
      <x:c r="AN298" s="139" t="n"/>
      <x:c r="AO298" s="139" t="n"/>
      <x:c r="AP298" s="139" t="n"/>
      <x:c r="AQ298" s="139" t="n"/>
      <x:c r="AR298" s="139" t="n"/>
      <x:c r="AS298" s="139" t="n"/>
      <x:c r="AT298" s="139" t="n"/>
      <x:c r="AU298" s="139" t="n"/>
      <x:c r="AV298" s="139" t="n"/>
      <x:c r="AW298" s="139" t="n"/>
      <x:c r="AX298" s="139" t="n"/>
      <x:c r="AY298" s="139" t="n"/>
      <x:c r="AZ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c r="V299" s="139" t="n"/>
      <x:c r="W299" s="139" t="n"/>
      <x:c r="X299" s="139" t="n"/>
      <x:c r="Y299" s="139" t="n"/>
      <x:c r="Z299" s="139" t="n"/>
      <x:c r="AA299" s="139" t="n"/>
      <x:c r="AB299" s="139" t="n"/>
      <x:c r="AC299" s="139" t="n"/>
      <x:c r="AD299" s="139" t="n"/>
      <x:c r="AE299" s="139" t="n"/>
      <x:c r="AF299" s="139" t="n"/>
      <x:c r="AG299" s="139" t="n"/>
      <x:c r="AH299" s="139" t="n"/>
      <x:c r="AI299" s="139" t="n"/>
      <x:c r="AJ299" s="139" t="n"/>
      <x:c r="AK299" s="139" t="n"/>
      <x:c r="AL299" s="139" t="n"/>
      <x:c r="AM299" s="139" t="n"/>
      <x:c r="AN299" s="139" t="n"/>
      <x:c r="AO299" s="139" t="n"/>
      <x:c r="AP299" s="139" t="n"/>
      <x:c r="AQ299" s="139" t="n"/>
      <x:c r="AR299" s="139" t="n"/>
      <x:c r="AS299" s="139" t="n"/>
      <x:c r="AT299" s="139" t="n"/>
      <x:c r="AU299" s="139" t="n"/>
      <x:c r="AV299" s="139" t="n"/>
      <x:c r="AW299" s="139" t="n"/>
      <x:c r="AX299" s="139" t="n"/>
      <x:c r="AY299" s="139" t="n"/>
      <x:c r="AZ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c r="V300" s="139" t="n"/>
      <x:c r="W300" s="139" t="n"/>
      <x:c r="X300" s="139" t="n"/>
      <x:c r="Y300" s="139" t="n"/>
      <x:c r="Z300" s="139" t="n"/>
      <x:c r="AA300" s="139" t="n"/>
      <x:c r="AB300" s="139" t="n"/>
      <x:c r="AC300" s="139" t="n"/>
      <x:c r="AD300" s="139" t="n"/>
      <x:c r="AE300" s="139" t="n"/>
      <x:c r="AF300" s="139" t="n"/>
      <x:c r="AG300" s="139" t="n"/>
      <x:c r="AH300" s="139" t="n"/>
      <x:c r="AI300" s="139" t="n"/>
      <x:c r="AJ300" s="139" t="n"/>
      <x:c r="AK300" s="139" t="n"/>
      <x:c r="AL300" s="139" t="n"/>
      <x:c r="AM300" s="139" t="n"/>
      <x:c r="AN300" s="139" t="n"/>
      <x:c r="AO300" s="139" t="n"/>
      <x:c r="AP300" s="139" t="n"/>
      <x:c r="AQ300" s="139" t="n"/>
      <x:c r="AR300" s="139" t="n"/>
      <x:c r="AS300" s="139" t="n"/>
      <x:c r="AT300" s="139" t="n"/>
      <x:c r="AU300" s="139" t="n"/>
      <x:c r="AV300" s="139" t="n"/>
      <x:c r="AW300" s="139" t="n"/>
      <x:c r="AX300" s="139" t="n"/>
      <x:c r="AY300" s="139" t="n"/>
      <x:c r="AZ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c r="V301" s="139" t="n"/>
      <x:c r="W301" s="139" t="n"/>
      <x:c r="X301" s="139" t="n"/>
      <x:c r="Y301" s="139" t="n"/>
      <x:c r="Z301" s="139" t="n"/>
      <x:c r="AA301" s="139" t="n"/>
      <x:c r="AB301" s="139" t="n"/>
      <x:c r="AC301" s="139" t="n"/>
      <x:c r="AD301" s="139" t="n"/>
      <x:c r="AE301" s="139" t="n"/>
      <x:c r="AF301" s="139" t="n"/>
      <x:c r="AG301" s="139" t="n"/>
      <x:c r="AH301" s="139" t="n"/>
      <x:c r="AI301" s="139" t="n"/>
      <x:c r="AJ301" s="139" t="n"/>
      <x:c r="AK301" s="139" t="n"/>
      <x:c r="AL301" s="139" t="n"/>
      <x:c r="AM301" s="139" t="n"/>
      <x:c r="AN301" s="139" t="n"/>
      <x:c r="AO301" s="139" t="n"/>
      <x:c r="AP301" s="139" t="n"/>
      <x:c r="AQ301" s="139" t="n"/>
      <x:c r="AR301" s="139" t="n"/>
      <x:c r="AS301" s="139" t="n"/>
      <x:c r="AT301" s="139" t="n"/>
      <x:c r="AU301" s="139" t="n"/>
      <x:c r="AV301" s="139" t="n"/>
      <x:c r="AW301" s="139" t="n"/>
      <x:c r="AX301" s="139" t="n"/>
      <x:c r="AY301" s="139" t="n"/>
      <x:c r="AZ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c r="V302" s="139" t="n"/>
      <x:c r="W302" s="139" t="n"/>
      <x:c r="X302" s="139" t="n"/>
      <x:c r="Y302" s="139" t="n"/>
      <x:c r="Z302" s="139" t="n"/>
      <x:c r="AA302" s="139" t="n"/>
      <x:c r="AB302" s="139" t="n"/>
      <x:c r="AC302" s="139" t="n"/>
      <x:c r="AD302" s="139" t="n"/>
      <x:c r="AE302" s="139" t="n"/>
      <x:c r="AF302" s="139" t="n"/>
      <x:c r="AG302" s="139" t="n"/>
      <x:c r="AH302" s="139" t="n"/>
      <x:c r="AI302" s="139" t="n"/>
      <x:c r="AJ302" s="139" t="n"/>
      <x:c r="AK302" s="139" t="n"/>
      <x:c r="AL302" s="139" t="n"/>
      <x:c r="AM302" s="139" t="n"/>
      <x:c r="AN302" s="139" t="n"/>
      <x:c r="AO302" s="139" t="n"/>
      <x:c r="AP302" s="139" t="n"/>
      <x:c r="AQ302" s="139" t="n"/>
      <x:c r="AR302" s="139" t="n"/>
      <x:c r="AS302" s="139" t="n"/>
      <x:c r="AT302" s="139" t="n"/>
      <x:c r="AU302" s="139" t="n"/>
      <x:c r="AV302" s="139" t="n"/>
      <x:c r="AW302" s="139" t="n"/>
      <x:c r="AX302" s="139" t="n"/>
      <x:c r="AY302" s="139" t="n"/>
      <x:c r="AZ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c r="V303" s="139" t="n"/>
      <x:c r="W303" s="139" t="n"/>
      <x:c r="X303" s="139" t="n"/>
      <x:c r="Y303" s="139" t="n"/>
      <x:c r="Z303" s="139" t="n"/>
      <x:c r="AA303" s="139" t="n"/>
      <x:c r="AB303" s="139" t="n"/>
      <x:c r="AC303" s="139" t="n"/>
      <x:c r="AD303" s="139" t="n"/>
      <x:c r="AE303" s="139" t="n"/>
      <x:c r="AF303" s="139" t="n"/>
      <x:c r="AG303" s="139" t="n"/>
      <x:c r="AH303" s="139" t="n"/>
      <x:c r="AI303" s="139" t="n"/>
      <x:c r="AJ303" s="139" t="n"/>
      <x:c r="AK303" s="139" t="n"/>
      <x:c r="AL303" s="139" t="n"/>
      <x:c r="AM303" s="139" t="n"/>
      <x:c r="AN303" s="139" t="n"/>
      <x:c r="AO303" s="139" t="n"/>
      <x:c r="AP303" s="139" t="n"/>
      <x:c r="AQ303" s="139" t="n"/>
      <x:c r="AR303" s="139" t="n"/>
      <x:c r="AS303" s="139" t="n"/>
      <x:c r="AT303" s="139" t="n"/>
      <x:c r="AU303" s="139" t="n"/>
      <x:c r="AV303" s="139" t="n"/>
      <x:c r="AW303" s="139" t="n"/>
      <x:c r="AX303" s="139" t="n"/>
      <x:c r="AY303" s="139" t="n"/>
      <x:c r="AZ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c r="V304" s="139" t="n"/>
      <x:c r="W304" s="139" t="n"/>
      <x:c r="X304" s="139" t="n"/>
      <x:c r="Y304" s="139" t="n"/>
      <x:c r="Z304" s="139" t="n"/>
      <x:c r="AA304" s="139" t="n"/>
      <x:c r="AB304" s="139" t="n"/>
      <x:c r="AC304" s="139" t="n"/>
      <x:c r="AD304" s="139" t="n"/>
      <x:c r="AE304" s="139" t="n"/>
      <x:c r="AF304" s="139" t="n"/>
      <x:c r="AG304" s="139" t="n"/>
      <x:c r="AH304" s="139" t="n"/>
      <x:c r="AI304" s="139" t="n"/>
      <x:c r="AJ304" s="139" t="n"/>
      <x:c r="AK304" s="139" t="n"/>
      <x:c r="AL304" s="139" t="n"/>
      <x:c r="AM304" s="139" t="n"/>
      <x:c r="AN304" s="139" t="n"/>
      <x:c r="AO304" s="139" t="n"/>
      <x:c r="AP304" s="139" t="n"/>
      <x:c r="AQ304" s="139" t="n"/>
      <x:c r="AR304" s="139" t="n"/>
      <x:c r="AS304" s="139" t="n"/>
      <x:c r="AT304" s="139" t="n"/>
      <x:c r="AU304" s="139" t="n"/>
      <x:c r="AV304" s="139" t="n"/>
      <x:c r="AW304" s="139" t="n"/>
      <x:c r="AX304" s="139" t="n"/>
      <x:c r="AY304" s="139" t="n"/>
      <x:c r="AZ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c r="V305" s="139" t="n"/>
      <x:c r="W305" s="139" t="n"/>
      <x:c r="X305" s="139" t="n"/>
      <x:c r="Y305" s="139" t="n"/>
      <x:c r="Z305" s="139" t="n"/>
      <x:c r="AA305" s="139" t="n"/>
      <x:c r="AB305" s="139" t="n"/>
      <x:c r="AC305" s="139" t="n"/>
      <x:c r="AD305" s="139" t="n"/>
      <x:c r="AE305" s="139" t="n"/>
      <x:c r="AF305" s="139" t="n"/>
      <x:c r="AG305" s="139" t="n"/>
      <x:c r="AH305" s="139" t="n"/>
      <x:c r="AI305" s="139" t="n"/>
      <x:c r="AJ305" s="139" t="n"/>
      <x:c r="AK305" s="139" t="n"/>
      <x:c r="AL305" s="139" t="n"/>
      <x:c r="AM305" s="139" t="n"/>
      <x:c r="AN305" s="139" t="n"/>
      <x:c r="AO305" s="139" t="n"/>
      <x:c r="AP305" s="139" t="n"/>
      <x:c r="AQ305" s="139" t="n"/>
      <x:c r="AR305" s="139" t="n"/>
      <x:c r="AS305" s="139" t="n"/>
      <x:c r="AT305" s="139" t="n"/>
      <x:c r="AU305" s="139" t="n"/>
      <x:c r="AV305" s="139" t="n"/>
      <x:c r="AW305" s="139" t="n"/>
      <x:c r="AX305" s="139" t="n"/>
      <x:c r="AY305" s="139" t="n"/>
      <x:c r="AZ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c r="V306" s="139" t="n"/>
      <x:c r="W306" s="139" t="n"/>
      <x:c r="X306" s="139" t="n"/>
      <x:c r="Y306" s="139" t="n"/>
      <x:c r="Z306" s="139" t="n"/>
      <x:c r="AA306" s="139" t="n"/>
      <x:c r="AB306" s="139" t="n"/>
      <x:c r="AC306" s="139" t="n"/>
      <x:c r="AD306" s="139" t="n"/>
      <x:c r="AE306" s="139" t="n"/>
      <x:c r="AF306" s="139" t="n"/>
      <x:c r="AG306" s="139" t="n"/>
      <x:c r="AH306" s="139" t="n"/>
      <x:c r="AI306" s="139" t="n"/>
      <x:c r="AJ306" s="139" t="n"/>
      <x:c r="AK306" s="139" t="n"/>
      <x:c r="AL306" s="139" t="n"/>
      <x:c r="AM306" s="139" t="n"/>
      <x:c r="AN306" s="139" t="n"/>
      <x:c r="AO306" s="139" t="n"/>
      <x:c r="AP306" s="139" t="n"/>
      <x:c r="AQ306" s="139" t="n"/>
      <x:c r="AR306" s="139" t="n"/>
      <x:c r="AS306" s="139" t="n"/>
      <x:c r="AT306" s="139" t="n"/>
      <x:c r="AU306" s="139" t="n"/>
      <x:c r="AV306" s="139" t="n"/>
      <x:c r="AW306" s="139" t="n"/>
      <x:c r="AX306" s="139" t="n"/>
      <x:c r="AY306" s="139" t="n"/>
      <x:c r="AZ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c r="V307" s="139" t="n"/>
      <x:c r="W307" s="139" t="n"/>
      <x:c r="X307" s="139" t="n"/>
      <x:c r="Y307" s="139" t="n"/>
      <x:c r="Z307" s="139" t="n"/>
      <x:c r="AA307" s="139" t="n"/>
      <x:c r="AB307" s="139" t="n"/>
      <x:c r="AC307" s="139" t="n"/>
      <x:c r="AD307" s="139" t="n"/>
      <x:c r="AE307" s="139" t="n"/>
      <x:c r="AF307" s="139" t="n"/>
      <x:c r="AG307" s="139" t="n"/>
      <x:c r="AH307" s="139" t="n"/>
      <x:c r="AI307" s="139" t="n"/>
      <x:c r="AJ307" s="139" t="n"/>
      <x:c r="AK307" s="139" t="n"/>
      <x:c r="AL307" s="139" t="n"/>
      <x:c r="AM307" s="139" t="n"/>
      <x:c r="AN307" s="139" t="n"/>
      <x:c r="AO307" s="139" t="n"/>
      <x:c r="AP307" s="139" t="n"/>
      <x:c r="AQ307" s="139" t="n"/>
      <x:c r="AR307" s="139" t="n"/>
      <x:c r="AS307" s="139" t="n"/>
      <x:c r="AT307" s="139" t="n"/>
      <x:c r="AU307" s="139" t="n"/>
      <x:c r="AV307" s="139" t="n"/>
      <x:c r="AW307" s="139" t="n"/>
      <x:c r="AX307" s="139" t="n"/>
      <x:c r="AY307" s="139" t="n"/>
      <x:c r="AZ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c r="V308" s="139" t="n"/>
      <x:c r="W308" s="139" t="n"/>
      <x:c r="X308" s="139" t="n"/>
      <x:c r="Y308" s="139" t="n"/>
      <x:c r="Z308" s="139" t="n"/>
      <x:c r="AA308" s="139" t="n"/>
      <x:c r="AB308" s="139" t="n"/>
      <x:c r="AC308" s="139" t="n"/>
      <x:c r="AD308" s="139" t="n"/>
      <x:c r="AE308" s="139" t="n"/>
      <x:c r="AF308" s="139" t="n"/>
      <x:c r="AG308" s="139" t="n"/>
      <x:c r="AH308" s="139" t="n"/>
      <x:c r="AI308" s="139" t="n"/>
      <x:c r="AJ308" s="139" t="n"/>
      <x:c r="AK308" s="139" t="n"/>
      <x:c r="AL308" s="139" t="n"/>
      <x:c r="AM308" s="139" t="n"/>
      <x:c r="AN308" s="139" t="n"/>
      <x:c r="AO308" s="139" t="n"/>
      <x:c r="AP308" s="139" t="n"/>
      <x:c r="AQ308" s="139" t="n"/>
      <x:c r="AR308" s="139" t="n"/>
      <x:c r="AS308" s="139" t="n"/>
      <x:c r="AT308" s="139" t="n"/>
      <x:c r="AU308" s="139" t="n"/>
      <x:c r="AV308" s="139" t="n"/>
      <x:c r="AW308" s="139" t="n"/>
      <x:c r="AX308" s="139" t="n"/>
      <x:c r="AY308" s="139" t="n"/>
      <x:c r="AZ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c r="V309" s="139" t="n"/>
      <x:c r="W309" s="139" t="n"/>
      <x:c r="X309" s="139" t="n"/>
      <x:c r="Y309" s="139" t="n"/>
      <x:c r="Z309" s="139" t="n"/>
      <x:c r="AA309" s="139" t="n"/>
      <x:c r="AB309" s="139" t="n"/>
      <x:c r="AC309" s="139" t="n"/>
      <x:c r="AD309" s="139" t="n"/>
      <x:c r="AE309" s="139" t="n"/>
      <x:c r="AF309" s="139" t="n"/>
      <x:c r="AG309" s="139" t="n"/>
      <x:c r="AH309" s="139" t="n"/>
      <x:c r="AI309" s="139" t="n"/>
      <x:c r="AJ309" s="139" t="n"/>
      <x:c r="AK309" s="139" t="n"/>
      <x:c r="AL309" s="139" t="n"/>
      <x:c r="AM309" s="139" t="n"/>
      <x:c r="AN309" s="139" t="n"/>
      <x:c r="AO309" s="139" t="n"/>
      <x:c r="AP309" s="139" t="n"/>
      <x:c r="AQ309" s="139" t="n"/>
      <x:c r="AR309" s="139" t="n"/>
      <x:c r="AS309" s="139" t="n"/>
      <x:c r="AT309" s="139" t="n"/>
      <x:c r="AU309" s="139" t="n"/>
      <x:c r="AV309" s="139" t="n"/>
      <x:c r="AW309" s="139" t="n"/>
      <x:c r="AX309" s="139" t="n"/>
      <x:c r="AY309" s="139" t="n"/>
      <x:c r="AZ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c r="V310" s="139" t="n"/>
      <x:c r="W310" s="139" t="n"/>
      <x:c r="X310" s="139" t="n"/>
      <x:c r="Y310" s="139" t="n"/>
      <x:c r="Z310" s="139" t="n"/>
      <x:c r="AA310" s="139" t="n"/>
      <x:c r="AB310" s="139" t="n"/>
      <x:c r="AC310" s="139" t="n"/>
      <x:c r="AD310" s="139" t="n"/>
      <x:c r="AE310" s="139" t="n"/>
      <x:c r="AF310" s="139" t="n"/>
      <x:c r="AG310" s="139" t="n"/>
      <x:c r="AH310" s="139" t="n"/>
      <x:c r="AI310" s="139" t="n"/>
      <x:c r="AJ310" s="139" t="n"/>
      <x:c r="AK310" s="139" t="n"/>
      <x:c r="AL310" s="139" t="n"/>
      <x:c r="AM310" s="139" t="n"/>
      <x:c r="AN310" s="139" t="n"/>
      <x:c r="AO310" s="139" t="n"/>
      <x:c r="AP310" s="139" t="n"/>
      <x:c r="AQ310" s="139" t="n"/>
      <x:c r="AR310" s="139" t="n"/>
      <x:c r="AS310" s="139" t="n"/>
      <x:c r="AT310" s="139" t="n"/>
      <x:c r="AU310" s="139" t="n"/>
      <x:c r="AV310" s="139" t="n"/>
      <x:c r="AW310" s="139" t="n"/>
      <x:c r="AX310" s="139" t="n"/>
      <x:c r="AY310" s="139" t="n"/>
      <x:c r="AZ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c r="V311" s="139" t="n"/>
      <x:c r="W311" s="139" t="n"/>
      <x:c r="X311" s="139" t="n"/>
      <x:c r="Y311" s="139" t="n"/>
      <x:c r="Z311" s="139" t="n"/>
      <x:c r="AA311" s="139" t="n"/>
      <x:c r="AB311" s="139" t="n"/>
      <x:c r="AC311" s="139" t="n"/>
      <x:c r="AD311" s="139" t="n"/>
      <x:c r="AE311" s="139" t="n"/>
      <x:c r="AF311" s="139" t="n"/>
      <x:c r="AG311" s="139" t="n"/>
      <x:c r="AH311" s="139" t="n"/>
      <x:c r="AI311" s="139" t="n"/>
      <x:c r="AJ311" s="139" t="n"/>
      <x:c r="AK311" s="139" t="n"/>
      <x:c r="AL311" s="139" t="n"/>
      <x:c r="AM311" s="139" t="n"/>
      <x:c r="AN311" s="139" t="n"/>
      <x:c r="AO311" s="139" t="n"/>
      <x:c r="AP311" s="139" t="n"/>
      <x:c r="AQ311" s="139" t="n"/>
      <x:c r="AR311" s="139" t="n"/>
      <x:c r="AS311" s="139" t="n"/>
      <x:c r="AT311" s="139" t="n"/>
      <x:c r="AU311" s="139" t="n"/>
      <x:c r="AV311" s="139" t="n"/>
      <x:c r="AW311" s="139" t="n"/>
      <x:c r="AX311" s="139" t="n"/>
      <x:c r="AY311" s="139" t="n"/>
      <x:c r="AZ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c r="V312" s="139" t="n"/>
      <x:c r="W312" s="139" t="n"/>
      <x:c r="X312" s="139" t="n"/>
      <x:c r="Y312" s="139" t="n"/>
      <x:c r="Z312" s="139" t="n"/>
      <x:c r="AA312" s="139" t="n"/>
      <x:c r="AB312" s="139" t="n"/>
      <x:c r="AC312" s="139" t="n"/>
      <x:c r="AD312" s="139" t="n"/>
      <x:c r="AE312" s="139" t="n"/>
      <x:c r="AF312" s="139" t="n"/>
      <x:c r="AG312" s="139" t="n"/>
      <x:c r="AH312" s="139" t="n"/>
      <x:c r="AI312" s="139" t="n"/>
      <x:c r="AJ312" s="139" t="n"/>
      <x:c r="AK312" s="139" t="n"/>
      <x:c r="AL312" s="139" t="n"/>
      <x:c r="AM312" s="139" t="n"/>
      <x:c r="AN312" s="139" t="n"/>
      <x:c r="AO312" s="139" t="n"/>
      <x:c r="AP312" s="139" t="n"/>
      <x:c r="AQ312" s="139" t="n"/>
      <x:c r="AR312" s="139" t="n"/>
      <x:c r="AS312" s="139" t="n"/>
      <x:c r="AT312" s="139" t="n"/>
      <x:c r="AU312" s="139" t="n"/>
      <x:c r="AV312" s="139" t="n"/>
      <x:c r="AW312" s="139" t="n"/>
      <x:c r="AX312" s="139" t="n"/>
      <x:c r="AY312" s="139" t="n"/>
      <x:c r="AZ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c r="V313" s="139" t="n"/>
      <x:c r="W313" s="139" t="n"/>
      <x:c r="X313" s="139" t="n"/>
      <x:c r="Y313" s="139" t="n"/>
      <x:c r="Z313" s="139" t="n"/>
      <x:c r="AA313" s="139" t="n"/>
      <x:c r="AB313" s="139" t="n"/>
      <x:c r="AC313" s="139" t="n"/>
      <x:c r="AD313" s="139" t="n"/>
      <x:c r="AE313" s="139" t="n"/>
      <x:c r="AF313" s="139" t="n"/>
      <x:c r="AG313" s="139" t="n"/>
      <x:c r="AH313" s="139" t="n"/>
      <x:c r="AI313" s="139" t="n"/>
      <x:c r="AJ313" s="139" t="n"/>
      <x:c r="AK313" s="139" t="n"/>
      <x:c r="AL313" s="139" t="n"/>
      <x:c r="AM313" s="139" t="n"/>
      <x:c r="AN313" s="139" t="n"/>
      <x:c r="AO313" s="139" t="n"/>
      <x:c r="AP313" s="139" t="n"/>
      <x:c r="AQ313" s="139" t="n"/>
      <x:c r="AR313" s="139" t="n"/>
      <x:c r="AS313" s="139" t="n"/>
      <x:c r="AT313" s="139" t="n"/>
      <x:c r="AU313" s="139" t="n"/>
      <x:c r="AV313" s="139" t="n"/>
      <x:c r="AW313" s="139" t="n"/>
      <x:c r="AX313" s="139" t="n"/>
      <x:c r="AY313" s="139" t="n"/>
      <x:c r="AZ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c r="V314" s="139" t="n"/>
      <x:c r="W314" s="139" t="n"/>
      <x:c r="X314" s="139" t="n"/>
      <x:c r="Y314" s="139" t="n"/>
      <x:c r="Z314" s="139" t="n"/>
      <x:c r="AA314" s="139" t="n"/>
      <x:c r="AB314" s="139" t="n"/>
      <x:c r="AC314" s="139" t="n"/>
      <x:c r="AD314" s="139" t="n"/>
      <x:c r="AE314" s="139" t="n"/>
      <x:c r="AF314" s="139" t="n"/>
      <x:c r="AG314" s="139" t="n"/>
      <x:c r="AH314" s="139" t="n"/>
      <x:c r="AI314" s="139" t="n"/>
      <x:c r="AJ314" s="139" t="n"/>
      <x:c r="AK314" s="139" t="n"/>
      <x:c r="AL314" s="139" t="n"/>
      <x:c r="AM314" s="139" t="n"/>
      <x:c r="AN314" s="139" t="n"/>
      <x:c r="AO314" s="139" t="n"/>
      <x:c r="AP314" s="139" t="n"/>
      <x:c r="AQ314" s="139" t="n"/>
      <x:c r="AR314" s="139" t="n"/>
      <x:c r="AS314" s="139" t="n"/>
      <x:c r="AT314" s="139" t="n"/>
      <x:c r="AU314" s="139" t="n"/>
      <x:c r="AV314" s="139" t="n"/>
      <x:c r="AW314" s="139" t="n"/>
      <x:c r="AX314" s="139" t="n"/>
      <x:c r="AY314" s="139" t="n"/>
      <x:c r="AZ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c r="V315" s="139" t="n"/>
      <x:c r="W315" s="139" t="n"/>
      <x:c r="X315" s="139" t="n"/>
      <x:c r="Y315" s="139" t="n"/>
      <x:c r="Z315" s="139" t="n"/>
      <x:c r="AA315" s="139" t="n"/>
      <x:c r="AB315" s="139" t="n"/>
      <x:c r="AC315" s="139" t="n"/>
      <x:c r="AD315" s="139" t="n"/>
      <x:c r="AE315" s="139" t="n"/>
      <x:c r="AF315" s="139" t="n"/>
      <x:c r="AG315" s="139" t="n"/>
      <x:c r="AH315" s="139" t="n"/>
      <x:c r="AI315" s="139" t="n"/>
      <x:c r="AJ315" s="139" t="n"/>
      <x:c r="AK315" s="139" t="n"/>
      <x:c r="AL315" s="139" t="n"/>
      <x:c r="AM315" s="139" t="n"/>
      <x:c r="AN315" s="139" t="n"/>
      <x:c r="AO315" s="139" t="n"/>
      <x:c r="AP315" s="139" t="n"/>
      <x:c r="AQ315" s="139" t="n"/>
      <x:c r="AR315" s="139" t="n"/>
      <x:c r="AS315" s="139" t="n"/>
      <x:c r="AT315" s="139" t="n"/>
      <x:c r="AU315" s="139" t="n"/>
      <x:c r="AV315" s="139" t="n"/>
      <x:c r="AW315" s="139" t="n"/>
      <x:c r="AX315" s="139" t="n"/>
      <x:c r="AY315" s="139" t="n"/>
      <x:c r="AZ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c r="V316" s="139" t="n"/>
      <x:c r="W316" s="139" t="n"/>
      <x:c r="X316" s="139" t="n"/>
      <x:c r="Y316" s="139" t="n"/>
      <x:c r="Z316" s="139" t="n"/>
      <x:c r="AA316" s="139" t="n"/>
      <x:c r="AB316" s="139" t="n"/>
      <x:c r="AC316" s="139" t="n"/>
      <x:c r="AD316" s="139" t="n"/>
      <x:c r="AE316" s="139" t="n"/>
      <x:c r="AF316" s="139" t="n"/>
      <x:c r="AG316" s="139" t="n"/>
      <x:c r="AH316" s="139" t="n"/>
      <x:c r="AI316" s="139" t="n"/>
      <x:c r="AJ316" s="139" t="n"/>
      <x:c r="AK316" s="139" t="n"/>
      <x:c r="AL316" s="139" t="n"/>
      <x:c r="AM316" s="139" t="n"/>
      <x:c r="AN316" s="139" t="n"/>
      <x:c r="AO316" s="139" t="n"/>
      <x:c r="AP316" s="139" t="n"/>
      <x:c r="AQ316" s="139" t="n"/>
      <x:c r="AR316" s="139" t="n"/>
      <x:c r="AS316" s="139" t="n"/>
      <x:c r="AT316" s="139" t="n"/>
      <x:c r="AU316" s="139" t="n"/>
      <x:c r="AV316" s="139" t="n"/>
      <x:c r="AW316" s="139" t="n"/>
      <x:c r="AX316" s="139" t="n"/>
      <x:c r="AY316" s="139" t="n"/>
      <x:c r="AZ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c r="V317" s="139" t="n"/>
      <x:c r="W317" s="139" t="n"/>
      <x:c r="X317" s="139" t="n"/>
      <x:c r="Y317" s="139" t="n"/>
      <x:c r="Z317" s="139" t="n"/>
      <x:c r="AA317" s="139" t="n"/>
      <x:c r="AB317" s="139" t="n"/>
      <x:c r="AC317" s="139" t="n"/>
      <x:c r="AD317" s="139" t="n"/>
      <x:c r="AE317" s="139" t="n"/>
      <x:c r="AF317" s="139" t="n"/>
      <x:c r="AG317" s="139" t="n"/>
      <x:c r="AH317" s="139" t="n"/>
      <x:c r="AI317" s="139" t="n"/>
      <x:c r="AJ317" s="139" t="n"/>
      <x:c r="AK317" s="139" t="n"/>
      <x:c r="AL317" s="139" t="n"/>
      <x:c r="AM317" s="139" t="n"/>
      <x:c r="AN317" s="139" t="n"/>
      <x:c r="AO317" s="139" t="n"/>
      <x:c r="AP317" s="139" t="n"/>
      <x:c r="AQ317" s="139" t="n"/>
      <x:c r="AR317" s="139" t="n"/>
      <x:c r="AS317" s="139" t="n"/>
      <x:c r="AT317" s="139" t="n"/>
      <x:c r="AU317" s="139" t="n"/>
      <x:c r="AV317" s="139" t="n"/>
      <x:c r="AW317" s="139" t="n"/>
      <x:c r="AX317" s="139" t="n"/>
      <x:c r="AY317" s="139" t="n"/>
      <x:c r="AZ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c r="V318" s="139" t="n"/>
      <x:c r="W318" s="139" t="n"/>
      <x:c r="X318" s="139" t="n"/>
      <x:c r="Y318" s="139" t="n"/>
      <x:c r="Z318" s="139" t="n"/>
      <x:c r="AA318" s="139" t="n"/>
      <x:c r="AB318" s="139" t="n"/>
      <x:c r="AC318" s="139" t="n"/>
      <x:c r="AD318" s="139" t="n"/>
      <x:c r="AE318" s="139" t="n"/>
      <x:c r="AF318" s="139" t="n"/>
      <x:c r="AG318" s="139" t="n"/>
      <x:c r="AH318" s="139" t="n"/>
      <x:c r="AI318" s="139" t="n"/>
      <x:c r="AJ318" s="139" t="n"/>
      <x:c r="AK318" s="139" t="n"/>
      <x:c r="AL318" s="139" t="n"/>
      <x:c r="AM318" s="139" t="n"/>
      <x:c r="AN318" s="139" t="n"/>
      <x:c r="AO318" s="139" t="n"/>
      <x:c r="AP318" s="139" t="n"/>
      <x:c r="AQ318" s="139" t="n"/>
      <x:c r="AR318" s="139" t="n"/>
      <x:c r="AS318" s="139" t="n"/>
      <x:c r="AT318" s="139" t="n"/>
      <x:c r="AU318" s="139" t="n"/>
      <x:c r="AV318" s="139" t="n"/>
      <x:c r="AW318" s="139" t="n"/>
      <x:c r="AX318" s="139" t="n"/>
      <x:c r="AY318" s="139" t="n"/>
      <x:c r="AZ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c r="V319" s="139" t="n"/>
      <x:c r="W319" s="139" t="n"/>
      <x:c r="X319" s="139" t="n"/>
      <x:c r="Y319" s="139" t="n"/>
      <x:c r="Z319" s="139" t="n"/>
      <x:c r="AA319" s="139" t="n"/>
      <x:c r="AB319" s="139" t="n"/>
      <x:c r="AC319" s="139" t="n"/>
      <x:c r="AD319" s="139" t="n"/>
      <x:c r="AE319" s="139" t="n"/>
      <x:c r="AF319" s="139" t="n"/>
      <x:c r="AG319" s="139" t="n"/>
      <x:c r="AH319" s="139" t="n"/>
      <x:c r="AI319" s="139" t="n"/>
      <x:c r="AJ319" s="139" t="n"/>
      <x:c r="AK319" s="139" t="n"/>
      <x:c r="AL319" s="139" t="n"/>
      <x:c r="AM319" s="139" t="n"/>
      <x:c r="AN319" s="139" t="n"/>
      <x:c r="AO319" s="139" t="n"/>
      <x:c r="AP319" s="139" t="n"/>
      <x:c r="AQ319" s="139" t="n"/>
      <x:c r="AR319" s="139" t="n"/>
      <x:c r="AS319" s="139" t="n"/>
      <x:c r="AT319" s="139" t="n"/>
      <x:c r="AU319" s="139" t="n"/>
      <x:c r="AV319" s="139" t="n"/>
      <x:c r="AW319" s="139" t="n"/>
      <x:c r="AX319" s="139" t="n"/>
      <x:c r="AY319" s="139" t="n"/>
      <x:c r="AZ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c r="V320" s="139" t="n"/>
      <x:c r="W320" s="139" t="n"/>
      <x:c r="X320" s="139" t="n"/>
      <x:c r="Y320" s="139" t="n"/>
      <x:c r="Z320" s="139" t="n"/>
      <x:c r="AA320" s="139" t="n"/>
      <x:c r="AB320" s="139" t="n"/>
      <x:c r="AC320" s="139" t="n"/>
      <x:c r="AD320" s="139" t="n"/>
      <x:c r="AE320" s="139" t="n"/>
      <x:c r="AF320" s="139" t="n"/>
      <x:c r="AG320" s="139" t="n"/>
      <x:c r="AH320" s="139" t="n"/>
      <x:c r="AI320" s="139" t="n"/>
      <x:c r="AJ320" s="139" t="n"/>
      <x:c r="AK320" s="139" t="n"/>
      <x:c r="AL320" s="139" t="n"/>
      <x:c r="AM320" s="139" t="n"/>
      <x:c r="AN320" s="139" t="n"/>
      <x:c r="AO320" s="139" t="n"/>
      <x:c r="AP320" s="139" t="n"/>
      <x:c r="AQ320" s="139" t="n"/>
      <x:c r="AR320" s="139" t="n"/>
      <x:c r="AS320" s="139" t="n"/>
      <x:c r="AT320" s="139" t="n"/>
      <x:c r="AU320" s="139" t="n"/>
      <x:c r="AV320" s="139" t="n"/>
      <x:c r="AW320" s="139" t="n"/>
      <x:c r="AX320" s="139" t="n"/>
      <x:c r="AY320" s="139" t="n"/>
      <x:c r="AZ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c r="V321" s="139" t="n"/>
      <x:c r="W321" s="139" t="n"/>
      <x:c r="X321" s="139" t="n"/>
      <x:c r="Y321" s="139" t="n"/>
      <x:c r="Z321" s="139" t="n"/>
      <x:c r="AA321" s="139" t="n"/>
      <x:c r="AB321" s="139" t="n"/>
      <x:c r="AC321" s="139" t="n"/>
      <x:c r="AD321" s="139" t="n"/>
      <x:c r="AE321" s="139" t="n"/>
      <x:c r="AF321" s="139" t="n"/>
      <x:c r="AG321" s="139" t="n"/>
      <x:c r="AH321" s="139" t="n"/>
      <x:c r="AI321" s="139" t="n"/>
      <x:c r="AJ321" s="139" t="n"/>
      <x:c r="AK321" s="139" t="n"/>
      <x:c r="AL321" s="139" t="n"/>
      <x:c r="AM321" s="139" t="n"/>
      <x:c r="AN321" s="139" t="n"/>
      <x:c r="AO321" s="139" t="n"/>
      <x:c r="AP321" s="139" t="n"/>
      <x:c r="AQ321" s="139" t="n"/>
      <x:c r="AR321" s="139" t="n"/>
      <x:c r="AS321" s="139" t="n"/>
      <x:c r="AT321" s="139" t="n"/>
      <x:c r="AU321" s="139" t="n"/>
      <x:c r="AV321" s="139" t="n"/>
      <x:c r="AW321" s="139" t="n"/>
      <x:c r="AX321" s="139" t="n"/>
      <x:c r="AY321" s="139" t="n"/>
      <x:c r="AZ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c r="V322" s="139" t="n"/>
      <x:c r="W322" s="139" t="n"/>
      <x:c r="X322" s="139" t="n"/>
      <x:c r="Y322" s="139" t="n"/>
      <x:c r="Z322" s="139" t="n"/>
      <x:c r="AA322" s="139" t="n"/>
      <x:c r="AB322" s="139" t="n"/>
      <x:c r="AC322" s="139" t="n"/>
      <x:c r="AD322" s="139" t="n"/>
      <x:c r="AE322" s="139" t="n"/>
      <x:c r="AF322" s="139" t="n"/>
      <x:c r="AG322" s="139" t="n"/>
      <x:c r="AH322" s="139" t="n"/>
      <x:c r="AI322" s="139" t="n"/>
      <x:c r="AJ322" s="139" t="n"/>
      <x:c r="AK322" s="139" t="n"/>
      <x:c r="AL322" s="139" t="n"/>
      <x:c r="AM322" s="139" t="n"/>
      <x:c r="AN322" s="139" t="n"/>
      <x:c r="AO322" s="139" t="n"/>
      <x:c r="AP322" s="139" t="n"/>
      <x:c r="AQ322" s="139" t="n"/>
      <x:c r="AR322" s="139" t="n"/>
      <x:c r="AS322" s="139" t="n"/>
      <x:c r="AT322" s="139" t="n"/>
      <x:c r="AU322" s="139" t="n"/>
      <x:c r="AV322" s="139" t="n"/>
      <x:c r="AW322" s="139" t="n"/>
      <x:c r="AX322" s="139" t="n"/>
      <x:c r="AY322" s="139" t="n"/>
      <x:c r="AZ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c r="V323" s="139" t="n"/>
      <x:c r="W323" s="139" t="n"/>
      <x:c r="X323" s="139" t="n"/>
      <x:c r="Y323" s="139" t="n"/>
      <x:c r="Z323" s="139" t="n"/>
      <x:c r="AA323" s="139" t="n"/>
      <x:c r="AB323" s="139" t="n"/>
      <x:c r="AC323" s="139" t="n"/>
      <x:c r="AD323" s="139" t="n"/>
      <x:c r="AE323" s="139" t="n"/>
      <x:c r="AF323" s="139" t="n"/>
      <x:c r="AG323" s="139" t="n"/>
      <x:c r="AH323" s="139" t="n"/>
      <x:c r="AI323" s="139" t="n"/>
      <x:c r="AJ323" s="139" t="n"/>
      <x:c r="AK323" s="139" t="n"/>
      <x:c r="AL323" s="139" t="n"/>
      <x:c r="AM323" s="139" t="n"/>
      <x:c r="AN323" s="139" t="n"/>
      <x:c r="AO323" s="139" t="n"/>
      <x:c r="AP323" s="139" t="n"/>
      <x:c r="AQ323" s="139" t="n"/>
      <x:c r="AR323" s="139" t="n"/>
      <x:c r="AS323" s="139" t="n"/>
      <x:c r="AT323" s="139" t="n"/>
      <x:c r="AU323" s="139" t="n"/>
      <x:c r="AV323" s="139" t="n"/>
      <x:c r="AW323" s="139" t="n"/>
      <x:c r="AX323" s="139" t="n"/>
      <x:c r="AY323" s="139" t="n"/>
      <x:c r="AZ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c r="V324" s="139" t="n"/>
      <x:c r="W324" s="139" t="n"/>
      <x:c r="X324" s="139" t="n"/>
      <x:c r="Y324" s="139" t="n"/>
      <x:c r="Z324" s="139" t="n"/>
      <x:c r="AA324" s="139" t="n"/>
      <x:c r="AB324" s="139" t="n"/>
      <x:c r="AC324" s="139" t="n"/>
      <x:c r="AD324" s="139" t="n"/>
      <x:c r="AE324" s="139" t="n"/>
      <x:c r="AF324" s="139" t="n"/>
      <x:c r="AG324" s="139" t="n"/>
      <x:c r="AH324" s="139" t="n"/>
      <x:c r="AI324" s="139" t="n"/>
      <x:c r="AJ324" s="139" t="n"/>
      <x:c r="AK324" s="139" t="n"/>
      <x:c r="AL324" s="139" t="n"/>
      <x:c r="AM324" s="139" t="n"/>
      <x:c r="AN324" s="139" t="n"/>
      <x:c r="AO324" s="139" t="n"/>
      <x:c r="AP324" s="139" t="n"/>
      <x:c r="AQ324" s="139" t="n"/>
      <x:c r="AR324" s="139" t="n"/>
      <x:c r="AS324" s="139" t="n"/>
      <x:c r="AT324" s="139" t="n"/>
      <x:c r="AU324" s="139" t="n"/>
      <x:c r="AV324" s="139" t="n"/>
      <x:c r="AW324" s="139" t="n"/>
      <x:c r="AX324" s="139" t="n"/>
      <x:c r="AY324" s="139" t="n"/>
      <x:c r="AZ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c r="V325" s="139" t="n"/>
      <x:c r="W325" s="139" t="n"/>
      <x:c r="X325" s="139" t="n"/>
      <x:c r="Y325" s="139" t="n"/>
      <x:c r="Z325" s="139" t="n"/>
      <x:c r="AA325" s="139" t="n"/>
      <x:c r="AB325" s="139" t="n"/>
      <x:c r="AC325" s="139" t="n"/>
      <x:c r="AD325" s="139" t="n"/>
      <x:c r="AE325" s="139" t="n"/>
      <x:c r="AF325" s="139" t="n"/>
      <x:c r="AG325" s="139" t="n"/>
      <x:c r="AH325" s="139" t="n"/>
      <x:c r="AI325" s="139" t="n"/>
      <x:c r="AJ325" s="139" t="n"/>
      <x:c r="AK325" s="139" t="n"/>
      <x:c r="AL325" s="139" t="n"/>
      <x:c r="AM325" s="139" t="n"/>
      <x:c r="AN325" s="139" t="n"/>
      <x:c r="AO325" s="139" t="n"/>
      <x:c r="AP325" s="139" t="n"/>
      <x:c r="AQ325" s="139" t="n"/>
      <x:c r="AR325" s="139" t="n"/>
      <x:c r="AS325" s="139" t="n"/>
      <x:c r="AT325" s="139" t="n"/>
      <x:c r="AU325" s="139" t="n"/>
      <x:c r="AV325" s="139" t="n"/>
      <x:c r="AW325" s="139" t="n"/>
      <x:c r="AX325" s="139" t="n"/>
      <x:c r="AY325" s="139" t="n"/>
      <x:c r="AZ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c r="V326" s="139" t="n"/>
      <x:c r="W326" s="139" t="n"/>
      <x:c r="X326" s="139" t="n"/>
      <x:c r="Y326" s="139" t="n"/>
      <x:c r="Z326" s="139" t="n"/>
      <x:c r="AA326" s="139" t="n"/>
      <x:c r="AB326" s="139" t="n"/>
      <x:c r="AC326" s="139" t="n"/>
      <x:c r="AD326" s="139" t="n"/>
      <x:c r="AE326" s="139" t="n"/>
      <x:c r="AF326" s="139" t="n"/>
      <x:c r="AG326" s="139" t="n"/>
      <x:c r="AH326" s="139" t="n"/>
      <x:c r="AI326" s="139" t="n"/>
      <x:c r="AJ326" s="139" t="n"/>
      <x:c r="AK326" s="139" t="n"/>
      <x:c r="AL326" s="139" t="n"/>
      <x:c r="AM326" s="139" t="n"/>
      <x:c r="AN326" s="139" t="n"/>
      <x:c r="AO326" s="139" t="n"/>
      <x:c r="AP326" s="139" t="n"/>
      <x:c r="AQ326" s="139" t="n"/>
      <x:c r="AR326" s="139" t="n"/>
      <x:c r="AS326" s="139" t="n"/>
      <x:c r="AT326" s="139" t="n"/>
      <x:c r="AU326" s="139" t="n"/>
      <x:c r="AV326" s="139" t="n"/>
      <x:c r="AW326" s="139" t="n"/>
      <x:c r="AX326" s="139" t="n"/>
      <x:c r="AY326" s="139" t="n"/>
      <x:c r="AZ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c r="V327" s="139" t="n"/>
      <x:c r="W327" s="139" t="n"/>
      <x:c r="X327" s="139" t="n"/>
      <x:c r="Y327" s="139" t="n"/>
      <x:c r="Z327" s="139" t="n"/>
      <x:c r="AA327" s="139" t="n"/>
      <x:c r="AB327" s="139" t="n"/>
      <x:c r="AC327" s="139" t="n"/>
      <x:c r="AD327" s="139" t="n"/>
      <x:c r="AE327" s="139" t="n"/>
      <x:c r="AF327" s="139" t="n"/>
      <x:c r="AG327" s="139" t="n"/>
      <x:c r="AH327" s="139" t="n"/>
      <x:c r="AI327" s="139" t="n"/>
      <x:c r="AJ327" s="139" t="n"/>
      <x:c r="AK327" s="139" t="n"/>
      <x:c r="AL327" s="139" t="n"/>
      <x:c r="AM327" s="139" t="n"/>
      <x:c r="AN327" s="139" t="n"/>
      <x:c r="AO327" s="139" t="n"/>
      <x:c r="AP327" s="139" t="n"/>
      <x:c r="AQ327" s="139" t="n"/>
      <x:c r="AR327" s="139" t="n"/>
      <x:c r="AS327" s="139" t="n"/>
      <x:c r="AT327" s="139" t="n"/>
      <x:c r="AU327" s="139" t="n"/>
      <x:c r="AV327" s="139" t="n"/>
      <x:c r="AW327" s="139" t="n"/>
      <x:c r="AX327" s="139" t="n"/>
      <x:c r="AY327" s="139" t="n"/>
      <x:c r="AZ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c r="V328" s="139" t="n"/>
      <x:c r="W328" s="139" t="n"/>
      <x:c r="X328" s="139" t="n"/>
      <x:c r="Y328" s="139" t="n"/>
      <x:c r="Z328" s="139" t="n"/>
      <x:c r="AA328" s="139" t="n"/>
      <x:c r="AB328" s="139" t="n"/>
      <x:c r="AC328" s="139" t="n"/>
      <x:c r="AD328" s="139" t="n"/>
      <x:c r="AE328" s="139" t="n"/>
      <x:c r="AF328" s="139" t="n"/>
      <x:c r="AG328" s="139" t="n"/>
      <x:c r="AH328" s="139" t="n"/>
      <x:c r="AI328" s="139" t="n"/>
      <x:c r="AJ328" s="139" t="n"/>
      <x:c r="AK328" s="139" t="n"/>
      <x:c r="AL328" s="139" t="n"/>
      <x:c r="AM328" s="139" t="n"/>
      <x:c r="AN328" s="139" t="n"/>
      <x:c r="AO328" s="139" t="n"/>
      <x:c r="AP328" s="139" t="n"/>
      <x:c r="AQ328" s="139" t="n"/>
      <x:c r="AR328" s="139" t="n"/>
      <x:c r="AS328" s="139" t="n"/>
      <x:c r="AT328" s="139" t="n"/>
      <x:c r="AU328" s="139" t="n"/>
      <x:c r="AV328" s="139" t="n"/>
      <x:c r="AW328" s="139" t="n"/>
      <x:c r="AX328" s="139" t="n"/>
      <x:c r="AY328" s="139" t="n"/>
      <x:c r="AZ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c r="V329" s="139" t="n"/>
      <x:c r="W329" s="139" t="n"/>
      <x:c r="X329" s="139" t="n"/>
      <x:c r="Y329" s="139" t="n"/>
      <x:c r="Z329" s="139" t="n"/>
      <x:c r="AA329" s="139" t="n"/>
      <x:c r="AB329" s="139" t="n"/>
      <x:c r="AC329" s="139" t="n"/>
      <x:c r="AD329" s="139" t="n"/>
      <x:c r="AE329" s="139" t="n"/>
      <x:c r="AF329" s="139" t="n"/>
      <x:c r="AG329" s="139" t="n"/>
      <x:c r="AH329" s="139" t="n"/>
      <x:c r="AI329" s="139" t="n"/>
      <x:c r="AJ329" s="139" t="n"/>
      <x:c r="AK329" s="139" t="n"/>
      <x:c r="AL329" s="139" t="n"/>
      <x:c r="AM329" s="139" t="n"/>
      <x:c r="AN329" s="139" t="n"/>
      <x:c r="AO329" s="139" t="n"/>
      <x:c r="AP329" s="139" t="n"/>
      <x:c r="AQ329" s="139" t="n"/>
      <x:c r="AR329" s="139" t="n"/>
      <x:c r="AS329" s="139" t="n"/>
      <x:c r="AT329" s="139" t="n"/>
      <x:c r="AU329" s="139" t="n"/>
      <x:c r="AV329" s="139" t="n"/>
      <x:c r="AW329" s="139" t="n"/>
      <x:c r="AX329" s="139" t="n"/>
      <x:c r="AY329" s="139" t="n"/>
      <x:c r="AZ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c r="V330" s="139" t="n"/>
      <x:c r="W330" s="139" t="n"/>
      <x:c r="X330" s="139" t="n"/>
      <x:c r="Y330" s="139" t="n"/>
      <x:c r="Z330" s="139" t="n"/>
      <x:c r="AA330" s="139" t="n"/>
      <x:c r="AB330" s="139" t="n"/>
      <x:c r="AC330" s="139" t="n"/>
      <x:c r="AD330" s="139" t="n"/>
      <x:c r="AE330" s="139" t="n"/>
      <x:c r="AF330" s="139" t="n"/>
      <x:c r="AG330" s="139" t="n"/>
      <x:c r="AH330" s="139" t="n"/>
      <x:c r="AI330" s="139" t="n"/>
      <x:c r="AJ330" s="139" t="n"/>
      <x:c r="AK330" s="139" t="n"/>
      <x:c r="AL330" s="139" t="n"/>
      <x:c r="AM330" s="139" t="n"/>
      <x:c r="AN330" s="139" t="n"/>
      <x:c r="AO330" s="139" t="n"/>
      <x:c r="AP330" s="139" t="n"/>
      <x:c r="AQ330" s="139" t="n"/>
      <x:c r="AR330" s="139" t="n"/>
      <x:c r="AS330" s="139" t="n"/>
      <x:c r="AT330" s="139" t="n"/>
      <x:c r="AU330" s="139" t="n"/>
      <x:c r="AV330" s="139" t="n"/>
      <x:c r="AW330" s="139" t="n"/>
      <x:c r="AX330" s="139" t="n"/>
      <x:c r="AY330" s="139" t="n"/>
      <x:c r="AZ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c r="V331" s="139" t="n"/>
      <x:c r="W331" s="139" t="n"/>
      <x:c r="X331" s="139" t="n"/>
      <x:c r="Y331" s="139" t="n"/>
      <x:c r="Z331" s="139" t="n"/>
      <x:c r="AA331" s="139" t="n"/>
      <x:c r="AB331" s="139" t="n"/>
      <x:c r="AC331" s="139" t="n"/>
      <x:c r="AD331" s="139" t="n"/>
      <x:c r="AE331" s="139" t="n"/>
      <x:c r="AF331" s="139" t="n"/>
      <x:c r="AG331" s="139" t="n"/>
      <x:c r="AH331" s="139" t="n"/>
      <x:c r="AI331" s="139" t="n"/>
      <x:c r="AJ331" s="139" t="n"/>
      <x:c r="AK331" s="139" t="n"/>
      <x:c r="AL331" s="139" t="n"/>
      <x:c r="AM331" s="139" t="n"/>
      <x:c r="AN331" s="139" t="n"/>
      <x:c r="AO331" s="139" t="n"/>
      <x:c r="AP331" s="139" t="n"/>
      <x:c r="AQ331" s="139" t="n"/>
      <x:c r="AR331" s="139" t="n"/>
      <x:c r="AS331" s="139" t="n"/>
      <x:c r="AT331" s="139" t="n"/>
      <x:c r="AU331" s="139" t="n"/>
      <x:c r="AV331" s="139" t="n"/>
      <x:c r="AW331" s="139" t="n"/>
      <x:c r="AX331" s="139" t="n"/>
      <x:c r="AY331" s="139" t="n"/>
      <x:c r="AZ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c r="V332" s="139" t="n"/>
      <x:c r="W332" s="139" t="n"/>
      <x:c r="X332" s="139" t="n"/>
      <x:c r="Y332" s="139" t="n"/>
      <x:c r="Z332" s="139" t="n"/>
      <x:c r="AA332" s="139" t="n"/>
      <x:c r="AB332" s="139" t="n"/>
      <x:c r="AC332" s="139" t="n"/>
      <x:c r="AD332" s="139" t="n"/>
      <x:c r="AE332" s="139" t="n"/>
      <x:c r="AF332" s="139" t="n"/>
      <x:c r="AG332" s="139" t="n"/>
      <x:c r="AH332" s="139" t="n"/>
      <x:c r="AI332" s="139" t="n"/>
      <x:c r="AJ332" s="139" t="n"/>
      <x:c r="AK332" s="139" t="n"/>
      <x:c r="AL332" s="139" t="n"/>
      <x:c r="AM332" s="139" t="n"/>
      <x:c r="AN332" s="139" t="n"/>
      <x:c r="AO332" s="139" t="n"/>
      <x:c r="AP332" s="139" t="n"/>
      <x:c r="AQ332" s="139" t="n"/>
      <x:c r="AR332" s="139" t="n"/>
      <x:c r="AS332" s="139" t="n"/>
      <x:c r="AT332" s="139" t="n"/>
      <x:c r="AU332" s="139" t="n"/>
      <x:c r="AV332" s="139" t="n"/>
      <x:c r="AW332" s="139" t="n"/>
      <x:c r="AX332" s="139" t="n"/>
      <x:c r="AY332" s="139" t="n"/>
      <x:c r="AZ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c r="V333" s="139" t="n"/>
      <x:c r="W333" s="139" t="n"/>
      <x:c r="X333" s="139" t="n"/>
      <x:c r="Y333" s="139" t="n"/>
      <x:c r="Z333" s="139" t="n"/>
      <x:c r="AA333" s="139" t="n"/>
      <x:c r="AB333" s="139" t="n"/>
      <x:c r="AC333" s="139" t="n"/>
      <x:c r="AD333" s="139" t="n"/>
      <x:c r="AE333" s="139" t="n"/>
      <x:c r="AF333" s="139" t="n"/>
      <x:c r="AG333" s="139" t="n"/>
      <x:c r="AH333" s="139" t="n"/>
      <x:c r="AI333" s="139" t="n"/>
      <x:c r="AJ333" s="139" t="n"/>
      <x:c r="AK333" s="139" t="n"/>
      <x:c r="AL333" s="139" t="n"/>
      <x:c r="AM333" s="139" t="n"/>
      <x:c r="AN333" s="139" t="n"/>
      <x:c r="AO333" s="139" t="n"/>
      <x:c r="AP333" s="139" t="n"/>
      <x:c r="AQ333" s="139" t="n"/>
      <x:c r="AR333" s="139" t="n"/>
      <x:c r="AS333" s="139" t="n"/>
      <x:c r="AT333" s="139" t="n"/>
      <x:c r="AU333" s="139" t="n"/>
      <x:c r="AV333" s="139" t="n"/>
      <x:c r="AW333" s="139" t="n"/>
      <x:c r="AX333" s="139" t="n"/>
      <x:c r="AY333" s="139" t="n"/>
      <x:c r="AZ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c r="V334" s="139" t="n"/>
      <x:c r="W334" s="139" t="n"/>
      <x:c r="X334" s="139" t="n"/>
      <x:c r="Y334" s="139" t="n"/>
      <x:c r="Z334" s="139" t="n"/>
      <x:c r="AA334" s="139" t="n"/>
      <x:c r="AB334" s="139" t="n"/>
      <x:c r="AC334" s="139" t="n"/>
      <x:c r="AD334" s="139" t="n"/>
      <x:c r="AE334" s="139" t="n"/>
      <x:c r="AF334" s="139" t="n"/>
      <x:c r="AG334" s="139" t="n"/>
      <x:c r="AH334" s="139" t="n"/>
      <x:c r="AI334" s="139" t="n"/>
      <x:c r="AJ334" s="139" t="n"/>
      <x:c r="AK334" s="139" t="n"/>
      <x:c r="AL334" s="139" t="n"/>
      <x:c r="AM334" s="139" t="n"/>
      <x:c r="AN334" s="139" t="n"/>
      <x:c r="AO334" s="139" t="n"/>
      <x:c r="AP334" s="139" t="n"/>
      <x:c r="AQ334" s="139" t="n"/>
      <x:c r="AR334" s="139" t="n"/>
      <x:c r="AS334" s="139" t="n"/>
      <x:c r="AT334" s="139" t="n"/>
      <x:c r="AU334" s="139" t="n"/>
      <x:c r="AV334" s="139" t="n"/>
      <x:c r="AW334" s="139" t="n"/>
      <x:c r="AX334" s="139" t="n"/>
      <x:c r="AY334" s="139" t="n"/>
      <x:c r="AZ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c r="V335" s="139" t="n"/>
      <x:c r="W335" s="139" t="n"/>
      <x:c r="X335" s="139" t="n"/>
      <x:c r="Y335" s="139" t="n"/>
      <x:c r="Z335" s="139" t="n"/>
      <x:c r="AA335" s="139" t="n"/>
      <x:c r="AB335" s="139" t="n"/>
      <x:c r="AC335" s="139" t="n"/>
      <x:c r="AD335" s="139" t="n"/>
      <x:c r="AE335" s="139" t="n"/>
      <x:c r="AF335" s="139" t="n"/>
      <x:c r="AG335" s="139" t="n"/>
      <x:c r="AH335" s="139" t="n"/>
      <x:c r="AI335" s="139" t="n"/>
      <x:c r="AJ335" s="139" t="n"/>
      <x:c r="AK335" s="139" t="n"/>
      <x:c r="AL335" s="139" t="n"/>
      <x:c r="AM335" s="139" t="n"/>
      <x:c r="AN335" s="139" t="n"/>
      <x:c r="AO335" s="139" t="n"/>
      <x:c r="AP335" s="139" t="n"/>
      <x:c r="AQ335" s="139" t="n"/>
      <x:c r="AR335" s="139" t="n"/>
      <x:c r="AS335" s="139" t="n"/>
      <x:c r="AT335" s="139" t="n"/>
      <x:c r="AU335" s="139" t="n"/>
      <x:c r="AV335" s="139" t="n"/>
      <x:c r="AW335" s="139" t="n"/>
      <x:c r="AX335" s="139" t="n"/>
      <x:c r="AY335" s="139" t="n"/>
      <x:c r="AZ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c r="V336" s="139" t="n"/>
      <x:c r="W336" s="139" t="n"/>
      <x:c r="X336" s="139" t="n"/>
      <x:c r="Y336" s="139" t="n"/>
      <x:c r="Z336" s="139" t="n"/>
      <x:c r="AA336" s="139" t="n"/>
      <x:c r="AB336" s="139" t="n"/>
      <x:c r="AC336" s="139" t="n"/>
      <x:c r="AD336" s="139" t="n"/>
      <x:c r="AE336" s="139" t="n"/>
      <x:c r="AF336" s="139" t="n"/>
      <x:c r="AG336" s="139" t="n"/>
      <x:c r="AH336" s="139" t="n"/>
      <x:c r="AI336" s="139" t="n"/>
      <x:c r="AJ336" s="139" t="n"/>
      <x:c r="AK336" s="139" t="n"/>
      <x:c r="AL336" s="139" t="n"/>
      <x:c r="AM336" s="139" t="n"/>
      <x:c r="AN336" s="139" t="n"/>
      <x:c r="AO336" s="139" t="n"/>
      <x:c r="AP336" s="139" t="n"/>
      <x:c r="AQ336" s="139" t="n"/>
      <x:c r="AR336" s="139" t="n"/>
      <x:c r="AS336" s="139" t="n"/>
      <x:c r="AT336" s="139" t="n"/>
      <x:c r="AU336" s="139" t="n"/>
      <x:c r="AV336" s="139" t="n"/>
      <x:c r="AW336" s="139" t="n"/>
      <x:c r="AX336" s="139" t="n"/>
      <x:c r="AY336" s="139" t="n"/>
      <x:c r="AZ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c r="V337" s="139" t="n"/>
      <x:c r="W337" s="139" t="n"/>
      <x:c r="X337" s="139" t="n"/>
      <x:c r="Y337" s="139" t="n"/>
      <x:c r="Z337" s="139" t="n"/>
      <x:c r="AA337" s="139" t="n"/>
      <x:c r="AB337" s="139" t="n"/>
      <x:c r="AC337" s="139" t="n"/>
      <x:c r="AD337" s="139" t="n"/>
      <x:c r="AE337" s="139" t="n"/>
      <x:c r="AF337" s="139" t="n"/>
      <x:c r="AG337" s="139" t="n"/>
      <x:c r="AH337" s="139" t="n"/>
      <x:c r="AI337" s="139" t="n"/>
      <x:c r="AJ337" s="139" t="n"/>
      <x:c r="AK337" s="139" t="n"/>
      <x:c r="AL337" s="139" t="n"/>
      <x:c r="AM337" s="139" t="n"/>
      <x:c r="AN337" s="139" t="n"/>
      <x:c r="AO337" s="139" t="n"/>
      <x:c r="AP337" s="139" t="n"/>
      <x:c r="AQ337" s="139" t="n"/>
      <x:c r="AR337" s="139" t="n"/>
      <x:c r="AS337" s="139" t="n"/>
      <x:c r="AT337" s="139" t="n"/>
      <x:c r="AU337" s="139" t="n"/>
      <x:c r="AV337" s="139" t="n"/>
      <x:c r="AW337" s="139" t="n"/>
      <x:c r="AX337" s="139" t="n"/>
      <x:c r="AY337" s="139" t="n"/>
      <x:c r="AZ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c r="V338" s="139" t="n"/>
      <x:c r="W338" s="139" t="n"/>
      <x:c r="X338" s="139" t="n"/>
      <x:c r="Y338" s="139" t="n"/>
      <x:c r="Z338" s="139" t="n"/>
      <x:c r="AA338" s="139" t="n"/>
      <x:c r="AB338" s="139" t="n"/>
      <x:c r="AC338" s="139" t="n"/>
      <x:c r="AD338" s="139" t="n"/>
      <x:c r="AE338" s="139" t="n"/>
      <x:c r="AF338" s="139" t="n"/>
      <x:c r="AG338" s="139" t="n"/>
      <x:c r="AH338" s="139" t="n"/>
      <x:c r="AI338" s="139" t="n"/>
      <x:c r="AJ338" s="139" t="n"/>
      <x:c r="AK338" s="139" t="n"/>
      <x:c r="AL338" s="139" t="n"/>
      <x:c r="AM338" s="139" t="n"/>
      <x:c r="AN338" s="139" t="n"/>
      <x:c r="AO338" s="139" t="n"/>
      <x:c r="AP338" s="139" t="n"/>
      <x:c r="AQ338" s="139" t="n"/>
      <x:c r="AR338" s="139" t="n"/>
      <x:c r="AS338" s="139" t="n"/>
      <x:c r="AT338" s="139" t="n"/>
      <x:c r="AU338" s="139" t="n"/>
      <x:c r="AV338" s="139" t="n"/>
      <x:c r="AW338" s="139" t="n"/>
      <x:c r="AX338" s="139" t="n"/>
      <x:c r="AY338" s="139" t="n"/>
      <x:c r="AZ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c r="V339" s="139" t="n"/>
      <x:c r="W339" s="139" t="n"/>
      <x:c r="X339" s="139" t="n"/>
      <x:c r="Y339" s="139" t="n"/>
      <x:c r="Z339" s="139" t="n"/>
      <x:c r="AA339" s="139" t="n"/>
      <x:c r="AB339" s="139" t="n"/>
      <x:c r="AC339" s="139" t="n"/>
      <x:c r="AD339" s="139" t="n"/>
      <x:c r="AE339" s="139" t="n"/>
      <x:c r="AF339" s="139" t="n"/>
      <x:c r="AG339" s="139" t="n"/>
      <x:c r="AH339" s="139" t="n"/>
      <x:c r="AI339" s="139" t="n"/>
      <x:c r="AJ339" s="139" t="n"/>
      <x:c r="AK339" s="139" t="n"/>
      <x:c r="AL339" s="139" t="n"/>
      <x:c r="AM339" s="139" t="n"/>
      <x:c r="AN339" s="139" t="n"/>
      <x:c r="AO339" s="139" t="n"/>
      <x:c r="AP339" s="139" t="n"/>
      <x:c r="AQ339" s="139" t="n"/>
      <x:c r="AR339" s="139" t="n"/>
      <x:c r="AS339" s="139" t="n"/>
      <x:c r="AT339" s="139" t="n"/>
      <x:c r="AU339" s="139" t="n"/>
      <x:c r="AV339" s="139" t="n"/>
      <x:c r="AW339" s="139" t="n"/>
      <x:c r="AX339" s="139" t="n"/>
      <x:c r="AY339" s="139" t="n"/>
      <x:c r="AZ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c r="V340" s="139" t="n"/>
      <x:c r="W340" s="139" t="n"/>
      <x:c r="X340" s="139" t="n"/>
      <x:c r="Y340" s="139" t="n"/>
      <x:c r="Z340" s="139" t="n"/>
      <x:c r="AA340" s="139" t="n"/>
      <x:c r="AB340" s="139" t="n"/>
      <x:c r="AC340" s="139" t="n"/>
      <x:c r="AD340" s="139" t="n"/>
      <x:c r="AE340" s="139" t="n"/>
      <x:c r="AF340" s="139" t="n"/>
      <x:c r="AG340" s="139" t="n"/>
      <x:c r="AH340" s="139" t="n"/>
      <x:c r="AI340" s="139" t="n"/>
      <x:c r="AJ340" s="139" t="n"/>
      <x:c r="AK340" s="139" t="n"/>
      <x:c r="AL340" s="139" t="n"/>
      <x:c r="AM340" s="139" t="n"/>
      <x:c r="AN340" s="139" t="n"/>
      <x:c r="AO340" s="139" t="n"/>
      <x:c r="AP340" s="139" t="n"/>
      <x:c r="AQ340" s="139" t="n"/>
      <x:c r="AR340" s="139" t="n"/>
      <x:c r="AS340" s="139" t="n"/>
      <x:c r="AT340" s="139" t="n"/>
      <x:c r="AU340" s="139" t="n"/>
      <x:c r="AV340" s="139" t="n"/>
      <x:c r="AW340" s="139" t="n"/>
      <x:c r="AX340" s="139" t="n"/>
      <x:c r="AY340" s="139" t="n"/>
      <x:c r="AZ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c r="V341" s="139" t="n"/>
      <x:c r="W341" s="139" t="n"/>
      <x:c r="X341" s="139" t="n"/>
      <x:c r="Y341" s="139" t="n"/>
      <x:c r="Z341" s="139" t="n"/>
      <x:c r="AA341" s="139" t="n"/>
      <x:c r="AB341" s="139" t="n"/>
      <x:c r="AC341" s="139" t="n"/>
      <x:c r="AD341" s="139" t="n"/>
      <x:c r="AE341" s="139" t="n"/>
      <x:c r="AF341" s="139" t="n"/>
      <x:c r="AG341" s="139" t="n"/>
      <x:c r="AH341" s="139" t="n"/>
      <x:c r="AI341" s="139" t="n"/>
      <x:c r="AJ341" s="139" t="n"/>
      <x:c r="AK341" s="139" t="n"/>
      <x:c r="AL341" s="139" t="n"/>
      <x:c r="AM341" s="139" t="n"/>
      <x:c r="AN341" s="139" t="n"/>
      <x:c r="AO341" s="139" t="n"/>
      <x:c r="AP341" s="139" t="n"/>
      <x:c r="AQ341" s="139" t="n"/>
      <x:c r="AR341" s="139" t="n"/>
      <x:c r="AS341" s="139" t="n"/>
      <x:c r="AT341" s="139" t="n"/>
      <x:c r="AU341" s="139" t="n"/>
      <x:c r="AV341" s="139" t="n"/>
      <x:c r="AW341" s="139" t="n"/>
      <x:c r="AX341" s="139" t="n"/>
      <x:c r="AY341" s="139" t="n"/>
      <x:c r="AZ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c r="V342" s="139" t="n"/>
      <x:c r="W342" s="139" t="n"/>
      <x:c r="X342" s="139" t="n"/>
      <x:c r="Y342" s="139" t="n"/>
      <x:c r="Z342" s="139" t="n"/>
      <x:c r="AA342" s="139" t="n"/>
      <x:c r="AB342" s="139" t="n"/>
      <x:c r="AC342" s="139" t="n"/>
      <x:c r="AD342" s="139" t="n"/>
      <x:c r="AE342" s="139" t="n"/>
      <x:c r="AF342" s="139" t="n"/>
      <x:c r="AG342" s="139" t="n"/>
      <x:c r="AH342" s="139" t="n"/>
      <x:c r="AI342" s="139" t="n"/>
      <x:c r="AJ342" s="139" t="n"/>
      <x:c r="AK342" s="139" t="n"/>
      <x:c r="AL342" s="139" t="n"/>
      <x:c r="AM342" s="139" t="n"/>
      <x:c r="AN342" s="139" t="n"/>
      <x:c r="AO342" s="139" t="n"/>
      <x:c r="AP342" s="139" t="n"/>
      <x:c r="AQ342" s="139" t="n"/>
      <x:c r="AR342" s="139" t="n"/>
      <x:c r="AS342" s="139" t="n"/>
      <x:c r="AT342" s="139" t="n"/>
      <x:c r="AU342" s="139" t="n"/>
      <x:c r="AV342" s="139" t="n"/>
      <x:c r="AW342" s="139" t="n"/>
      <x:c r="AX342" s="139" t="n"/>
      <x:c r="AY342" s="139" t="n"/>
      <x:c r="AZ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c r="V343" s="139" t="n"/>
      <x:c r="W343" s="139" t="n"/>
      <x:c r="X343" s="139" t="n"/>
      <x:c r="Y343" s="139" t="n"/>
      <x:c r="Z343" s="139" t="n"/>
      <x:c r="AA343" s="139" t="n"/>
      <x:c r="AB343" s="139" t="n"/>
      <x:c r="AC343" s="139" t="n"/>
      <x:c r="AD343" s="139" t="n"/>
      <x:c r="AE343" s="139" t="n"/>
      <x:c r="AF343" s="139" t="n"/>
      <x:c r="AG343" s="139" t="n"/>
      <x:c r="AH343" s="139" t="n"/>
      <x:c r="AI343" s="139" t="n"/>
      <x:c r="AJ343" s="139" t="n"/>
      <x:c r="AK343" s="139" t="n"/>
      <x:c r="AL343" s="139" t="n"/>
      <x:c r="AM343" s="139" t="n"/>
      <x:c r="AN343" s="139" t="n"/>
      <x:c r="AO343" s="139" t="n"/>
      <x:c r="AP343" s="139" t="n"/>
      <x:c r="AQ343" s="139" t="n"/>
      <x:c r="AR343" s="139" t="n"/>
      <x:c r="AS343" s="139" t="n"/>
      <x:c r="AT343" s="139" t="n"/>
      <x:c r="AU343" s="139" t="n"/>
      <x:c r="AV343" s="139" t="n"/>
      <x:c r="AW343" s="139" t="n"/>
      <x:c r="AX343" s="139" t="n"/>
      <x:c r="AY343" s="139" t="n"/>
      <x:c r="AZ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c r="V344" s="139" t="n"/>
      <x:c r="W344" s="139" t="n"/>
      <x:c r="X344" s="139" t="n"/>
      <x:c r="Y344" s="139" t="n"/>
      <x:c r="Z344" s="139" t="n"/>
      <x:c r="AA344" s="139" t="n"/>
      <x:c r="AB344" s="139" t="n"/>
      <x:c r="AC344" s="139" t="n"/>
      <x:c r="AD344" s="139" t="n"/>
      <x:c r="AE344" s="139" t="n"/>
      <x:c r="AF344" s="139" t="n"/>
      <x:c r="AG344" s="139" t="n"/>
      <x:c r="AH344" s="139" t="n"/>
      <x:c r="AI344" s="139" t="n"/>
      <x:c r="AJ344" s="139" t="n"/>
      <x:c r="AK344" s="139" t="n"/>
      <x:c r="AL344" s="139" t="n"/>
      <x:c r="AM344" s="139" t="n"/>
      <x:c r="AN344" s="139" t="n"/>
      <x:c r="AO344" s="139" t="n"/>
      <x:c r="AP344" s="139" t="n"/>
      <x:c r="AQ344" s="139" t="n"/>
      <x:c r="AR344" s="139" t="n"/>
      <x:c r="AS344" s="139" t="n"/>
      <x:c r="AT344" s="139" t="n"/>
      <x:c r="AU344" s="139" t="n"/>
      <x:c r="AV344" s="139" t="n"/>
      <x:c r="AW344" s="139" t="n"/>
      <x:c r="AX344" s="139" t="n"/>
      <x:c r="AY344" s="139" t="n"/>
      <x:c r="AZ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c r="V345" s="139" t="n"/>
      <x:c r="W345" s="139" t="n"/>
      <x:c r="X345" s="139" t="n"/>
      <x:c r="Y345" s="139" t="n"/>
      <x:c r="Z345" s="139" t="n"/>
      <x:c r="AA345" s="139" t="n"/>
      <x:c r="AB345" s="139" t="n"/>
      <x:c r="AC345" s="139" t="n"/>
      <x:c r="AD345" s="139" t="n"/>
      <x:c r="AE345" s="139" t="n"/>
      <x:c r="AF345" s="139" t="n"/>
      <x:c r="AG345" s="139" t="n"/>
      <x:c r="AH345" s="139" t="n"/>
      <x:c r="AI345" s="139" t="n"/>
      <x:c r="AJ345" s="139" t="n"/>
      <x:c r="AK345" s="139" t="n"/>
      <x:c r="AL345" s="139" t="n"/>
      <x:c r="AM345" s="139" t="n"/>
      <x:c r="AN345" s="139" t="n"/>
      <x:c r="AO345" s="139" t="n"/>
      <x:c r="AP345" s="139" t="n"/>
      <x:c r="AQ345" s="139" t="n"/>
      <x:c r="AR345" s="139" t="n"/>
      <x:c r="AS345" s="139" t="n"/>
      <x:c r="AT345" s="139" t="n"/>
      <x:c r="AU345" s="139" t="n"/>
      <x:c r="AV345" s="139" t="n"/>
      <x:c r="AW345" s="139" t="n"/>
      <x:c r="AX345" s="139" t="n"/>
      <x:c r="AY345" s="139" t="n"/>
      <x:c r="AZ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c r="V346" s="139" t="n"/>
      <x:c r="W346" s="139" t="n"/>
      <x:c r="X346" s="139" t="n"/>
      <x:c r="Y346" s="139" t="n"/>
      <x:c r="Z346" s="139" t="n"/>
      <x:c r="AA346" s="139" t="n"/>
      <x:c r="AB346" s="139" t="n"/>
      <x:c r="AC346" s="139" t="n"/>
      <x:c r="AD346" s="139" t="n"/>
      <x:c r="AE346" s="139" t="n"/>
      <x:c r="AF346" s="139" t="n"/>
      <x:c r="AG346" s="139" t="n"/>
      <x:c r="AH346" s="139" t="n"/>
      <x:c r="AI346" s="139" t="n"/>
      <x:c r="AJ346" s="139" t="n"/>
      <x:c r="AK346" s="139" t="n"/>
      <x:c r="AL346" s="139" t="n"/>
      <x:c r="AM346" s="139" t="n"/>
      <x:c r="AN346" s="139" t="n"/>
      <x:c r="AO346" s="139" t="n"/>
      <x:c r="AP346" s="139" t="n"/>
      <x:c r="AQ346" s="139" t="n"/>
      <x:c r="AR346" s="139" t="n"/>
      <x:c r="AS346" s="139" t="n"/>
      <x:c r="AT346" s="139" t="n"/>
      <x:c r="AU346" s="139" t="n"/>
      <x:c r="AV346" s="139" t="n"/>
      <x:c r="AW346" s="139" t="n"/>
      <x:c r="AX346" s="139" t="n"/>
      <x:c r="AY346" s="139" t="n"/>
      <x:c r="AZ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c r="V347" s="139" t="n"/>
      <x:c r="W347" s="139" t="n"/>
      <x:c r="X347" s="139" t="n"/>
      <x:c r="Y347" s="139" t="n"/>
      <x:c r="Z347" s="139" t="n"/>
      <x:c r="AA347" s="139" t="n"/>
      <x:c r="AB347" s="139" t="n"/>
      <x:c r="AC347" s="139" t="n"/>
      <x:c r="AD347" s="139" t="n"/>
      <x:c r="AE347" s="139" t="n"/>
      <x:c r="AF347" s="139" t="n"/>
      <x:c r="AG347" s="139" t="n"/>
      <x:c r="AH347" s="139" t="n"/>
      <x:c r="AI347" s="139" t="n"/>
      <x:c r="AJ347" s="139" t="n"/>
      <x:c r="AK347" s="139" t="n"/>
      <x:c r="AL347" s="139" t="n"/>
      <x:c r="AM347" s="139" t="n"/>
      <x:c r="AN347" s="139" t="n"/>
      <x:c r="AO347" s="139" t="n"/>
      <x:c r="AP347" s="139" t="n"/>
      <x:c r="AQ347" s="139" t="n"/>
      <x:c r="AR347" s="139" t="n"/>
      <x:c r="AS347" s="139" t="n"/>
      <x:c r="AT347" s="139" t="n"/>
      <x:c r="AU347" s="139" t="n"/>
      <x:c r="AV347" s="139" t="n"/>
      <x:c r="AW347" s="139" t="n"/>
      <x:c r="AX347" s="139" t="n"/>
      <x:c r="AY347" s="139" t="n"/>
      <x:c r="AZ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c r="V348" s="139" t="n"/>
      <x:c r="W348" s="139" t="n"/>
      <x:c r="X348" s="139" t="n"/>
      <x:c r="Y348" s="139" t="n"/>
      <x:c r="Z348" s="139" t="n"/>
      <x:c r="AA348" s="139" t="n"/>
      <x:c r="AB348" s="139" t="n"/>
      <x:c r="AC348" s="139" t="n"/>
      <x:c r="AD348" s="139" t="n"/>
      <x:c r="AE348" s="139" t="n"/>
      <x:c r="AF348" s="139" t="n"/>
      <x:c r="AG348" s="139" t="n"/>
      <x:c r="AH348" s="139" t="n"/>
      <x:c r="AI348" s="139" t="n"/>
      <x:c r="AJ348" s="139" t="n"/>
      <x:c r="AK348" s="139" t="n"/>
      <x:c r="AL348" s="139" t="n"/>
      <x:c r="AM348" s="139" t="n"/>
      <x:c r="AN348" s="139" t="n"/>
      <x:c r="AO348" s="139" t="n"/>
      <x:c r="AP348" s="139" t="n"/>
      <x:c r="AQ348" s="139" t="n"/>
      <x:c r="AR348" s="139" t="n"/>
      <x:c r="AS348" s="139" t="n"/>
      <x:c r="AT348" s="139" t="n"/>
      <x:c r="AU348" s="139" t="n"/>
      <x:c r="AV348" s="139" t="n"/>
      <x:c r="AW348" s="139" t="n"/>
      <x:c r="AX348" s="139" t="n"/>
      <x:c r="AY348" s="139" t="n"/>
      <x:c r="AZ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c r="V349" s="139" t="n"/>
      <x:c r="W349" s="139" t="n"/>
      <x:c r="X349" s="139" t="n"/>
      <x:c r="Y349" s="139" t="n"/>
      <x:c r="Z349" s="139" t="n"/>
      <x:c r="AA349" s="139" t="n"/>
      <x:c r="AB349" s="139" t="n"/>
      <x:c r="AC349" s="139" t="n"/>
      <x:c r="AD349" s="139" t="n"/>
      <x:c r="AE349" s="139" t="n"/>
      <x:c r="AF349" s="139" t="n"/>
      <x:c r="AG349" s="139" t="n"/>
      <x:c r="AH349" s="139" t="n"/>
      <x:c r="AI349" s="139" t="n"/>
      <x:c r="AJ349" s="139" t="n"/>
      <x:c r="AK349" s="139" t="n"/>
      <x:c r="AL349" s="139" t="n"/>
      <x:c r="AM349" s="139" t="n"/>
      <x:c r="AN349" s="139" t="n"/>
      <x:c r="AO349" s="139" t="n"/>
      <x:c r="AP349" s="139" t="n"/>
      <x:c r="AQ349" s="139" t="n"/>
      <x:c r="AR349" s="139" t="n"/>
      <x:c r="AS349" s="139" t="n"/>
      <x:c r="AT349" s="139" t="n"/>
      <x:c r="AU349" s="139" t="n"/>
      <x:c r="AV349" s="139" t="n"/>
      <x:c r="AW349" s="139" t="n"/>
      <x:c r="AX349" s="139" t="n"/>
      <x:c r="AY349" s="139" t="n"/>
      <x:c r="AZ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c r="V350" s="139" t="n"/>
      <x:c r="W350" s="139" t="n"/>
      <x:c r="X350" s="139" t="n"/>
      <x:c r="Y350" s="139" t="n"/>
      <x:c r="Z350" s="139" t="n"/>
      <x:c r="AA350" s="139" t="n"/>
      <x:c r="AB350" s="139" t="n"/>
      <x:c r="AC350" s="139" t="n"/>
      <x:c r="AD350" s="139" t="n"/>
      <x:c r="AE350" s="139" t="n"/>
      <x:c r="AF350" s="139" t="n"/>
      <x:c r="AG350" s="139" t="n"/>
      <x:c r="AH350" s="139" t="n"/>
      <x:c r="AI350" s="139" t="n"/>
      <x:c r="AJ350" s="139" t="n"/>
      <x:c r="AK350" s="139" t="n"/>
      <x:c r="AL350" s="139" t="n"/>
      <x:c r="AM350" s="139" t="n"/>
      <x:c r="AN350" s="139" t="n"/>
      <x:c r="AO350" s="139" t="n"/>
      <x:c r="AP350" s="139" t="n"/>
      <x:c r="AQ350" s="139" t="n"/>
      <x:c r="AR350" s="139" t="n"/>
      <x:c r="AS350" s="139" t="n"/>
      <x:c r="AT350" s="139" t="n"/>
      <x:c r="AU350" s="139" t="n"/>
      <x:c r="AV350" s="139" t="n"/>
      <x:c r="AW350" s="139" t="n"/>
      <x:c r="AX350" s="139" t="n"/>
      <x:c r="AY350" s="139" t="n"/>
      <x:c r="AZ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c r="V351" s="139" t="n"/>
      <x:c r="W351" s="139" t="n"/>
      <x:c r="X351" s="139" t="n"/>
      <x:c r="Y351" s="139" t="n"/>
      <x:c r="Z351" s="139" t="n"/>
      <x:c r="AA351" s="139" t="n"/>
      <x:c r="AB351" s="139" t="n"/>
      <x:c r="AC351" s="139" t="n"/>
      <x:c r="AD351" s="139" t="n"/>
      <x:c r="AE351" s="139" t="n"/>
      <x:c r="AF351" s="139" t="n"/>
      <x:c r="AG351" s="139" t="n"/>
      <x:c r="AH351" s="139" t="n"/>
      <x:c r="AI351" s="139" t="n"/>
      <x:c r="AJ351" s="139" t="n"/>
      <x:c r="AK351" s="139" t="n"/>
      <x:c r="AL351" s="139" t="n"/>
      <x:c r="AM351" s="139" t="n"/>
      <x:c r="AN351" s="139" t="n"/>
      <x:c r="AO351" s="139" t="n"/>
      <x:c r="AP351" s="139" t="n"/>
      <x:c r="AQ351" s="139" t="n"/>
      <x:c r="AR351" s="139" t="n"/>
      <x:c r="AS351" s="139" t="n"/>
      <x:c r="AT351" s="139" t="n"/>
      <x:c r="AU351" s="139" t="n"/>
      <x:c r="AV351" s="139" t="n"/>
      <x:c r="AW351" s="139" t="n"/>
      <x:c r="AX351" s="139" t="n"/>
      <x:c r="AY351" s="139" t="n"/>
      <x:c r="AZ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c r="V352" s="139" t="n"/>
      <x:c r="W352" s="139" t="n"/>
      <x:c r="X352" s="139" t="n"/>
      <x:c r="Y352" s="139" t="n"/>
      <x:c r="Z352" s="139" t="n"/>
      <x:c r="AA352" s="139" t="n"/>
      <x:c r="AB352" s="139" t="n"/>
      <x:c r="AC352" s="139" t="n"/>
      <x:c r="AD352" s="139" t="n"/>
      <x:c r="AE352" s="139" t="n"/>
      <x:c r="AF352" s="139" t="n"/>
      <x:c r="AG352" s="139" t="n"/>
      <x:c r="AH352" s="139" t="n"/>
      <x:c r="AI352" s="139" t="n"/>
      <x:c r="AJ352" s="139" t="n"/>
      <x:c r="AK352" s="139" t="n"/>
      <x:c r="AL352" s="139" t="n"/>
      <x:c r="AM352" s="139" t="n"/>
      <x:c r="AN352" s="139" t="n"/>
      <x:c r="AO352" s="139" t="n"/>
      <x:c r="AP352" s="139" t="n"/>
      <x:c r="AQ352" s="139" t="n"/>
      <x:c r="AR352" s="139" t="n"/>
      <x:c r="AS352" s="139" t="n"/>
      <x:c r="AT352" s="139" t="n"/>
      <x:c r="AU352" s="139" t="n"/>
      <x:c r="AV352" s="139" t="n"/>
      <x:c r="AW352" s="139" t="n"/>
      <x:c r="AX352" s="139" t="n"/>
      <x:c r="AY352" s="139" t="n"/>
      <x:c r="AZ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c r="V353" s="139" t="n"/>
      <x:c r="W353" s="139" t="n"/>
      <x:c r="X353" s="139" t="n"/>
      <x:c r="Y353" s="139" t="n"/>
      <x:c r="Z353" s="139" t="n"/>
      <x:c r="AA353" s="139" t="n"/>
      <x:c r="AB353" s="139" t="n"/>
      <x:c r="AC353" s="139" t="n"/>
      <x:c r="AD353" s="139" t="n"/>
      <x:c r="AE353" s="139" t="n"/>
      <x:c r="AF353" s="139" t="n"/>
      <x:c r="AG353" s="139" t="n"/>
      <x:c r="AH353" s="139" t="n"/>
      <x:c r="AI353" s="139" t="n"/>
      <x:c r="AJ353" s="139" t="n"/>
      <x:c r="AK353" s="139" t="n"/>
      <x:c r="AL353" s="139" t="n"/>
      <x:c r="AM353" s="139" t="n"/>
      <x:c r="AN353" s="139" t="n"/>
      <x:c r="AO353" s="139" t="n"/>
      <x:c r="AP353" s="139" t="n"/>
      <x:c r="AQ353" s="139" t="n"/>
      <x:c r="AR353" s="139" t="n"/>
      <x:c r="AS353" s="139" t="n"/>
      <x:c r="AT353" s="139" t="n"/>
      <x:c r="AU353" s="139" t="n"/>
      <x:c r="AV353" s="139" t="n"/>
      <x:c r="AW353" s="139" t="n"/>
      <x:c r="AX353" s="139" t="n"/>
      <x:c r="AY353" s="139" t="n"/>
      <x:c r="AZ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c r="V354" s="139" t="n"/>
      <x:c r="W354" s="139" t="n"/>
      <x:c r="X354" s="139" t="n"/>
      <x:c r="Y354" s="139" t="n"/>
      <x:c r="Z354" s="139" t="n"/>
      <x:c r="AA354" s="139" t="n"/>
      <x:c r="AB354" s="139" t="n"/>
      <x:c r="AC354" s="139" t="n"/>
      <x:c r="AD354" s="139" t="n"/>
      <x:c r="AE354" s="139" t="n"/>
      <x:c r="AF354" s="139" t="n"/>
      <x:c r="AG354" s="139" t="n"/>
      <x:c r="AH354" s="139" t="n"/>
      <x:c r="AI354" s="139" t="n"/>
      <x:c r="AJ354" s="139" t="n"/>
      <x:c r="AK354" s="139" t="n"/>
      <x:c r="AL354" s="139" t="n"/>
      <x:c r="AM354" s="139" t="n"/>
      <x:c r="AN354" s="139" t="n"/>
      <x:c r="AO354" s="139" t="n"/>
      <x:c r="AP354" s="139" t="n"/>
      <x:c r="AQ354" s="139" t="n"/>
      <x:c r="AR354" s="139" t="n"/>
      <x:c r="AS354" s="139" t="n"/>
      <x:c r="AT354" s="139" t="n"/>
      <x:c r="AU354" s="139" t="n"/>
      <x:c r="AV354" s="139" t="n"/>
      <x:c r="AW354" s="139" t="n"/>
      <x:c r="AX354" s="139" t="n"/>
      <x:c r="AY354" s="139" t="n"/>
      <x:c r="AZ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c r="V355" s="139" t="n"/>
      <x:c r="W355" s="139" t="n"/>
      <x:c r="X355" s="139" t="n"/>
      <x:c r="Y355" s="139" t="n"/>
      <x:c r="Z355" s="139" t="n"/>
      <x:c r="AA355" s="139" t="n"/>
      <x:c r="AB355" s="139" t="n"/>
      <x:c r="AC355" s="139" t="n"/>
      <x:c r="AD355" s="139" t="n"/>
      <x:c r="AE355" s="139" t="n"/>
      <x:c r="AF355" s="139" t="n"/>
      <x:c r="AG355" s="139" t="n"/>
      <x:c r="AH355" s="139" t="n"/>
      <x:c r="AI355" s="139" t="n"/>
      <x:c r="AJ355" s="139" t="n"/>
      <x:c r="AK355" s="139" t="n"/>
      <x:c r="AL355" s="139" t="n"/>
      <x:c r="AM355" s="139" t="n"/>
      <x:c r="AN355" s="139" t="n"/>
      <x:c r="AO355" s="139" t="n"/>
      <x:c r="AP355" s="139" t="n"/>
      <x:c r="AQ355" s="139" t="n"/>
      <x:c r="AR355" s="139" t="n"/>
      <x:c r="AS355" s="139" t="n"/>
      <x:c r="AT355" s="139" t="n"/>
      <x:c r="AU355" s="139" t="n"/>
      <x:c r="AV355" s="139" t="n"/>
      <x:c r="AW355" s="139" t="n"/>
      <x:c r="AX355" s="139" t="n"/>
      <x:c r="AY355" s="139" t="n"/>
      <x:c r="AZ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c r="V356" s="139" t="n"/>
      <x:c r="W356" s="139" t="n"/>
      <x:c r="X356" s="139" t="n"/>
      <x:c r="Y356" s="139" t="n"/>
      <x:c r="Z356" s="139" t="n"/>
      <x:c r="AA356" s="139" t="n"/>
      <x:c r="AB356" s="139" t="n"/>
      <x:c r="AC356" s="139" t="n"/>
      <x:c r="AD356" s="139" t="n"/>
      <x:c r="AE356" s="139" t="n"/>
      <x:c r="AF356" s="139" t="n"/>
      <x:c r="AG356" s="139" t="n"/>
      <x:c r="AH356" s="139" t="n"/>
      <x:c r="AI356" s="139" t="n"/>
      <x:c r="AJ356" s="139" t="n"/>
      <x:c r="AK356" s="139" t="n"/>
      <x:c r="AL356" s="139" t="n"/>
      <x:c r="AM356" s="139" t="n"/>
      <x:c r="AN356" s="139" t="n"/>
      <x:c r="AO356" s="139" t="n"/>
      <x:c r="AP356" s="139" t="n"/>
      <x:c r="AQ356" s="139" t="n"/>
      <x:c r="AR356" s="139" t="n"/>
      <x:c r="AS356" s="139" t="n"/>
      <x:c r="AT356" s="139" t="n"/>
      <x:c r="AU356" s="139" t="n"/>
      <x:c r="AV356" s="139" t="n"/>
      <x:c r="AW356" s="139" t="n"/>
      <x:c r="AX356" s="139" t="n"/>
      <x:c r="AY356" s="139" t="n"/>
      <x:c r="AZ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c r="V357" s="139" t="n"/>
      <x:c r="W357" s="139" t="n"/>
      <x:c r="X357" s="139" t="n"/>
      <x:c r="Y357" s="139" t="n"/>
      <x:c r="Z357" s="139" t="n"/>
      <x:c r="AA357" s="139" t="n"/>
      <x:c r="AB357" s="139" t="n"/>
      <x:c r="AC357" s="139" t="n"/>
      <x:c r="AD357" s="139" t="n"/>
      <x:c r="AE357" s="139" t="n"/>
      <x:c r="AF357" s="139" t="n"/>
      <x:c r="AG357" s="139" t="n"/>
      <x:c r="AH357" s="139" t="n"/>
      <x:c r="AI357" s="139" t="n"/>
      <x:c r="AJ357" s="139" t="n"/>
      <x:c r="AK357" s="139" t="n"/>
      <x:c r="AL357" s="139" t="n"/>
      <x:c r="AM357" s="139" t="n"/>
      <x:c r="AN357" s="139" t="n"/>
      <x:c r="AO357" s="139" t="n"/>
      <x:c r="AP357" s="139" t="n"/>
      <x:c r="AQ357" s="139" t="n"/>
      <x:c r="AR357" s="139" t="n"/>
      <x:c r="AS357" s="139" t="n"/>
      <x:c r="AT357" s="139" t="n"/>
      <x:c r="AU357" s="139" t="n"/>
      <x:c r="AV357" s="139" t="n"/>
      <x:c r="AW357" s="139" t="n"/>
      <x:c r="AX357" s="139" t="n"/>
      <x:c r="AY357" s="139" t="n"/>
      <x:c r="AZ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c r="V358" s="139" t="n"/>
      <x:c r="W358" s="139" t="n"/>
      <x:c r="X358" s="139" t="n"/>
      <x:c r="Y358" s="139" t="n"/>
      <x:c r="Z358" s="139" t="n"/>
      <x:c r="AA358" s="139" t="n"/>
      <x:c r="AB358" s="139" t="n"/>
      <x:c r="AC358" s="139" t="n"/>
      <x:c r="AD358" s="139" t="n"/>
      <x:c r="AE358" s="139" t="n"/>
      <x:c r="AF358" s="139" t="n"/>
      <x:c r="AG358" s="139" t="n"/>
      <x:c r="AH358" s="139" t="n"/>
      <x:c r="AI358" s="139" t="n"/>
      <x:c r="AJ358" s="139" t="n"/>
      <x:c r="AK358" s="139" t="n"/>
      <x:c r="AL358" s="139" t="n"/>
      <x:c r="AM358" s="139" t="n"/>
      <x:c r="AN358" s="139" t="n"/>
      <x:c r="AO358" s="139" t="n"/>
      <x:c r="AP358" s="139" t="n"/>
      <x:c r="AQ358" s="139" t="n"/>
      <x:c r="AR358" s="139" t="n"/>
      <x:c r="AS358" s="139" t="n"/>
      <x:c r="AT358" s="139" t="n"/>
      <x:c r="AU358" s="139" t="n"/>
      <x:c r="AV358" s="139" t="n"/>
      <x:c r="AW358" s="139" t="n"/>
      <x:c r="AX358" s="139" t="n"/>
      <x:c r="AY358" s="139" t="n"/>
      <x:c r="AZ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c r="V359" s="139" t="n"/>
      <x:c r="W359" s="139" t="n"/>
      <x:c r="X359" s="139" t="n"/>
      <x:c r="Y359" s="139" t="n"/>
      <x:c r="Z359" s="139" t="n"/>
      <x:c r="AA359" s="139" t="n"/>
      <x:c r="AB359" s="139" t="n"/>
      <x:c r="AC359" s="139" t="n"/>
      <x:c r="AD359" s="139" t="n"/>
      <x:c r="AE359" s="139" t="n"/>
      <x:c r="AF359" s="139" t="n"/>
      <x:c r="AG359" s="139" t="n"/>
      <x:c r="AH359" s="139" t="n"/>
      <x:c r="AI359" s="139" t="n"/>
      <x:c r="AJ359" s="139" t="n"/>
      <x:c r="AK359" s="139" t="n"/>
      <x:c r="AL359" s="139" t="n"/>
      <x:c r="AM359" s="139" t="n"/>
      <x:c r="AN359" s="139" t="n"/>
      <x:c r="AO359" s="139" t="n"/>
      <x:c r="AP359" s="139" t="n"/>
      <x:c r="AQ359" s="139" t="n"/>
      <x:c r="AR359" s="139" t="n"/>
      <x:c r="AS359" s="139" t="n"/>
      <x:c r="AT359" s="139" t="n"/>
      <x:c r="AU359" s="139" t="n"/>
      <x:c r="AV359" s="139" t="n"/>
      <x:c r="AW359" s="139" t="n"/>
      <x:c r="AX359" s="139" t="n"/>
      <x:c r="AY359" s="139" t="n"/>
      <x:c r="AZ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c r="V360" s="139" t="n"/>
      <x:c r="W360" s="139" t="n"/>
      <x:c r="X360" s="139" t="n"/>
      <x:c r="Y360" s="139" t="n"/>
      <x:c r="Z360" s="139" t="n"/>
      <x:c r="AA360" s="139" t="n"/>
      <x:c r="AB360" s="139" t="n"/>
      <x:c r="AC360" s="139" t="n"/>
      <x:c r="AD360" s="139" t="n"/>
      <x:c r="AE360" s="139" t="n"/>
      <x:c r="AF360" s="139" t="n"/>
      <x:c r="AG360" s="139" t="n"/>
      <x:c r="AH360" s="139" t="n"/>
      <x:c r="AI360" s="139" t="n"/>
      <x:c r="AJ360" s="139" t="n"/>
      <x:c r="AK360" s="139" t="n"/>
      <x:c r="AL360" s="139" t="n"/>
      <x:c r="AM360" s="139" t="n"/>
      <x:c r="AN360" s="139" t="n"/>
      <x:c r="AO360" s="139" t="n"/>
      <x:c r="AP360" s="139" t="n"/>
      <x:c r="AQ360" s="139" t="n"/>
      <x:c r="AR360" s="139" t="n"/>
      <x:c r="AS360" s="139" t="n"/>
      <x:c r="AT360" s="139" t="n"/>
      <x:c r="AU360" s="139" t="n"/>
      <x:c r="AV360" s="139" t="n"/>
      <x:c r="AW360" s="139" t="n"/>
      <x:c r="AX360" s="139" t="n"/>
      <x:c r="AY360" s="139" t="n"/>
      <x:c r="AZ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c r="V361" s="139" t="n"/>
      <x:c r="W361" s="139" t="n"/>
      <x:c r="X361" s="139" t="n"/>
      <x:c r="Y361" s="139" t="n"/>
      <x:c r="Z361" s="139" t="n"/>
      <x:c r="AA361" s="139" t="n"/>
      <x:c r="AB361" s="139" t="n"/>
      <x:c r="AC361" s="139" t="n"/>
      <x:c r="AD361" s="139" t="n"/>
      <x:c r="AE361" s="139" t="n"/>
      <x:c r="AF361" s="139" t="n"/>
      <x:c r="AG361" s="139" t="n"/>
      <x:c r="AH361" s="139" t="n"/>
      <x:c r="AI361" s="139" t="n"/>
      <x:c r="AJ361" s="139" t="n"/>
      <x:c r="AK361" s="139" t="n"/>
      <x:c r="AL361" s="139" t="n"/>
      <x:c r="AM361" s="139" t="n"/>
      <x:c r="AN361" s="139" t="n"/>
      <x:c r="AO361" s="139" t="n"/>
      <x:c r="AP361" s="139" t="n"/>
      <x:c r="AQ361" s="139" t="n"/>
      <x:c r="AR361" s="139" t="n"/>
      <x:c r="AS361" s="139" t="n"/>
      <x:c r="AT361" s="139" t="n"/>
      <x:c r="AU361" s="139" t="n"/>
      <x:c r="AV361" s="139" t="n"/>
      <x:c r="AW361" s="139" t="n"/>
      <x:c r="AX361" s="139" t="n"/>
      <x:c r="AY361" s="139" t="n"/>
      <x:c r="AZ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c r="V362" s="139" t="n"/>
      <x:c r="W362" s="139" t="n"/>
      <x:c r="X362" s="139" t="n"/>
      <x:c r="Y362" s="139" t="n"/>
      <x:c r="Z362" s="139" t="n"/>
      <x:c r="AA362" s="139" t="n"/>
      <x:c r="AB362" s="139" t="n"/>
      <x:c r="AC362" s="139" t="n"/>
      <x:c r="AD362" s="139" t="n"/>
      <x:c r="AE362" s="139" t="n"/>
      <x:c r="AF362" s="139" t="n"/>
      <x:c r="AG362" s="139" t="n"/>
      <x:c r="AH362" s="139" t="n"/>
      <x:c r="AI362" s="139" t="n"/>
      <x:c r="AJ362" s="139" t="n"/>
      <x:c r="AK362" s="139" t="n"/>
      <x:c r="AL362" s="139" t="n"/>
      <x:c r="AM362" s="139" t="n"/>
      <x:c r="AN362" s="139" t="n"/>
      <x:c r="AO362" s="139" t="n"/>
      <x:c r="AP362" s="139" t="n"/>
      <x:c r="AQ362" s="139" t="n"/>
      <x:c r="AR362" s="139" t="n"/>
      <x:c r="AS362" s="139" t="n"/>
      <x:c r="AT362" s="139" t="n"/>
      <x:c r="AU362" s="139" t="n"/>
      <x:c r="AV362" s="139" t="n"/>
      <x:c r="AW362" s="139" t="n"/>
      <x:c r="AX362" s="139" t="n"/>
      <x:c r="AY362" s="139" t="n"/>
      <x:c r="AZ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c r="V363" s="139" t="n"/>
      <x:c r="W363" s="139" t="n"/>
      <x:c r="X363" s="139" t="n"/>
      <x:c r="Y363" s="139" t="n"/>
      <x:c r="Z363" s="139" t="n"/>
      <x:c r="AA363" s="139" t="n"/>
      <x:c r="AB363" s="139" t="n"/>
      <x:c r="AC363" s="139" t="n"/>
      <x:c r="AD363" s="139" t="n"/>
      <x:c r="AE363" s="139" t="n"/>
      <x:c r="AF363" s="139" t="n"/>
      <x:c r="AG363" s="139" t="n"/>
      <x:c r="AH363" s="139" t="n"/>
      <x:c r="AI363" s="139" t="n"/>
      <x:c r="AJ363" s="139" t="n"/>
      <x:c r="AK363" s="139" t="n"/>
      <x:c r="AL363" s="139" t="n"/>
      <x:c r="AM363" s="139" t="n"/>
      <x:c r="AN363" s="139" t="n"/>
      <x:c r="AO363" s="139" t="n"/>
      <x:c r="AP363" s="139" t="n"/>
      <x:c r="AQ363" s="139" t="n"/>
      <x:c r="AR363" s="139" t="n"/>
      <x:c r="AS363" s="139" t="n"/>
      <x:c r="AT363" s="139" t="n"/>
      <x:c r="AU363" s="139" t="n"/>
      <x:c r="AV363" s="139" t="n"/>
      <x:c r="AW363" s="139" t="n"/>
      <x:c r="AX363" s="139" t="n"/>
      <x:c r="AY363" s="139" t="n"/>
      <x:c r="AZ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c r="V364" s="139" t="n"/>
      <x:c r="W364" s="139" t="n"/>
      <x:c r="X364" s="139" t="n"/>
      <x:c r="Y364" s="139" t="n"/>
      <x:c r="Z364" s="139" t="n"/>
      <x:c r="AA364" s="139" t="n"/>
      <x:c r="AB364" s="139" t="n"/>
      <x:c r="AC364" s="139" t="n"/>
      <x:c r="AD364" s="139" t="n"/>
      <x:c r="AE364" s="139" t="n"/>
      <x:c r="AF364" s="139" t="n"/>
      <x:c r="AG364" s="139" t="n"/>
      <x:c r="AH364" s="139" t="n"/>
      <x:c r="AI364" s="139" t="n"/>
      <x:c r="AJ364" s="139" t="n"/>
      <x:c r="AK364" s="139" t="n"/>
      <x:c r="AL364" s="139" t="n"/>
      <x:c r="AM364" s="139" t="n"/>
      <x:c r="AN364" s="139" t="n"/>
      <x:c r="AO364" s="139" t="n"/>
      <x:c r="AP364" s="139" t="n"/>
      <x:c r="AQ364" s="139" t="n"/>
      <x:c r="AR364" s="139" t="n"/>
      <x:c r="AS364" s="139" t="n"/>
      <x:c r="AT364" s="139" t="n"/>
      <x:c r="AU364" s="139" t="n"/>
      <x:c r="AV364" s="139" t="n"/>
      <x:c r="AW364" s="139" t="n"/>
      <x:c r="AX364" s="139" t="n"/>
      <x:c r="AY364" s="139" t="n"/>
      <x:c r="AZ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c r="V365" s="139" t="n"/>
      <x:c r="W365" s="139" t="n"/>
      <x:c r="X365" s="139" t="n"/>
      <x:c r="Y365" s="139" t="n"/>
      <x:c r="Z365" s="139" t="n"/>
      <x:c r="AA365" s="139" t="n"/>
      <x:c r="AB365" s="139" t="n"/>
      <x:c r="AC365" s="139" t="n"/>
      <x:c r="AD365" s="139" t="n"/>
      <x:c r="AE365" s="139" t="n"/>
      <x:c r="AF365" s="139" t="n"/>
      <x:c r="AG365" s="139" t="n"/>
      <x:c r="AH365" s="139" t="n"/>
      <x:c r="AI365" s="139" t="n"/>
      <x:c r="AJ365" s="139" t="n"/>
      <x:c r="AK365" s="139" t="n"/>
      <x:c r="AL365" s="139" t="n"/>
      <x:c r="AM365" s="139" t="n"/>
      <x:c r="AN365" s="139" t="n"/>
      <x:c r="AO365" s="139" t="n"/>
      <x:c r="AP365" s="139" t="n"/>
      <x:c r="AQ365" s="139" t="n"/>
      <x:c r="AR365" s="139" t="n"/>
      <x:c r="AS365" s="139" t="n"/>
      <x:c r="AT365" s="139" t="n"/>
      <x:c r="AU365" s="139" t="n"/>
      <x:c r="AV365" s="139" t="n"/>
      <x:c r="AW365" s="139" t="n"/>
      <x:c r="AX365" s="139" t="n"/>
      <x:c r="AY365" s="139" t="n"/>
      <x:c r="AZ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c r="V366" s="139" t="n"/>
      <x:c r="W366" s="139" t="n"/>
      <x:c r="X366" s="139" t="n"/>
      <x:c r="Y366" s="139" t="n"/>
      <x:c r="Z366" s="139" t="n"/>
      <x:c r="AA366" s="139" t="n"/>
      <x:c r="AB366" s="139" t="n"/>
      <x:c r="AC366" s="139" t="n"/>
      <x:c r="AD366" s="139" t="n"/>
      <x:c r="AE366" s="139" t="n"/>
      <x:c r="AF366" s="139" t="n"/>
      <x:c r="AG366" s="139" t="n"/>
      <x:c r="AH366" s="139" t="n"/>
      <x:c r="AI366" s="139" t="n"/>
      <x:c r="AJ366" s="139" t="n"/>
      <x:c r="AK366" s="139" t="n"/>
      <x:c r="AL366" s="139" t="n"/>
      <x:c r="AM366" s="139" t="n"/>
      <x:c r="AN366" s="139" t="n"/>
      <x:c r="AO366" s="139" t="n"/>
      <x:c r="AP366" s="139" t="n"/>
      <x:c r="AQ366" s="139" t="n"/>
      <x:c r="AR366" s="139" t="n"/>
      <x:c r="AS366" s="139" t="n"/>
      <x:c r="AT366" s="139" t="n"/>
      <x:c r="AU366" s="139" t="n"/>
      <x:c r="AV366" s="139" t="n"/>
      <x:c r="AW366" s="139" t="n"/>
      <x:c r="AX366" s="139" t="n"/>
      <x:c r="AY366" s="139" t="n"/>
      <x:c r="AZ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c r="V367" s="139" t="n"/>
      <x:c r="W367" s="139" t="n"/>
      <x:c r="X367" s="139" t="n"/>
      <x:c r="Y367" s="139" t="n"/>
      <x:c r="Z367" s="139" t="n"/>
      <x:c r="AA367" s="139" t="n"/>
      <x:c r="AB367" s="139" t="n"/>
      <x:c r="AC367" s="139" t="n"/>
      <x:c r="AD367" s="139" t="n"/>
      <x:c r="AE367" s="139" t="n"/>
      <x:c r="AF367" s="139" t="n"/>
      <x:c r="AG367" s="139" t="n"/>
      <x:c r="AH367" s="139" t="n"/>
      <x:c r="AI367" s="139" t="n"/>
      <x:c r="AJ367" s="139" t="n"/>
      <x:c r="AK367" s="139" t="n"/>
      <x:c r="AL367" s="139" t="n"/>
      <x:c r="AM367" s="139" t="n"/>
      <x:c r="AN367" s="139" t="n"/>
      <x:c r="AO367" s="139" t="n"/>
      <x:c r="AP367" s="139" t="n"/>
      <x:c r="AQ367" s="139" t="n"/>
      <x:c r="AR367" s="139" t="n"/>
      <x:c r="AS367" s="139" t="n"/>
      <x:c r="AT367" s="139" t="n"/>
      <x:c r="AU367" s="139" t="n"/>
      <x:c r="AV367" s="139" t="n"/>
      <x:c r="AW367" s="139" t="n"/>
      <x:c r="AX367" s="139" t="n"/>
      <x:c r="AY367" s="139" t="n"/>
      <x:c r="AZ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c r="V368" s="139" t="n"/>
      <x:c r="W368" s="139" t="n"/>
      <x:c r="X368" s="139" t="n"/>
      <x:c r="Y368" s="139" t="n"/>
      <x:c r="Z368" s="139" t="n"/>
      <x:c r="AA368" s="139" t="n"/>
      <x:c r="AB368" s="139" t="n"/>
      <x:c r="AC368" s="139" t="n"/>
      <x:c r="AD368" s="139" t="n"/>
      <x:c r="AE368" s="139" t="n"/>
      <x:c r="AF368" s="139" t="n"/>
      <x:c r="AG368" s="139" t="n"/>
      <x:c r="AH368" s="139" t="n"/>
      <x:c r="AI368" s="139" t="n"/>
      <x:c r="AJ368" s="139" t="n"/>
      <x:c r="AK368" s="139" t="n"/>
      <x:c r="AL368" s="139" t="n"/>
      <x:c r="AM368" s="139" t="n"/>
      <x:c r="AN368" s="139" t="n"/>
      <x:c r="AO368" s="139" t="n"/>
      <x:c r="AP368" s="139" t="n"/>
      <x:c r="AQ368" s="139" t="n"/>
      <x:c r="AR368" s="139" t="n"/>
      <x:c r="AS368" s="139" t="n"/>
      <x:c r="AT368" s="139" t="n"/>
      <x:c r="AU368" s="139" t="n"/>
      <x:c r="AV368" s="139" t="n"/>
      <x:c r="AW368" s="139" t="n"/>
      <x:c r="AX368" s="139" t="n"/>
      <x:c r="AY368" s="139" t="n"/>
      <x:c r="AZ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c r="V369" s="139" t="n"/>
      <x:c r="W369" s="139" t="n"/>
      <x:c r="X369" s="139" t="n"/>
      <x:c r="Y369" s="139" t="n"/>
      <x:c r="Z369" s="139" t="n"/>
      <x:c r="AA369" s="139" t="n"/>
      <x:c r="AB369" s="139" t="n"/>
      <x:c r="AC369" s="139" t="n"/>
      <x:c r="AD369" s="139" t="n"/>
      <x:c r="AE369" s="139" t="n"/>
      <x:c r="AF369" s="139" t="n"/>
      <x:c r="AG369" s="139" t="n"/>
      <x:c r="AH369" s="139" t="n"/>
      <x:c r="AI369" s="139" t="n"/>
      <x:c r="AJ369" s="139" t="n"/>
      <x:c r="AK369" s="139" t="n"/>
      <x:c r="AL369" s="139" t="n"/>
      <x:c r="AM369" s="139" t="n"/>
      <x:c r="AN369" s="139" t="n"/>
      <x:c r="AO369" s="139" t="n"/>
      <x:c r="AP369" s="139" t="n"/>
      <x:c r="AQ369" s="139" t="n"/>
      <x:c r="AR369" s="139" t="n"/>
      <x:c r="AS369" s="139" t="n"/>
      <x:c r="AT369" s="139" t="n"/>
      <x:c r="AU369" s="139" t="n"/>
      <x:c r="AV369" s="139" t="n"/>
      <x:c r="AW369" s="139" t="n"/>
      <x:c r="AX369" s="139" t="n"/>
      <x:c r="AY369" s="139" t="n"/>
      <x:c r="AZ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c r="V370" s="139" t="n"/>
      <x:c r="W370" s="139" t="n"/>
      <x:c r="X370" s="139" t="n"/>
      <x:c r="Y370" s="139" t="n"/>
      <x:c r="Z370" s="139" t="n"/>
      <x:c r="AA370" s="139" t="n"/>
      <x:c r="AB370" s="139" t="n"/>
      <x:c r="AC370" s="139" t="n"/>
      <x:c r="AD370" s="139" t="n"/>
      <x:c r="AE370" s="139" t="n"/>
      <x:c r="AF370" s="139" t="n"/>
      <x:c r="AG370" s="139" t="n"/>
      <x:c r="AH370" s="139" t="n"/>
      <x:c r="AI370" s="139" t="n"/>
      <x:c r="AJ370" s="139" t="n"/>
      <x:c r="AK370" s="139" t="n"/>
      <x:c r="AL370" s="139" t="n"/>
      <x:c r="AM370" s="139" t="n"/>
      <x:c r="AN370" s="139" t="n"/>
      <x:c r="AO370" s="139" t="n"/>
      <x:c r="AP370" s="139" t="n"/>
      <x:c r="AQ370" s="139" t="n"/>
      <x:c r="AR370" s="139" t="n"/>
      <x:c r="AS370" s="139" t="n"/>
      <x:c r="AT370" s="139" t="n"/>
      <x:c r="AU370" s="139" t="n"/>
      <x:c r="AV370" s="139" t="n"/>
      <x:c r="AW370" s="139" t="n"/>
      <x:c r="AX370" s="139" t="n"/>
      <x:c r="AY370" s="139" t="n"/>
      <x:c r="AZ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c r="V371" s="139" t="n"/>
      <x:c r="W371" s="139" t="n"/>
      <x:c r="X371" s="139" t="n"/>
      <x:c r="Y371" s="139" t="n"/>
      <x:c r="Z371" s="139" t="n"/>
      <x:c r="AA371" s="139" t="n"/>
      <x:c r="AB371" s="139" t="n"/>
      <x:c r="AC371" s="139" t="n"/>
      <x:c r="AD371" s="139" t="n"/>
      <x:c r="AE371" s="139" t="n"/>
      <x:c r="AF371" s="139" t="n"/>
      <x:c r="AG371" s="139" t="n"/>
      <x:c r="AH371" s="139" t="n"/>
      <x:c r="AI371" s="139" t="n"/>
      <x:c r="AJ371" s="139" t="n"/>
      <x:c r="AK371" s="139" t="n"/>
      <x:c r="AL371" s="139" t="n"/>
      <x:c r="AM371" s="139" t="n"/>
      <x:c r="AN371" s="139" t="n"/>
      <x:c r="AO371" s="139" t="n"/>
      <x:c r="AP371" s="139" t="n"/>
      <x:c r="AQ371" s="139" t="n"/>
      <x:c r="AR371" s="139" t="n"/>
      <x:c r="AS371" s="139" t="n"/>
      <x:c r="AT371" s="139" t="n"/>
      <x:c r="AU371" s="139" t="n"/>
      <x:c r="AV371" s="139" t="n"/>
      <x:c r="AW371" s="139" t="n"/>
      <x:c r="AX371" s="139" t="n"/>
      <x:c r="AY371" s="139" t="n"/>
      <x:c r="AZ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c r="V372" s="139" t="n"/>
      <x:c r="W372" s="139" t="n"/>
      <x:c r="X372" s="139" t="n"/>
      <x:c r="Y372" s="139" t="n"/>
      <x:c r="Z372" s="139" t="n"/>
      <x:c r="AA372" s="139" t="n"/>
      <x:c r="AB372" s="139" t="n"/>
      <x:c r="AC372" s="139" t="n"/>
      <x:c r="AD372" s="139" t="n"/>
      <x:c r="AE372" s="139" t="n"/>
      <x:c r="AF372" s="139" t="n"/>
      <x:c r="AG372" s="139" t="n"/>
      <x:c r="AH372" s="139" t="n"/>
      <x:c r="AI372" s="139" t="n"/>
      <x:c r="AJ372" s="139" t="n"/>
      <x:c r="AK372" s="139" t="n"/>
      <x:c r="AL372" s="139" t="n"/>
      <x:c r="AM372" s="139" t="n"/>
      <x:c r="AN372" s="139" t="n"/>
      <x:c r="AO372" s="139" t="n"/>
      <x:c r="AP372" s="139" t="n"/>
      <x:c r="AQ372" s="139" t="n"/>
      <x:c r="AR372" s="139" t="n"/>
      <x:c r="AS372" s="139" t="n"/>
      <x:c r="AT372" s="139" t="n"/>
      <x:c r="AU372" s="139" t="n"/>
      <x:c r="AV372" s="139" t="n"/>
      <x:c r="AW372" s="139" t="n"/>
      <x:c r="AX372" s="139" t="n"/>
      <x:c r="AY372" s="139" t="n"/>
      <x:c r="AZ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c r="V373" s="139" t="n"/>
      <x:c r="W373" s="139" t="n"/>
      <x:c r="X373" s="139" t="n"/>
      <x:c r="Y373" s="139" t="n"/>
      <x:c r="Z373" s="139" t="n"/>
      <x:c r="AA373" s="139" t="n"/>
      <x:c r="AB373" s="139" t="n"/>
      <x:c r="AC373" s="139" t="n"/>
      <x:c r="AD373" s="139" t="n"/>
      <x:c r="AE373" s="139" t="n"/>
      <x:c r="AF373" s="139" t="n"/>
      <x:c r="AG373" s="139" t="n"/>
      <x:c r="AH373" s="139" t="n"/>
      <x:c r="AI373" s="139" t="n"/>
      <x:c r="AJ373" s="139" t="n"/>
      <x:c r="AK373" s="139" t="n"/>
      <x:c r="AL373" s="139" t="n"/>
      <x:c r="AM373" s="139" t="n"/>
      <x:c r="AN373" s="139" t="n"/>
      <x:c r="AO373" s="139" t="n"/>
      <x:c r="AP373" s="139" t="n"/>
      <x:c r="AQ373" s="139" t="n"/>
      <x:c r="AR373" s="139" t="n"/>
      <x:c r="AS373" s="139" t="n"/>
      <x:c r="AT373" s="139" t="n"/>
      <x:c r="AU373" s="139" t="n"/>
      <x:c r="AV373" s="139" t="n"/>
      <x:c r="AW373" s="139" t="n"/>
      <x:c r="AX373" s="139" t="n"/>
      <x:c r="AY373" s="139" t="n"/>
      <x:c r="AZ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c r="V374" s="139" t="n"/>
      <x:c r="W374" s="139" t="n"/>
      <x:c r="X374" s="139" t="n"/>
      <x:c r="Y374" s="139" t="n"/>
      <x:c r="Z374" s="139" t="n"/>
      <x:c r="AA374" s="139" t="n"/>
      <x:c r="AB374" s="139" t="n"/>
      <x:c r="AC374" s="139" t="n"/>
      <x:c r="AD374" s="139" t="n"/>
      <x:c r="AE374" s="139" t="n"/>
      <x:c r="AF374" s="139" t="n"/>
      <x:c r="AG374" s="139" t="n"/>
      <x:c r="AH374" s="139" t="n"/>
      <x:c r="AI374" s="139" t="n"/>
      <x:c r="AJ374" s="139" t="n"/>
      <x:c r="AK374" s="139" t="n"/>
      <x:c r="AL374" s="139" t="n"/>
      <x:c r="AM374" s="139" t="n"/>
      <x:c r="AN374" s="139" t="n"/>
      <x:c r="AO374" s="139" t="n"/>
      <x:c r="AP374" s="139" t="n"/>
      <x:c r="AQ374" s="139" t="n"/>
      <x:c r="AR374" s="139" t="n"/>
      <x:c r="AS374" s="139" t="n"/>
      <x:c r="AT374" s="139" t="n"/>
      <x:c r="AU374" s="139" t="n"/>
      <x:c r="AV374" s="139" t="n"/>
      <x:c r="AW374" s="139" t="n"/>
      <x:c r="AX374" s="139" t="n"/>
      <x:c r="AY374" s="139" t="n"/>
      <x:c r="AZ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c r="V375" s="139" t="n"/>
      <x:c r="W375" s="139" t="n"/>
      <x:c r="X375" s="139" t="n"/>
      <x:c r="Y375" s="139" t="n"/>
      <x:c r="Z375" s="139" t="n"/>
      <x:c r="AA375" s="139" t="n"/>
      <x:c r="AB375" s="139" t="n"/>
      <x:c r="AC375" s="139" t="n"/>
      <x:c r="AD375" s="139" t="n"/>
      <x:c r="AE375" s="139" t="n"/>
      <x:c r="AF375" s="139" t="n"/>
      <x:c r="AG375" s="139" t="n"/>
      <x:c r="AH375" s="139" t="n"/>
      <x:c r="AI375" s="139" t="n"/>
      <x:c r="AJ375" s="139" t="n"/>
      <x:c r="AK375" s="139" t="n"/>
      <x:c r="AL375" s="139" t="n"/>
      <x:c r="AM375" s="139" t="n"/>
      <x:c r="AN375" s="139" t="n"/>
      <x:c r="AO375" s="139" t="n"/>
      <x:c r="AP375" s="139" t="n"/>
      <x:c r="AQ375" s="139" t="n"/>
      <x:c r="AR375" s="139" t="n"/>
      <x:c r="AS375" s="139" t="n"/>
      <x:c r="AT375" s="139" t="n"/>
      <x:c r="AU375" s="139" t="n"/>
      <x:c r="AV375" s="139" t="n"/>
      <x:c r="AW375" s="139" t="n"/>
      <x:c r="AX375" s="139" t="n"/>
      <x:c r="AY375" s="139" t="n"/>
      <x:c r="AZ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c r="V376" s="139" t="n"/>
      <x:c r="W376" s="139" t="n"/>
      <x:c r="X376" s="139" t="n"/>
      <x:c r="Y376" s="139" t="n"/>
      <x:c r="Z376" s="139" t="n"/>
      <x:c r="AA376" s="139" t="n"/>
      <x:c r="AB376" s="139" t="n"/>
      <x:c r="AC376" s="139" t="n"/>
      <x:c r="AD376" s="139" t="n"/>
      <x:c r="AE376" s="139" t="n"/>
      <x:c r="AF376" s="139" t="n"/>
      <x:c r="AG376" s="139" t="n"/>
      <x:c r="AH376" s="139" t="n"/>
      <x:c r="AI376" s="139" t="n"/>
      <x:c r="AJ376" s="139" t="n"/>
      <x:c r="AK376" s="139" t="n"/>
      <x:c r="AL376" s="139" t="n"/>
      <x:c r="AM376" s="139" t="n"/>
      <x:c r="AN376" s="139" t="n"/>
      <x:c r="AO376" s="139" t="n"/>
      <x:c r="AP376" s="139" t="n"/>
      <x:c r="AQ376" s="139" t="n"/>
      <x:c r="AR376" s="139" t="n"/>
      <x:c r="AS376" s="139" t="n"/>
      <x:c r="AT376" s="139" t="n"/>
      <x:c r="AU376" s="139" t="n"/>
      <x:c r="AV376" s="139" t="n"/>
      <x:c r="AW376" s="139" t="n"/>
      <x:c r="AX376" s="139" t="n"/>
      <x:c r="AY376" s="139" t="n"/>
      <x:c r="AZ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c r="V377" s="139" t="n"/>
      <x:c r="W377" s="139" t="n"/>
      <x:c r="X377" s="139" t="n"/>
      <x:c r="Y377" s="139" t="n"/>
      <x:c r="Z377" s="139" t="n"/>
      <x:c r="AA377" s="139" t="n"/>
      <x:c r="AB377" s="139" t="n"/>
      <x:c r="AC377" s="139" t="n"/>
      <x:c r="AD377" s="139" t="n"/>
      <x:c r="AE377" s="139" t="n"/>
      <x:c r="AF377" s="139" t="n"/>
      <x:c r="AG377" s="139" t="n"/>
      <x:c r="AH377" s="139" t="n"/>
      <x:c r="AI377" s="139" t="n"/>
      <x:c r="AJ377" s="139" t="n"/>
      <x:c r="AK377" s="139" t="n"/>
      <x:c r="AL377" s="139" t="n"/>
      <x:c r="AM377" s="139" t="n"/>
      <x:c r="AN377" s="139" t="n"/>
      <x:c r="AO377" s="139" t="n"/>
      <x:c r="AP377" s="139" t="n"/>
      <x:c r="AQ377" s="139" t="n"/>
      <x:c r="AR377" s="139" t="n"/>
      <x:c r="AS377" s="139" t="n"/>
      <x:c r="AT377" s="139" t="n"/>
      <x:c r="AU377" s="139" t="n"/>
      <x:c r="AV377" s="139" t="n"/>
      <x:c r="AW377" s="139" t="n"/>
      <x:c r="AX377" s="139" t="n"/>
      <x:c r="AY377" s="139" t="n"/>
      <x:c r="AZ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c r="V378" s="139" t="n"/>
      <x:c r="W378" s="139" t="n"/>
      <x:c r="X378" s="139" t="n"/>
      <x:c r="Y378" s="139" t="n"/>
      <x:c r="Z378" s="139" t="n"/>
      <x:c r="AA378" s="139" t="n"/>
      <x:c r="AB378" s="139" t="n"/>
      <x:c r="AC378" s="139" t="n"/>
      <x:c r="AD378" s="139" t="n"/>
      <x:c r="AE378" s="139" t="n"/>
      <x:c r="AF378" s="139" t="n"/>
      <x:c r="AG378" s="139" t="n"/>
      <x:c r="AH378" s="139" t="n"/>
      <x:c r="AI378" s="139" t="n"/>
      <x:c r="AJ378" s="139" t="n"/>
      <x:c r="AK378" s="139" t="n"/>
      <x:c r="AL378" s="139" t="n"/>
      <x:c r="AM378" s="139" t="n"/>
      <x:c r="AN378" s="139" t="n"/>
      <x:c r="AO378" s="139" t="n"/>
      <x:c r="AP378" s="139" t="n"/>
      <x:c r="AQ378" s="139" t="n"/>
      <x:c r="AR378" s="139" t="n"/>
      <x:c r="AS378" s="139" t="n"/>
      <x:c r="AT378" s="139" t="n"/>
      <x:c r="AU378" s="139" t="n"/>
      <x:c r="AV378" s="139" t="n"/>
      <x:c r="AW378" s="139" t="n"/>
      <x:c r="AX378" s="139" t="n"/>
      <x:c r="AY378" s="139" t="n"/>
      <x:c r="AZ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c r="V379" s="139" t="n"/>
      <x:c r="W379" s="139" t="n"/>
      <x:c r="X379" s="139" t="n"/>
      <x:c r="Y379" s="139" t="n"/>
      <x:c r="Z379" s="139" t="n"/>
      <x:c r="AA379" s="139" t="n"/>
      <x:c r="AB379" s="139" t="n"/>
      <x:c r="AC379" s="139" t="n"/>
      <x:c r="AD379" s="139" t="n"/>
      <x:c r="AE379" s="139" t="n"/>
      <x:c r="AF379" s="139" t="n"/>
      <x:c r="AG379" s="139" t="n"/>
      <x:c r="AH379" s="139" t="n"/>
      <x:c r="AI379" s="139" t="n"/>
      <x:c r="AJ379" s="139" t="n"/>
      <x:c r="AK379" s="139" t="n"/>
      <x:c r="AL379" s="139" t="n"/>
      <x:c r="AM379" s="139" t="n"/>
      <x:c r="AN379" s="139" t="n"/>
      <x:c r="AO379" s="139" t="n"/>
      <x:c r="AP379" s="139" t="n"/>
      <x:c r="AQ379" s="139" t="n"/>
      <x:c r="AR379" s="139" t="n"/>
      <x:c r="AS379" s="139" t="n"/>
      <x:c r="AT379" s="139" t="n"/>
      <x:c r="AU379" s="139" t="n"/>
      <x:c r="AV379" s="139" t="n"/>
      <x:c r="AW379" s="139" t="n"/>
      <x:c r="AX379" s="139" t="n"/>
      <x:c r="AY379" s="139" t="n"/>
      <x:c r="AZ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c r="V380" s="139" t="n"/>
      <x:c r="W380" s="139" t="n"/>
      <x:c r="X380" s="139" t="n"/>
      <x:c r="Y380" s="139" t="n"/>
      <x:c r="Z380" s="139" t="n"/>
      <x:c r="AA380" s="139" t="n"/>
      <x:c r="AB380" s="139" t="n"/>
      <x:c r="AC380" s="139" t="n"/>
      <x:c r="AD380" s="139" t="n"/>
      <x:c r="AE380" s="139" t="n"/>
      <x:c r="AF380" s="139" t="n"/>
      <x:c r="AG380" s="139" t="n"/>
      <x:c r="AH380" s="139" t="n"/>
      <x:c r="AI380" s="139" t="n"/>
      <x:c r="AJ380" s="139" t="n"/>
      <x:c r="AK380" s="139" t="n"/>
      <x:c r="AL380" s="139" t="n"/>
      <x:c r="AM380" s="139" t="n"/>
      <x:c r="AN380" s="139" t="n"/>
      <x:c r="AO380" s="139" t="n"/>
      <x:c r="AP380" s="139" t="n"/>
      <x:c r="AQ380" s="139" t="n"/>
      <x:c r="AR380" s="139" t="n"/>
      <x:c r="AS380" s="139" t="n"/>
      <x:c r="AT380" s="139" t="n"/>
      <x:c r="AU380" s="139" t="n"/>
      <x:c r="AV380" s="139" t="n"/>
      <x:c r="AW380" s="139" t="n"/>
      <x:c r="AX380" s="139" t="n"/>
      <x:c r="AY380" s="139" t="n"/>
      <x:c r="AZ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c r="V381" s="139" t="n"/>
      <x:c r="W381" s="139" t="n"/>
      <x:c r="X381" s="139" t="n"/>
      <x:c r="Y381" s="139" t="n"/>
      <x:c r="Z381" s="139" t="n"/>
      <x:c r="AA381" s="139" t="n"/>
      <x:c r="AB381" s="139" t="n"/>
      <x:c r="AC381" s="139" t="n"/>
      <x:c r="AD381" s="139" t="n"/>
      <x:c r="AE381" s="139" t="n"/>
      <x:c r="AF381" s="139" t="n"/>
      <x:c r="AG381" s="139" t="n"/>
      <x:c r="AH381" s="139" t="n"/>
      <x:c r="AI381" s="139" t="n"/>
      <x:c r="AJ381" s="139" t="n"/>
      <x:c r="AK381" s="139" t="n"/>
      <x:c r="AL381" s="139" t="n"/>
      <x:c r="AM381" s="139" t="n"/>
      <x:c r="AN381" s="139" t="n"/>
      <x:c r="AO381" s="139" t="n"/>
      <x:c r="AP381" s="139" t="n"/>
      <x:c r="AQ381" s="139" t="n"/>
      <x:c r="AR381" s="139" t="n"/>
      <x:c r="AS381" s="139" t="n"/>
      <x:c r="AT381" s="139" t="n"/>
      <x:c r="AU381" s="139" t="n"/>
      <x:c r="AV381" s="139" t="n"/>
      <x:c r="AW381" s="139" t="n"/>
      <x:c r="AX381" s="139" t="n"/>
      <x:c r="AY381" s="139" t="n"/>
      <x:c r="AZ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c r="V382" s="139" t="n"/>
      <x:c r="W382" s="139" t="n"/>
      <x:c r="X382" s="139" t="n"/>
      <x:c r="Y382" s="139" t="n"/>
      <x:c r="Z382" s="139" t="n"/>
      <x:c r="AA382" s="139" t="n"/>
      <x:c r="AB382" s="139" t="n"/>
      <x:c r="AC382" s="139" t="n"/>
      <x:c r="AD382" s="139" t="n"/>
      <x:c r="AE382" s="139" t="n"/>
      <x:c r="AF382" s="139" t="n"/>
      <x:c r="AG382" s="139" t="n"/>
      <x:c r="AH382" s="139" t="n"/>
      <x:c r="AI382" s="139" t="n"/>
      <x:c r="AJ382" s="139" t="n"/>
      <x:c r="AK382" s="139" t="n"/>
      <x:c r="AL382" s="139" t="n"/>
      <x:c r="AM382" s="139" t="n"/>
      <x:c r="AN382" s="139" t="n"/>
      <x:c r="AO382" s="139" t="n"/>
      <x:c r="AP382" s="139" t="n"/>
      <x:c r="AQ382" s="139" t="n"/>
      <x:c r="AR382" s="139" t="n"/>
      <x:c r="AS382" s="139" t="n"/>
      <x:c r="AT382" s="139" t="n"/>
      <x:c r="AU382" s="139" t="n"/>
      <x:c r="AV382" s="139" t="n"/>
      <x:c r="AW382" s="139" t="n"/>
      <x:c r="AX382" s="139" t="n"/>
      <x:c r="AY382" s="139" t="n"/>
      <x:c r="AZ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c r="V383" s="139" t="n"/>
      <x:c r="W383" s="139" t="n"/>
      <x:c r="X383" s="139" t="n"/>
      <x:c r="Y383" s="139" t="n"/>
      <x:c r="Z383" s="139" t="n"/>
      <x:c r="AA383" s="139" t="n"/>
      <x:c r="AB383" s="139" t="n"/>
      <x:c r="AC383" s="139" t="n"/>
      <x:c r="AD383" s="139" t="n"/>
      <x:c r="AE383" s="139" t="n"/>
      <x:c r="AF383" s="139" t="n"/>
      <x:c r="AG383" s="139" t="n"/>
      <x:c r="AH383" s="139" t="n"/>
      <x:c r="AI383" s="139" t="n"/>
      <x:c r="AJ383" s="139" t="n"/>
      <x:c r="AK383" s="139" t="n"/>
      <x:c r="AL383" s="139" t="n"/>
      <x:c r="AM383" s="139" t="n"/>
      <x:c r="AN383" s="139" t="n"/>
      <x:c r="AO383" s="139" t="n"/>
      <x:c r="AP383" s="139" t="n"/>
      <x:c r="AQ383" s="139" t="n"/>
      <x:c r="AR383" s="139" t="n"/>
      <x:c r="AS383" s="139" t="n"/>
      <x:c r="AT383" s="139" t="n"/>
      <x:c r="AU383" s="139" t="n"/>
      <x:c r="AV383" s="139" t="n"/>
      <x:c r="AW383" s="139" t="n"/>
      <x:c r="AX383" s="139" t="n"/>
      <x:c r="AY383" s="139" t="n"/>
      <x:c r="AZ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c r="V384" s="139" t="n"/>
      <x:c r="W384" s="139" t="n"/>
      <x:c r="X384" s="139" t="n"/>
      <x:c r="Y384" s="139" t="n"/>
      <x:c r="Z384" s="139" t="n"/>
      <x:c r="AA384" s="139" t="n"/>
      <x:c r="AB384" s="139" t="n"/>
      <x:c r="AC384" s="139" t="n"/>
      <x:c r="AD384" s="139" t="n"/>
      <x:c r="AE384" s="139" t="n"/>
      <x:c r="AF384" s="139" t="n"/>
      <x:c r="AG384" s="139" t="n"/>
      <x:c r="AH384" s="139" t="n"/>
      <x:c r="AI384" s="139" t="n"/>
      <x:c r="AJ384" s="139" t="n"/>
      <x:c r="AK384" s="139" t="n"/>
      <x:c r="AL384" s="139" t="n"/>
      <x:c r="AM384" s="139" t="n"/>
      <x:c r="AN384" s="139" t="n"/>
      <x:c r="AO384" s="139" t="n"/>
      <x:c r="AP384" s="139" t="n"/>
      <x:c r="AQ384" s="139" t="n"/>
      <x:c r="AR384" s="139" t="n"/>
      <x:c r="AS384" s="139" t="n"/>
      <x:c r="AT384" s="139" t="n"/>
      <x:c r="AU384" s="139" t="n"/>
      <x:c r="AV384" s="139" t="n"/>
      <x:c r="AW384" s="139" t="n"/>
      <x:c r="AX384" s="139" t="n"/>
      <x:c r="AY384" s="139" t="n"/>
      <x:c r="AZ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c r="V385" s="139" t="n"/>
      <x:c r="W385" s="139" t="n"/>
      <x:c r="X385" s="139" t="n"/>
      <x:c r="Y385" s="139" t="n"/>
      <x:c r="Z385" s="139" t="n"/>
      <x:c r="AA385" s="139" t="n"/>
      <x:c r="AB385" s="139" t="n"/>
      <x:c r="AC385" s="139" t="n"/>
      <x:c r="AD385" s="139" t="n"/>
      <x:c r="AE385" s="139" t="n"/>
      <x:c r="AF385" s="139" t="n"/>
      <x:c r="AG385" s="139" t="n"/>
      <x:c r="AH385" s="139" t="n"/>
      <x:c r="AI385" s="139" t="n"/>
      <x:c r="AJ385" s="139" t="n"/>
      <x:c r="AK385" s="139" t="n"/>
      <x:c r="AL385" s="139" t="n"/>
      <x:c r="AM385" s="139" t="n"/>
      <x:c r="AN385" s="139" t="n"/>
      <x:c r="AO385" s="139" t="n"/>
      <x:c r="AP385" s="139" t="n"/>
      <x:c r="AQ385" s="139" t="n"/>
      <x:c r="AR385" s="139" t="n"/>
      <x:c r="AS385" s="139" t="n"/>
      <x:c r="AT385" s="139" t="n"/>
      <x:c r="AU385" s="139" t="n"/>
      <x:c r="AV385" s="139" t="n"/>
      <x:c r="AW385" s="139" t="n"/>
      <x:c r="AX385" s="139" t="n"/>
      <x:c r="AY385" s="139" t="n"/>
      <x:c r="AZ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c r="V386" s="139" t="n"/>
      <x:c r="W386" s="139" t="n"/>
      <x:c r="X386" s="139" t="n"/>
      <x:c r="Y386" s="139" t="n"/>
      <x:c r="Z386" s="139" t="n"/>
      <x:c r="AA386" s="139" t="n"/>
      <x:c r="AB386" s="139" t="n"/>
      <x:c r="AC386" s="139" t="n"/>
      <x:c r="AD386" s="139" t="n"/>
      <x:c r="AE386" s="139" t="n"/>
      <x:c r="AF386" s="139" t="n"/>
      <x:c r="AG386" s="139" t="n"/>
      <x:c r="AH386" s="139" t="n"/>
      <x:c r="AI386" s="139" t="n"/>
      <x:c r="AJ386" s="139" t="n"/>
      <x:c r="AK386" s="139" t="n"/>
      <x:c r="AL386" s="139" t="n"/>
      <x:c r="AM386" s="139" t="n"/>
      <x:c r="AN386" s="139" t="n"/>
      <x:c r="AO386" s="139" t="n"/>
      <x:c r="AP386" s="139" t="n"/>
      <x:c r="AQ386" s="139" t="n"/>
      <x:c r="AR386" s="139" t="n"/>
      <x:c r="AS386" s="139" t="n"/>
      <x:c r="AT386" s="139" t="n"/>
      <x:c r="AU386" s="139" t="n"/>
      <x:c r="AV386" s="139" t="n"/>
      <x:c r="AW386" s="139" t="n"/>
      <x:c r="AX386" s="139" t="n"/>
      <x:c r="AY386" s="139" t="n"/>
      <x:c r="AZ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c r="V387" s="139" t="n"/>
      <x:c r="W387" s="139" t="n"/>
      <x:c r="X387" s="139" t="n"/>
      <x:c r="Y387" s="139" t="n"/>
      <x:c r="Z387" s="139" t="n"/>
      <x:c r="AA387" s="139" t="n"/>
      <x:c r="AB387" s="139" t="n"/>
      <x:c r="AC387" s="139" t="n"/>
      <x:c r="AD387" s="139" t="n"/>
      <x:c r="AE387" s="139" t="n"/>
      <x:c r="AF387" s="139" t="n"/>
      <x:c r="AG387" s="139" t="n"/>
      <x:c r="AH387" s="139" t="n"/>
      <x:c r="AI387" s="139" t="n"/>
      <x:c r="AJ387" s="139" t="n"/>
      <x:c r="AK387" s="139" t="n"/>
      <x:c r="AL387" s="139" t="n"/>
      <x:c r="AM387" s="139" t="n"/>
      <x:c r="AN387" s="139" t="n"/>
      <x:c r="AO387" s="139" t="n"/>
      <x:c r="AP387" s="139" t="n"/>
      <x:c r="AQ387" s="139" t="n"/>
      <x:c r="AR387" s="139" t="n"/>
      <x:c r="AS387" s="139" t="n"/>
      <x:c r="AT387" s="139" t="n"/>
      <x:c r="AU387" s="139" t="n"/>
      <x:c r="AV387" s="139" t="n"/>
      <x:c r="AW387" s="139" t="n"/>
      <x:c r="AX387" s="139" t="n"/>
      <x:c r="AY387" s="139" t="n"/>
      <x:c r="AZ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c r="V388" s="139" t="n"/>
      <x:c r="W388" s="139" t="n"/>
      <x:c r="X388" s="139" t="n"/>
      <x:c r="Y388" s="139" t="n"/>
      <x:c r="Z388" s="139" t="n"/>
      <x:c r="AA388" s="139" t="n"/>
      <x:c r="AB388" s="139" t="n"/>
      <x:c r="AC388" s="139" t="n"/>
      <x:c r="AD388" s="139" t="n"/>
      <x:c r="AE388" s="139" t="n"/>
      <x:c r="AF388" s="139" t="n"/>
      <x:c r="AG388" s="139" t="n"/>
      <x:c r="AH388" s="139" t="n"/>
      <x:c r="AI388" s="139" t="n"/>
      <x:c r="AJ388" s="139" t="n"/>
      <x:c r="AK388" s="139" t="n"/>
      <x:c r="AL388" s="139" t="n"/>
      <x:c r="AM388" s="139" t="n"/>
      <x:c r="AN388" s="139" t="n"/>
      <x:c r="AO388" s="139" t="n"/>
      <x:c r="AP388" s="139" t="n"/>
      <x:c r="AQ388" s="139" t="n"/>
      <x:c r="AR388" s="139" t="n"/>
      <x:c r="AS388" s="139" t="n"/>
      <x:c r="AT388" s="139" t="n"/>
      <x:c r="AU388" s="139" t="n"/>
      <x:c r="AV388" s="139" t="n"/>
      <x:c r="AW388" s="139" t="n"/>
      <x:c r="AX388" s="139" t="n"/>
      <x:c r="AY388" s="139" t="n"/>
      <x:c r="AZ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c r="V389" s="139" t="n"/>
      <x:c r="W389" s="139" t="n"/>
      <x:c r="X389" s="139" t="n"/>
      <x:c r="Y389" s="139" t="n"/>
      <x:c r="Z389" s="139" t="n"/>
      <x:c r="AA389" s="139" t="n"/>
      <x:c r="AB389" s="139" t="n"/>
      <x:c r="AC389" s="139" t="n"/>
      <x:c r="AD389" s="139" t="n"/>
      <x:c r="AE389" s="139" t="n"/>
      <x:c r="AF389" s="139" t="n"/>
      <x:c r="AG389" s="139" t="n"/>
      <x:c r="AH389" s="139" t="n"/>
      <x:c r="AI389" s="139" t="n"/>
      <x:c r="AJ389" s="139" t="n"/>
      <x:c r="AK389" s="139" t="n"/>
      <x:c r="AL389" s="139" t="n"/>
      <x:c r="AM389" s="139" t="n"/>
      <x:c r="AN389" s="139" t="n"/>
      <x:c r="AO389" s="139" t="n"/>
      <x:c r="AP389" s="139" t="n"/>
      <x:c r="AQ389" s="139" t="n"/>
      <x:c r="AR389" s="139" t="n"/>
      <x:c r="AS389" s="139" t="n"/>
      <x:c r="AT389" s="139" t="n"/>
      <x:c r="AU389" s="139" t="n"/>
      <x:c r="AV389" s="139" t="n"/>
      <x:c r="AW389" s="139" t="n"/>
      <x:c r="AX389" s="139" t="n"/>
      <x:c r="AY389" s="139" t="n"/>
      <x:c r="AZ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c r="V390" s="139" t="n"/>
      <x:c r="W390" s="139" t="n"/>
      <x:c r="X390" s="139" t="n"/>
      <x:c r="Y390" s="139" t="n"/>
      <x:c r="Z390" s="139" t="n"/>
      <x:c r="AA390" s="139" t="n"/>
      <x:c r="AB390" s="139" t="n"/>
      <x:c r="AC390" s="139" t="n"/>
      <x:c r="AD390" s="139" t="n"/>
      <x:c r="AE390" s="139" t="n"/>
      <x:c r="AF390" s="139" t="n"/>
      <x:c r="AG390" s="139" t="n"/>
      <x:c r="AH390" s="139" t="n"/>
      <x:c r="AI390" s="139" t="n"/>
      <x:c r="AJ390" s="139" t="n"/>
      <x:c r="AK390" s="139" t="n"/>
      <x:c r="AL390" s="139" t="n"/>
      <x:c r="AM390" s="139" t="n"/>
      <x:c r="AN390" s="139" t="n"/>
      <x:c r="AO390" s="139" t="n"/>
      <x:c r="AP390" s="139" t="n"/>
      <x:c r="AQ390" s="139" t="n"/>
      <x:c r="AR390" s="139" t="n"/>
      <x:c r="AS390" s="139" t="n"/>
      <x:c r="AT390" s="139" t="n"/>
      <x:c r="AU390" s="139" t="n"/>
      <x:c r="AV390" s="139" t="n"/>
      <x:c r="AW390" s="139" t="n"/>
      <x:c r="AX390" s="139" t="n"/>
      <x:c r="AY390" s="139" t="n"/>
      <x:c r="AZ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c r="V391" s="139" t="n"/>
      <x:c r="W391" s="139" t="n"/>
      <x:c r="X391" s="139" t="n"/>
      <x:c r="Y391" s="139" t="n"/>
      <x:c r="Z391" s="139" t="n"/>
      <x:c r="AA391" s="139" t="n"/>
      <x:c r="AB391" s="139" t="n"/>
      <x:c r="AC391" s="139" t="n"/>
      <x:c r="AD391" s="139" t="n"/>
      <x:c r="AE391" s="139" t="n"/>
      <x:c r="AF391" s="139" t="n"/>
      <x:c r="AG391" s="139" t="n"/>
      <x:c r="AH391" s="139" t="n"/>
      <x:c r="AI391" s="139" t="n"/>
      <x:c r="AJ391" s="139" t="n"/>
      <x:c r="AK391" s="139" t="n"/>
      <x:c r="AL391" s="139" t="n"/>
      <x:c r="AM391" s="139" t="n"/>
      <x:c r="AN391" s="139" t="n"/>
      <x:c r="AO391" s="139" t="n"/>
      <x:c r="AP391" s="139" t="n"/>
      <x:c r="AQ391" s="139" t="n"/>
      <x:c r="AR391" s="139" t="n"/>
      <x:c r="AS391" s="139" t="n"/>
      <x:c r="AT391" s="139" t="n"/>
      <x:c r="AU391" s="139" t="n"/>
      <x:c r="AV391" s="139" t="n"/>
      <x:c r="AW391" s="139" t="n"/>
      <x:c r="AX391" s="139" t="n"/>
      <x:c r="AY391" s="139" t="n"/>
      <x:c r="AZ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c r="V392" s="139" t="n"/>
      <x:c r="W392" s="139" t="n"/>
      <x:c r="X392" s="139" t="n"/>
      <x:c r="Y392" s="139" t="n"/>
      <x:c r="Z392" s="139" t="n"/>
      <x:c r="AA392" s="139" t="n"/>
      <x:c r="AB392" s="139" t="n"/>
      <x:c r="AC392" s="139" t="n"/>
      <x:c r="AD392" s="139" t="n"/>
      <x:c r="AE392" s="139" t="n"/>
      <x:c r="AF392" s="139" t="n"/>
      <x:c r="AG392" s="139" t="n"/>
      <x:c r="AH392" s="139" t="n"/>
      <x:c r="AI392" s="139" t="n"/>
      <x:c r="AJ392" s="139" t="n"/>
      <x:c r="AK392" s="139" t="n"/>
      <x:c r="AL392" s="139" t="n"/>
      <x:c r="AM392" s="139" t="n"/>
      <x:c r="AN392" s="139" t="n"/>
      <x:c r="AO392" s="139" t="n"/>
      <x:c r="AP392" s="139" t="n"/>
      <x:c r="AQ392" s="139" t="n"/>
      <x:c r="AR392" s="139" t="n"/>
      <x:c r="AS392" s="139" t="n"/>
      <x:c r="AT392" s="139" t="n"/>
      <x:c r="AU392" s="139" t="n"/>
      <x:c r="AV392" s="139" t="n"/>
      <x:c r="AW392" s="139" t="n"/>
      <x:c r="AX392" s="139" t="n"/>
      <x:c r="AY392" s="139" t="n"/>
      <x:c r="AZ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c r="V393" s="139" t="n"/>
      <x:c r="W393" s="139" t="n"/>
      <x:c r="X393" s="139" t="n"/>
      <x:c r="Y393" s="139" t="n"/>
      <x:c r="Z393" s="139" t="n"/>
      <x:c r="AA393" s="139" t="n"/>
      <x:c r="AB393" s="139" t="n"/>
      <x:c r="AC393" s="139" t="n"/>
      <x:c r="AD393" s="139" t="n"/>
      <x:c r="AE393" s="139" t="n"/>
      <x:c r="AF393" s="139" t="n"/>
      <x:c r="AG393" s="139" t="n"/>
      <x:c r="AH393" s="139" t="n"/>
      <x:c r="AI393" s="139" t="n"/>
      <x:c r="AJ393" s="139" t="n"/>
      <x:c r="AK393" s="139" t="n"/>
      <x:c r="AL393" s="139" t="n"/>
      <x:c r="AM393" s="139" t="n"/>
      <x:c r="AN393" s="139" t="n"/>
      <x:c r="AO393" s="139" t="n"/>
      <x:c r="AP393" s="139" t="n"/>
      <x:c r="AQ393" s="139" t="n"/>
      <x:c r="AR393" s="139" t="n"/>
      <x:c r="AS393" s="139" t="n"/>
      <x:c r="AT393" s="139" t="n"/>
      <x:c r="AU393" s="139" t="n"/>
      <x:c r="AV393" s="139" t="n"/>
      <x:c r="AW393" s="139" t="n"/>
      <x:c r="AX393" s="139" t="n"/>
      <x:c r="AY393" s="139" t="n"/>
      <x:c r="AZ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c r="V394" s="139" t="n"/>
      <x:c r="W394" s="139" t="n"/>
      <x:c r="X394" s="139" t="n"/>
      <x:c r="Y394" s="139" t="n"/>
      <x:c r="Z394" s="139" t="n"/>
      <x:c r="AA394" s="139" t="n"/>
      <x:c r="AB394" s="139" t="n"/>
      <x:c r="AC394" s="139" t="n"/>
      <x:c r="AD394" s="139" t="n"/>
      <x:c r="AE394" s="139" t="n"/>
      <x:c r="AF394" s="139" t="n"/>
      <x:c r="AG394" s="139" t="n"/>
      <x:c r="AH394" s="139" t="n"/>
      <x:c r="AI394" s="139" t="n"/>
      <x:c r="AJ394" s="139" t="n"/>
      <x:c r="AK394" s="139" t="n"/>
      <x:c r="AL394" s="139" t="n"/>
      <x:c r="AM394" s="139" t="n"/>
      <x:c r="AN394" s="139" t="n"/>
      <x:c r="AO394" s="139" t="n"/>
      <x:c r="AP394" s="139" t="n"/>
      <x:c r="AQ394" s="139" t="n"/>
      <x:c r="AR394" s="139" t="n"/>
      <x:c r="AS394" s="139" t="n"/>
      <x:c r="AT394" s="139" t="n"/>
      <x:c r="AU394" s="139" t="n"/>
      <x:c r="AV394" s="139" t="n"/>
      <x:c r="AW394" s="139" t="n"/>
      <x:c r="AX394" s="139" t="n"/>
      <x:c r="AY394" s="139" t="n"/>
      <x:c r="AZ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c r="V395" s="139" t="n"/>
      <x:c r="W395" s="139" t="n"/>
      <x:c r="X395" s="139" t="n"/>
      <x:c r="Y395" s="139" t="n"/>
      <x:c r="Z395" s="139" t="n"/>
      <x:c r="AA395" s="139" t="n"/>
      <x:c r="AB395" s="139" t="n"/>
      <x:c r="AC395" s="139" t="n"/>
      <x:c r="AD395" s="139" t="n"/>
      <x:c r="AE395" s="139" t="n"/>
      <x:c r="AF395" s="139" t="n"/>
      <x:c r="AG395" s="139" t="n"/>
      <x:c r="AH395" s="139" t="n"/>
      <x:c r="AI395" s="139" t="n"/>
      <x:c r="AJ395" s="139" t="n"/>
      <x:c r="AK395" s="139" t="n"/>
      <x:c r="AL395" s="139" t="n"/>
      <x:c r="AM395" s="139" t="n"/>
      <x:c r="AN395" s="139" t="n"/>
      <x:c r="AO395" s="139" t="n"/>
      <x:c r="AP395" s="139" t="n"/>
      <x:c r="AQ395" s="139" t="n"/>
      <x:c r="AR395" s="139" t="n"/>
      <x:c r="AS395" s="139" t="n"/>
      <x:c r="AT395" s="139" t="n"/>
      <x:c r="AU395" s="139" t="n"/>
      <x:c r="AV395" s="139" t="n"/>
      <x:c r="AW395" s="139" t="n"/>
      <x:c r="AX395" s="139" t="n"/>
      <x:c r="AY395" s="139" t="n"/>
      <x:c r="AZ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c r="V396" s="139" t="n"/>
      <x:c r="W396" s="139" t="n"/>
      <x:c r="X396" s="139" t="n"/>
      <x:c r="Y396" s="139" t="n"/>
      <x:c r="Z396" s="139" t="n"/>
      <x:c r="AA396" s="139" t="n"/>
      <x:c r="AB396" s="139" t="n"/>
      <x:c r="AC396" s="139" t="n"/>
      <x:c r="AD396" s="139" t="n"/>
      <x:c r="AE396" s="139" t="n"/>
      <x:c r="AF396" s="139" t="n"/>
      <x:c r="AG396" s="139" t="n"/>
      <x:c r="AH396" s="139" t="n"/>
      <x:c r="AI396" s="139" t="n"/>
      <x:c r="AJ396" s="139" t="n"/>
      <x:c r="AK396" s="139" t="n"/>
      <x:c r="AL396" s="139" t="n"/>
      <x:c r="AM396" s="139" t="n"/>
      <x:c r="AN396" s="139" t="n"/>
      <x:c r="AO396" s="139" t="n"/>
      <x:c r="AP396" s="139" t="n"/>
      <x:c r="AQ396" s="139" t="n"/>
      <x:c r="AR396" s="139" t="n"/>
      <x:c r="AS396" s="139" t="n"/>
      <x:c r="AT396" s="139" t="n"/>
      <x:c r="AU396" s="139" t="n"/>
      <x:c r="AV396" s="139" t="n"/>
      <x:c r="AW396" s="139" t="n"/>
      <x:c r="AX396" s="139" t="n"/>
      <x:c r="AY396" s="139" t="n"/>
      <x:c r="AZ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c r="V397" s="139" t="n"/>
      <x:c r="W397" s="139" t="n"/>
      <x:c r="X397" s="139" t="n"/>
      <x:c r="Y397" s="139" t="n"/>
      <x:c r="Z397" s="139" t="n"/>
      <x:c r="AA397" s="139" t="n"/>
      <x:c r="AB397" s="139" t="n"/>
      <x:c r="AC397" s="139" t="n"/>
      <x:c r="AD397" s="139" t="n"/>
      <x:c r="AE397" s="139" t="n"/>
      <x:c r="AF397" s="139" t="n"/>
      <x:c r="AG397" s="139" t="n"/>
      <x:c r="AH397" s="139" t="n"/>
      <x:c r="AI397" s="139" t="n"/>
      <x:c r="AJ397" s="139" t="n"/>
      <x:c r="AK397" s="139" t="n"/>
      <x:c r="AL397" s="139" t="n"/>
      <x:c r="AM397" s="139" t="n"/>
      <x:c r="AN397" s="139" t="n"/>
      <x:c r="AO397" s="139" t="n"/>
      <x:c r="AP397" s="139" t="n"/>
      <x:c r="AQ397" s="139" t="n"/>
      <x:c r="AR397" s="139" t="n"/>
      <x:c r="AS397" s="139" t="n"/>
      <x:c r="AT397" s="139" t="n"/>
      <x:c r="AU397" s="139" t="n"/>
      <x:c r="AV397" s="139" t="n"/>
      <x:c r="AW397" s="139" t="n"/>
      <x:c r="AX397" s="139" t="n"/>
      <x:c r="AY397" s="139" t="n"/>
      <x:c r="AZ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c r="V398" s="139" t="n"/>
      <x:c r="W398" s="139" t="n"/>
      <x:c r="X398" s="139" t="n"/>
      <x:c r="Y398" s="139" t="n"/>
      <x:c r="Z398" s="139" t="n"/>
      <x:c r="AA398" s="139" t="n"/>
      <x:c r="AB398" s="139" t="n"/>
      <x:c r="AC398" s="139" t="n"/>
      <x:c r="AD398" s="139" t="n"/>
      <x:c r="AE398" s="139" t="n"/>
      <x:c r="AF398" s="139" t="n"/>
      <x:c r="AG398" s="139" t="n"/>
      <x:c r="AH398" s="139" t="n"/>
      <x:c r="AI398" s="139" t="n"/>
      <x:c r="AJ398" s="139" t="n"/>
      <x:c r="AK398" s="139" t="n"/>
      <x:c r="AL398" s="139" t="n"/>
      <x:c r="AM398" s="139" t="n"/>
      <x:c r="AN398" s="139" t="n"/>
      <x:c r="AO398" s="139" t="n"/>
      <x:c r="AP398" s="139" t="n"/>
      <x:c r="AQ398" s="139" t="n"/>
      <x:c r="AR398" s="139" t="n"/>
      <x:c r="AS398" s="139" t="n"/>
      <x:c r="AT398" s="139" t="n"/>
      <x:c r="AU398" s="139" t="n"/>
      <x:c r="AV398" s="139" t="n"/>
      <x:c r="AW398" s="139" t="n"/>
      <x:c r="AX398" s="139" t="n"/>
      <x:c r="AY398" s="139" t="n"/>
      <x:c r="AZ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c r="V399" s="139" t="n"/>
      <x:c r="W399" s="139" t="n"/>
      <x:c r="X399" s="139" t="n"/>
      <x:c r="Y399" s="139" t="n"/>
      <x:c r="Z399" s="139" t="n"/>
      <x:c r="AA399" s="139" t="n"/>
      <x:c r="AB399" s="139" t="n"/>
      <x:c r="AC399" s="139" t="n"/>
      <x:c r="AD399" s="139" t="n"/>
      <x:c r="AE399" s="139" t="n"/>
      <x:c r="AF399" s="139" t="n"/>
      <x:c r="AG399" s="139" t="n"/>
      <x:c r="AH399" s="139" t="n"/>
      <x:c r="AI399" s="139" t="n"/>
      <x:c r="AJ399" s="139" t="n"/>
      <x:c r="AK399" s="139" t="n"/>
      <x:c r="AL399" s="139" t="n"/>
      <x:c r="AM399" s="139" t="n"/>
      <x:c r="AN399" s="139" t="n"/>
      <x:c r="AO399" s="139" t="n"/>
      <x:c r="AP399" s="139" t="n"/>
      <x:c r="AQ399" s="139" t="n"/>
      <x:c r="AR399" s="139" t="n"/>
      <x:c r="AS399" s="139" t="n"/>
      <x:c r="AT399" s="139" t="n"/>
      <x:c r="AU399" s="139" t="n"/>
      <x:c r="AV399" s="139" t="n"/>
      <x:c r="AW399" s="139" t="n"/>
      <x:c r="AX399" s="139" t="n"/>
      <x:c r="AY399" s="139" t="n"/>
      <x:c r="AZ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c r="V400" s="139" t="n"/>
      <x:c r="W400" s="139" t="n"/>
      <x:c r="X400" s="139" t="n"/>
      <x:c r="Y400" s="139" t="n"/>
      <x:c r="Z400" s="139" t="n"/>
      <x:c r="AA400" s="139" t="n"/>
      <x:c r="AB400" s="139" t="n"/>
      <x:c r="AC400" s="139" t="n"/>
      <x:c r="AD400" s="139" t="n"/>
      <x:c r="AE400" s="139" t="n"/>
      <x:c r="AF400" s="139" t="n"/>
      <x:c r="AG400" s="139" t="n"/>
      <x:c r="AH400" s="139" t="n"/>
      <x:c r="AI400" s="139" t="n"/>
      <x:c r="AJ400" s="139" t="n"/>
      <x:c r="AK400" s="139" t="n"/>
      <x:c r="AL400" s="139" t="n"/>
      <x:c r="AM400" s="139" t="n"/>
      <x:c r="AN400" s="139" t="n"/>
      <x:c r="AO400" s="139" t="n"/>
      <x:c r="AP400" s="139" t="n"/>
      <x:c r="AQ400" s="139" t="n"/>
      <x:c r="AR400" s="139" t="n"/>
      <x:c r="AS400" s="139" t="n"/>
      <x:c r="AT400" s="139" t="n"/>
      <x:c r="AU400" s="139" t="n"/>
      <x:c r="AV400" s="139" t="n"/>
      <x:c r="AW400" s="139" t="n"/>
      <x:c r="AX400" s="139" t="n"/>
      <x:c r="AY400" s="139" t="n"/>
      <x:c r="AZ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c r="V401" s="139" t="n"/>
      <x:c r="W401" s="139" t="n"/>
      <x:c r="X401" s="139" t="n"/>
      <x:c r="Y401" s="139" t="n"/>
      <x:c r="Z401" s="139" t="n"/>
      <x:c r="AA401" s="139" t="n"/>
      <x:c r="AB401" s="139" t="n"/>
      <x:c r="AC401" s="139" t="n"/>
      <x:c r="AD401" s="139" t="n"/>
      <x:c r="AE401" s="139" t="n"/>
      <x:c r="AF401" s="139" t="n"/>
      <x:c r="AG401" s="139" t="n"/>
      <x:c r="AH401" s="139" t="n"/>
      <x:c r="AI401" s="139" t="n"/>
      <x:c r="AJ401" s="139" t="n"/>
      <x:c r="AK401" s="139" t="n"/>
      <x:c r="AL401" s="139" t="n"/>
      <x:c r="AM401" s="139" t="n"/>
      <x:c r="AN401" s="139" t="n"/>
      <x:c r="AO401" s="139" t="n"/>
      <x:c r="AP401" s="139" t="n"/>
      <x:c r="AQ401" s="139" t="n"/>
      <x:c r="AR401" s="139" t="n"/>
      <x:c r="AS401" s="139" t="n"/>
      <x:c r="AT401" s="139" t="n"/>
      <x:c r="AU401" s="139" t="n"/>
      <x:c r="AV401" s="139" t="n"/>
      <x:c r="AW401" s="139" t="n"/>
      <x:c r="AX401" s="139" t="n"/>
      <x:c r="AY401" s="139" t="n"/>
      <x:c r="AZ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c r="V402" s="139" t="n"/>
      <x:c r="W402" s="139" t="n"/>
      <x:c r="X402" s="139" t="n"/>
      <x:c r="Y402" s="139" t="n"/>
      <x:c r="Z402" s="139" t="n"/>
      <x:c r="AA402" s="139" t="n"/>
      <x:c r="AB402" s="139" t="n"/>
      <x:c r="AC402" s="139" t="n"/>
      <x:c r="AD402" s="139" t="n"/>
      <x:c r="AE402" s="139" t="n"/>
      <x:c r="AF402" s="139" t="n"/>
      <x:c r="AG402" s="139" t="n"/>
      <x:c r="AH402" s="139" t="n"/>
      <x:c r="AI402" s="139" t="n"/>
      <x:c r="AJ402" s="139" t="n"/>
      <x:c r="AK402" s="139" t="n"/>
      <x:c r="AL402" s="139" t="n"/>
      <x:c r="AM402" s="139" t="n"/>
      <x:c r="AN402" s="139" t="n"/>
      <x:c r="AO402" s="139" t="n"/>
      <x:c r="AP402" s="139" t="n"/>
      <x:c r="AQ402" s="139" t="n"/>
      <x:c r="AR402" s="139" t="n"/>
      <x:c r="AS402" s="139" t="n"/>
      <x:c r="AT402" s="139" t="n"/>
      <x:c r="AU402" s="139" t="n"/>
      <x:c r="AV402" s="139" t="n"/>
      <x:c r="AW402" s="139" t="n"/>
      <x:c r="AX402" s="139" t="n"/>
      <x:c r="AY402" s="139" t="n"/>
      <x:c r="AZ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c r="V403" s="139" t="n"/>
      <x:c r="W403" s="139" t="n"/>
      <x:c r="X403" s="139" t="n"/>
      <x:c r="Y403" s="139" t="n"/>
      <x:c r="Z403" s="139" t="n"/>
      <x:c r="AA403" s="139" t="n"/>
      <x:c r="AB403" s="139" t="n"/>
      <x:c r="AC403" s="139" t="n"/>
      <x:c r="AD403" s="139" t="n"/>
      <x:c r="AE403" s="139" t="n"/>
      <x:c r="AF403" s="139" t="n"/>
      <x:c r="AG403" s="139" t="n"/>
      <x:c r="AH403" s="139" t="n"/>
      <x:c r="AI403" s="139" t="n"/>
      <x:c r="AJ403" s="139" t="n"/>
      <x:c r="AK403" s="139" t="n"/>
      <x:c r="AL403" s="139" t="n"/>
      <x:c r="AM403" s="139" t="n"/>
      <x:c r="AN403" s="139" t="n"/>
      <x:c r="AO403" s="139" t="n"/>
      <x:c r="AP403" s="139" t="n"/>
      <x:c r="AQ403" s="139" t="n"/>
      <x:c r="AR403" s="139" t="n"/>
      <x:c r="AS403" s="139" t="n"/>
      <x:c r="AT403" s="139" t="n"/>
      <x:c r="AU403" s="139" t="n"/>
      <x:c r="AV403" s="139" t="n"/>
      <x:c r="AW403" s="139" t="n"/>
      <x:c r="AX403" s="139" t="n"/>
      <x:c r="AY403" s="139" t="n"/>
      <x:c r="AZ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c r="V404" s="139" t="n"/>
      <x:c r="W404" s="139" t="n"/>
      <x:c r="X404" s="139" t="n"/>
      <x:c r="Y404" s="139" t="n"/>
      <x:c r="Z404" s="139" t="n"/>
      <x:c r="AA404" s="139" t="n"/>
      <x:c r="AB404" s="139" t="n"/>
      <x:c r="AC404" s="139" t="n"/>
      <x:c r="AD404" s="139" t="n"/>
      <x:c r="AE404" s="139" t="n"/>
      <x:c r="AF404" s="139" t="n"/>
      <x:c r="AG404" s="139" t="n"/>
      <x:c r="AH404" s="139" t="n"/>
      <x:c r="AI404" s="139" t="n"/>
      <x:c r="AJ404" s="139" t="n"/>
      <x:c r="AK404" s="139" t="n"/>
      <x:c r="AL404" s="139" t="n"/>
      <x:c r="AM404" s="139" t="n"/>
      <x:c r="AN404" s="139" t="n"/>
      <x:c r="AO404" s="139" t="n"/>
      <x:c r="AP404" s="139" t="n"/>
      <x:c r="AQ404" s="139" t="n"/>
      <x:c r="AR404" s="139" t="n"/>
      <x:c r="AS404" s="139" t="n"/>
      <x:c r="AT404" s="139" t="n"/>
      <x:c r="AU404" s="139" t="n"/>
      <x:c r="AV404" s="139" t="n"/>
      <x:c r="AW404" s="139" t="n"/>
      <x:c r="AX404" s="139" t="n"/>
      <x:c r="AY404" s="139" t="n"/>
      <x:c r="AZ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c r="V405" s="139" t="n"/>
      <x:c r="W405" s="139" t="n"/>
      <x:c r="X405" s="139" t="n"/>
      <x:c r="Y405" s="139" t="n"/>
      <x:c r="Z405" s="139" t="n"/>
      <x:c r="AA405" s="139" t="n"/>
      <x:c r="AB405" s="139" t="n"/>
      <x:c r="AC405" s="139" t="n"/>
      <x:c r="AD405" s="139" t="n"/>
      <x:c r="AE405" s="139" t="n"/>
      <x:c r="AF405" s="139" t="n"/>
      <x:c r="AG405" s="139" t="n"/>
      <x:c r="AH405" s="139" t="n"/>
      <x:c r="AI405" s="139" t="n"/>
      <x:c r="AJ405" s="139" t="n"/>
      <x:c r="AK405" s="139" t="n"/>
      <x:c r="AL405" s="139" t="n"/>
      <x:c r="AM405" s="139" t="n"/>
      <x:c r="AN405" s="139" t="n"/>
      <x:c r="AO405" s="139" t="n"/>
      <x:c r="AP405" s="139" t="n"/>
      <x:c r="AQ405" s="139" t="n"/>
      <x:c r="AR405" s="139" t="n"/>
      <x:c r="AS405" s="139" t="n"/>
      <x:c r="AT405" s="139" t="n"/>
      <x:c r="AU405" s="139" t="n"/>
      <x:c r="AV405" s="139" t="n"/>
      <x:c r="AW405" s="139" t="n"/>
      <x:c r="AX405" s="139" t="n"/>
      <x:c r="AY405" s="139" t="n"/>
      <x:c r="AZ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c r="V406" s="139" t="n"/>
      <x:c r="W406" s="139" t="n"/>
      <x:c r="X406" s="139" t="n"/>
      <x:c r="Y406" s="139" t="n"/>
      <x:c r="Z406" s="139" t="n"/>
      <x:c r="AA406" s="139" t="n"/>
      <x:c r="AB406" s="139" t="n"/>
      <x:c r="AC406" s="139" t="n"/>
      <x:c r="AD406" s="139" t="n"/>
      <x:c r="AE406" s="139" t="n"/>
      <x:c r="AF406" s="139" t="n"/>
      <x:c r="AG406" s="139" t="n"/>
      <x:c r="AH406" s="139" t="n"/>
      <x:c r="AI406" s="139" t="n"/>
      <x:c r="AJ406" s="139" t="n"/>
      <x:c r="AK406" s="139" t="n"/>
      <x:c r="AL406" s="139" t="n"/>
      <x:c r="AM406" s="139" t="n"/>
      <x:c r="AN406" s="139" t="n"/>
      <x:c r="AO406" s="139" t="n"/>
      <x:c r="AP406" s="139" t="n"/>
      <x:c r="AQ406" s="139" t="n"/>
      <x:c r="AR406" s="139" t="n"/>
      <x:c r="AS406" s="139" t="n"/>
      <x:c r="AT406" s="139" t="n"/>
      <x:c r="AU406" s="139" t="n"/>
      <x:c r="AV406" s="139" t="n"/>
      <x:c r="AW406" s="139" t="n"/>
      <x:c r="AX406" s="139" t="n"/>
      <x:c r="AY406" s="139" t="n"/>
      <x:c r="AZ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c r="V407" s="139" t="n"/>
      <x:c r="W407" s="139" t="n"/>
      <x:c r="X407" s="139" t="n"/>
      <x:c r="Y407" s="139" t="n"/>
      <x:c r="Z407" s="139" t="n"/>
      <x:c r="AA407" s="139" t="n"/>
      <x:c r="AB407" s="139" t="n"/>
      <x:c r="AC407" s="139" t="n"/>
      <x:c r="AD407" s="139" t="n"/>
      <x:c r="AE407" s="139" t="n"/>
      <x:c r="AF407" s="139" t="n"/>
      <x:c r="AG407" s="139" t="n"/>
      <x:c r="AH407" s="139" t="n"/>
      <x:c r="AI407" s="139" t="n"/>
      <x:c r="AJ407" s="139" t="n"/>
      <x:c r="AK407" s="139" t="n"/>
      <x:c r="AL407" s="139" t="n"/>
      <x:c r="AM407" s="139" t="n"/>
      <x:c r="AN407" s="139" t="n"/>
      <x:c r="AO407" s="139" t="n"/>
      <x:c r="AP407" s="139" t="n"/>
      <x:c r="AQ407" s="139" t="n"/>
      <x:c r="AR407" s="139" t="n"/>
      <x:c r="AS407" s="139" t="n"/>
      <x:c r="AT407" s="139" t="n"/>
      <x:c r="AU407" s="139" t="n"/>
      <x:c r="AV407" s="139" t="n"/>
      <x:c r="AW407" s="139" t="n"/>
      <x:c r="AX407" s="139" t="n"/>
      <x:c r="AY407" s="139" t="n"/>
      <x:c r="AZ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c r="V408" s="139" t="n"/>
      <x:c r="W408" s="139" t="n"/>
      <x:c r="X408" s="139" t="n"/>
      <x:c r="Y408" s="139" t="n"/>
      <x:c r="Z408" s="139" t="n"/>
      <x:c r="AA408" s="139" t="n"/>
      <x:c r="AB408" s="139" t="n"/>
      <x:c r="AC408" s="139" t="n"/>
      <x:c r="AD408" s="139" t="n"/>
      <x:c r="AE408" s="139" t="n"/>
      <x:c r="AF408" s="139" t="n"/>
      <x:c r="AG408" s="139" t="n"/>
      <x:c r="AH408" s="139" t="n"/>
      <x:c r="AI408" s="139" t="n"/>
      <x:c r="AJ408" s="139" t="n"/>
      <x:c r="AK408" s="139" t="n"/>
      <x:c r="AL408" s="139" t="n"/>
      <x:c r="AM408" s="139" t="n"/>
      <x:c r="AN408" s="139" t="n"/>
      <x:c r="AO408" s="139" t="n"/>
      <x:c r="AP408" s="139" t="n"/>
      <x:c r="AQ408" s="139" t="n"/>
      <x:c r="AR408" s="139" t="n"/>
      <x:c r="AS408" s="139" t="n"/>
      <x:c r="AT408" s="139" t="n"/>
      <x:c r="AU408" s="139" t="n"/>
      <x:c r="AV408" s="139" t="n"/>
      <x:c r="AW408" s="139" t="n"/>
      <x:c r="AX408" s="139" t="n"/>
      <x:c r="AY408" s="139" t="n"/>
      <x:c r="AZ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c r="V409" s="139" t="n"/>
      <x:c r="W409" s="139" t="n"/>
      <x:c r="X409" s="139" t="n"/>
      <x:c r="Y409" s="139" t="n"/>
      <x:c r="Z409" s="139" t="n"/>
      <x:c r="AA409" s="139" t="n"/>
      <x:c r="AB409" s="139" t="n"/>
      <x:c r="AC409" s="139" t="n"/>
      <x:c r="AD409" s="139" t="n"/>
      <x:c r="AE409" s="139" t="n"/>
      <x:c r="AF409" s="139" t="n"/>
      <x:c r="AG409" s="139" t="n"/>
      <x:c r="AH409" s="139" t="n"/>
      <x:c r="AI409" s="139" t="n"/>
      <x:c r="AJ409" s="139" t="n"/>
      <x:c r="AK409" s="139" t="n"/>
      <x:c r="AL409" s="139" t="n"/>
      <x:c r="AM409" s="139" t="n"/>
      <x:c r="AN409" s="139" t="n"/>
      <x:c r="AO409" s="139" t="n"/>
      <x:c r="AP409" s="139" t="n"/>
      <x:c r="AQ409" s="139" t="n"/>
      <x:c r="AR409" s="139" t="n"/>
      <x:c r="AS409" s="139" t="n"/>
      <x:c r="AT409" s="139" t="n"/>
      <x:c r="AU409" s="139" t="n"/>
      <x:c r="AV409" s="139" t="n"/>
      <x:c r="AW409" s="139" t="n"/>
      <x:c r="AX409" s="139" t="n"/>
      <x:c r="AY409" s="139" t="n"/>
      <x:c r="AZ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c r="V410" s="139" t="n"/>
      <x:c r="W410" s="139" t="n"/>
      <x:c r="X410" s="139" t="n"/>
      <x:c r="Y410" s="139" t="n"/>
      <x:c r="Z410" s="139" t="n"/>
      <x:c r="AA410" s="139" t="n"/>
      <x:c r="AB410" s="139" t="n"/>
      <x:c r="AC410" s="139" t="n"/>
      <x:c r="AD410" s="139" t="n"/>
      <x:c r="AE410" s="139" t="n"/>
      <x:c r="AF410" s="139" t="n"/>
      <x:c r="AG410" s="139" t="n"/>
      <x:c r="AH410" s="139" t="n"/>
      <x:c r="AI410" s="139" t="n"/>
      <x:c r="AJ410" s="139" t="n"/>
      <x:c r="AK410" s="139" t="n"/>
      <x:c r="AL410" s="139" t="n"/>
      <x:c r="AM410" s="139" t="n"/>
      <x:c r="AN410" s="139" t="n"/>
      <x:c r="AO410" s="139" t="n"/>
      <x:c r="AP410" s="139" t="n"/>
      <x:c r="AQ410" s="139" t="n"/>
      <x:c r="AR410" s="139" t="n"/>
      <x:c r="AS410" s="139" t="n"/>
      <x:c r="AT410" s="139" t="n"/>
      <x:c r="AU410" s="139" t="n"/>
      <x:c r="AV410" s="139" t="n"/>
      <x:c r="AW410" s="139" t="n"/>
      <x:c r="AX410" s="139" t="n"/>
      <x:c r="AY410" s="139" t="n"/>
      <x:c r="AZ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c r="V411" s="139" t="n"/>
      <x:c r="W411" s="139" t="n"/>
      <x:c r="X411" s="139" t="n"/>
      <x:c r="Y411" s="139" t="n"/>
      <x:c r="Z411" s="139" t="n"/>
      <x:c r="AA411" s="139" t="n"/>
      <x:c r="AB411" s="139" t="n"/>
      <x:c r="AC411" s="139" t="n"/>
      <x:c r="AD411" s="139" t="n"/>
      <x:c r="AE411" s="139" t="n"/>
      <x:c r="AF411" s="139" t="n"/>
      <x:c r="AG411" s="139" t="n"/>
      <x:c r="AH411" s="139" t="n"/>
      <x:c r="AI411" s="139" t="n"/>
      <x:c r="AJ411" s="139" t="n"/>
      <x:c r="AK411" s="139" t="n"/>
      <x:c r="AL411" s="139" t="n"/>
      <x:c r="AM411" s="139" t="n"/>
      <x:c r="AN411" s="139" t="n"/>
      <x:c r="AO411" s="139" t="n"/>
      <x:c r="AP411" s="139" t="n"/>
      <x:c r="AQ411" s="139" t="n"/>
      <x:c r="AR411" s="139" t="n"/>
      <x:c r="AS411" s="139" t="n"/>
      <x:c r="AT411" s="139" t="n"/>
      <x:c r="AU411" s="139" t="n"/>
      <x:c r="AV411" s="139" t="n"/>
      <x:c r="AW411" s="139" t="n"/>
      <x:c r="AX411" s="139" t="n"/>
      <x:c r="AY411" s="139" t="n"/>
      <x:c r="AZ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c r="V412" s="139" t="n"/>
      <x:c r="W412" s="139" t="n"/>
      <x:c r="X412" s="139" t="n"/>
      <x:c r="Y412" s="139" t="n"/>
      <x:c r="Z412" s="139" t="n"/>
      <x:c r="AA412" s="139" t="n"/>
      <x:c r="AB412" s="139" t="n"/>
      <x:c r="AC412" s="139" t="n"/>
      <x:c r="AD412" s="139" t="n"/>
      <x:c r="AE412" s="139" t="n"/>
      <x:c r="AF412" s="139" t="n"/>
      <x:c r="AG412" s="139" t="n"/>
      <x:c r="AH412" s="139" t="n"/>
      <x:c r="AI412" s="139" t="n"/>
      <x:c r="AJ412" s="139" t="n"/>
      <x:c r="AK412" s="139" t="n"/>
      <x:c r="AL412" s="139" t="n"/>
      <x:c r="AM412" s="139" t="n"/>
      <x:c r="AN412" s="139" t="n"/>
      <x:c r="AO412" s="139" t="n"/>
      <x:c r="AP412" s="139" t="n"/>
      <x:c r="AQ412" s="139" t="n"/>
      <x:c r="AR412" s="139" t="n"/>
      <x:c r="AS412" s="139" t="n"/>
      <x:c r="AT412" s="139" t="n"/>
      <x:c r="AU412" s="139" t="n"/>
      <x:c r="AV412" s="139" t="n"/>
      <x:c r="AW412" s="139" t="n"/>
      <x:c r="AX412" s="139" t="n"/>
      <x:c r="AY412" s="139" t="n"/>
      <x:c r="AZ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c r="V413" s="139" t="n"/>
      <x:c r="W413" s="139" t="n"/>
      <x:c r="X413" s="139" t="n"/>
      <x:c r="Y413" s="139" t="n"/>
      <x:c r="Z413" s="139" t="n"/>
      <x:c r="AA413" s="139" t="n"/>
      <x:c r="AB413" s="139" t="n"/>
      <x:c r="AC413" s="139" t="n"/>
      <x:c r="AD413" s="139" t="n"/>
      <x:c r="AE413" s="139" t="n"/>
      <x:c r="AF413" s="139" t="n"/>
      <x:c r="AG413" s="139" t="n"/>
      <x:c r="AH413" s="139" t="n"/>
      <x:c r="AI413" s="139" t="n"/>
      <x:c r="AJ413" s="139" t="n"/>
      <x:c r="AK413" s="139" t="n"/>
      <x:c r="AL413" s="139" t="n"/>
      <x:c r="AM413" s="139" t="n"/>
      <x:c r="AN413" s="139" t="n"/>
      <x:c r="AO413" s="139" t="n"/>
      <x:c r="AP413" s="139" t="n"/>
      <x:c r="AQ413" s="139" t="n"/>
      <x:c r="AR413" s="139" t="n"/>
      <x:c r="AS413" s="139" t="n"/>
      <x:c r="AT413" s="139" t="n"/>
      <x:c r="AU413" s="139" t="n"/>
      <x:c r="AV413" s="139" t="n"/>
      <x:c r="AW413" s="139" t="n"/>
      <x:c r="AX413" s="139" t="n"/>
      <x:c r="AY413" s="139" t="n"/>
      <x:c r="AZ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c r="V414" s="139" t="n"/>
      <x:c r="W414" s="139" t="n"/>
      <x:c r="X414" s="139" t="n"/>
      <x:c r="Y414" s="139" t="n"/>
      <x:c r="Z414" s="139" t="n"/>
      <x:c r="AA414" s="139" t="n"/>
      <x:c r="AB414" s="139" t="n"/>
      <x:c r="AC414" s="139" t="n"/>
      <x:c r="AD414" s="139" t="n"/>
      <x:c r="AE414" s="139" t="n"/>
      <x:c r="AF414" s="139" t="n"/>
      <x:c r="AG414" s="139" t="n"/>
      <x:c r="AH414" s="139" t="n"/>
      <x:c r="AI414" s="139" t="n"/>
      <x:c r="AJ414" s="139" t="n"/>
      <x:c r="AK414" s="139" t="n"/>
      <x:c r="AL414" s="139" t="n"/>
      <x:c r="AM414" s="139" t="n"/>
      <x:c r="AN414" s="139" t="n"/>
      <x:c r="AO414" s="139" t="n"/>
      <x:c r="AP414" s="139" t="n"/>
      <x:c r="AQ414" s="139" t="n"/>
      <x:c r="AR414" s="139" t="n"/>
      <x:c r="AS414" s="139" t="n"/>
      <x:c r="AT414" s="139" t="n"/>
      <x:c r="AU414" s="139" t="n"/>
      <x:c r="AV414" s="139" t="n"/>
      <x:c r="AW414" s="139" t="n"/>
      <x:c r="AX414" s="139" t="n"/>
      <x:c r="AY414" s="139" t="n"/>
      <x:c r="AZ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c r="V415" s="139" t="n"/>
      <x:c r="W415" s="139" t="n"/>
      <x:c r="X415" s="139" t="n"/>
      <x:c r="Y415" s="139" t="n"/>
      <x:c r="Z415" s="139" t="n"/>
      <x:c r="AA415" s="139" t="n"/>
      <x:c r="AB415" s="139" t="n"/>
      <x:c r="AC415" s="139" t="n"/>
      <x:c r="AD415" s="139" t="n"/>
      <x:c r="AE415" s="139" t="n"/>
      <x:c r="AF415" s="139" t="n"/>
      <x:c r="AG415" s="139" t="n"/>
      <x:c r="AH415" s="139" t="n"/>
      <x:c r="AI415" s="139" t="n"/>
      <x:c r="AJ415" s="139" t="n"/>
      <x:c r="AK415" s="139" t="n"/>
      <x:c r="AL415" s="139" t="n"/>
      <x:c r="AM415" s="139" t="n"/>
      <x:c r="AN415" s="139" t="n"/>
      <x:c r="AO415" s="139" t="n"/>
      <x:c r="AP415" s="139" t="n"/>
      <x:c r="AQ415" s="139" t="n"/>
      <x:c r="AR415" s="139" t="n"/>
      <x:c r="AS415" s="139" t="n"/>
      <x:c r="AT415" s="139" t="n"/>
      <x:c r="AU415" s="139" t="n"/>
      <x:c r="AV415" s="139" t="n"/>
      <x:c r="AW415" s="139" t="n"/>
      <x:c r="AX415" s="139" t="n"/>
      <x:c r="AY415" s="139" t="n"/>
      <x:c r="AZ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c r="V416" s="139" t="n"/>
      <x:c r="W416" s="139" t="n"/>
      <x:c r="X416" s="139" t="n"/>
      <x:c r="Y416" s="139" t="n"/>
      <x:c r="Z416" s="139" t="n"/>
      <x:c r="AA416" s="139" t="n"/>
      <x:c r="AB416" s="139" t="n"/>
      <x:c r="AC416" s="139" t="n"/>
      <x:c r="AD416" s="139" t="n"/>
      <x:c r="AE416" s="139" t="n"/>
      <x:c r="AF416" s="139" t="n"/>
      <x:c r="AG416" s="139" t="n"/>
      <x:c r="AH416" s="139" t="n"/>
      <x:c r="AI416" s="139" t="n"/>
      <x:c r="AJ416" s="139" t="n"/>
      <x:c r="AK416" s="139" t="n"/>
      <x:c r="AL416" s="139" t="n"/>
      <x:c r="AM416" s="139" t="n"/>
      <x:c r="AN416" s="139" t="n"/>
      <x:c r="AO416" s="139" t="n"/>
      <x:c r="AP416" s="139" t="n"/>
      <x:c r="AQ416" s="139" t="n"/>
      <x:c r="AR416" s="139" t="n"/>
      <x:c r="AS416" s="139" t="n"/>
      <x:c r="AT416" s="139" t="n"/>
      <x:c r="AU416" s="139" t="n"/>
      <x:c r="AV416" s="139" t="n"/>
      <x:c r="AW416" s="139" t="n"/>
      <x:c r="AX416" s="139" t="n"/>
      <x:c r="AY416" s="139" t="n"/>
      <x:c r="AZ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c r="V417" s="139" t="n"/>
      <x:c r="W417" s="139" t="n"/>
      <x:c r="X417" s="139" t="n"/>
      <x:c r="Y417" s="139" t="n"/>
      <x:c r="Z417" s="139" t="n"/>
      <x:c r="AA417" s="139" t="n"/>
      <x:c r="AB417" s="139" t="n"/>
      <x:c r="AC417" s="139" t="n"/>
      <x:c r="AD417" s="139" t="n"/>
      <x:c r="AE417" s="139" t="n"/>
      <x:c r="AF417" s="139" t="n"/>
      <x:c r="AG417" s="139" t="n"/>
      <x:c r="AH417" s="139" t="n"/>
      <x:c r="AI417" s="139" t="n"/>
      <x:c r="AJ417" s="139" t="n"/>
      <x:c r="AK417" s="139" t="n"/>
      <x:c r="AL417" s="139" t="n"/>
      <x:c r="AM417" s="139" t="n"/>
      <x:c r="AN417" s="139" t="n"/>
      <x:c r="AO417" s="139" t="n"/>
      <x:c r="AP417" s="139" t="n"/>
      <x:c r="AQ417" s="139" t="n"/>
      <x:c r="AR417" s="139" t="n"/>
      <x:c r="AS417" s="139" t="n"/>
      <x:c r="AT417" s="139" t="n"/>
      <x:c r="AU417" s="139" t="n"/>
      <x:c r="AV417" s="139" t="n"/>
      <x:c r="AW417" s="139" t="n"/>
      <x:c r="AX417" s="139" t="n"/>
      <x:c r="AY417" s="139" t="n"/>
      <x:c r="AZ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c r="V418" s="139" t="n"/>
      <x:c r="W418" s="139" t="n"/>
      <x:c r="X418" s="139" t="n"/>
      <x:c r="Y418" s="139" t="n"/>
      <x:c r="Z418" s="139" t="n"/>
      <x:c r="AA418" s="139" t="n"/>
      <x:c r="AB418" s="139" t="n"/>
      <x:c r="AC418" s="139" t="n"/>
      <x:c r="AD418" s="139" t="n"/>
      <x:c r="AE418" s="139" t="n"/>
      <x:c r="AF418" s="139" t="n"/>
      <x:c r="AG418" s="139" t="n"/>
      <x:c r="AH418" s="139" t="n"/>
      <x:c r="AI418" s="139" t="n"/>
      <x:c r="AJ418" s="139" t="n"/>
      <x:c r="AK418" s="139" t="n"/>
      <x:c r="AL418" s="139" t="n"/>
      <x:c r="AM418" s="139" t="n"/>
      <x:c r="AN418" s="139" t="n"/>
      <x:c r="AO418" s="139" t="n"/>
      <x:c r="AP418" s="139" t="n"/>
      <x:c r="AQ418" s="139" t="n"/>
      <x:c r="AR418" s="139" t="n"/>
      <x:c r="AS418" s="139" t="n"/>
      <x:c r="AT418" s="139" t="n"/>
      <x:c r="AU418" s="139" t="n"/>
      <x:c r="AV418" s="139" t="n"/>
      <x:c r="AW418" s="139" t="n"/>
      <x:c r="AX418" s="139" t="n"/>
      <x:c r="AY418" s="139" t="n"/>
      <x:c r="AZ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c r="V419" s="139" t="n"/>
      <x:c r="W419" s="139" t="n"/>
      <x:c r="X419" s="139" t="n"/>
      <x:c r="Y419" s="139" t="n"/>
      <x:c r="Z419" s="139" t="n"/>
      <x:c r="AA419" s="139" t="n"/>
      <x:c r="AB419" s="139" t="n"/>
      <x:c r="AC419" s="139" t="n"/>
      <x:c r="AD419" s="139" t="n"/>
      <x:c r="AE419" s="139" t="n"/>
      <x:c r="AF419" s="139" t="n"/>
      <x:c r="AG419" s="139" t="n"/>
      <x:c r="AH419" s="139" t="n"/>
      <x:c r="AI419" s="139" t="n"/>
      <x:c r="AJ419" s="139" t="n"/>
      <x:c r="AK419" s="139" t="n"/>
      <x:c r="AL419" s="139" t="n"/>
      <x:c r="AM419" s="139" t="n"/>
      <x:c r="AN419" s="139" t="n"/>
      <x:c r="AO419" s="139" t="n"/>
      <x:c r="AP419" s="139" t="n"/>
      <x:c r="AQ419" s="139" t="n"/>
      <x:c r="AR419" s="139" t="n"/>
      <x:c r="AS419" s="139" t="n"/>
      <x:c r="AT419" s="139" t="n"/>
      <x:c r="AU419" s="139" t="n"/>
      <x:c r="AV419" s="139" t="n"/>
      <x:c r="AW419" s="139" t="n"/>
      <x:c r="AX419" s="139" t="n"/>
      <x:c r="AY419" s="139" t="n"/>
      <x:c r="AZ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c r="V420" s="139" t="n"/>
      <x:c r="W420" s="139" t="n"/>
      <x:c r="X420" s="139" t="n"/>
      <x:c r="Y420" s="139" t="n"/>
      <x:c r="Z420" s="139" t="n"/>
      <x:c r="AA420" s="139" t="n"/>
      <x:c r="AB420" s="139" t="n"/>
      <x:c r="AC420" s="139" t="n"/>
      <x:c r="AD420" s="139" t="n"/>
      <x:c r="AE420" s="139" t="n"/>
      <x:c r="AF420" s="139" t="n"/>
      <x:c r="AG420" s="139" t="n"/>
      <x:c r="AH420" s="139" t="n"/>
      <x:c r="AI420" s="139" t="n"/>
      <x:c r="AJ420" s="139" t="n"/>
      <x:c r="AK420" s="139" t="n"/>
      <x:c r="AL420" s="139" t="n"/>
      <x:c r="AM420" s="139" t="n"/>
      <x:c r="AN420" s="139" t="n"/>
      <x:c r="AO420" s="139" t="n"/>
      <x:c r="AP420" s="139" t="n"/>
      <x:c r="AQ420" s="139" t="n"/>
      <x:c r="AR420" s="139" t="n"/>
      <x:c r="AS420" s="139" t="n"/>
      <x:c r="AT420" s="139" t="n"/>
      <x:c r="AU420" s="139" t="n"/>
      <x:c r="AV420" s="139" t="n"/>
      <x:c r="AW420" s="139" t="n"/>
      <x:c r="AX420" s="139" t="n"/>
      <x:c r="AY420" s="139" t="n"/>
      <x:c r="AZ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c r="V421" s="139" t="n"/>
      <x:c r="W421" s="139" t="n"/>
      <x:c r="X421" s="139" t="n"/>
      <x:c r="Y421" s="139" t="n"/>
      <x:c r="Z421" s="139" t="n"/>
      <x:c r="AA421" s="139" t="n"/>
      <x:c r="AB421" s="139" t="n"/>
      <x:c r="AC421" s="139" t="n"/>
      <x:c r="AD421" s="139" t="n"/>
      <x:c r="AE421" s="139" t="n"/>
      <x:c r="AF421" s="139" t="n"/>
      <x:c r="AG421" s="139" t="n"/>
      <x:c r="AH421" s="139" t="n"/>
      <x:c r="AI421" s="139" t="n"/>
      <x:c r="AJ421" s="139" t="n"/>
      <x:c r="AK421" s="139" t="n"/>
      <x:c r="AL421" s="139" t="n"/>
      <x:c r="AM421" s="139" t="n"/>
      <x:c r="AN421" s="139" t="n"/>
      <x:c r="AO421" s="139" t="n"/>
      <x:c r="AP421" s="139" t="n"/>
      <x:c r="AQ421" s="139" t="n"/>
      <x:c r="AR421" s="139" t="n"/>
      <x:c r="AS421" s="139" t="n"/>
      <x:c r="AT421" s="139" t="n"/>
      <x:c r="AU421" s="139" t="n"/>
      <x:c r="AV421" s="139" t="n"/>
      <x:c r="AW421" s="139" t="n"/>
      <x:c r="AX421" s="139" t="n"/>
      <x:c r="AY421" s="139" t="n"/>
      <x:c r="AZ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c r="V422" s="139" t="n"/>
      <x:c r="W422" s="139" t="n"/>
      <x:c r="X422" s="139" t="n"/>
      <x:c r="Y422" s="139" t="n"/>
      <x:c r="Z422" s="139" t="n"/>
      <x:c r="AA422" s="139" t="n"/>
      <x:c r="AB422" s="139" t="n"/>
      <x:c r="AC422" s="139" t="n"/>
      <x:c r="AD422" s="139" t="n"/>
      <x:c r="AE422" s="139" t="n"/>
      <x:c r="AF422" s="139" t="n"/>
      <x:c r="AG422" s="139" t="n"/>
      <x:c r="AH422" s="139" t="n"/>
      <x:c r="AI422" s="139" t="n"/>
      <x:c r="AJ422" s="139" t="n"/>
      <x:c r="AK422" s="139" t="n"/>
      <x:c r="AL422" s="139" t="n"/>
      <x:c r="AM422" s="139" t="n"/>
      <x:c r="AN422" s="139" t="n"/>
      <x:c r="AO422" s="139" t="n"/>
      <x:c r="AP422" s="139" t="n"/>
      <x:c r="AQ422" s="139" t="n"/>
      <x:c r="AR422" s="139" t="n"/>
      <x:c r="AS422" s="139" t="n"/>
      <x:c r="AT422" s="139" t="n"/>
      <x:c r="AU422" s="139" t="n"/>
      <x:c r="AV422" s="139" t="n"/>
      <x:c r="AW422" s="139" t="n"/>
      <x:c r="AX422" s="139" t="n"/>
      <x:c r="AY422" s="139" t="n"/>
      <x:c r="AZ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c r="V423" s="139" t="n"/>
      <x:c r="W423" s="139" t="n"/>
      <x:c r="X423" s="139" t="n"/>
      <x:c r="Y423" s="139" t="n"/>
      <x:c r="Z423" s="139" t="n"/>
      <x:c r="AA423" s="139" t="n"/>
      <x:c r="AB423" s="139" t="n"/>
      <x:c r="AC423" s="139" t="n"/>
      <x:c r="AD423" s="139" t="n"/>
      <x:c r="AE423" s="139" t="n"/>
      <x:c r="AF423" s="139" t="n"/>
      <x:c r="AG423" s="139" t="n"/>
      <x:c r="AH423" s="139" t="n"/>
      <x:c r="AI423" s="139" t="n"/>
      <x:c r="AJ423" s="139" t="n"/>
      <x:c r="AK423" s="139" t="n"/>
      <x:c r="AL423" s="139" t="n"/>
      <x:c r="AM423" s="139" t="n"/>
      <x:c r="AN423" s="139" t="n"/>
      <x:c r="AO423" s="139" t="n"/>
      <x:c r="AP423" s="139" t="n"/>
      <x:c r="AQ423" s="139" t="n"/>
      <x:c r="AR423" s="139" t="n"/>
      <x:c r="AS423" s="139" t="n"/>
      <x:c r="AT423" s="139" t="n"/>
      <x:c r="AU423" s="139" t="n"/>
      <x:c r="AV423" s="139" t="n"/>
      <x:c r="AW423" s="139" t="n"/>
      <x:c r="AX423" s="139" t="n"/>
      <x:c r="AY423" s="139" t="n"/>
      <x:c r="AZ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c r="V424" s="139" t="n"/>
      <x:c r="W424" s="139" t="n"/>
      <x:c r="X424" s="139" t="n"/>
      <x:c r="Y424" s="139" t="n"/>
      <x:c r="Z424" s="139" t="n"/>
      <x:c r="AA424" s="139" t="n"/>
      <x:c r="AB424" s="139" t="n"/>
      <x:c r="AC424" s="139" t="n"/>
      <x:c r="AD424" s="139" t="n"/>
      <x:c r="AE424" s="139" t="n"/>
      <x:c r="AF424" s="139" t="n"/>
      <x:c r="AG424" s="139" t="n"/>
      <x:c r="AH424" s="139" t="n"/>
      <x:c r="AI424" s="139" t="n"/>
      <x:c r="AJ424" s="139" t="n"/>
      <x:c r="AK424" s="139" t="n"/>
      <x:c r="AL424" s="139" t="n"/>
      <x:c r="AM424" s="139" t="n"/>
      <x:c r="AN424" s="139" t="n"/>
      <x:c r="AO424" s="139" t="n"/>
      <x:c r="AP424" s="139" t="n"/>
      <x:c r="AQ424" s="139" t="n"/>
      <x:c r="AR424" s="139" t="n"/>
      <x:c r="AS424" s="139" t="n"/>
      <x:c r="AT424" s="139" t="n"/>
      <x:c r="AU424" s="139" t="n"/>
      <x:c r="AV424" s="139" t="n"/>
      <x:c r="AW424" s="139" t="n"/>
      <x:c r="AX424" s="139" t="n"/>
      <x:c r="AY424" s="139" t="n"/>
      <x:c r="AZ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c r="V425" s="139" t="n"/>
      <x:c r="W425" s="139" t="n"/>
      <x:c r="X425" s="139" t="n"/>
      <x:c r="Y425" s="139" t="n"/>
      <x:c r="Z425" s="139" t="n"/>
      <x:c r="AA425" s="139" t="n"/>
      <x:c r="AB425" s="139" t="n"/>
      <x:c r="AC425" s="139" t="n"/>
      <x:c r="AD425" s="139" t="n"/>
      <x:c r="AE425" s="139" t="n"/>
      <x:c r="AF425" s="139" t="n"/>
      <x:c r="AG425" s="139" t="n"/>
      <x:c r="AH425" s="139" t="n"/>
      <x:c r="AI425" s="139" t="n"/>
      <x:c r="AJ425" s="139" t="n"/>
      <x:c r="AK425" s="139" t="n"/>
      <x:c r="AL425" s="139" t="n"/>
      <x:c r="AM425" s="139" t="n"/>
      <x:c r="AN425" s="139" t="n"/>
      <x:c r="AO425" s="139" t="n"/>
      <x:c r="AP425" s="139" t="n"/>
      <x:c r="AQ425" s="139" t="n"/>
      <x:c r="AR425" s="139" t="n"/>
      <x:c r="AS425" s="139" t="n"/>
      <x:c r="AT425" s="139" t="n"/>
      <x:c r="AU425" s="139" t="n"/>
      <x:c r="AV425" s="139" t="n"/>
      <x:c r="AW425" s="139" t="n"/>
      <x:c r="AX425" s="139" t="n"/>
      <x:c r="AY425" s="139" t="n"/>
      <x:c r="AZ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c r="V426" s="139" t="n"/>
      <x:c r="W426" s="139" t="n"/>
      <x:c r="X426" s="139" t="n"/>
      <x:c r="Y426" s="139" t="n"/>
      <x:c r="Z426" s="139" t="n"/>
      <x:c r="AA426" s="139" t="n"/>
      <x:c r="AB426" s="139" t="n"/>
      <x:c r="AC426" s="139" t="n"/>
      <x:c r="AD426" s="139" t="n"/>
      <x:c r="AE426" s="139" t="n"/>
      <x:c r="AF426" s="139" t="n"/>
      <x:c r="AG426" s="139" t="n"/>
      <x:c r="AH426" s="139" t="n"/>
      <x:c r="AI426" s="139" t="n"/>
      <x:c r="AJ426" s="139" t="n"/>
      <x:c r="AK426" s="139" t="n"/>
      <x:c r="AL426" s="139" t="n"/>
      <x:c r="AM426" s="139" t="n"/>
      <x:c r="AN426" s="139" t="n"/>
      <x:c r="AO426" s="139" t="n"/>
      <x:c r="AP426" s="139" t="n"/>
      <x:c r="AQ426" s="139" t="n"/>
      <x:c r="AR426" s="139" t="n"/>
      <x:c r="AS426" s="139" t="n"/>
      <x:c r="AT426" s="139" t="n"/>
      <x:c r="AU426" s="139" t="n"/>
      <x:c r="AV426" s="139" t="n"/>
      <x:c r="AW426" s="139" t="n"/>
      <x:c r="AX426" s="139" t="n"/>
      <x:c r="AY426" s="139" t="n"/>
      <x:c r="AZ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c r="V427" s="139" t="n"/>
      <x:c r="W427" s="139" t="n"/>
      <x:c r="X427" s="139" t="n"/>
      <x:c r="Y427" s="139" t="n"/>
      <x:c r="Z427" s="139" t="n"/>
      <x:c r="AA427" s="139" t="n"/>
      <x:c r="AB427" s="139" t="n"/>
      <x:c r="AC427" s="139" t="n"/>
      <x:c r="AD427" s="139" t="n"/>
      <x:c r="AE427" s="139" t="n"/>
      <x:c r="AF427" s="139" t="n"/>
      <x:c r="AG427" s="139" t="n"/>
      <x:c r="AH427" s="139" t="n"/>
      <x:c r="AI427" s="139" t="n"/>
      <x:c r="AJ427" s="139" t="n"/>
      <x:c r="AK427" s="139" t="n"/>
      <x:c r="AL427" s="139" t="n"/>
      <x:c r="AM427" s="139" t="n"/>
      <x:c r="AN427" s="139" t="n"/>
      <x:c r="AO427" s="139" t="n"/>
      <x:c r="AP427" s="139" t="n"/>
      <x:c r="AQ427" s="139" t="n"/>
      <x:c r="AR427" s="139" t="n"/>
      <x:c r="AS427" s="139" t="n"/>
      <x:c r="AT427" s="139" t="n"/>
      <x:c r="AU427" s="139" t="n"/>
      <x:c r="AV427" s="139" t="n"/>
      <x:c r="AW427" s="139" t="n"/>
      <x:c r="AX427" s="139" t="n"/>
      <x:c r="AY427" s="139" t="n"/>
      <x:c r="AZ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c r="V428" s="139" t="n"/>
      <x:c r="W428" s="139" t="n"/>
      <x:c r="X428" s="139" t="n"/>
      <x:c r="Y428" s="139" t="n"/>
      <x:c r="Z428" s="139" t="n"/>
      <x:c r="AA428" s="139" t="n"/>
      <x:c r="AB428" s="139" t="n"/>
      <x:c r="AC428" s="139" t="n"/>
      <x:c r="AD428" s="139" t="n"/>
      <x:c r="AE428" s="139" t="n"/>
      <x:c r="AF428" s="139" t="n"/>
      <x:c r="AG428" s="139" t="n"/>
      <x:c r="AH428" s="139" t="n"/>
      <x:c r="AI428" s="139" t="n"/>
      <x:c r="AJ428" s="139" t="n"/>
      <x:c r="AK428" s="139" t="n"/>
      <x:c r="AL428" s="139" t="n"/>
      <x:c r="AM428" s="139" t="n"/>
      <x:c r="AN428" s="139" t="n"/>
      <x:c r="AO428" s="139" t="n"/>
      <x:c r="AP428" s="139" t="n"/>
      <x:c r="AQ428" s="139" t="n"/>
      <x:c r="AR428" s="139" t="n"/>
      <x:c r="AS428" s="139" t="n"/>
      <x:c r="AT428" s="139" t="n"/>
      <x:c r="AU428" s="139" t="n"/>
      <x:c r="AV428" s="139" t="n"/>
      <x:c r="AW428" s="139" t="n"/>
      <x:c r="AX428" s="139" t="n"/>
      <x:c r="AY428" s="139" t="n"/>
      <x:c r="AZ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c r="V429" s="139" t="n"/>
      <x:c r="W429" s="139" t="n"/>
      <x:c r="X429" s="139" t="n"/>
      <x:c r="Y429" s="139" t="n"/>
      <x:c r="Z429" s="139" t="n"/>
      <x:c r="AA429" s="139" t="n"/>
      <x:c r="AB429" s="139" t="n"/>
      <x:c r="AC429" s="139" t="n"/>
      <x:c r="AD429" s="139" t="n"/>
      <x:c r="AE429" s="139" t="n"/>
      <x:c r="AF429" s="139" t="n"/>
      <x:c r="AG429" s="139" t="n"/>
      <x:c r="AH429" s="139" t="n"/>
      <x:c r="AI429" s="139" t="n"/>
      <x:c r="AJ429" s="139" t="n"/>
      <x:c r="AK429" s="139" t="n"/>
      <x:c r="AL429" s="139" t="n"/>
      <x:c r="AM429" s="139" t="n"/>
      <x:c r="AN429" s="139" t="n"/>
      <x:c r="AO429" s="139" t="n"/>
      <x:c r="AP429" s="139" t="n"/>
      <x:c r="AQ429" s="139" t="n"/>
      <x:c r="AR429" s="139" t="n"/>
      <x:c r="AS429" s="139" t="n"/>
      <x:c r="AT429" s="139" t="n"/>
      <x:c r="AU429" s="139" t="n"/>
      <x:c r="AV429" s="139" t="n"/>
      <x:c r="AW429" s="139" t="n"/>
      <x:c r="AX429" s="139" t="n"/>
      <x:c r="AY429" s="139" t="n"/>
      <x:c r="AZ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c r="V430" s="139" t="n"/>
      <x:c r="W430" s="139" t="n"/>
      <x:c r="X430" s="139" t="n"/>
      <x:c r="Y430" s="139" t="n"/>
      <x:c r="Z430" s="139" t="n"/>
      <x:c r="AA430" s="139" t="n"/>
      <x:c r="AB430" s="139" t="n"/>
      <x:c r="AC430" s="139" t="n"/>
      <x:c r="AD430" s="139" t="n"/>
      <x:c r="AE430" s="139" t="n"/>
      <x:c r="AF430" s="139" t="n"/>
      <x:c r="AG430" s="139" t="n"/>
      <x:c r="AH430" s="139" t="n"/>
      <x:c r="AI430" s="139" t="n"/>
      <x:c r="AJ430" s="139" t="n"/>
      <x:c r="AK430" s="139" t="n"/>
      <x:c r="AL430" s="139" t="n"/>
      <x:c r="AM430" s="139" t="n"/>
      <x:c r="AN430" s="139" t="n"/>
      <x:c r="AO430" s="139" t="n"/>
      <x:c r="AP430" s="139" t="n"/>
      <x:c r="AQ430" s="139" t="n"/>
      <x:c r="AR430" s="139" t="n"/>
      <x:c r="AS430" s="139" t="n"/>
      <x:c r="AT430" s="139" t="n"/>
      <x:c r="AU430" s="139" t="n"/>
      <x:c r="AV430" s="139" t="n"/>
      <x:c r="AW430" s="139" t="n"/>
      <x:c r="AX430" s="139" t="n"/>
      <x:c r="AY430" s="139" t="n"/>
      <x:c r="AZ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c r="V431" s="139" t="n"/>
      <x:c r="W431" s="139" t="n"/>
      <x:c r="X431" s="139" t="n"/>
      <x:c r="Y431" s="139" t="n"/>
      <x:c r="Z431" s="139" t="n"/>
      <x:c r="AA431" s="139" t="n"/>
      <x:c r="AB431" s="139" t="n"/>
      <x:c r="AC431" s="139" t="n"/>
      <x:c r="AD431" s="139" t="n"/>
      <x:c r="AE431" s="139" t="n"/>
      <x:c r="AF431" s="139" t="n"/>
      <x:c r="AG431" s="139" t="n"/>
      <x:c r="AH431" s="139" t="n"/>
      <x:c r="AI431" s="139" t="n"/>
      <x:c r="AJ431" s="139" t="n"/>
      <x:c r="AK431" s="139" t="n"/>
      <x:c r="AL431" s="139" t="n"/>
      <x:c r="AM431" s="139" t="n"/>
      <x:c r="AN431" s="139" t="n"/>
      <x:c r="AO431" s="139" t="n"/>
      <x:c r="AP431" s="139" t="n"/>
      <x:c r="AQ431" s="139" t="n"/>
      <x:c r="AR431" s="139" t="n"/>
      <x:c r="AS431" s="139" t="n"/>
      <x:c r="AT431" s="139" t="n"/>
      <x:c r="AU431" s="139" t="n"/>
      <x:c r="AV431" s="139" t="n"/>
      <x:c r="AW431" s="139" t="n"/>
      <x:c r="AX431" s="139" t="n"/>
      <x:c r="AY431" s="139" t="n"/>
      <x:c r="AZ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c r="V432" s="139" t="n"/>
      <x:c r="W432" s="139" t="n"/>
      <x:c r="X432" s="139" t="n"/>
      <x:c r="Y432" s="139" t="n"/>
      <x:c r="Z432" s="139" t="n"/>
      <x:c r="AA432" s="139" t="n"/>
      <x:c r="AB432" s="139" t="n"/>
      <x:c r="AC432" s="139" t="n"/>
      <x:c r="AD432" s="139" t="n"/>
      <x:c r="AE432" s="139" t="n"/>
      <x:c r="AF432" s="139" t="n"/>
      <x:c r="AG432" s="139" t="n"/>
      <x:c r="AH432" s="139" t="n"/>
      <x:c r="AI432" s="139" t="n"/>
      <x:c r="AJ432" s="139" t="n"/>
      <x:c r="AK432" s="139" t="n"/>
      <x:c r="AL432" s="139" t="n"/>
      <x:c r="AM432" s="139" t="n"/>
      <x:c r="AN432" s="139" t="n"/>
      <x:c r="AO432" s="139" t="n"/>
      <x:c r="AP432" s="139" t="n"/>
      <x:c r="AQ432" s="139" t="n"/>
      <x:c r="AR432" s="139" t="n"/>
      <x:c r="AS432" s="139" t="n"/>
      <x:c r="AT432" s="139" t="n"/>
      <x:c r="AU432" s="139" t="n"/>
      <x:c r="AV432" s="139" t="n"/>
      <x:c r="AW432" s="139" t="n"/>
      <x:c r="AX432" s="139" t="n"/>
      <x:c r="AY432" s="139" t="n"/>
      <x:c r="AZ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c r="V433" s="139" t="n"/>
      <x:c r="W433" s="139" t="n"/>
      <x:c r="X433" s="139" t="n"/>
      <x:c r="Y433" s="139" t="n"/>
      <x:c r="Z433" s="139" t="n"/>
      <x:c r="AA433" s="139" t="n"/>
      <x:c r="AB433" s="139" t="n"/>
      <x:c r="AC433" s="139" t="n"/>
      <x:c r="AD433" s="139" t="n"/>
      <x:c r="AE433" s="139" t="n"/>
      <x:c r="AF433" s="139" t="n"/>
      <x:c r="AG433" s="139" t="n"/>
      <x:c r="AH433" s="139" t="n"/>
      <x:c r="AI433" s="139" t="n"/>
      <x:c r="AJ433" s="139" t="n"/>
      <x:c r="AK433" s="139" t="n"/>
      <x:c r="AL433" s="139" t="n"/>
      <x:c r="AM433" s="139" t="n"/>
      <x:c r="AN433" s="139" t="n"/>
      <x:c r="AO433" s="139" t="n"/>
      <x:c r="AP433" s="139" t="n"/>
      <x:c r="AQ433" s="139" t="n"/>
      <x:c r="AR433" s="139" t="n"/>
      <x:c r="AS433" s="139" t="n"/>
      <x:c r="AT433" s="139" t="n"/>
      <x:c r="AU433" s="139" t="n"/>
      <x:c r="AV433" s="139" t="n"/>
      <x:c r="AW433" s="139" t="n"/>
      <x:c r="AX433" s="139" t="n"/>
      <x:c r="AY433" s="139" t="n"/>
      <x:c r="AZ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c r="V434" s="139" t="n"/>
      <x:c r="W434" s="139" t="n"/>
      <x:c r="X434" s="139" t="n"/>
      <x:c r="Y434" s="139" t="n"/>
      <x:c r="Z434" s="139" t="n"/>
      <x:c r="AA434" s="139" t="n"/>
      <x:c r="AB434" s="139" t="n"/>
      <x:c r="AC434" s="139" t="n"/>
      <x:c r="AD434" s="139" t="n"/>
      <x:c r="AE434" s="139" t="n"/>
      <x:c r="AF434" s="139" t="n"/>
      <x:c r="AG434" s="139" t="n"/>
      <x:c r="AH434" s="139" t="n"/>
      <x:c r="AI434" s="139" t="n"/>
      <x:c r="AJ434" s="139" t="n"/>
      <x:c r="AK434" s="139" t="n"/>
      <x:c r="AL434" s="139" t="n"/>
      <x:c r="AM434" s="139" t="n"/>
      <x:c r="AN434" s="139" t="n"/>
      <x:c r="AO434" s="139" t="n"/>
      <x:c r="AP434" s="139" t="n"/>
      <x:c r="AQ434" s="139" t="n"/>
      <x:c r="AR434" s="139" t="n"/>
      <x:c r="AS434" s="139" t="n"/>
      <x:c r="AT434" s="139" t="n"/>
      <x:c r="AU434" s="139" t="n"/>
      <x:c r="AV434" s="139" t="n"/>
      <x:c r="AW434" s="139" t="n"/>
      <x:c r="AX434" s="139" t="n"/>
      <x:c r="AY434" s="139" t="n"/>
      <x:c r="AZ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c r="V435" s="139" t="n"/>
      <x:c r="W435" s="139" t="n"/>
      <x:c r="X435" s="139" t="n"/>
      <x:c r="Y435" s="139" t="n"/>
      <x:c r="Z435" s="139" t="n"/>
      <x:c r="AA435" s="139" t="n"/>
      <x:c r="AB435" s="139" t="n"/>
      <x:c r="AC435" s="139" t="n"/>
      <x:c r="AD435" s="139" t="n"/>
      <x:c r="AE435" s="139" t="n"/>
      <x:c r="AF435" s="139" t="n"/>
      <x:c r="AG435" s="139" t="n"/>
      <x:c r="AH435" s="139" t="n"/>
      <x:c r="AI435" s="139" t="n"/>
      <x:c r="AJ435" s="139" t="n"/>
      <x:c r="AK435" s="139" t="n"/>
      <x:c r="AL435" s="139" t="n"/>
      <x:c r="AM435" s="139" t="n"/>
      <x:c r="AN435" s="139" t="n"/>
      <x:c r="AO435" s="139" t="n"/>
      <x:c r="AP435" s="139" t="n"/>
      <x:c r="AQ435" s="139" t="n"/>
      <x:c r="AR435" s="139" t="n"/>
      <x:c r="AS435" s="139" t="n"/>
      <x:c r="AT435" s="139" t="n"/>
      <x:c r="AU435" s="139" t="n"/>
      <x:c r="AV435" s="139" t="n"/>
      <x:c r="AW435" s="139" t="n"/>
      <x:c r="AX435" s="139" t="n"/>
      <x:c r="AY435" s="139" t="n"/>
      <x:c r="AZ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c r="V436" s="139" t="n"/>
      <x:c r="W436" s="139" t="n"/>
      <x:c r="X436" s="139" t="n"/>
      <x:c r="Y436" s="139" t="n"/>
      <x:c r="Z436" s="139" t="n"/>
      <x:c r="AA436" s="139" t="n"/>
      <x:c r="AB436" s="139" t="n"/>
      <x:c r="AC436" s="139" t="n"/>
      <x:c r="AD436" s="139" t="n"/>
      <x:c r="AE436" s="139" t="n"/>
      <x:c r="AF436" s="139" t="n"/>
      <x:c r="AG436" s="139" t="n"/>
      <x:c r="AH436" s="139" t="n"/>
      <x:c r="AI436" s="139" t="n"/>
      <x:c r="AJ436" s="139" t="n"/>
      <x:c r="AK436" s="139" t="n"/>
      <x:c r="AL436" s="139" t="n"/>
      <x:c r="AM436" s="139" t="n"/>
      <x:c r="AN436" s="139" t="n"/>
      <x:c r="AO436" s="139" t="n"/>
      <x:c r="AP436" s="139" t="n"/>
      <x:c r="AQ436" s="139" t="n"/>
      <x:c r="AR436" s="139" t="n"/>
      <x:c r="AS436" s="139" t="n"/>
      <x:c r="AT436" s="139" t="n"/>
      <x:c r="AU436" s="139" t="n"/>
      <x:c r="AV436" s="139" t="n"/>
      <x:c r="AW436" s="139" t="n"/>
      <x:c r="AX436" s="139" t="n"/>
      <x:c r="AY436" s="139" t="n"/>
      <x:c r="AZ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c r="V437" s="139" t="n"/>
      <x:c r="W437" s="139" t="n"/>
      <x:c r="X437" s="139" t="n"/>
      <x:c r="Y437" s="139" t="n"/>
      <x:c r="Z437" s="139" t="n"/>
      <x:c r="AA437" s="139" t="n"/>
      <x:c r="AB437" s="139" t="n"/>
      <x:c r="AC437" s="139" t="n"/>
      <x:c r="AD437" s="139" t="n"/>
      <x:c r="AE437" s="139" t="n"/>
      <x:c r="AF437" s="139" t="n"/>
      <x:c r="AG437" s="139" t="n"/>
      <x:c r="AH437" s="139" t="n"/>
      <x:c r="AI437" s="139" t="n"/>
      <x:c r="AJ437" s="139" t="n"/>
      <x:c r="AK437" s="139" t="n"/>
      <x:c r="AL437" s="139" t="n"/>
      <x:c r="AM437" s="139" t="n"/>
      <x:c r="AN437" s="139" t="n"/>
      <x:c r="AO437" s="139" t="n"/>
      <x:c r="AP437" s="139" t="n"/>
      <x:c r="AQ437" s="139" t="n"/>
      <x:c r="AR437" s="139" t="n"/>
      <x:c r="AS437" s="139" t="n"/>
      <x:c r="AT437" s="139" t="n"/>
      <x:c r="AU437" s="139" t="n"/>
      <x:c r="AV437" s="139" t="n"/>
      <x:c r="AW437" s="139" t="n"/>
      <x:c r="AX437" s="139" t="n"/>
      <x:c r="AY437" s="139" t="n"/>
      <x:c r="AZ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c r="V438" s="139" t="n"/>
      <x:c r="W438" s="139" t="n"/>
      <x:c r="X438" s="139" t="n"/>
      <x:c r="Y438" s="139" t="n"/>
      <x:c r="Z438" s="139" t="n"/>
      <x:c r="AA438" s="139" t="n"/>
      <x:c r="AB438" s="139" t="n"/>
      <x:c r="AC438" s="139" t="n"/>
      <x:c r="AD438" s="139" t="n"/>
      <x:c r="AE438" s="139" t="n"/>
      <x:c r="AF438" s="139" t="n"/>
      <x:c r="AG438" s="139" t="n"/>
      <x:c r="AH438" s="139" t="n"/>
      <x:c r="AI438" s="139" t="n"/>
      <x:c r="AJ438" s="139" t="n"/>
      <x:c r="AK438" s="139" t="n"/>
      <x:c r="AL438" s="139" t="n"/>
      <x:c r="AM438" s="139" t="n"/>
      <x:c r="AN438" s="139" t="n"/>
      <x:c r="AO438" s="139" t="n"/>
      <x:c r="AP438" s="139" t="n"/>
      <x:c r="AQ438" s="139" t="n"/>
      <x:c r="AR438" s="139" t="n"/>
      <x:c r="AS438" s="139" t="n"/>
      <x:c r="AT438" s="139" t="n"/>
      <x:c r="AU438" s="139" t="n"/>
      <x:c r="AV438" s="139" t="n"/>
      <x:c r="AW438" s="139" t="n"/>
      <x:c r="AX438" s="139" t="n"/>
      <x:c r="AY438" s="139" t="n"/>
      <x:c r="AZ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c r="V439" s="139" t="n"/>
      <x:c r="W439" s="139" t="n"/>
      <x:c r="X439" s="139" t="n"/>
      <x:c r="Y439" s="139" t="n"/>
      <x:c r="Z439" s="139" t="n"/>
      <x:c r="AA439" s="139" t="n"/>
      <x:c r="AB439" s="139" t="n"/>
      <x:c r="AC439" s="139" t="n"/>
      <x:c r="AD439" s="139" t="n"/>
      <x:c r="AE439" s="139" t="n"/>
      <x:c r="AF439" s="139" t="n"/>
      <x:c r="AG439" s="139" t="n"/>
      <x:c r="AH439" s="139" t="n"/>
      <x:c r="AI439" s="139" t="n"/>
      <x:c r="AJ439" s="139" t="n"/>
      <x:c r="AK439" s="139" t="n"/>
      <x:c r="AL439" s="139" t="n"/>
      <x:c r="AM439" s="139" t="n"/>
      <x:c r="AN439" s="139" t="n"/>
      <x:c r="AO439" s="139" t="n"/>
      <x:c r="AP439" s="139" t="n"/>
      <x:c r="AQ439" s="139" t="n"/>
      <x:c r="AR439" s="139" t="n"/>
      <x:c r="AS439" s="139" t="n"/>
      <x:c r="AT439" s="139" t="n"/>
      <x:c r="AU439" s="139" t="n"/>
      <x:c r="AV439" s="139" t="n"/>
      <x:c r="AW439" s="139" t="n"/>
      <x:c r="AX439" s="139" t="n"/>
      <x:c r="AY439" s="139" t="n"/>
      <x:c r="AZ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c r="V440" s="139" t="n"/>
      <x:c r="W440" s="139" t="n"/>
      <x:c r="X440" s="139" t="n"/>
      <x:c r="Y440" s="139" t="n"/>
      <x:c r="Z440" s="139" t="n"/>
      <x:c r="AA440" s="139" t="n"/>
      <x:c r="AB440" s="139" t="n"/>
      <x:c r="AC440" s="139" t="n"/>
      <x:c r="AD440" s="139" t="n"/>
      <x:c r="AE440" s="139" t="n"/>
      <x:c r="AF440" s="139" t="n"/>
      <x:c r="AG440" s="139" t="n"/>
      <x:c r="AH440" s="139" t="n"/>
      <x:c r="AI440" s="139" t="n"/>
      <x:c r="AJ440" s="139" t="n"/>
      <x:c r="AK440" s="139" t="n"/>
      <x:c r="AL440" s="139" t="n"/>
      <x:c r="AM440" s="139" t="n"/>
      <x:c r="AN440" s="139" t="n"/>
      <x:c r="AO440" s="139" t="n"/>
      <x:c r="AP440" s="139" t="n"/>
      <x:c r="AQ440" s="139" t="n"/>
      <x:c r="AR440" s="139" t="n"/>
      <x:c r="AS440" s="139" t="n"/>
      <x:c r="AT440" s="139" t="n"/>
      <x:c r="AU440" s="139" t="n"/>
      <x:c r="AV440" s="139" t="n"/>
      <x:c r="AW440" s="139" t="n"/>
      <x:c r="AX440" s="139" t="n"/>
      <x:c r="AY440" s="139" t="n"/>
      <x:c r="AZ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c r="V441" s="139" t="n"/>
      <x:c r="W441" s="139" t="n"/>
      <x:c r="X441" s="139" t="n"/>
      <x:c r="Y441" s="139" t="n"/>
      <x:c r="Z441" s="139" t="n"/>
      <x:c r="AA441" s="139" t="n"/>
      <x:c r="AB441" s="139" t="n"/>
      <x:c r="AC441" s="139" t="n"/>
      <x:c r="AD441" s="139" t="n"/>
      <x:c r="AE441" s="139" t="n"/>
      <x:c r="AF441" s="139" t="n"/>
      <x:c r="AG441" s="139" t="n"/>
      <x:c r="AH441" s="139" t="n"/>
      <x:c r="AI441" s="139" t="n"/>
      <x:c r="AJ441" s="139" t="n"/>
      <x:c r="AK441" s="139" t="n"/>
      <x:c r="AL441" s="139" t="n"/>
      <x:c r="AM441" s="139" t="n"/>
      <x:c r="AN441" s="139" t="n"/>
      <x:c r="AO441" s="139" t="n"/>
      <x:c r="AP441" s="139" t="n"/>
      <x:c r="AQ441" s="139" t="n"/>
      <x:c r="AR441" s="139" t="n"/>
      <x:c r="AS441" s="139" t="n"/>
      <x:c r="AT441" s="139" t="n"/>
      <x:c r="AU441" s="139" t="n"/>
      <x:c r="AV441" s="139" t="n"/>
      <x:c r="AW441" s="139" t="n"/>
      <x:c r="AX441" s="139" t="n"/>
      <x:c r="AY441" s="139" t="n"/>
      <x:c r="AZ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c r="V442" s="139" t="n"/>
      <x:c r="W442" s="139" t="n"/>
      <x:c r="X442" s="139" t="n"/>
      <x:c r="Y442" s="139" t="n"/>
      <x:c r="Z442" s="139" t="n"/>
      <x:c r="AA442" s="139" t="n"/>
      <x:c r="AB442" s="139" t="n"/>
      <x:c r="AC442" s="139" t="n"/>
      <x:c r="AD442" s="139" t="n"/>
      <x:c r="AE442" s="139" t="n"/>
      <x:c r="AF442" s="139" t="n"/>
      <x:c r="AG442" s="139" t="n"/>
      <x:c r="AH442" s="139" t="n"/>
      <x:c r="AI442" s="139" t="n"/>
      <x:c r="AJ442" s="139" t="n"/>
      <x:c r="AK442" s="139" t="n"/>
      <x:c r="AL442" s="139" t="n"/>
      <x:c r="AM442" s="139" t="n"/>
      <x:c r="AN442" s="139" t="n"/>
      <x:c r="AO442" s="139" t="n"/>
      <x:c r="AP442" s="139" t="n"/>
      <x:c r="AQ442" s="139" t="n"/>
      <x:c r="AR442" s="139" t="n"/>
      <x:c r="AS442" s="139" t="n"/>
      <x:c r="AT442" s="139" t="n"/>
      <x:c r="AU442" s="139" t="n"/>
      <x:c r="AV442" s="139" t="n"/>
      <x:c r="AW442" s="139" t="n"/>
      <x:c r="AX442" s="139" t="n"/>
      <x:c r="AY442" s="139" t="n"/>
      <x:c r="AZ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c r="V443" s="139" t="n"/>
      <x:c r="W443" s="139" t="n"/>
      <x:c r="X443" s="139" t="n"/>
      <x:c r="Y443" s="139" t="n"/>
      <x:c r="Z443" s="139" t="n"/>
      <x:c r="AA443" s="139" t="n"/>
      <x:c r="AB443" s="139" t="n"/>
      <x:c r="AC443" s="139" t="n"/>
      <x:c r="AD443" s="139" t="n"/>
      <x:c r="AE443" s="139" t="n"/>
      <x:c r="AF443" s="139" t="n"/>
      <x:c r="AG443" s="139" t="n"/>
      <x:c r="AH443" s="139" t="n"/>
      <x:c r="AI443" s="139" t="n"/>
      <x:c r="AJ443" s="139" t="n"/>
      <x:c r="AK443" s="139" t="n"/>
      <x:c r="AL443" s="139" t="n"/>
      <x:c r="AM443" s="139" t="n"/>
      <x:c r="AN443" s="139" t="n"/>
      <x:c r="AO443" s="139" t="n"/>
      <x:c r="AP443" s="139" t="n"/>
      <x:c r="AQ443" s="139" t="n"/>
      <x:c r="AR443" s="139" t="n"/>
      <x:c r="AS443" s="139" t="n"/>
      <x:c r="AT443" s="139" t="n"/>
      <x:c r="AU443" s="139" t="n"/>
      <x:c r="AV443" s="139" t="n"/>
      <x:c r="AW443" s="139" t="n"/>
      <x:c r="AX443" s="139" t="n"/>
      <x:c r="AY443" s="139" t="n"/>
      <x:c r="AZ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c r="V444" s="139" t="n"/>
      <x:c r="W444" s="139" t="n"/>
      <x:c r="X444" s="139" t="n"/>
      <x:c r="Y444" s="139" t="n"/>
      <x:c r="Z444" s="139" t="n"/>
      <x:c r="AA444" s="139" t="n"/>
      <x:c r="AB444" s="139" t="n"/>
      <x:c r="AC444" s="139" t="n"/>
      <x:c r="AD444" s="139" t="n"/>
      <x:c r="AE444" s="139" t="n"/>
      <x:c r="AF444" s="139" t="n"/>
      <x:c r="AG444" s="139" t="n"/>
      <x:c r="AH444" s="139" t="n"/>
      <x:c r="AI444" s="139" t="n"/>
      <x:c r="AJ444" s="139" t="n"/>
      <x:c r="AK444" s="139" t="n"/>
      <x:c r="AL444" s="139" t="n"/>
      <x:c r="AM444" s="139" t="n"/>
      <x:c r="AN444" s="139" t="n"/>
      <x:c r="AO444" s="139" t="n"/>
      <x:c r="AP444" s="139" t="n"/>
      <x:c r="AQ444" s="139" t="n"/>
      <x:c r="AR444" s="139" t="n"/>
      <x:c r="AS444" s="139" t="n"/>
      <x:c r="AT444" s="139" t="n"/>
      <x:c r="AU444" s="139" t="n"/>
      <x:c r="AV444" s="139" t="n"/>
      <x:c r="AW444" s="139" t="n"/>
      <x:c r="AX444" s="139" t="n"/>
      <x:c r="AY444" s="139" t="n"/>
      <x:c r="AZ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c r="V445" s="139" t="n"/>
      <x:c r="W445" s="139" t="n"/>
      <x:c r="X445" s="139" t="n"/>
      <x:c r="Y445" s="139" t="n"/>
      <x:c r="Z445" s="139" t="n"/>
      <x:c r="AA445" s="139" t="n"/>
      <x:c r="AB445" s="139" t="n"/>
      <x:c r="AC445" s="139" t="n"/>
      <x:c r="AD445" s="139" t="n"/>
      <x:c r="AE445" s="139" t="n"/>
      <x:c r="AF445" s="139" t="n"/>
      <x:c r="AG445" s="139" t="n"/>
      <x:c r="AH445" s="139" t="n"/>
      <x:c r="AI445" s="139" t="n"/>
      <x:c r="AJ445" s="139" t="n"/>
      <x:c r="AK445" s="139" t="n"/>
      <x:c r="AL445" s="139" t="n"/>
      <x:c r="AM445" s="139" t="n"/>
      <x:c r="AN445" s="139" t="n"/>
      <x:c r="AO445" s="139" t="n"/>
      <x:c r="AP445" s="139" t="n"/>
      <x:c r="AQ445" s="139" t="n"/>
      <x:c r="AR445" s="139" t="n"/>
      <x:c r="AS445" s="139" t="n"/>
      <x:c r="AT445" s="139" t="n"/>
      <x:c r="AU445" s="139" t="n"/>
      <x:c r="AV445" s="139" t="n"/>
      <x:c r="AW445" s="139" t="n"/>
      <x:c r="AX445" s="139" t="n"/>
      <x:c r="AY445" s="139" t="n"/>
      <x:c r="AZ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c r="V446" s="139" t="n"/>
      <x:c r="W446" s="139" t="n"/>
      <x:c r="X446" s="139" t="n"/>
      <x:c r="Y446" s="139" t="n"/>
      <x:c r="Z446" s="139" t="n"/>
      <x:c r="AA446" s="139" t="n"/>
      <x:c r="AB446" s="139" t="n"/>
      <x:c r="AC446" s="139" t="n"/>
      <x:c r="AD446" s="139" t="n"/>
      <x:c r="AE446" s="139" t="n"/>
      <x:c r="AF446" s="139" t="n"/>
      <x:c r="AG446" s="139" t="n"/>
      <x:c r="AH446" s="139" t="n"/>
      <x:c r="AI446" s="139" t="n"/>
      <x:c r="AJ446" s="139" t="n"/>
      <x:c r="AK446" s="139" t="n"/>
      <x:c r="AL446" s="139" t="n"/>
      <x:c r="AM446" s="139" t="n"/>
      <x:c r="AN446" s="139" t="n"/>
      <x:c r="AO446" s="139" t="n"/>
      <x:c r="AP446" s="139" t="n"/>
      <x:c r="AQ446" s="139" t="n"/>
      <x:c r="AR446" s="139" t="n"/>
      <x:c r="AS446" s="139" t="n"/>
      <x:c r="AT446" s="139" t="n"/>
      <x:c r="AU446" s="139" t="n"/>
      <x:c r="AV446" s="139" t="n"/>
      <x:c r="AW446" s="139" t="n"/>
      <x:c r="AX446" s="139" t="n"/>
      <x:c r="AY446" s="139" t="n"/>
      <x:c r="AZ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c r="V447" s="139" t="n"/>
      <x:c r="W447" s="139" t="n"/>
      <x:c r="X447" s="139" t="n"/>
      <x:c r="Y447" s="139" t="n"/>
      <x:c r="Z447" s="139" t="n"/>
      <x:c r="AA447" s="139" t="n"/>
      <x:c r="AB447" s="139" t="n"/>
      <x:c r="AC447" s="139" t="n"/>
      <x:c r="AD447" s="139" t="n"/>
      <x:c r="AE447" s="139" t="n"/>
      <x:c r="AF447" s="139" t="n"/>
      <x:c r="AG447" s="139" t="n"/>
      <x:c r="AH447" s="139" t="n"/>
      <x:c r="AI447" s="139" t="n"/>
      <x:c r="AJ447" s="139" t="n"/>
      <x:c r="AK447" s="139" t="n"/>
      <x:c r="AL447" s="139" t="n"/>
      <x:c r="AM447" s="139" t="n"/>
      <x:c r="AN447" s="139" t="n"/>
      <x:c r="AO447" s="139" t="n"/>
      <x:c r="AP447" s="139" t="n"/>
      <x:c r="AQ447" s="139" t="n"/>
      <x:c r="AR447" s="139" t="n"/>
      <x:c r="AS447" s="139" t="n"/>
      <x:c r="AT447" s="139" t="n"/>
      <x:c r="AU447" s="139" t="n"/>
      <x:c r="AV447" s="139" t="n"/>
      <x:c r="AW447" s="139" t="n"/>
      <x:c r="AX447" s="139" t="n"/>
      <x:c r="AY447" s="139" t="n"/>
      <x:c r="AZ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c r="V448" s="139" t="n"/>
      <x:c r="W448" s="139" t="n"/>
      <x:c r="X448" s="139" t="n"/>
      <x:c r="Y448" s="139" t="n"/>
      <x:c r="Z448" s="139" t="n"/>
      <x:c r="AA448" s="139" t="n"/>
      <x:c r="AB448" s="139" t="n"/>
      <x:c r="AC448" s="139" t="n"/>
      <x:c r="AD448" s="139" t="n"/>
      <x:c r="AE448" s="139" t="n"/>
      <x:c r="AF448" s="139" t="n"/>
      <x:c r="AG448" s="139" t="n"/>
      <x:c r="AH448" s="139" t="n"/>
      <x:c r="AI448" s="139" t="n"/>
      <x:c r="AJ448" s="139" t="n"/>
      <x:c r="AK448" s="139" t="n"/>
      <x:c r="AL448" s="139" t="n"/>
      <x:c r="AM448" s="139" t="n"/>
      <x:c r="AN448" s="139" t="n"/>
      <x:c r="AO448" s="139" t="n"/>
      <x:c r="AP448" s="139" t="n"/>
      <x:c r="AQ448" s="139" t="n"/>
      <x:c r="AR448" s="139" t="n"/>
      <x:c r="AS448" s="139" t="n"/>
      <x:c r="AT448" s="139" t="n"/>
      <x:c r="AU448" s="139" t="n"/>
      <x:c r="AV448" s="139" t="n"/>
      <x:c r="AW448" s="139" t="n"/>
      <x:c r="AX448" s="139" t="n"/>
      <x:c r="AY448" s="139" t="n"/>
      <x:c r="AZ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c r="V449" s="139" t="n"/>
      <x:c r="W449" s="139" t="n"/>
      <x:c r="X449" s="139" t="n"/>
      <x:c r="Y449" s="139" t="n"/>
      <x:c r="Z449" s="139" t="n"/>
      <x:c r="AA449" s="139" t="n"/>
      <x:c r="AB449" s="139" t="n"/>
      <x:c r="AC449" s="139" t="n"/>
      <x:c r="AD449" s="139" t="n"/>
      <x:c r="AE449" s="139" t="n"/>
      <x:c r="AF449" s="139" t="n"/>
      <x:c r="AG449" s="139" t="n"/>
      <x:c r="AH449" s="139" t="n"/>
      <x:c r="AI449" s="139" t="n"/>
      <x:c r="AJ449" s="139" t="n"/>
      <x:c r="AK449" s="139" t="n"/>
      <x:c r="AL449" s="139" t="n"/>
      <x:c r="AM449" s="139" t="n"/>
      <x:c r="AN449" s="139" t="n"/>
      <x:c r="AO449" s="139" t="n"/>
      <x:c r="AP449" s="139" t="n"/>
      <x:c r="AQ449" s="139" t="n"/>
      <x:c r="AR449" s="139" t="n"/>
      <x:c r="AS449" s="139" t="n"/>
      <x:c r="AT449" s="139" t="n"/>
      <x:c r="AU449" s="139" t="n"/>
      <x:c r="AV449" s="139" t="n"/>
      <x:c r="AW449" s="139" t="n"/>
      <x:c r="AX449" s="139" t="n"/>
      <x:c r="AY449" s="139" t="n"/>
      <x:c r="AZ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c r="V450" s="139" t="n"/>
      <x:c r="W450" s="139" t="n"/>
      <x:c r="X450" s="139" t="n"/>
      <x:c r="Y450" s="139" t="n"/>
      <x:c r="Z450" s="139" t="n"/>
      <x:c r="AA450" s="139" t="n"/>
      <x:c r="AB450" s="139" t="n"/>
      <x:c r="AC450" s="139" t="n"/>
      <x:c r="AD450" s="139" t="n"/>
      <x:c r="AE450" s="139" t="n"/>
      <x:c r="AF450" s="139" t="n"/>
      <x:c r="AG450" s="139" t="n"/>
      <x:c r="AH450" s="139" t="n"/>
      <x:c r="AI450" s="139" t="n"/>
      <x:c r="AJ450" s="139" t="n"/>
      <x:c r="AK450" s="139" t="n"/>
      <x:c r="AL450" s="139" t="n"/>
      <x:c r="AM450" s="139" t="n"/>
      <x:c r="AN450" s="139" t="n"/>
      <x:c r="AO450" s="139" t="n"/>
      <x:c r="AP450" s="139" t="n"/>
      <x:c r="AQ450" s="139" t="n"/>
      <x:c r="AR450" s="139" t="n"/>
      <x:c r="AS450" s="139" t="n"/>
      <x:c r="AT450" s="139" t="n"/>
      <x:c r="AU450" s="139" t="n"/>
      <x:c r="AV450" s="139" t="n"/>
      <x:c r="AW450" s="139" t="n"/>
      <x:c r="AX450" s="139" t="n"/>
      <x:c r="AY450" s="139" t="n"/>
      <x:c r="AZ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c r="V451" s="139" t="n"/>
      <x:c r="W451" s="139" t="n"/>
      <x:c r="X451" s="139" t="n"/>
      <x:c r="Y451" s="139" t="n"/>
      <x:c r="Z451" s="139" t="n"/>
      <x:c r="AA451" s="139" t="n"/>
      <x:c r="AB451" s="139" t="n"/>
      <x:c r="AC451" s="139" t="n"/>
      <x:c r="AD451" s="139" t="n"/>
      <x:c r="AE451" s="139" t="n"/>
      <x:c r="AF451" s="139" t="n"/>
      <x:c r="AG451" s="139" t="n"/>
      <x:c r="AH451" s="139" t="n"/>
      <x:c r="AI451" s="139" t="n"/>
      <x:c r="AJ451" s="139" t="n"/>
      <x:c r="AK451" s="139" t="n"/>
      <x:c r="AL451" s="139" t="n"/>
      <x:c r="AM451" s="139" t="n"/>
      <x:c r="AN451" s="139" t="n"/>
      <x:c r="AO451" s="139" t="n"/>
      <x:c r="AP451" s="139" t="n"/>
      <x:c r="AQ451" s="139" t="n"/>
      <x:c r="AR451" s="139" t="n"/>
      <x:c r="AS451" s="139" t="n"/>
      <x:c r="AT451" s="139" t="n"/>
      <x:c r="AU451" s="139" t="n"/>
      <x:c r="AV451" s="139" t="n"/>
      <x:c r="AW451" s="139" t="n"/>
      <x:c r="AX451" s="139" t="n"/>
      <x:c r="AY451" s="139" t="n"/>
      <x:c r="AZ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c r="V452" s="139" t="n"/>
      <x:c r="W452" s="139" t="n"/>
      <x:c r="X452" s="139" t="n"/>
      <x:c r="Y452" s="139" t="n"/>
      <x:c r="Z452" s="139" t="n"/>
      <x:c r="AA452" s="139" t="n"/>
      <x:c r="AB452" s="139" t="n"/>
      <x:c r="AC452" s="139" t="n"/>
      <x:c r="AD452" s="139" t="n"/>
      <x:c r="AE452" s="139" t="n"/>
      <x:c r="AF452" s="139" t="n"/>
      <x:c r="AG452" s="139" t="n"/>
      <x:c r="AH452" s="139" t="n"/>
      <x:c r="AI452" s="139" t="n"/>
      <x:c r="AJ452" s="139" t="n"/>
      <x:c r="AK452" s="139" t="n"/>
      <x:c r="AL452" s="139" t="n"/>
      <x:c r="AM452" s="139" t="n"/>
      <x:c r="AN452" s="139" t="n"/>
      <x:c r="AO452" s="139" t="n"/>
      <x:c r="AP452" s="139" t="n"/>
      <x:c r="AQ452" s="139" t="n"/>
      <x:c r="AR452" s="139" t="n"/>
      <x:c r="AS452" s="139" t="n"/>
      <x:c r="AT452" s="139" t="n"/>
      <x:c r="AU452" s="139" t="n"/>
      <x:c r="AV452" s="139" t="n"/>
      <x:c r="AW452" s="139" t="n"/>
      <x:c r="AX452" s="139" t="n"/>
      <x:c r="AY452" s="139" t="n"/>
      <x:c r="AZ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c r="V453" s="139" t="n"/>
      <x:c r="W453" s="139" t="n"/>
      <x:c r="X453" s="139" t="n"/>
      <x:c r="Y453" s="139" t="n"/>
      <x:c r="Z453" s="139" t="n"/>
      <x:c r="AA453" s="139" t="n"/>
      <x:c r="AB453" s="139" t="n"/>
      <x:c r="AC453" s="139" t="n"/>
      <x:c r="AD453" s="139" t="n"/>
      <x:c r="AE453" s="139" t="n"/>
      <x:c r="AF453" s="139" t="n"/>
      <x:c r="AG453" s="139" t="n"/>
      <x:c r="AH453" s="139" t="n"/>
      <x:c r="AI453" s="139" t="n"/>
      <x:c r="AJ453" s="139" t="n"/>
      <x:c r="AK453" s="139" t="n"/>
      <x:c r="AL453" s="139" t="n"/>
      <x:c r="AM453" s="139" t="n"/>
      <x:c r="AN453" s="139" t="n"/>
      <x:c r="AO453" s="139" t="n"/>
      <x:c r="AP453" s="139" t="n"/>
      <x:c r="AQ453" s="139" t="n"/>
      <x:c r="AR453" s="139" t="n"/>
      <x:c r="AS453" s="139" t="n"/>
      <x:c r="AT453" s="139" t="n"/>
      <x:c r="AU453" s="139" t="n"/>
      <x:c r="AV453" s="139" t="n"/>
      <x:c r="AW453" s="139" t="n"/>
      <x:c r="AX453" s="139" t="n"/>
      <x:c r="AY453" s="139" t="n"/>
      <x:c r="AZ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c r="V454" s="139" t="n"/>
      <x:c r="W454" s="139" t="n"/>
      <x:c r="X454" s="139" t="n"/>
      <x:c r="Y454" s="139" t="n"/>
      <x:c r="Z454" s="139" t="n"/>
      <x:c r="AA454" s="139" t="n"/>
      <x:c r="AB454" s="139" t="n"/>
      <x:c r="AC454" s="139" t="n"/>
      <x:c r="AD454" s="139" t="n"/>
      <x:c r="AE454" s="139" t="n"/>
      <x:c r="AF454" s="139" t="n"/>
      <x:c r="AG454" s="139" t="n"/>
      <x:c r="AH454" s="139" t="n"/>
      <x:c r="AI454" s="139" t="n"/>
      <x:c r="AJ454" s="139" t="n"/>
      <x:c r="AK454" s="139" t="n"/>
      <x:c r="AL454" s="139" t="n"/>
      <x:c r="AM454" s="139" t="n"/>
      <x:c r="AN454" s="139" t="n"/>
      <x:c r="AO454" s="139" t="n"/>
      <x:c r="AP454" s="139" t="n"/>
      <x:c r="AQ454" s="139" t="n"/>
      <x:c r="AR454" s="139" t="n"/>
      <x:c r="AS454" s="139" t="n"/>
      <x:c r="AT454" s="139" t="n"/>
      <x:c r="AU454" s="139" t="n"/>
      <x:c r="AV454" s="139" t="n"/>
      <x:c r="AW454" s="139" t="n"/>
      <x:c r="AX454" s="139" t="n"/>
      <x:c r="AY454" s="139" t="n"/>
      <x:c r="AZ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c r="V455" s="139" t="n"/>
      <x:c r="W455" s="139" t="n"/>
      <x:c r="X455" s="139" t="n"/>
      <x:c r="Y455" s="139" t="n"/>
      <x:c r="Z455" s="139" t="n"/>
      <x:c r="AA455" s="139" t="n"/>
      <x:c r="AB455" s="139" t="n"/>
      <x:c r="AC455" s="139" t="n"/>
      <x:c r="AD455" s="139" t="n"/>
      <x:c r="AE455" s="139" t="n"/>
      <x:c r="AF455" s="139" t="n"/>
      <x:c r="AG455" s="139" t="n"/>
      <x:c r="AH455" s="139" t="n"/>
      <x:c r="AI455" s="139" t="n"/>
      <x:c r="AJ455" s="139" t="n"/>
      <x:c r="AK455" s="139" t="n"/>
      <x:c r="AL455" s="139" t="n"/>
      <x:c r="AM455" s="139" t="n"/>
      <x:c r="AN455" s="139" t="n"/>
      <x:c r="AO455" s="139" t="n"/>
      <x:c r="AP455" s="139" t="n"/>
      <x:c r="AQ455" s="139" t="n"/>
      <x:c r="AR455" s="139" t="n"/>
      <x:c r="AS455" s="139" t="n"/>
      <x:c r="AT455" s="139" t="n"/>
      <x:c r="AU455" s="139" t="n"/>
      <x:c r="AV455" s="139" t="n"/>
      <x:c r="AW455" s="139" t="n"/>
      <x:c r="AX455" s="139" t="n"/>
      <x:c r="AY455" s="139" t="n"/>
      <x:c r="AZ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c r="V456" s="139" t="n"/>
      <x:c r="W456" s="139" t="n"/>
      <x:c r="X456" s="139" t="n"/>
      <x:c r="Y456" s="139" t="n"/>
      <x:c r="Z456" s="139" t="n"/>
      <x:c r="AA456" s="139" t="n"/>
      <x:c r="AB456" s="139" t="n"/>
      <x:c r="AC456" s="139" t="n"/>
      <x:c r="AD456" s="139" t="n"/>
      <x:c r="AE456" s="139" t="n"/>
      <x:c r="AF456" s="139" t="n"/>
      <x:c r="AG456" s="139" t="n"/>
      <x:c r="AH456" s="139" t="n"/>
      <x:c r="AI456" s="139" t="n"/>
      <x:c r="AJ456" s="139" t="n"/>
      <x:c r="AK456" s="139" t="n"/>
      <x:c r="AL456" s="139" t="n"/>
      <x:c r="AM456" s="139" t="n"/>
      <x:c r="AN456" s="139" t="n"/>
      <x:c r="AO456" s="139" t="n"/>
      <x:c r="AP456" s="139" t="n"/>
      <x:c r="AQ456" s="139" t="n"/>
      <x:c r="AR456" s="139" t="n"/>
      <x:c r="AS456" s="139" t="n"/>
      <x:c r="AT456" s="139" t="n"/>
      <x:c r="AU456" s="139" t="n"/>
      <x:c r="AV456" s="139" t="n"/>
      <x:c r="AW456" s="139" t="n"/>
      <x:c r="AX456" s="139" t="n"/>
      <x:c r="AY456" s="139" t="n"/>
      <x:c r="AZ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c r="V457" s="139" t="n"/>
      <x:c r="W457" s="139" t="n"/>
      <x:c r="X457" s="139" t="n"/>
      <x:c r="Y457" s="139" t="n"/>
      <x:c r="Z457" s="139" t="n"/>
      <x:c r="AA457" s="139" t="n"/>
      <x:c r="AB457" s="139" t="n"/>
      <x:c r="AC457" s="139" t="n"/>
      <x:c r="AD457" s="139" t="n"/>
      <x:c r="AE457" s="139" t="n"/>
      <x:c r="AF457" s="139" t="n"/>
      <x:c r="AG457" s="139" t="n"/>
      <x:c r="AH457" s="139" t="n"/>
      <x:c r="AI457" s="139" t="n"/>
      <x:c r="AJ457" s="139" t="n"/>
      <x:c r="AK457" s="139" t="n"/>
      <x:c r="AL457" s="139" t="n"/>
      <x:c r="AM457" s="139" t="n"/>
      <x:c r="AN457" s="139" t="n"/>
      <x:c r="AO457" s="139" t="n"/>
      <x:c r="AP457" s="139" t="n"/>
      <x:c r="AQ457" s="139" t="n"/>
      <x:c r="AR457" s="139" t="n"/>
      <x:c r="AS457" s="139" t="n"/>
      <x:c r="AT457" s="139" t="n"/>
      <x:c r="AU457" s="139" t="n"/>
      <x:c r="AV457" s="139" t="n"/>
      <x:c r="AW457" s="139" t="n"/>
      <x:c r="AX457" s="139" t="n"/>
      <x:c r="AY457" s="139" t="n"/>
      <x:c r="AZ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c r="V458" s="139" t="n"/>
      <x:c r="W458" s="139" t="n"/>
      <x:c r="X458" s="139" t="n"/>
      <x:c r="Y458" s="139" t="n"/>
      <x:c r="Z458" s="139" t="n"/>
      <x:c r="AA458" s="139" t="n"/>
      <x:c r="AB458" s="139" t="n"/>
      <x:c r="AC458" s="139" t="n"/>
      <x:c r="AD458" s="139" t="n"/>
      <x:c r="AE458" s="139" t="n"/>
      <x:c r="AF458" s="139" t="n"/>
      <x:c r="AG458" s="139" t="n"/>
      <x:c r="AH458" s="139" t="n"/>
      <x:c r="AI458" s="139" t="n"/>
      <x:c r="AJ458" s="139" t="n"/>
      <x:c r="AK458" s="139" t="n"/>
      <x:c r="AL458" s="139" t="n"/>
      <x:c r="AM458" s="139" t="n"/>
      <x:c r="AN458" s="139" t="n"/>
      <x:c r="AO458" s="139" t="n"/>
      <x:c r="AP458" s="139" t="n"/>
      <x:c r="AQ458" s="139" t="n"/>
      <x:c r="AR458" s="139" t="n"/>
      <x:c r="AS458" s="139" t="n"/>
      <x:c r="AT458" s="139" t="n"/>
      <x:c r="AU458" s="139" t="n"/>
      <x:c r="AV458" s="139" t="n"/>
      <x:c r="AW458" s="139" t="n"/>
      <x:c r="AX458" s="139" t="n"/>
      <x:c r="AY458" s="139" t="n"/>
      <x:c r="AZ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c r="V459" s="139" t="n"/>
      <x:c r="W459" s="139" t="n"/>
      <x:c r="X459" s="139" t="n"/>
      <x:c r="Y459" s="139" t="n"/>
      <x:c r="Z459" s="139" t="n"/>
      <x:c r="AA459" s="139" t="n"/>
      <x:c r="AB459" s="139" t="n"/>
      <x:c r="AC459" s="139" t="n"/>
      <x:c r="AD459" s="139" t="n"/>
      <x:c r="AE459" s="139" t="n"/>
      <x:c r="AF459" s="139" t="n"/>
      <x:c r="AG459" s="139" t="n"/>
      <x:c r="AH459" s="139" t="n"/>
      <x:c r="AI459" s="139" t="n"/>
      <x:c r="AJ459" s="139" t="n"/>
      <x:c r="AK459" s="139" t="n"/>
      <x:c r="AL459" s="139" t="n"/>
      <x:c r="AM459" s="139" t="n"/>
      <x:c r="AN459" s="139" t="n"/>
      <x:c r="AO459" s="139" t="n"/>
      <x:c r="AP459" s="139" t="n"/>
      <x:c r="AQ459" s="139" t="n"/>
      <x:c r="AR459" s="139" t="n"/>
      <x:c r="AS459" s="139" t="n"/>
      <x:c r="AT459" s="139" t="n"/>
      <x:c r="AU459" s="139" t="n"/>
      <x:c r="AV459" s="139" t="n"/>
      <x:c r="AW459" s="139" t="n"/>
      <x:c r="AX459" s="139" t="n"/>
      <x:c r="AY459" s="139" t="n"/>
      <x:c r="AZ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c r="V460" s="139" t="n"/>
      <x:c r="W460" s="139" t="n"/>
      <x:c r="X460" s="139" t="n"/>
      <x:c r="Y460" s="139" t="n"/>
      <x:c r="Z460" s="139" t="n"/>
      <x:c r="AA460" s="139" t="n"/>
      <x:c r="AB460" s="139" t="n"/>
      <x:c r="AC460" s="139" t="n"/>
      <x:c r="AD460" s="139" t="n"/>
      <x:c r="AE460" s="139" t="n"/>
      <x:c r="AF460" s="139" t="n"/>
      <x:c r="AG460" s="139" t="n"/>
      <x:c r="AH460" s="139" t="n"/>
      <x:c r="AI460" s="139" t="n"/>
      <x:c r="AJ460" s="139" t="n"/>
      <x:c r="AK460" s="139" t="n"/>
      <x:c r="AL460" s="139" t="n"/>
      <x:c r="AM460" s="139" t="n"/>
      <x:c r="AN460" s="139" t="n"/>
      <x:c r="AO460" s="139" t="n"/>
      <x:c r="AP460" s="139" t="n"/>
      <x:c r="AQ460" s="139" t="n"/>
      <x:c r="AR460" s="139" t="n"/>
      <x:c r="AS460" s="139" t="n"/>
      <x:c r="AT460" s="139" t="n"/>
      <x:c r="AU460" s="139" t="n"/>
      <x:c r="AV460" s="139" t="n"/>
      <x:c r="AW460" s="139" t="n"/>
      <x:c r="AX460" s="139" t="n"/>
      <x:c r="AY460" s="139" t="n"/>
      <x:c r="AZ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c r="V461" s="139" t="n"/>
      <x:c r="W461" s="139" t="n"/>
      <x:c r="X461" s="139" t="n"/>
      <x:c r="Y461" s="139" t="n"/>
      <x:c r="Z461" s="139" t="n"/>
      <x:c r="AA461" s="139" t="n"/>
      <x:c r="AB461" s="139" t="n"/>
      <x:c r="AC461" s="139" t="n"/>
      <x:c r="AD461" s="139" t="n"/>
      <x:c r="AE461" s="139" t="n"/>
      <x:c r="AF461" s="139" t="n"/>
      <x:c r="AG461" s="139" t="n"/>
      <x:c r="AH461" s="139" t="n"/>
      <x:c r="AI461" s="139" t="n"/>
      <x:c r="AJ461" s="139" t="n"/>
      <x:c r="AK461" s="139" t="n"/>
      <x:c r="AL461" s="139" t="n"/>
      <x:c r="AM461" s="139" t="n"/>
      <x:c r="AN461" s="139" t="n"/>
      <x:c r="AO461" s="139" t="n"/>
      <x:c r="AP461" s="139" t="n"/>
      <x:c r="AQ461" s="139" t="n"/>
      <x:c r="AR461" s="139" t="n"/>
      <x:c r="AS461" s="139" t="n"/>
      <x:c r="AT461" s="139" t="n"/>
      <x:c r="AU461" s="139" t="n"/>
      <x:c r="AV461" s="139" t="n"/>
      <x:c r="AW461" s="139" t="n"/>
      <x:c r="AX461" s="139" t="n"/>
      <x:c r="AY461" s="139" t="n"/>
      <x:c r="AZ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c r="V462" s="139" t="n"/>
      <x:c r="W462" s="139" t="n"/>
      <x:c r="X462" s="139" t="n"/>
      <x:c r="Y462" s="139" t="n"/>
      <x:c r="Z462" s="139" t="n"/>
      <x:c r="AA462" s="139" t="n"/>
      <x:c r="AB462" s="139" t="n"/>
      <x:c r="AC462" s="139" t="n"/>
      <x:c r="AD462" s="139" t="n"/>
      <x:c r="AE462" s="139" t="n"/>
      <x:c r="AF462" s="139" t="n"/>
      <x:c r="AG462" s="139" t="n"/>
      <x:c r="AH462" s="139" t="n"/>
      <x:c r="AI462" s="139" t="n"/>
      <x:c r="AJ462" s="139" t="n"/>
      <x:c r="AK462" s="139" t="n"/>
      <x:c r="AL462" s="139" t="n"/>
      <x:c r="AM462" s="139" t="n"/>
      <x:c r="AN462" s="139" t="n"/>
      <x:c r="AO462" s="139" t="n"/>
      <x:c r="AP462" s="139" t="n"/>
      <x:c r="AQ462" s="139" t="n"/>
      <x:c r="AR462" s="139" t="n"/>
      <x:c r="AS462" s="139" t="n"/>
      <x:c r="AT462" s="139" t="n"/>
      <x:c r="AU462" s="139" t="n"/>
      <x:c r="AV462" s="139" t="n"/>
      <x:c r="AW462" s="139" t="n"/>
      <x:c r="AX462" s="139" t="n"/>
      <x:c r="AY462" s="139" t="n"/>
      <x:c r="AZ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c r="V463" s="139" t="n"/>
      <x:c r="W463" s="139" t="n"/>
      <x:c r="X463" s="139" t="n"/>
      <x:c r="Y463" s="139" t="n"/>
      <x:c r="Z463" s="139" t="n"/>
      <x:c r="AA463" s="139" t="n"/>
      <x:c r="AB463" s="139" t="n"/>
      <x:c r="AC463" s="139" t="n"/>
      <x:c r="AD463" s="139" t="n"/>
      <x:c r="AE463" s="139" t="n"/>
      <x:c r="AF463" s="139" t="n"/>
      <x:c r="AG463" s="139" t="n"/>
      <x:c r="AH463" s="139" t="n"/>
      <x:c r="AI463" s="139" t="n"/>
      <x:c r="AJ463" s="139" t="n"/>
      <x:c r="AK463" s="139" t="n"/>
      <x:c r="AL463" s="139" t="n"/>
      <x:c r="AM463" s="139" t="n"/>
      <x:c r="AN463" s="139" t="n"/>
      <x:c r="AO463" s="139" t="n"/>
      <x:c r="AP463" s="139" t="n"/>
      <x:c r="AQ463" s="139" t="n"/>
      <x:c r="AR463" s="139" t="n"/>
      <x:c r="AS463" s="139" t="n"/>
      <x:c r="AT463" s="139" t="n"/>
      <x:c r="AU463" s="139" t="n"/>
      <x:c r="AV463" s="139" t="n"/>
      <x:c r="AW463" s="139" t="n"/>
      <x:c r="AX463" s="139" t="n"/>
      <x:c r="AY463" s="139" t="n"/>
      <x:c r="AZ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c r="V464" s="139" t="n"/>
      <x:c r="W464" s="139" t="n"/>
      <x:c r="X464" s="139" t="n"/>
      <x:c r="Y464" s="139" t="n"/>
      <x:c r="Z464" s="139" t="n"/>
      <x:c r="AA464" s="139" t="n"/>
      <x:c r="AB464" s="139" t="n"/>
      <x:c r="AC464" s="139" t="n"/>
      <x:c r="AD464" s="139" t="n"/>
      <x:c r="AE464" s="139" t="n"/>
      <x:c r="AF464" s="139" t="n"/>
      <x:c r="AG464" s="139" t="n"/>
      <x:c r="AH464" s="139" t="n"/>
      <x:c r="AI464" s="139" t="n"/>
      <x:c r="AJ464" s="139" t="n"/>
      <x:c r="AK464" s="139" t="n"/>
      <x:c r="AL464" s="139" t="n"/>
      <x:c r="AM464" s="139" t="n"/>
      <x:c r="AN464" s="139" t="n"/>
      <x:c r="AO464" s="139" t="n"/>
      <x:c r="AP464" s="139" t="n"/>
      <x:c r="AQ464" s="139" t="n"/>
      <x:c r="AR464" s="139" t="n"/>
      <x:c r="AS464" s="139" t="n"/>
      <x:c r="AT464" s="139" t="n"/>
      <x:c r="AU464" s="139" t="n"/>
      <x:c r="AV464" s="139" t="n"/>
      <x:c r="AW464" s="139" t="n"/>
      <x:c r="AX464" s="139" t="n"/>
      <x:c r="AY464" s="139" t="n"/>
      <x:c r="AZ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c r="V465" s="139" t="n"/>
      <x:c r="W465" s="139" t="n"/>
      <x:c r="X465" s="139" t="n"/>
      <x:c r="Y465" s="139" t="n"/>
      <x:c r="Z465" s="139" t="n"/>
      <x:c r="AA465" s="139" t="n"/>
      <x:c r="AB465" s="139" t="n"/>
      <x:c r="AC465" s="139" t="n"/>
      <x:c r="AD465" s="139" t="n"/>
      <x:c r="AE465" s="139" t="n"/>
      <x:c r="AF465" s="139" t="n"/>
      <x:c r="AG465" s="139" t="n"/>
      <x:c r="AH465" s="139" t="n"/>
      <x:c r="AI465" s="139" t="n"/>
      <x:c r="AJ465" s="139" t="n"/>
      <x:c r="AK465" s="139" t="n"/>
      <x:c r="AL465" s="139" t="n"/>
      <x:c r="AM465" s="139" t="n"/>
      <x:c r="AN465" s="139" t="n"/>
      <x:c r="AO465" s="139" t="n"/>
      <x:c r="AP465" s="139" t="n"/>
      <x:c r="AQ465" s="139" t="n"/>
      <x:c r="AR465" s="139" t="n"/>
      <x:c r="AS465" s="139" t="n"/>
      <x:c r="AT465" s="139" t="n"/>
      <x:c r="AU465" s="139" t="n"/>
      <x:c r="AV465" s="139" t="n"/>
      <x:c r="AW465" s="139" t="n"/>
      <x:c r="AX465" s="139" t="n"/>
      <x:c r="AY465" s="139" t="n"/>
      <x:c r="AZ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c r="V466" s="139" t="n"/>
      <x:c r="W466" s="139" t="n"/>
      <x:c r="X466" s="139" t="n"/>
      <x:c r="Y466" s="139" t="n"/>
      <x:c r="Z466" s="139" t="n"/>
      <x:c r="AA466" s="139" t="n"/>
      <x:c r="AB466" s="139" t="n"/>
      <x:c r="AC466" s="139" t="n"/>
      <x:c r="AD466" s="139" t="n"/>
      <x:c r="AE466" s="139" t="n"/>
      <x:c r="AF466" s="139" t="n"/>
      <x:c r="AG466" s="139" t="n"/>
      <x:c r="AH466" s="139" t="n"/>
      <x:c r="AI466" s="139" t="n"/>
      <x:c r="AJ466" s="139" t="n"/>
      <x:c r="AK466" s="139" t="n"/>
      <x:c r="AL466" s="139" t="n"/>
      <x:c r="AM466" s="139" t="n"/>
      <x:c r="AN466" s="139" t="n"/>
      <x:c r="AO466" s="139" t="n"/>
      <x:c r="AP466" s="139" t="n"/>
      <x:c r="AQ466" s="139" t="n"/>
      <x:c r="AR466" s="139" t="n"/>
      <x:c r="AS466" s="139" t="n"/>
      <x:c r="AT466" s="139" t="n"/>
      <x:c r="AU466" s="139" t="n"/>
      <x:c r="AV466" s="139" t="n"/>
      <x:c r="AW466" s="139" t="n"/>
      <x:c r="AX466" s="139" t="n"/>
      <x:c r="AY466" s="139" t="n"/>
      <x:c r="AZ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c r="V467" s="139" t="n"/>
      <x:c r="W467" s="139" t="n"/>
      <x:c r="X467" s="139" t="n"/>
      <x:c r="Y467" s="139" t="n"/>
      <x:c r="Z467" s="139" t="n"/>
      <x:c r="AA467" s="139" t="n"/>
      <x:c r="AB467" s="139" t="n"/>
      <x:c r="AC467" s="139" t="n"/>
      <x:c r="AD467" s="139" t="n"/>
      <x:c r="AE467" s="139" t="n"/>
      <x:c r="AF467" s="139" t="n"/>
      <x:c r="AG467" s="139" t="n"/>
      <x:c r="AH467" s="139" t="n"/>
      <x:c r="AI467" s="139" t="n"/>
      <x:c r="AJ467" s="139" t="n"/>
      <x:c r="AK467" s="139" t="n"/>
      <x:c r="AL467" s="139" t="n"/>
      <x:c r="AM467" s="139" t="n"/>
      <x:c r="AN467" s="139" t="n"/>
      <x:c r="AO467" s="139" t="n"/>
      <x:c r="AP467" s="139" t="n"/>
      <x:c r="AQ467" s="139" t="n"/>
      <x:c r="AR467" s="139" t="n"/>
      <x:c r="AS467" s="139" t="n"/>
      <x:c r="AT467" s="139" t="n"/>
      <x:c r="AU467" s="139" t="n"/>
      <x:c r="AV467" s="139" t="n"/>
      <x:c r="AW467" s="139" t="n"/>
      <x:c r="AX467" s="139" t="n"/>
      <x:c r="AY467" s="139" t="n"/>
      <x:c r="AZ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c r="V468" s="139" t="n"/>
      <x:c r="W468" s="139" t="n"/>
      <x:c r="X468" s="139" t="n"/>
      <x:c r="Y468" s="139" t="n"/>
      <x:c r="Z468" s="139" t="n"/>
      <x:c r="AA468" s="139" t="n"/>
      <x:c r="AB468" s="139" t="n"/>
      <x:c r="AC468" s="139" t="n"/>
      <x:c r="AD468" s="139" t="n"/>
      <x:c r="AE468" s="139" t="n"/>
      <x:c r="AF468" s="139" t="n"/>
      <x:c r="AG468" s="139" t="n"/>
      <x:c r="AH468" s="139" t="n"/>
      <x:c r="AI468" s="139" t="n"/>
      <x:c r="AJ468" s="139" t="n"/>
      <x:c r="AK468" s="139" t="n"/>
      <x:c r="AL468" s="139" t="n"/>
      <x:c r="AM468" s="139" t="n"/>
      <x:c r="AN468" s="139" t="n"/>
      <x:c r="AO468" s="139" t="n"/>
      <x:c r="AP468" s="139" t="n"/>
      <x:c r="AQ468" s="139" t="n"/>
      <x:c r="AR468" s="139" t="n"/>
      <x:c r="AS468" s="139" t="n"/>
      <x:c r="AT468" s="139" t="n"/>
      <x:c r="AU468" s="139" t="n"/>
      <x:c r="AV468" s="139" t="n"/>
      <x:c r="AW468" s="139" t="n"/>
      <x:c r="AX468" s="139" t="n"/>
      <x:c r="AY468" s="139" t="n"/>
      <x:c r="AZ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c r="V469" s="139" t="n"/>
      <x:c r="W469" s="139" t="n"/>
      <x:c r="X469" s="139" t="n"/>
      <x:c r="Y469" s="139" t="n"/>
      <x:c r="Z469" s="139" t="n"/>
      <x:c r="AA469" s="139" t="n"/>
      <x:c r="AB469" s="139" t="n"/>
      <x:c r="AC469" s="139" t="n"/>
      <x:c r="AD469" s="139" t="n"/>
      <x:c r="AE469" s="139" t="n"/>
      <x:c r="AF469" s="139" t="n"/>
      <x:c r="AG469" s="139" t="n"/>
      <x:c r="AH469" s="139" t="n"/>
      <x:c r="AI469" s="139" t="n"/>
      <x:c r="AJ469" s="139" t="n"/>
      <x:c r="AK469" s="139" t="n"/>
      <x:c r="AL469" s="139" t="n"/>
      <x:c r="AM469" s="139" t="n"/>
      <x:c r="AN469" s="139" t="n"/>
      <x:c r="AO469" s="139" t="n"/>
      <x:c r="AP469" s="139" t="n"/>
      <x:c r="AQ469" s="139" t="n"/>
      <x:c r="AR469" s="139" t="n"/>
      <x:c r="AS469" s="139" t="n"/>
      <x:c r="AT469" s="139" t="n"/>
      <x:c r="AU469" s="139" t="n"/>
      <x:c r="AV469" s="139" t="n"/>
      <x:c r="AW469" s="139" t="n"/>
      <x:c r="AX469" s="139" t="n"/>
      <x:c r="AY469" s="139" t="n"/>
      <x:c r="AZ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c r="V470" s="139" t="n"/>
      <x:c r="W470" s="139" t="n"/>
      <x:c r="X470" s="139" t="n"/>
      <x:c r="Y470" s="139" t="n"/>
      <x:c r="Z470" s="139" t="n"/>
      <x:c r="AA470" s="139" t="n"/>
      <x:c r="AB470" s="139" t="n"/>
      <x:c r="AC470" s="139" t="n"/>
      <x:c r="AD470" s="139" t="n"/>
      <x:c r="AE470" s="139" t="n"/>
      <x:c r="AF470" s="139" t="n"/>
      <x:c r="AG470" s="139" t="n"/>
      <x:c r="AH470" s="139" t="n"/>
      <x:c r="AI470" s="139" t="n"/>
      <x:c r="AJ470" s="139" t="n"/>
      <x:c r="AK470" s="139" t="n"/>
      <x:c r="AL470" s="139" t="n"/>
      <x:c r="AM470" s="139" t="n"/>
      <x:c r="AN470" s="139" t="n"/>
      <x:c r="AO470" s="139" t="n"/>
      <x:c r="AP470" s="139" t="n"/>
      <x:c r="AQ470" s="139" t="n"/>
      <x:c r="AR470" s="139" t="n"/>
      <x:c r="AS470" s="139" t="n"/>
      <x:c r="AT470" s="139" t="n"/>
      <x:c r="AU470" s="139" t="n"/>
      <x:c r="AV470" s="139" t="n"/>
      <x:c r="AW470" s="139" t="n"/>
      <x:c r="AX470" s="139" t="n"/>
      <x:c r="AY470" s="139" t="n"/>
      <x:c r="AZ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c r="V471" s="139" t="n"/>
      <x:c r="W471" s="139" t="n"/>
      <x:c r="X471" s="139" t="n"/>
      <x:c r="Y471" s="139" t="n"/>
      <x:c r="Z471" s="139" t="n"/>
      <x:c r="AA471" s="139" t="n"/>
      <x:c r="AB471" s="139" t="n"/>
      <x:c r="AC471" s="139" t="n"/>
      <x:c r="AD471" s="139" t="n"/>
      <x:c r="AE471" s="139" t="n"/>
      <x:c r="AF471" s="139" t="n"/>
      <x:c r="AG471" s="139" t="n"/>
      <x:c r="AH471" s="139" t="n"/>
      <x:c r="AI471" s="139" t="n"/>
      <x:c r="AJ471" s="139" t="n"/>
      <x:c r="AK471" s="139" t="n"/>
      <x:c r="AL471" s="139" t="n"/>
      <x:c r="AM471" s="139" t="n"/>
      <x:c r="AN471" s="139" t="n"/>
      <x:c r="AO471" s="139" t="n"/>
      <x:c r="AP471" s="139" t="n"/>
      <x:c r="AQ471" s="139" t="n"/>
      <x:c r="AR471" s="139" t="n"/>
      <x:c r="AS471" s="139" t="n"/>
      <x:c r="AT471" s="139" t="n"/>
      <x:c r="AU471" s="139" t="n"/>
      <x:c r="AV471" s="139" t="n"/>
      <x:c r="AW471" s="139" t="n"/>
      <x:c r="AX471" s="139" t="n"/>
      <x:c r="AY471" s="139" t="n"/>
      <x:c r="AZ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c r="V472" s="139" t="n"/>
      <x:c r="W472" s="139" t="n"/>
      <x:c r="X472" s="139" t="n"/>
      <x:c r="Y472" s="139" t="n"/>
      <x:c r="Z472" s="139" t="n"/>
      <x:c r="AA472" s="139" t="n"/>
      <x:c r="AB472" s="139" t="n"/>
      <x:c r="AC472" s="139" t="n"/>
      <x:c r="AD472" s="139" t="n"/>
      <x:c r="AE472" s="139" t="n"/>
      <x:c r="AF472" s="139" t="n"/>
      <x:c r="AG472" s="139" t="n"/>
      <x:c r="AH472" s="139" t="n"/>
      <x:c r="AI472" s="139" t="n"/>
      <x:c r="AJ472" s="139" t="n"/>
      <x:c r="AK472" s="139" t="n"/>
      <x:c r="AL472" s="139" t="n"/>
      <x:c r="AM472" s="139" t="n"/>
      <x:c r="AN472" s="139" t="n"/>
      <x:c r="AO472" s="139" t="n"/>
      <x:c r="AP472" s="139" t="n"/>
      <x:c r="AQ472" s="139" t="n"/>
      <x:c r="AR472" s="139" t="n"/>
      <x:c r="AS472" s="139" t="n"/>
      <x:c r="AT472" s="139" t="n"/>
      <x:c r="AU472" s="139" t="n"/>
      <x:c r="AV472" s="139" t="n"/>
      <x:c r="AW472" s="139" t="n"/>
      <x:c r="AX472" s="139" t="n"/>
      <x:c r="AY472" s="139" t="n"/>
      <x:c r="AZ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c r="V473" s="139" t="n"/>
      <x:c r="W473" s="139" t="n"/>
      <x:c r="X473" s="139" t="n"/>
      <x:c r="Y473" s="139" t="n"/>
      <x:c r="Z473" s="139" t="n"/>
      <x:c r="AA473" s="139" t="n"/>
      <x:c r="AB473" s="139" t="n"/>
      <x:c r="AC473" s="139" t="n"/>
      <x:c r="AD473" s="139" t="n"/>
      <x:c r="AE473" s="139" t="n"/>
      <x:c r="AF473" s="139" t="n"/>
      <x:c r="AG473" s="139" t="n"/>
      <x:c r="AH473" s="139" t="n"/>
      <x:c r="AI473" s="139" t="n"/>
      <x:c r="AJ473" s="139" t="n"/>
      <x:c r="AK473" s="139" t="n"/>
      <x:c r="AL473" s="139" t="n"/>
      <x:c r="AM473" s="139" t="n"/>
      <x:c r="AN473" s="139" t="n"/>
      <x:c r="AO473" s="139" t="n"/>
      <x:c r="AP473" s="139" t="n"/>
      <x:c r="AQ473" s="139" t="n"/>
      <x:c r="AR473" s="139" t="n"/>
      <x:c r="AS473" s="139" t="n"/>
      <x:c r="AT473" s="139" t="n"/>
      <x:c r="AU473" s="139" t="n"/>
      <x:c r="AV473" s="139" t="n"/>
      <x:c r="AW473" s="139" t="n"/>
      <x:c r="AX473" s="139" t="n"/>
      <x:c r="AY473" s="139" t="n"/>
      <x:c r="AZ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c r="V474" s="139" t="n"/>
      <x:c r="W474" s="139" t="n"/>
      <x:c r="X474" s="139" t="n"/>
      <x:c r="Y474" s="139" t="n"/>
      <x:c r="Z474" s="139" t="n"/>
      <x:c r="AA474" s="139" t="n"/>
      <x:c r="AB474" s="139" t="n"/>
      <x:c r="AC474" s="139" t="n"/>
      <x:c r="AD474" s="139" t="n"/>
      <x:c r="AE474" s="139" t="n"/>
      <x:c r="AF474" s="139" t="n"/>
      <x:c r="AG474" s="139" t="n"/>
      <x:c r="AH474" s="139" t="n"/>
      <x:c r="AI474" s="139" t="n"/>
      <x:c r="AJ474" s="139" t="n"/>
      <x:c r="AK474" s="139" t="n"/>
      <x:c r="AL474" s="139" t="n"/>
      <x:c r="AM474" s="139" t="n"/>
      <x:c r="AN474" s="139" t="n"/>
      <x:c r="AO474" s="139" t="n"/>
      <x:c r="AP474" s="139" t="n"/>
      <x:c r="AQ474" s="139" t="n"/>
      <x:c r="AR474" s="139" t="n"/>
      <x:c r="AS474" s="139" t="n"/>
      <x:c r="AT474" s="139" t="n"/>
      <x:c r="AU474" s="139" t="n"/>
      <x:c r="AV474" s="139" t="n"/>
      <x:c r="AW474" s="139" t="n"/>
      <x:c r="AX474" s="139" t="n"/>
      <x:c r="AY474" s="139" t="n"/>
      <x:c r="AZ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c r="V475" s="139" t="n"/>
      <x:c r="W475" s="139" t="n"/>
      <x:c r="X475" s="139" t="n"/>
      <x:c r="Y475" s="139" t="n"/>
      <x:c r="Z475" s="139" t="n"/>
      <x:c r="AA475" s="139" t="n"/>
      <x:c r="AB475" s="139" t="n"/>
      <x:c r="AC475" s="139" t="n"/>
      <x:c r="AD475" s="139" t="n"/>
      <x:c r="AE475" s="139" t="n"/>
      <x:c r="AF475" s="139" t="n"/>
      <x:c r="AG475" s="139" t="n"/>
      <x:c r="AH475" s="139" t="n"/>
      <x:c r="AI475" s="139" t="n"/>
      <x:c r="AJ475" s="139" t="n"/>
      <x:c r="AK475" s="139" t="n"/>
      <x:c r="AL475" s="139" t="n"/>
      <x:c r="AM475" s="139" t="n"/>
      <x:c r="AN475" s="139" t="n"/>
      <x:c r="AO475" s="139" t="n"/>
      <x:c r="AP475" s="139" t="n"/>
      <x:c r="AQ475" s="139" t="n"/>
      <x:c r="AR475" s="139" t="n"/>
      <x:c r="AS475" s="139" t="n"/>
      <x:c r="AT475" s="139" t="n"/>
      <x:c r="AU475" s="139" t="n"/>
      <x:c r="AV475" s="139" t="n"/>
      <x:c r="AW475" s="139" t="n"/>
      <x:c r="AX475" s="139" t="n"/>
      <x:c r="AY475" s="139" t="n"/>
      <x:c r="AZ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c r="V476" s="139" t="n"/>
      <x:c r="W476" s="139" t="n"/>
      <x:c r="X476" s="139" t="n"/>
      <x:c r="Y476" s="139" t="n"/>
      <x:c r="Z476" s="139" t="n"/>
      <x:c r="AA476" s="139" t="n"/>
      <x:c r="AB476" s="139" t="n"/>
      <x:c r="AC476" s="139" t="n"/>
      <x:c r="AD476" s="139" t="n"/>
      <x:c r="AE476" s="139" t="n"/>
      <x:c r="AF476" s="139" t="n"/>
      <x:c r="AG476" s="139" t="n"/>
      <x:c r="AH476" s="139" t="n"/>
      <x:c r="AI476" s="139" t="n"/>
      <x:c r="AJ476" s="139" t="n"/>
      <x:c r="AK476" s="139" t="n"/>
      <x:c r="AL476" s="139" t="n"/>
      <x:c r="AM476" s="139" t="n"/>
      <x:c r="AN476" s="139" t="n"/>
      <x:c r="AO476" s="139" t="n"/>
      <x:c r="AP476" s="139" t="n"/>
      <x:c r="AQ476" s="139" t="n"/>
      <x:c r="AR476" s="139" t="n"/>
      <x:c r="AS476" s="139" t="n"/>
      <x:c r="AT476" s="139" t="n"/>
      <x:c r="AU476" s="139" t="n"/>
      <x:c r="AV476" s="139" t="n"/>
      <x:c r="AW476" s="139" t="n"/>
      <x:c r="AX476" s="139" t="n"/>
      <x:c r="AY476" s="139" t="n"/>
      <x:c r="AZ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c r="V477" s="139" t="n"/>
      <x:c r="W477" s="139" t="n"/>
      <x:c r="X477" s="139" t="n"/>
      <x:c r="Y477" s="139" t="n"/>
      <x:c r="Z477" s="139" t="n"/>
      <x:c r="AA477" s="139" t="n"/>
      <x:c r="AB477" s="139" t="n"/>
      <x:c r="AC477" s="139" t="n"/>
      <x:c r="AD477" s="139" t="n"/>
      <x:c r="AE477" s="139" t="n"/>
      <x:c r="AF477" s="139" t="n"/>
      <x:c r="AG477" s="139" t="n"/>
      <x:c r="AH477" s="139" t="n"/>
      <x:c r="AI477" s="139" t="n"/>
      <x:c r="AJ477" s="139" t="n"/>
      <x:c r="AK477" s="139" t="n"/>
      <x:c r="AL477" s="139" t="n"/>
      <x:c r="AM477" s="139" t="n"/>
      <x:c r="AN477" s="139" t="n"/>
      <x:c r="AO477" s="139" t="n"/>
      <x:c r="AP477" s="139" t="n"/>
      <x:c r="AQ477" s="139" t="n"/>
      <x:c r="AR477" s="139" t="n"/>
      <x:c r="AS477" s="139" t="n"/>
      <x:c r="AT477" s="139" t="n"/>
      <x:c r="AU477" s="139" t="n"/>
      <x:c r="AV477" s="139" t="n"/>
      <x:c r="AW477" s="139" t="n"/>
      <x:c r="AX477" s="139" t="n"/>
      <x:c r="AY477" s="139" t="n"/>
      <x:c r="AZ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c r="V478" s="139" t="n"/>
      <x:c r="W478" s="139" t="n"/>
      <x:c r="X478" s="139" t="n"/>
      <x:c r="Y478" s="139" t="n"/>
      <x:c r="Z478" s="139" t="n"/>
      <x:c r="AA478" s="139" t="n"/>
      <x:c r="AB478" s="139" t="n"/>
      <x:c r="AC478" s="139" t="n"/>
      <x:c r="AD478" s="139" t="n"/>
      <x:c r="AE478" s="139" t="n"/>
      <x:c r="AF478" s="139" t="n"/>
      <x:c r="AG478" s="139" t="n"/>
      <x:c r="AH478" s="139" t="n"/>
      <x:c r="AI478" s="139" t="n"/>
      <x:c r="AJ478" s="139" t="n"/>
      <x:c r="AK478" s="139" t="n"/>
      <x:c r="AL478" s="139" t="n"/>
      <x:c r="AM478" s="139" t="n"/>
      <x:c r="AN478" s="139" t="n"/>
      <x:c r="AO478" s="139" t="n"/>
      <x:c r="AP478" s="139" t="n"/>
      <x:c r="AQ478" s="139" t="n"/>
      <x:c r="AR478" s="139" t="n"/>
      <x:c r="AS478" s="139" t="n"/>
      <x:c r="AT478" s="139" t="n"/>
      <x:c r="AU478" s="139" t="n"/>
      <x:c r="AV478" s="139" t="n"/>
      <x:c r="AW478" s="139" t="n"/>
      <x:c r="AX478" s="139" t="n"/>
      <x:c r="AY478" s="139" t="n"/>
      <x:c r="AZ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c r="V479" s="139" t="n"/>
      <x:c r="W479" s="139" t="n"/>
      <x:c r="X479" s="139" t="n"/>
      <x:c r="Y479" s="139" t="n"/>
      <x:c r="Z479" s="139" t="n"/>
      <x:c r="AA479" s="139" t="n"/>
      <x:c r="AB479" s="139" t="n"/>
      <x:c r="AC479" s="139" t="n"/>
      <x:c r="AD479" s="139" t="n"/>
      <x:c r="AE479" s="139" t="n"/>
      <x:c r="AF479" s="139" t="n"/>
      <x:c r="AG479" s="139" t="n"/>
      <x:c r="AH479" s="139" t="n"/>
      <x:c r="AI479" s="139" t="n"/>
      <x:c r="AJ479" s="139" t="n"/>
      <x:c r="AK479" s="139" t="n"/>
      <x:c r="AL479" s="139" t="n"/>
      <x:c r="AM479" s="139" t="n"/>
      <x:c r="AN479" s="139" t="n"/>
      <x:c r="AO479" s="139" t="n"/>
      <x:c r="AP479" s="139" t="n"/>
      <x:c r="AQ479" s="139" t="n"/>
      <x:c r="AR479" s="139" t="n"/>
      <x:c r="AS479" s="139" t="n"/>
      <x:c r="AT479" s="139" t="n"/>
      <x:c r="AU479" s="139" t="n"/>
      <x:c r="AV479" s="139" t="n"/>
      <x:c r="AW479" s="139" t="n"/>
      <x:c r="AX479" s="139" t="n"/>
      <x:c r="AY479" s="139" t="n"/>
      <x:c r="AZ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c r="V480" s="139" t="n"/>
      <x:c r="W480" s="139" t="n"/>
      <x:c r="X480" s="139" t="n"/>
      <x:c r="Y480" s="139" t="n"/>
      <x:c r="Z480" s="139" t="n"/>
      <x:c r="AA480" s="139" t="n"/>
      <x:c r="AB480" s="139" t="n"/>
      <x:c r="AC480" s="139" t="n"/>
      <x:c r="AD480" s="139" t="n"/>
      <x:c r="AE480" s="139" t="n"/>
      <x:c r="AF480" s="139" t="n"/>
      <x:c r="AG480" s="139" t="n"/>
      <x:c r="AH480" s="139" t="n"/>
      <x:c r="AI480" s="139" t="n"/>
      <x:c r="AJ480" s="139" t="n"/>
      <x:c r="AK480" s="139" t="n"/>
      <x:c r="AL480" s="139" t="n"/>
      <x:c r="AM480" s="139" t="n"/>
      <x:c r="AN480" s="139" t="n"/>
      <x:c r="AO480" s="139" t="n"/>
      <x:c r="AP480" s="139" t="n"/>
      <x:c r="AQ480" s="139" t="n"/>
      <x:c r="AR480" s="139" t="n"/>
      <x:c r="AS480" s="139" t="n"/>
      <x:c r="AT480" s="139" t="n"/>
      <x:c r="AU480" s="139" t="n"/>
      <x:c r="AV480" s="139" t="n"/>
      <x:c r="AW480" s="139" t="n"/>
      <x:c r="AX480" s="139" t="n"/>
      <x:c r="AY480" s="139" t="n"/>
      <x:c r="AZ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c r="V481" s="139" t="n"/>
      <x:c r="W481" s="139" t="n"/>
      <x:c r="X481" s="139" t="n"/>
      <x:c r="Y481" s="139" t="n"/>
      <x:c r="Z481" s="139" t="n"/>
      <x:c r="AA481" s="139" t="n"/>
      <x:c r="AB481" s="139" t="n"/>
      <x:c r="AC481" s="139" t="n"/>
      <x:c r="AD481" s="139" t="n"/>
      <x:c r="AE481" s="139" t="n"/>
      <x:c r="AF481" s="139" t="n"/>
      <x:c r="AG481" s="139" t="n"/>
      <x:c r="AH481" s="139" t="n"/>
      <x:c r="AI481" s="139" t="n"/>
      <x:c r="AJ481" s="139" t="n"/>
      <x:c r="AK481" s="139" t="n"/>
      <x:c r="AL481" s="139" t="n"/>
      <x:c r="AM481" s="139" t="n"/>
      <x:c r="AN481" s="139" t="n"/>
      <x:c r="AO481" s="139" t="n"/>
      <x:c r="AP481" s="139" t="n"/>
      <x:c r="AQ481" s="139" t="n"/>
      <x:c r="AR481" s="139" t="n"/>
      <x:c r="AS481" s="139" t="n"/>
      <x:c r="AT481" s="139" t="n"/>
      <x:c r="AU481" s="139" t="n"/>
      <x:c r="AV481" s="139" t="n"/>
      <x:c r="AW481" s="139" t="n"/>
      <x:c r="AX481" s="139" t="n"/>
      <x:c r="AY481" s="139" t="n"/>
      <x:c r="AZ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c r="V482" s="139" t="n"/>
      <x:c r="W482" s="139" t="n"/>
      <x:c r="X482" s="139" t="n"/>
      <x:c r="Y482" s="139" t="n"/>
      <x:c r="Z482" s="139" t="n"/>
      <x:c r="AA482" s="139" t="n"/>
      <x:c r="AB482" s="139" t="n"/>
      <x:c r="AC482" s="139" t="n"/>
      <x:c r="AD482" s="139" t="n"/>
      <x:c r="AE482" s="139" t="n"/>
      <x:c r="AF482" s="139" t="n"/>
      <x:c r="AG482" s="139" t="n"/>
      <x:c r="AH482" s="139" t="n"/>
      <x:c r="AI482" s="139" t="n"/>
      <x:c r="AJ482" s="139" t="n"/>
      <x:c r="AK482" s="139" t="n"/>
      <x:c r="AL482" s="139" t="n"/>
      <x:c r="AM482" s="139" t="n"/>
      <x:c r="AN482" s="139" t="n"/>
      <x:c r="AO482" s="139" t="n"/>
      <x:c r="AP482" s="139" t="n"/>
      <x:c r="AQ482" s="139" t="n"/>
      <x:c r="AR482" s="139" t="n"/>
      <x:c r="AS482" s="139" t="n"/>
      <x:c r="AT482" s="139" t="n"/>
      <x:c r="AU482" s="139" t="n"/>
      <x:c r="AV482" s="139" t="n"/>
      <x:c r="AW482" s="139" t="n"/>
      <x:c r="AX482" s="139" t="n"/>
      <x:c r="AY482" s="139" t="n"/>
      <x:c r="AZ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c r="V483" s="139" t="n"/>
      <x:c r="W483" s="139" t="n"/>
      <x:c r="X483" s="139" t="n"/>
      <x:c r="Y483" s="139" t="n"/>
      <x:c r="Z483" s="139" t="n"/>
      <x:c r="AA483" s="139" t="n"/>
      <x:c r="AB483" s="139" t="n"/>
      <x:c r="AC483" s="139" t="n"/>
      <x:c r="AD483" s="139" t="n"/>
      <x:c r="AE483" s="139" t="n"/>
      <x:c r="AF483" s="139" t="n"/>
      <x:c r="AG483" s="139" t="n"/>
      <x:c r="AH483" s="139" t="n"/>
      <x:c r="AI483" s="139" t="n"/>
      <x:c r="AJ483" s="139" t="n"/>
      <x:c r="AK483" s="139" t="n"/>
      <x:c r="AL483" s="139" t="n"/>
      <x:c r="AM483" s="139" t="n"/>
      <x:c r="AN483" s="139" t="n"/>
      <x:c r="AO483" s="139" t="n"/>
      <x:c r="AP483" s="139" t="n"/>
      <x:c r="AQ483" s="139" t="n"/>
      <x:c r="AR483" s="139" t="n"/>
      <x:c r="AS483" s="139" t="n"/>
      <x:c r="AT483" s="139" t="n"/>
      <x:c r="AU483" s="139" t="n"/>
      <x:c r="AV483" s="139" t="n"/>
      <x:c r="AW483" s="139" t="n"/>
      <x:c r="AX483" s="139" t="n"/>
      <x:c r="AY483" s="139" t="n"/>
      <x:c r="AZ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c r="V484" s="139" t="n"/>
      <x:c r="W484" s="139" t="n"/>
      <x:c r="X484" s="139" t="n"/>
      <x:c r="Y484" s="139" t="n"/>
      <x:c r="Z484" s="139" t="n"/>
      <x:c r="AA484" s="139" t="n"/>
      <x:c r="AB484" s="139" t="n"/>
      <x:c r="AC484" s="139" t="n"/>
      <x:c r="AD484" s="139" t="n"/>
      <x:c r="AE484" s="139" t="n"/>
      <x:c r="AF484" s="139" t="n"/>
      <x:c r="AG484" s="139" t="n"/>
      <x:c r="AH484" s="139" t="n"/>
      <x:c r="AI484" s="139" t="n"/>
      <x:c r="AJ484" s="139" t="n"/>
      <x:c r="AK484" s="139" t="n"/>
      <x:c r="AL484" s="139" t="n"/>
      <x:c r="AM484" s="139" t="n"/>
      <x:c r="AN484" s="139" t="n"/>
      <x:c r="AO484" s="139" t="n"/>
      <x:c r="AP484" s="139" t="n"/>
      <x:c r="AQ484" s="139" t="n"/>
      <x:c r="AR484" s="139" t="n"/>
      <x:c r="AS484" s="139" t="n"/>
      <x:c r="AT484" s="139" t="n"/>
      <x:c r="AU484" s="139" t="n"/>
      <x:c r="AV484" s="139" t="n"/>
      <x:c r="AW484" s="139" t="n"/>
      <x:c r="AX484" s="139" t="n"/>
      <x:c r="AY484" s="139" t="n"/>
      <x:c r="AZ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c r="V485" s="139" t="n"/>
      <x:c r="W485" s="139" t="n"/>
      <x:c r="X485" s="139" t="n"/>
      <x:c r="Y485" s="139" t="n"/>
      <x:c r="Z485" s="139" t="n"/>
      <x:c r="AA485" s="139" t="n"/>
      <x:c r="AB485" s="139" t="n"/>
      <x:c r="AC485" s="139" t="n"/>
      <x:c r="AD485" s="139" t="n"/>
      <x:c r="AE485" s="139" t="n"/>
      <x:c r="AF485" s="139" t="n"/>
      <x:c r="AG485" s="139" t="n"/>
      <x:c r="AH485" s="139" t="n"/>
      <x:c r="AI485" s="139" t="n"/>
      <x:c r="AJ485" s="139" t="n"/>
      <x:c r="AK485" s="139" t="n"/>
      <x:c r="AL485" s="139" t="n"/>
      <x:c r="AM485" s="139" t="n"/>
      <x:c r="AN485" s="139" t="n"/>
      <x:c r="AO485" s="139" t="n"/>
      <x:c r="AP485" s="139" t="n"/>
      <x:c r="AQ485" s="139" t="n"/>
      <x:c r="AR485" s="139" t="n"/>
      <x:c r="AS485" s="139" t="n"/>
      <x:c r="AT485" s="139" t="n"/>
      <x:c r="AU485" s="139" t="n"/>
      <x:c r="AV485" s="139" t="n"/>
      <x:c r="AW485" s="139" t="n"/>
      <x:c r="AX485" s="139" t="n"/>
      <x:c r="AY485" s="139" t="n"/>
      <x:c r="AZ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c r="V486" s="139" t="n"/>
      <x:c r="W486" s="139" t="n"/>
      <x:c r="X486" s="139" t="n"/>
      <x:c r="Y486" s="139" t="n"/>
      <x:c r="Z486" s="139" t="n"/>
      <x:c r="AA486" s="139" t="n"/>
      <x:c r="AB486" s="139" t="n"/>
      <x:c r="AC486" s="139" t="n"/>
      <x:c r="AD486" s="139" t="n"/>
      <x:c r="AE486" s="139" t="n"/>
      <x:c r="AF486" s="139" t="n"/>
      <x:c r="AG486" s="139" t="n"/>
      <x:c r="AH486" s="139" t="n"/>
      <x:c r="AI486" s="139" t="n"/>
      <x:c r="AJ486" s="139" t="n"/>
      <x:c r="AK486" s="139" t="n"/>
      <x:c r="AL486" s="139" t="n"/>
      <x:c r="AM486" s="139" t="n"/>
      <x:c r="AN486" s="139" t="n"/>
      <x:c r="AO486" s="139" t="n"/>
      <x:c r="AP486" s="139" t="n"/>
      <x:c r="AQ486" s="139" t="n"/>
      <x:c r="AR486" s="139" t="n"/>
      <x:c r="AS486" s="139" t="n"/>
      <x:c r="AT486" s="139" t="n"/>
      <x:c r="AU486" s="139" t="n"/>
      <x:c r="AV486" s="139" t="n"/>
      <x:c r="AW486" s="139" t="n"/>
      <x:c r="AX486" s="139" t="n"/>
      <x:c r="AY486" s="139" t="n"/>
      <x:c r="AZ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c r="V487" s="139" t="n"/>
      <x:c r="W487" s="139" t="n"/>
      <x:c r="X487" s="139" t="n"/>
      <x:c r="Y487" s="139" t="n"/>
      <x:c r="Z487" s="139" t="n"/>
      <x:c r="AA487" s="139" t="n"/>
      <x:c r="AB487" s="139" t="n"/>
      <x:c r="AC487" s="139" t="n"/>
      <x:c r="AD487" s="139" t="n"/>
      <x:c r="AE487" s="139" t="n"/>
      <x:c r="AF487" s="139" t="n"/>
      <x:c r="AG487" s="139" t="n"/>
      <x:c r="AH487" s="139" t="n"/>
      <x:c r="AI487" s="139" t="n"/>
      <x:c r="AJ487" s="139" t="n"/>
      <x:c r="AK487" s="139" t="n"/>
      <x:c r="AL487" s="139" t="n"/>
      <x:c r="AM487" s="139" t="n"/>
      <x:c r="AN487" s="139" t="n"/>
      <x:c r="AO487" s="139" t="n"/>
      <x:c r="AP487" s="139" t="n"/>
      <x:c r="AQ487" s="139" t="n"/>
      <x:c r="AR487" s="139" t="n"/>
      <x:c r="AS487" s="139" t="n"/>
      <x:c r="AT487" s="139" t="n"/>
      <x:c r="AU487" s="139" t="n"/>
      <x:c r="AV487" s="139" t="n"/>
      <x:c r="AW487" s="139" t="n"/>
      <x:c r="AX487" s="139" t="n"/>
      <x:c r="AY487" s="139" t="n"/>
      <x:c r="AZ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c r="V488" s="139" t="n"/>
      <x:c r="W488" s="139" t="n"/>
      <x:c r="X488" s="139" t="n"/>
      <x:c r="Y488" s="139" t="n"/>
      <x:c r="Z488" s="139" t="n"/>
      <x:c r="AA488" s="139" t="n"/>
      <x:c r="AB488" s="139" t="n"/>
      <x:c r="AC488" s="139" t="n"/>
      <x:c r="AD488" s="139" t="n"/>
      <x:c r="AE488" s="139" t="n"/>
      <x:c r="AF488" s="139" t="n"/>
      <x:c r="AG488" s="139" t="n"/>
      <x:c r="AH488" s="139" t="n"/>
      <x:c r="AI488" s="139" t="n"/>
      <x:c r="AJ488" s="139" t="n"/>
      <x:c r="AK488" s="139" t="n"/>
      <x:c r="AL488" s="139" t="n"/>
      <x:c r="AM488" s="139" t="n"/>
      <x:c r="AN488" s="139" t="n"/>
      <x:c r="AO488" s="139" t="n"/>
      <x:c r="AP488" s="139" t="n"/>
      <x:c r="AQ488" s="139" t="n"/>
      <x:c r="AR488" s="139" t="n"/>
      <x:c r="AS488" s="139" t="n"/>
      <x:c r="AT488" s="139" t="n"/>
      <x:c r="AU488" s="139" t="n"/>
      <x:c r="AV488" s="139" t="n"/>
      <x:c r="AW488" s="139" t="n"/>
      <x:c r="AX488" s="139" t="n"/>
      <x:c r="AY488" s="139" t="n"/>
      <x:c r="AZ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c r="V489" s="139" t="n"/>
      <x:c r="W489" s="139" t="n"/>
      <x:c r="X489" s="139" t="n"/>
      <x:c r="Y489" s="139" t="n"/>
      <x:c r="Z489" s="139" t="n"/>
      <x:c r="AA489" s="139" t="n"/>
      <x:c r="AB489" s="139" t="n"/>
      <x:c r="AC489" s="139" t="n"/>
      <x:c r="AD489" s="139" t="n"/>
      <x:c r="AE489" s="139" t="n"/>
      <x:c r="AF489" s="139" t="n"/>
      <x:c r="AG489" s="139" t="n"/>
      <x:c r="AH489" s="139" t="n"/>
      <x:c r="AI489" s="139" t="n"/>
      <x:c r="AJ489" s="139" t="n"/>
      <x:c r="AK489" s="139" t="n"/>
      <x:c r="AL489" s="139" t="n"/>
      <x:c r="AM489" s="139" t="n"/>
      <x:c r="AN489" s="139" t="n"/>
      <x:c r="AO489" s="139" t="n"/>
      <x:c r="AP489" s="139" t="n"/>
      <x:c r="AQ489" s="139" t="n"/>
      <x:c r="AR489" s="139" t="n"/>
      <x:c r="AS489" s="139" t="n"/>
      <x:c r="AT489" s="139" t="n"/>
      <x:c r="AU489" s="139" t="n"/>
      <x:c r="AV489" s="139" t="n"/>
      <x:c r="AW489" s="139" t="n"/>
      <x:c r="AX489" s="139" t="n"/>
      <x:c r="AY489" s="139" t="n"/>
      <x:c r="AZ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c r="V490" s="139" t="n"/>
      <x:c r="W490" s="139" t="n"/>
      <x:c r="X490" s="139" t="n"/>
      <x:c r="Y490" s="139" t="n"/>
      <x:c r="Z490" s="139" t="n"/>
      <x:c r="AA490" s="139" t="n"/>
      <x:c r="AB490" s="139" t="n"/>
      <x:c r="AC490" s="139" t="n"/>
      <x:c r="AD490" s="139" t="n"/>
      <x:c r="AE490" s="139" t="n"/>
      <x:c r="AF490" s="139" t="n"/>
      <x:c r="AG490" s="139" t="n"/>
      <x:c r="AH490" s="139" t="n"/>
      <x:c r="AI490" s="139" t="n"/>
      <x:c r="AJ490" s="139" t="n"/>
      <x:c r="AK490" s="139" t="n"/>
      <x:c r="AL490" s="139" t="n"/>
      <x:c r="AM490" s="139" t="n"/>
      <x:c r="AN490" s="139" t="n"/>
      <x:c r="AO490" s="139" t="n"/>
      <x:c r="AP490" s="139" t="n"/>
      <x:c r="AQ490" s="139" t="n"/>
      <x:c r="AR490" s="139" t="n"/>
      <x:c r="AS490" s="139" t="n"/>
      <x:c r="AT490" s="139" t="n"/>
      <x:c r="AU490" s="139" t="n"/>
      <x:c r="AV490" s="139" t="n"/>
      <x:c r="AW490" s="139" t="n"/>
      <x:c r="AX490" s="139" t="n"/>
      <x:c r="AY490" s="139" t="n"/>
      <x:c r="AZ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c r="V491" s="139" t="n"/>
      <x:c r="W491" s="139" t="n"/>
      <x:c r="X491" s="139" t="n"/>
      <x:c r="Y491" s="139" t="n"/>
      <x:c r="Z491" s="139" t="n"/>
      <x:c r="AA491" s="139" t="n"/>
      <x:c r="AB491" s="139" t="n"/>
      <x:c r="AC491" s="139" t="n"/>
      <x:c r="AD491" s="139" t="n"/>
      <x:c r="AE491" s="139" t="n"/>
      <x:c r="AF491" s="139" t="n"/>
      <x:c r="AG491" s="139" t="n"/>
      <x:c r="AH491" s="139" t="n"/>
      <x:c r="AI491" s="139" t="n"/>
      <x:c r="AJ491" s="139" t="n"/>
      <x:c r="AK491" s="139" t="n"/>
      <x:c r="AL491" s="139" t="n"/>
      <x:c r="AM491" s="139" t="n"/>
      <x:c r="AN491" s="139" t="n"/>
      <x:c r="AO491" s="139" t="n"/>
      <x:c r="AP491" s="139" t="n"/>
      <x:c r="AQ491" s="139" t="n"/>
      <x:c r="AR491" s="139" t="n"/>
      <x:c r="AS491" s="139" t="n"/>
      <x:c r="AT491" s="139" t="n"/>
      <x:c r="AU491" s="139" t="n"/>
      <x:c r="AV491" s="139" t="n"/>
      <x:c r="AW491" s="139" t="n"/>
      <x:c r="AX491" s="139" t="n"/>
      <x:c r="AY491" s="139" t="n"/>
      <x:c r="AZ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c r="V492" s="139" t="n"/>
      <x:c r="W492" s="139" t="n"/>
      <x:c r="X492" s="139" t="n"/>
      <x:c r="Y492" s="139" t="n"/>
      <x:c r="Z492" s="139" t="n"/>
      <x:c r="AA492" s="139" t="n"/>
      <x:c r="AB492" s="139" t="n"/>
      <x:c r="AC492" s="139" t="n"/>
      <x:c r="AD492" s="139" t="n"/>
      <x:c r="AE492" s="139" t="n"/>
      <x:c r="AF492" s="139" t="n"/>
      <x:c r="AG492" s="139" t="n"/>
      <x:c r="AH492" s="139" t="n"/>
      <x:c r="AI492" s="139" t="n"/>
      <x:c r="AJ492" s="139" t="n"/>
      <x:c r="AK492" s="139" t="n"/>
      <x:c r="AL492" s="139" t="n"/>
      <x:c r="AM492" s="139" t="n"/>
      <x:c r="AN492" s="139" t="n"/>
      <x:c r="AO492" s="139" t="n"/>
      <x:c r="AP492" s="139" t="n"/>
      <x:c r="AQ492" s="139" t="n"/>
      <x:c r="AR492" s="139" t="n"/>
      <x:c r="AS492" s="139" t="n"/>
      <x:c r="AT492" s="139" t="n"/>
      <x:c r="AU492" s="139" t="n"/>
      <x:c r="AV492" s="139" t="n"/>
      <x:c r="AW492" s="139" t="n"/>
      <x:c r="AX492" s="139" t="n"/>
      <x:c r="AY492" s="139" t="n"/>
      <x:c r="AZ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c r="V493" s="139" t="n"/>
      <x:c r="W493" s="139" t="n"/>
      <x:c r="X493" s="139" t="n"/>
      <x:c r="Y493" s="139" t="n"/>
      <x:c r="Z493" s="139" t="n"/>
      <x:c r="AA493" s="139" t="n"/>
      <x:c r="AB493" s="139" t="n"/>
      <x:c r="AC493" s="139" t="n"/>
      <x:c r="AD493" s="139" t="n"/>
      <x:c r="AE493" s="139" t="n"/>
      <x:c r="AF493" s="139" t="n"/>
      <x:c r="AG493" s="139" t="n"/>
      <x:c r="AH493" s="139" t="n"/>
      <x:c r="AI493" s="139" t="n"/>
      <x:c r="AJ493" s="139" t="n"/>
      <x:c r="AK493" s="139" t="n"/>
      <x:c r="AL493" s="139" t="n"/>
      <x:c r="AM493" s="139" t="n"/>
      <x:c r="AN493" s="139" t="n"/>
      <x:c r="AO493" s="139" t="n"/>
      <x:c r="AP493" s="139" t="n"/>
      <x:c r="AQ493" s="139" t="n"/>
      <x:c r="AR493" s="139" t="n"/>
      <x:c r="AS493" s="139" t="n"/>
      <x:c r="AT493" s="139" t="n"/>
      <x:c r="AU493" s="139" t="n"/>
      <x:c r="AV493" s="139" t="n"/>
      <x:c r="AW493" s="139" t="n"/>
      <x:c r="AX493" s="139" t="n"/>
      <x:c r="AY493" s="139" t="n"/>
      <x:c r="AZ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c r="V494" s="139" t="n"/>
      <x:c r="W494" s="139" t="n"/>
      <x:c r="X494" s="139" t="n"/>
      <x:c r="Y494" s="139" t="n"/>
      <x:c r="Z494" s="139" t="n"/>
      <x:c r="AA494" s="139" t="n"/>
      <x:c r="AB494" s="139" t="n"/>
      <x:c r="AC494" s="139" t="n"/>
      <x:c r="AD494" s="139" t="n"/>
      <x:c r="AE494" s="139" t="n"/>
      <x:c r="AF494" s="139" t="n"/>
      <x:c r="AG494" s="139" t="n"/>
      <x:c r="AH494" s="139" t="n"/>
      <x:c r="AI494" s="139" t="n"/>
      <x:c r="AJ494" s="139" t="n"/>
      <x:c r="AK494" s="139" t="n"/>
      <x:c r="AL494" s="139" t="n"/>
      <x:c r="AM494" s="139" t="n"/>
      <x:c r="AN494" s="139" t="n"/>
      <x:c r="AO494" s="139" t="n"/>
      <x:c r="AP494" s="139" t="n"/>
      <x:c r="AQ494" s="139" t="n"/>
      <x:c r="AR494" s="139" t="n"/>
      <x:c r="AS494" s="139" t="n"/>
      <x:c r="AT494" s="139" t="n"/>
      <x:c r="AU494" s="139" t="n"/>
      <x:c r="AV494" s="139" t="n"/>
      <x:c r="AW494" s="139" t="n"/>
      <x:c r="AX494" s="139" t="n"/>
      <x:c r="AY494" s="139" t="n"/>
      <x:c r="AZ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c r="V495" s="139" t="n"/>
      <x:c r="W495" s="139" t="n"/>
      <x:c r="X495" s="139" t="n"/>
      <x:c r="Y495" s="139" t="n"/>
      <x:c r="Z495" s="139" t="n"/>
      <x:c r="AA495" s="139" t="n"/>
      <x:c r="AB495" s="139" t="n"/>
      <x:c r="AC495" s="139" t="n"/>
      <x:c r="AD495" s="139" t="n"/>
      <x:c r="AE495" s="139" t="n"/>
      <x:c r="AF495" s="139" t="n"/>
      <x:c r="AG495" s="139" t="n"/>
      <x:c r="AH495" s="139" t="n"/>
      <x:c r="AI495" s="139" t="n"/>
      <x:c r="AJ495" s="139" t="n"/>
      <x:c r="AK495" s="139" t="n"/>
      <x:c r="AL495" s="139" t="n"/>
      <x:c r="AM495" s="139" t="n"/>
      <x:c r="AN495" s="139" t="n"/>
      <x:c r="AO495" s="139" t="n"/>
      <x:c r="AP495" s="139" t="n"/>
      <x:c r="AQ495" s="139" t="n"/>
      <x:c r="AR495" s="139" t="n"/>
      <x:c r="AS495" s="139" t="n"/>
      <x:c r="AT495" s="139" t="n"/>
      <x:c r="AU495" s="139" t="n"/>
      <x:c r="AV495" s="139" t="n"/>
      <x:c r="AW495" s="139" t="n"/>
      <x:c r="AX495" s="139" t="n"/>
      <x:c r="AY495" s="139" t="n"/>
      <x:c r="AZ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c r="V496" s="139" t="n"/>
      <x:c r="W496" s="139" t="n"/>
      <x:c r="X496" s="139" t="n"/>
      <x:c r="Y496" s="139" t="n"/>
      <x:c r="Z496" s="139" t="n"/>
      <x:c r="AA496" s="139" t="n"/>
      <x:c r="AB496" s="139" t="n"/>
      <x:c r="AC496" s="139" t="n"/>
      <x:c r="AD496" s="139" t="n"/>
      <x:c r="AE496" s="139" t="n"/>
      <x:c r="AF496" s="139" t="n"/>
      <x:c r="AG496" s="139" t="n"/>
      <x:c r="AH496" s="139" t="n"/>
      <x:c r="AI496" s="139" t="n"/>
      <x:c r="AJ496" s="139" t="n"/>
      <x:c r="AK496" s="139" t="n"/>
      <x:c r="AL496" s="139" t="n"/>
      <x:c r="AM496" s="139" t="n"/>
      <x:c r="AN496" s="139" t="n"/>
      <x:c r="AO496" s="139" t="n"/>
      <x:c r="AP496" s="139" t="n"/>
      <x:c r="AQ496" s="139" t="n"/>
      <x:c r="AR496" s="139" t="n"/>
      <x:c r="AS496" s="139" t="n"/>
      <x:c r="AT496" s="139" t="n"/>
      <x:c r="AU496" s="139" t="n"/>
      <x:c r="AV496" s="139" t="n"/>
      <x:c r="AW496" s="139" t="n"/>
      <x:c r="AX496" s="139" t="n"/>
      <x:c r="AY496" s="139" t="n"/>
      <x:c r="AZ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c r="V497" s="139" t="n"/>
      <x:c r="W497" s="139" t="n"/>
      <x:c r="X497" s="139" t="n"/>
      <x:c r="Y497" s="139" t="n"/>
      <x:c r="Z497" s="139" t="n"/>
      <x:c r="AA497" s="139" t="n"/>
      <x:c r="AB497" s="139" t="n"/>
      <x:c r="AC497" s="139" t="n"/>
      <x:c r="AD497" s="139" t="n"/>
      <x:c r="AE497" s="139" t="n"/>
      <x:c r="AF497" s="139" t="n"/>
      <x:c r="AG497" s="139" t="n"/>
      <x:c r="AH497" s="139" t="n"/>
      <x:c r="AI497" s="139" t="n"/>
      <x:c r="AJ497" s="139" t="n"/>
      <x:c r="AK497" s="139" t="n"/>
      <x:c r="AL497" s="139" t="n"/>
      <x:c r="AM497" s="139" t="n"/>
      <x:c r="AN497" s="139" t="n"/>
      <x:c r="AO497" s="139" t="n"/>
      <x:c r="AP497" s="139" t="n"/>
      <x:c r="AQ497" s="139" t="n"/>
      <x:c r="AR497" s="139" t="n"/>
      <x:c r="AS497" s="139" t="n"/>
      <x:c r="AT497" s="139" t="n"/>
      <x:c r="AU497" s="139" t="n"/>
      <x:c r="AV497" s="139" t="n"/>
      <x:c r="AW497" s="139" t="n"/>
      <x:c r="AX497" s="139" t="n"/>
      <x:c r="AY497" s="139" t="n"/>
      <x:c r="AZ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c r="V498" s="139" t="n"/>
      <x:c r="W498" s="139" t="n"/>
      <x:c r="X498" s="139" t="n"/>
      <x:c r="Y498" s="139" t="n"/>
      <x:c r="Z498" s="139" t="n"/>
      <x:c r="AA498" s="139" t="n"/>
      <x:c r="AB498" s="139" t="n"/>
      <x:c r="AC498" s="139" t="n"/>
      <x:c r="AD498" s="139" t="n"/>
      <x:c r="AE498" s="139" t="n"/>
      <x:c r="AF498" s="139" t="n"/>
      <x:c r="AG498" s="139" t="n"/>
      <x:c r="AH498" s="139" t="n"/>
      <x:c r="AI498" s="139" t="n"/>
      <x:c r="AJ498" s="139" t="n"/>
      <x:c r="AK498" s="139" t="n"/>
      <x:c r="AL498" s="139" t="n"/>
      <x:c r="AM498" s="139" t="n"/>
      <x:c r="AN498" s="139" t="n"/>
      <x:c r="AO498" s="139" t="n"/>
      <x:c r="AP498" s="139" t="n"/>
      <x:c r="AQ498" s="139" t="n"/>
      <x:c r="AR498" s="139" t="n"/>
      <x:c r="AS498" s="139" t="n"/>
      <x:c r="AT498" s="139" t="n"/>
      <x:c r="AU498" s="139" t="n"/>
      <x:c r="AV498" s="139" t="n"/>
      <x:c r="AW498" s="139" t="n"/>
      <x:c r="AX498" s="139" t="n"/>
      <x:c r="AY498" s="139" t="n"/>
      <x:c r="AZ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c r="V499" s="139" t="n"/>
      <x:c r="W499" s="139" t="n"/>
      <x:c r="X499" s="139" t="n"/>
      <x:c r="Y499" s="139" t="n"/>
      <x:c r="Z499" s="139" t="n"/>
      <x:c r="AA499" s="139" t="n"/>
      <x:c r="AB499" s="139" t="n"/>
      <x:c r="AC499" s="139" t="n"/>
      <x:c r="AD499" s="139" t="n"/>
      <x:c r="AE499" s="139" t="n"/>
      <x:c r="AF499" s="139" t="n"/>
      <x:c r="AG499" s="139" t="n"/>
      <x:c r="AH499" s="139" t="n"/>
      <x:c r="AI499" s="139" t="n"/>
      <x:c r="AJ499" s="139" t="n"/>
      <x:c r="AK499" s="139" t="n"/>
      <x:c r="AL499" s="139" t="n"/>
      <x:c r="AM499" s="139" t="n"/>
      <x:c r="AN499" s="139" t="n"/>
      <x:c r="AO499" s="139" t="n"/>
      <x:c r="AP499" s="139" t="n"/>
      <x:c r="AQ499" s="139" t="n"/>
      <x:c r="AR499" s="139" t="n"/>
      <x:c r="AS499" s="139" t="n"/>
      <x:c r="AT499" s="139" t="n"/>
      <x:c r="AU499" s="139" t="n"/>
      <x:c r="AV499" s="139" t="n"/>
      <x:c r="AW499" s="139" t="n"/>
      <x:c r="AX499" s="139" t="n"/>
      <x:c r="AY499" s="139" t="n"/>
      <x:c r="AZ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c r="V500" s="139" t="n"/>
      <x:c r="W500" s="139" t="n"/>
      <x:c r="X500" s="139" t="n"/>
      <x:c r="Y500" s="139" t="n"/>
      <x:c r="Z500" s="139" t="n"/>
      <x:c r="AA500" s="139" t="n"/>
      <x:c r="AB500" s="139" t="n"/>
      <x:c r="AC500" s="139" t="n"/>
      <x:c r="AD500" s="139" t="n"/>
      <x:c r="AE500" s="139" t="n"/>
      <x:c r="AF500" s="139" t="n"/>
      <x:c r="AG500" s="139" t="n"/>
      <x:c r="AH500" s="139" t="n"/>
      <x:c r="AI500" s="139" t="n"/>
      <x:c r="AJ500" s="139" t="n"/>
      <x:c r="AK500" s="139" t="n"/>
      <x:c r="AL500" s="139" t="n"/>
      <x:c r="AM500" s="139" t="n"/>
      <x:c r="AN500" s="139" t="n"/>
      <x:c r="AO500" s="139" t="n"/>
      <x:c r="AP500" s="139" t="n"/>
      <x:c r="AQ500" s="139" t="n"/>
      <x:c r="AR500" s="139" t="n"/>
      <x:c r="AS500" s="139" t="n"/>
      <x:c r="AT500" s="139" t="n"/>
      <x:c r="AU500" s="139" t="n"/>
      <x:c r="AV500" s="139" t="n"/>
      <x:c r="AW500" s="139" t="n"/>
      <x:c r="AX500" s="139" t="n"/>
      <x:c r="AY500" s="139" t="n"/>
      <x:c r="AZ500" s="139" t="n"/>
    </x:row>
  </x:sheetData>
  <x:pageMargins left="0.7" right="0.7" top="0.75" bottom="0.75" header="0.3" footer="0.3"/>
  <x:tableParts count="1">
    <x:tablePart xmlns:r="http://schemas.openxmlformats.org/officeDocument/2006/relationships" r:id="R31f60d9eaf4e41c7"/>
  </x:tableParts>
</x:worksheet>
</file>

<file path=xl/worksheets/sheet6.xml><?xml version="1.0" encoding="utf-8"?>
<x:worksheet xmlns:x="http://schemas.openxmlformats.org/spreadsheetml/2006/main">
  <x:sheetFormatPr baseColWidth="8" defaultRowHeight="15"/>
  <x:cols>
    <x:col min="1" max="1" width="18" style="125" customWidth="1"/>
    <x:col min="2" max="2" width="14" style="125" customWidth="1"/>
    <x:col min="3" max="3" width="14" style="125" customWidth="1"/>
    <x:col min="4" max="4" width="14" style="125" customWidth="1"/>
    <x:col min="5" max="5" width="14" style="125" customWidth="1"/>
    <x:col min="6" max="6" width="14" style="125" customWidth="1"/>
    <x:col min="7" max="7" width="14" style="125" customWidth="1"/>
    <x:col min="8" max="8" width="14" style="125" customWidth="1"/>
    <x:col min="9" max="9" width="14" style="125" customWidth="1"/>
    <x:col min="10" max="10" width="14" style="125" customWidth="1"/>
    <x:col min="11" max="11" width="14" style="125" customWidth="1"/>
    <x:col min="12" max="12" width="14" style="125" customWidth="1"/>
    <x:col min="13" max="13" width="14" style="125" customWidth="1"/>
    <x:col min="14" max="14" width="14" style="125" customWidth="1"/>
    <x:col min="15" max="15" width="14" style="125" customWidth="1"/>
    <x:col min="16" max="16" width="14" style="125" customWidth="1"/>
    <x:col min="17" max="17" width="14" style="125" customWidth="1"/>
    <x:col min="18" max="18" width="14" style="125" customWidth="1"/>
    <x:col min="19" max="19" width="14" style="125" customWidth="1"/>
    <x:col min="20" max="20" width="14" style="125" customWidth="1"/>
    <x:col min="21" max="21" width="14" style="125" customWidth="1"/>
    <x:col min="22" max="22" width="14" style="125" customWidth="1"/>
    <x:col min="23" max="23" width="14" style="125" customWidth="1"/>
    <x:col min="24" max="24" width="14" style="125" customWidth="1"/>
    <x:col min="25" max="25" width="14" style="125" customWidth="1"/>
    <x:col min="26" max="26" width="14" style="125" customWidth="1"/>
    <x:col min="27" max="27" width="14" style="125" customWidth="1"/>
    <x:col min="28" max="28" width="14" style="125" customWidth="1"/>
    <x:col min="29" max="29" width="14" style="125" customWidth="1"/>
  </x:cols>
  <x:sheetData>
    <x:row r="1">
      <x:c r="A1" s="92" t="inlineStr">
        <x:is>
          <x:t xml:space="preserve">Player</x:t>
        </x:is>
      </x:c>
      <x:c r="B1" s="92" t="inlineStr">
        <x:is>
          <x:t xml:space="preserve">MP</x:t>
        </x:is>
      </x:c>
      <x:c r="C1" s="92" t="inlineStr">
        <x:is>
          <x:t xml:space="preserve">Win %</x:t>
        </x:is>
      </x:c>
      <x:c r="D1" s="92" t="inlineStr">
        <x:is>
          <x:t xml:space="preserve">Strength of Schedule</x:t>
        </x:is>
      </x:c>
      <x:c r="E1" s="92" t="inlineStr">
        <x:is>
          <x:t xml:space="preserve">Partner Strength</x:t>
        </x:is>
      </x:c>
      <x:c r="F1" s="92" t="inlineStr">
        <x:is>
          <x:t xml:space="preserve">Expected Win %</x:t>
        </x:is>
      </x:c>
      <x:c r="G1" s="92" t="inlineStr">
        <x:is>
          <x:t xml:space="preserve">Performance vs Expectation</x:t>
        </x:is>
      </x:c>
      <x:c r="H1" s="92" t="inlineStr">
        <x:is>
          <x:t xml:space="preserve">Close MP</x:t>
        </x:is>
      </x:c>
      <x:c r="I1" s="92" t="inlineStr">
        <x:is>
          <x:t xml:space="preserve">Close W</x:t>
        </x:is>
      </x:c>
      <x:c r="J1" s="92" t="inlineStr">
        <x:is>
          <x:t xml:space="preserve">Close Win %</x:t>
        </x:is>
      </x:c>
      <x:c r="K1" s="92" t="inlineStr">
        <x:is>
          <x:t xml:space="preserve">Clutch Index</x:t>
        </x:is>
      </x:c>
      <x:c r="L1" s="92" t="inlineStr">
        <x:is>
          <x:t xml:space="preserve">Bounce-Back Opportunities</x:t>
        </x:is>
      </x:c>
      <x:c r="M1" s="92" t="inlineStr">
        <x:is>
          <x:t xml:space="preserve">Bounce-Back Wins</x:t>
        </x:is>
      </x:c>
      <x:c r="N1" s="92" t="inlineStr">
        <x:is>
          <x:t xml:space="preserve">Bounce-Back Rate</x:t>
        </x:is>
      </x:c>
      <x:c r="O1" s="92" t="inlineStr">
        <x:is>
          <x:t xml:space="preserve">Last 5 Wins</x:t>
        </x:is>
      </x:c>
      <x:c r="P1" s="92" t="inlineStr">
        <x:is>
          <x:t xml:space="preserve">Last 5 MP</x:t>
        </x:is>
      </x:c>
      <x:c r="Q1" s="92" t="inlineStr">
        <x:is>
          <x:t xml:space="preserve">Last 5 Win %</x:t>
        </x:is>
      </x:c>
      <x:c r="R1" s="92" t="inlineStr">
        <x:is>
          <x:t xml:space="preserve">Elite Opponent MP</x:t>
        </x:is>
      </x:c>
      <x:c r="S1" s="92" t="inlineStr">
        <x:is>
          <x:t xml:space="preserve">Elite Opponent Wins</x:t>
        </x:is>
      </x:c>
      <x:c r="T1" s="92" t="inlineStr">
        <x:is>
          <x:t xml:space="preserve">Elite Opponent Win %</x:t>
        </x:is>
      </x:c>
      <x:c r="U1" s="92" t="inlineStr">
        <x:is>
          <x:t xml:space="preserve">Unique Partners</x:t>
        </x:is>
      </x:c>
      <x:c r="V1" s="92" t="inlineStr">
        <x:is>
          <x:t xml:space="preserve">Unique Opponents</x:t>
        </x:is>
      </x:c>
      <x:c r="W1" s="92" t="inlineStr">
        <x:is>
          <x:t xml:space="preserve">Tournaments Played</x:t>
        </x:is>
      </x:c>
      <x:c r="X1" s="92" t="inlineStr">
        <x:is>
          <x:t xml:space="preserve">Avg Point Margin</x:t>
        </x:is>
      </x:c>
      <x:c r="Y1" s="92" t="inlineStr">
        <x:is>
          <x:t xml:space="preserve">Blowout Win Share</x:t>
        </x:is>
      </x:c>
      <x:c r="Z1" s="92" t="inlineStr">
        <x:is>
          <x:t xml:space="preserve">Dominance Index</x:t>
        </x:is>
      </x:c>
      <x:c r="AA1" s="92" t="inlineStr">
        <x:is>
          <x:t xml:space="preserve">Match Diff SD</x:t>
        </x:is>
      </x:c>
      <x:c r="AB1" s="92" t="inlineStr">
        <x:is>
          <x:t xml:space="preserve">Consistency Index</x:t>
        </x:is>
      </x:c>
      <x:c r="AC1" s="92" t="inlineStr">
        <x:is>
          <x:t xml:space="preserve">Versatility Index</x:t>
        </x:is>
      </x:c>
    </x:row>
    <x:row r="2">
      <x:c r="A2" s="139" t="inlineStr">
        <x:is>
          <x:t xml:space="preserve">Alice</x:t>
        </x:is>
      </x:c>
      <x:c r="B2" s="139" t="n">
        <x:v>14</x:v>
      </x:c>
      <x:c r="C2" s="93" t="n">
        <x:v>0.07142857142857142</x:v>
      </x:c>
      <x:c r="D2" s="93" t="n">
        <x:v>0.5498424194852766</x:v>
      </x:c>
      <x:c r="E2" s="93" t="n">
        <x:v>0.552242995100138</x:v>
      </x:c>
      <x:c r="F2" s="93" t="n">
        <x:v>0.3590328299460362</x:v>
      </x:c>
      <x:c r="G2" s="93" t="n">
        <x:v>-0.2876042585174649</x:v>
      </x:c>
      <x:c r="H2" s="139" t="n">
        <x:v>6</x:v>
      </x:c>
      <x:c r="I2" s="139" t="n">
        <x:v>1</x:v>
      </x:c>
      <x:c r="J2" s="93" t="n">
        <x:v>0.1666666666666667</x:v>
      </x:c>
      <x:c r="K2" s="95" t="n">
        <x:v>27.77777777777778</x:v>
      </x:c>
      <x:c r="L2" s="139" t="n">
        <x:v>12</x:v>
      </x:c>
      <x:c r="M2" s="139" t="n">
        <x:v>1</x:v>
      </x:c>
      <x:c r="N2" s="93" t="n">
        <x:v>0.08333333333333333</x:v>
      </x:c>
      <x:c r="O2" s="139" t="n">
        <x:v>0</x:v>
      </x:c>
      <x:c r="P2" s="139" t="n">
        <x:v>5</x:v>
      </x:c>
      <x:c r="Q2" s="93" t="n">
        <x:v>0</x:v>
      </x:c>
      <x:c r="R2" s="139" t="n">
        <x:v>3</x:v>
      </x:c>
      <x:c r="S2" s="139" t="n">
        <x:v>0</x:v>
      </x:c>
      <x:c r="T2" s="93" t="n">
        <x:v>0</x:v>
      </x:c>
      <x:c r="U2" s="139" t="n">
        <x:v>12</x:v>
      </x:c>
      <x:c r="V2" s="139" t="n">
        <x:v>13</x:v>
      </x:c>
      <x:c r="W2" s="139" t="n">
        <x:v>2</x:v>
      </x:c>
      <x:c r="X2" s="139" t="n">
        <x:v>-2.071428571428572</x:v>
      </x:c>
      <x:c r="Y2" s="93" t="n">
        <x:v>0</x:v>
      </x:c>
      <x:c r="Z2" s="95" t="n">
        <x:v>5.954198473282439</x:v>
      </x:c>
      <x:c r="AA2" s="95" t="n">
        <x:v>1.437472271249865</x:v>
      </x:c>
      <x:c r="AB2" s="95" t="n">
        <x:v>72.51048417976679</x:v>
      </x:c>
      <x:c r="AC2" s="95" t="n">
        <x:v>54</x:v>
      </x:c>
    </x:row>
    <x:row r="3">
      <x:c r="A3" s="139" t="inlineStr">
        <x:is>
          <x:t xml:space="preserve">Alwin</x:t>
        </x:is>
      </x:c>
      <x:c r="B3" s="139" t="n">
        <x:v>6</x:v>
      </x:c>
      <x:c r="C3" s="93" t="n">
        <x:v>0.1666666666666667</x:v>
      </x:c>
      <x:c r="D3" s="93" t="n">
        <x:v>0.5768009768009769</x:v>
      </x:c>
      <x:c r="E3" s="93" t="n">
        <x:v>0.5738095238095239</x:v>
      </x:c>
      <x:c r="F3" s="93" t="n">
        <x:v>0.3929757287670492</x:v>
      </x:c>
      <x:c r="G3" s="93" t="n">
        <x:v>-0.2263090621003825</x:v>
      </x:c>
      <x:c r="H3" s="139" t="n">
        <x:v>0</x:v>
      </x:c>
      <x:c r="I3" s="139" t="n">
        <x:v>0</x:v>
      </x:c>
      <x:c r="J3" s="93" t="n">
        <x:v>0.5</x:v>
      </x:c>
      <x:c r="K3" s="95" t="n">
        <x:v>50</x:v>
      </x:c>
      <x:c r="L3" s="139" t="n">
        <x:v>4</x:v>
      </x:c>
      <x:c r="M3" s="139" t="n">
        <x:v>1</x:v>
      </x:c>
      <x:c r="N3" s="93" t="n">
        <x:v>0.25</x:v>
      </x:c>
      <x:c r="O3" s="139" t="n">
        <x:v>1</x:v>
      </x:c>
      <x:c r="P3" s="139" t="n">
        <x:v>5</x:v>
      </x:c>
      <x:c r="Q3" s="93" t="n">
        <x:v>0.2</x:v>
      </x:c>
      <x:c r="R3" s="139" t="n">
        <x:v>4</x:v>
      </x:c>
      <x:c r="S3" s="139" t="n">
        <x:v>0</x:v>
      </x:c>
      <x:c r="T3" s="93" t="n">
        <x:v>0</x:v>
      </x:c>
      <x:c r="U3" s="139" t="n">
        <x:v>6</x:v>
      </x:c>
      <x:c r="V3" s="139" t="n">
        <x:v>7</x:v>
      </x:c>
      <x:c r="W3" s="139" t="n">
        <x:v>1</x:v>
      </x:c>
      <x:c r="X3" s="139" t="n">
        <x:v>-2</x:v>
      </x:c>
      <x:c r="Y3" s="93" t="n">
        <x:v>0</x:v>
      </x:c>
      <x:c r="Z3" s="95" t="n">
        <x:v>6.946564885496183</x:v>
      </x:c>
      <x:c r="AA3" s="95" t="n">
        <x:v>2.23606797749979</x:v>
      </x:c>
      <x:c r="AB3" s="95" t="n">
        <x:v>39.92521673675382</x:v>
      </x:c>
      <x:c r="AC3" s="95" t="n">
        <x:v>18</x:v>
      </x:c>
    </x:row>
    <x:row r="4">
      <x:c r="A4" s="139" t="inlineStr">
        <x:is>
          <x:t xml:space="preserve">Austin</x:t>
        </x:is>
      </x:c>
      <x:c r="B4" s="139" t="n">
        <x:v>14</x:v>
      </x:c>
      <x:c r="C4" s="93" t="n">
        <x:v>0.6428571428571429</x:v>
      </x:c>
      <x:c r="D4" s="93" t="n">
        <x:v>0.4960783264354692</x:v>
      </x:c>
      <x:c r="E4" s="93" t="n">
        <x:v>0.4604062604062604</x:v>
      </x:c>
      <x:c r="F4" s="93" t="n">
        <x:v>0.5287838588851679</x:v>
      </x:c>
      <x:c r="G4" s="93" t="n">
        <x:v>0.114073283971975</x:v>
      </x:c>
      <x:c r="H4" s="139" t="n">
        <x:v>5</x:v>
      </x:c>
      <x:c r="I4" s="139" t="n">
        <x:v>2</x:v>
      </x:c>
      <x:c r="J4" s="93" t="n">
        <x:v>0.4</x:v>
      </x:c>
      <x:c r="K4" s="95" t="n">
        <x:v>43.75</x:v>
      </x:c>
      <x:c r="L4" s="139" t="n">
        <x:v>5</x:v>
      </x:c>
      <x:c r="M4" s="139" t="n">
        <x:v>3</x:v>
      </x:c>
      <x:c r="N4" s="93" t="n">
        <x:v>0.6</x:v>
      </x:c>
      <x:c r="O4" s="139" t="n">
        <x:v>4</x:v>
      </x:c>
      <x:c r="P4" s="139" t="n">
        <x:v>5</x:v>
      </x:c>
      <x:c r="Q4" s="93" t="n">
        <x:v>0.8</x:v>
      </x:c>
      <x:c r="R4" s="139" t="n">
        <x:v>3</x:v>
      </x:c>
      <x:c r="S4" s="139" t="n">
        <x:v>1</x:v>
      </x:c>
      <x:c r="T4" s="93" t="n">
        <x:v>0.3333333333333333</x:v>
      </x:c>
      <x:c r="U4" s="139" t="n">
        <x:v>13</x:v>
      </x:c>
      <x:c r="V4" s="139" t="n">
        <x:v>14</x:v>
      </x:c>
      <x:c r="W4" s="139" t="n">
        <x:v>2</x:v>
      </x:c>
      <x:c r="X4" s="139" t="n">
        <x:v>1.428571428571429</x:v>
      </x:c>
      <x:c r="Y4" s="93" t="n">
        <x:v>0.2142857142857143</x:v>
      </x:c>
      <x:c r="Z4" s="95" t="n">
        <x:v>82.43729552889857</x:v>
      </x:c>
      <x:c r="AA4" s="95" t="n">
        <x:v>2.744196101756935</x:v>
      </x:c>
      <x:c r="AB4" s="95" t="n">
        <x:v>19.19195872565471</x:v>
      </x:c>
      <x:c r="AC4" s="95" t="n">
        <x:v>59.16666666666666</x:v>
      </x:c>
    </x:row>
    <x:row r="5">
      <x:c r="A5" s="139" t="inlineStr">
        <x:is>
          <x:t xml:space="preserve">David</x:t>
        </x:is>
      </x:c>
      <x:c r="B5" s="139" t="n">
        <x:v>12</x:v>
      </x:c>
      <x:c r="C5" s="93" t="n">
        <x:v>0.4166666666666667</x:v>
      </x:c>
      <x:c r="D5" s="93" t="n">
        <x:v>0.5258047508047509</x:v>
      </x:c>
      <x:c r="E5" s="93" t="n">
        <x:v>0.4896436896436896</x:v>
      </x:c>
      <x:c r="F5" s="93" t="n">
        <x:v>0.4652071880621062</x:v>
      </x:c>
      <x:c r="G5" s="93" t="n">
        <x:v>-0.04854052139543952</x:v>
      </x:c>
      <x:c r="H5" s="139" t="n">
        <x:v>6</x:v>
      </x:c>
      <x:c r="I5" s="139" t="n">
        <x:v>4</x:v>
      </x:c>
      <x:c r="J5" s="93" t="n">
        <x:v>0.6666666666666666</x:v>
      </x:c>
      <x:c r="K5" s="95" t="n">
        <x:v>61.11111111111111</x:v>
      </x:c>
      <x:c r="L5" s="139" t="n">
        <x:v>6</x:v>
      </x:c>
      <x:c r="M5" s="139" t="n">
        <x:v>3</x:v>
      </x:c>
      <x:c r="N5" s="93" t="n">
        <x:v>0.5</x:v>
      </x:c>
      <x:c r="O5" s="139" t="n">
        <x:v>2</x:v>
      </x:c>
      <x:c r="P5" s="139" t="n">
        <x:v>5</x:v>
      </x:c>
      <x:c r="Q5" s="93" t="n">
        <x:v>0.4</x:v>
      </x:c>
      <x:c r="R5" s="139" t="n">
        <x:v>4</x:v>
      </x:c>
      <x:c r="S5" s="139" t="n">
        <x:v>0</x:v>
      </x:c>
      <x:c r="T5" s="93" t="n">
        <x:v>0</x:v>
      </x:c>
      <x:c r="U5" s="139" t="n">
        <x:v>8</x:v>
      </x:c>
      <x:c r="V5" s="139" t="n">
        <x:v>12</x:v>
      </x:c>
      <x:c r="W5" s="139" t="n">
        <x:v>2</x:v>
      </x:c>
      <x:c r="X5" s="139" t="n">
        <x:v>-0.9166666666666666</x:v>
      </x:c>
      <x:c r="Y5" s="93" t="n">
        <x:v>0</x:v>
      </x:c>
      <x:c r="Z5" s="95" t="n">
        <x:v>21.99745547073792</x:v>
      </x:c>
      <x:c r="AA5" s="95" t="n">
        <x:v>2.253084305765963</x:v>
      </x:c>
      <x:c r="AB5" s="95" t="n">
        <x:v>39.23089593949447</x:v>
      </x:c>
      <x:c r="AC5" s="95" t="n">
        <x:v>40.83333333333333</x:v>
      </x:c>
    </x:row>
    <x:row r="6">
      <x:c r="A6" s="139" t="inlineStr">
        <x:is>
          <x:t xml:space="preserve">Donny</x:t>
        </x:is>
      </x:c>
      <x:c r="B6" s="139" t="n">
        <x:v>11</x:v>
      </x:c>
      <x:c r="C6" s="93" t="n">
        <x:v>0.3636363636363636</x:v>
      </x:c>
      <x:c r="D6" s="93" t="n">
        <x:v>0.5334748584748584</x:v>
      </x:c>
      <x:c r="E6" s="93" t="n">
        <x:v>0.5473692973692974</x:v>
      </x:c>
      <x:c r="F6" s="93" t="n">
        <x:v>0.4549571435463682</x:v>
      </x:c>
      <x:c r="G6" s="93" t="n">
        <x:v>-0.09132077991000453</x:v>
      </x:c>
      <x:c r="H6" s="139" t="n">
        <x:v>6</x:v>
      </x:c>
      <x:c r="I6" s="139" t="n">
        <x:v>2</x:v>
      </x:c>
      <x:c r="J6" s="93" t="n">
        <x:v>0.3333333333333333</x:v>
      </x:c>
      <x:c r="K6" s="95" t="n">
        <x:v>38.88888888888889</x:v>
      </x:c>
      <x:c r="L6" s="139" t="n">
        <x:v>6</x:v>
      </x:c>
      <x:c r="M6" s="139" t="n">
        <x:v>2</x:v>
      </x:c>
      <x:c r="N6" s="93" t="n">
        <x:v>0.3333333333333333</x:v>
      </x:c>
      <x:c r="O6" s="139" t="n">
        <x:v>2</x:v>
      </x:c>
      <x:c r="P6" s="139" t="n">
        <x:v>5</x:v>
      </x:c>
      <x:c r="Q6" s="93" t="n">
        <x:v>0.4</x:v>
      </x:c>
      <x:c r="R6" s="139" t="n">
        <x:v>3</x:v>
      </x:c>
      <x:c r="S6" s="139" t="n">
        <x:v>0</x:v>
      </x:c>
      <x:c r="T6" s="93" t="n">
        <x:v>0</x:v>
      </x:c>
      <x:c r="U6" s="139" t="n">
        <x:v>11</x:v>
      </x:c>
      <x:c r="V6" s="139" t="n">
        <x:v>11</x:v>
      </x:c>
      <x:c r="W6" s="139" t="n">
        <x:v>2</x:v>
      </x:c>
      <x:c r="X6" s="139" t="n">
        <x:v>-0.6363636363636364</x:v>
      </x:c>
      <x:c r="Y6" s="93" t="n">
        <x:v>0</x:v>
      </x:c>
      <x:c r="Z6" s="95" t="n">
        <x:v>25.89174184594032</x:v>
      </x:c>
      <x:c r="AA6" s="95" t="n">
        <x:v>2.10076727423479</x:v>
      </x:c>
      <x:c r="AB6" s="95" t="n">
        <x:v>45.44591959880753</x:v>
      </x:c>
      <x:c r="AC6" s="95" t="n">
        <x:v>46.33333333333334</x:v>
      </x:c>
    </x:row>
    <x:row r="7">
      <x:c r="A7" s="139" t="inlineStr">
        <x:is>
          <x:t xml:space="preserve">Edy SP</x:t>
        </x:is>
      </x:c>
      <x:c r="B7" s="139" t="n">
        <x:v>30</x:v>
      </x:c>
      <x:c r="C7" s="93" t="n">
        <x:v>0.4666666666666667</x:v>
      </x:c>
      <x:c r="D7" s="93" t="n">
        <x:v>0.4956038406038406</x:v>
      </x:c>
      <x:c r="E7" s="93" t="n">
        <x:v>0.5122066822066822</x:v>
      </x:c>
      <x:c r="F7" s="93" t="n">
        <x:v>0.504758495836001</x:v>
      </x:c>
      <x:c r="G7" s="93" t="n">
        <x:v>-0.03809182916933429</x:v>
      </x:c>
      <x:c r="H7" s="139" t="n">
        <x:v>9</x:v>
      </x:c>
      <x:c r="I7" s="139" t="n">
        <x:v>3</x:v>
      </x:c>
      <x:c r="J7" s="93" t="n">
        <x:v>0.3333333333333333</x:v>
      </x:c>
      <x:c r="K7" s="95" t="n">
        <x:v>37.5</x:v>
      </x:c>
      <x:c r="L7" s="139" t="n">
        <x:v>16</x:v>
      </x:c>
      <x:c r="M7" s="139" t="n">
        <x:v>11</x:v>
      </x:c>
      <x:c r="N7" s="93" t="n">
        <x:v>0.6875</x:v>
      </x:c>
      <x:c r="O7" s="139" t="n">
        <x:v>2</x:v>
      </x:c>
      <x:c r="P7" s="139" t="n">
        <x:v>5</x:v>
      </x:c>
      <x:c r="Q7" s="93" t="n">
        <x:v>0.4</x:v>
      </x:c>
      <x:c r="R7" s="139" t="n">
        <x:v>9</x:v>
      </x:c>
      <x:c r="S7" s="139" t="n">
        <x:v>0</x:v>
      </x:c>
      <x:c r="T7" s="93" t="n">
        <x:v>0</x:v>
      </x:c>
      <x:c r="U7" s="139" t="n">
        <x:v>18</x:v>
      </x:c>
      <x:c r="V7" s="139" t="n">
        <x:v>19</x:v>
      </x:c>
      <x:c r="W7" s="139" t="n">
        <x:v>5</x:v>
      </x:c>
      <x:c r="X7" s="139" t="n">
        <x:v>-0.1333333333333333</x:v>
      </x:c>
      <x:c r="Y7" s="93" t="n">
        <x:v>0.06666666666666667</x:v>
      </x:c>
      <x:c r="Z7" s="95" t="n">
        <x:v>41.5470737913486</x:v>
      </x:c>
      <x:c r="AA7" s="95" t="n">
        <x:v>2.741451359326945</x:v>
      </x:c>
      <x:c r="AB7" s="95" t="n">
        <x:v>19.30395302445127</x:v>
      </x:c>
      <x:c r="AC7" s="95" t="n">
        <x:v>100</x:v>
      </x:c>
    </x:row>
    <x:row r="8">
      <x:c r="A8" s="139" t="inlineStr">
        <x:is>
          <x:t xml:space="preserve">Hansen</x:t>
        </x:is>
      </x:c>
      <x:c r="B8" s="139" t="n">
        <x:v>6</x:v>
      </x:c>
      <x:c r="C8" s="93" t="n">
        <x:v>0</x:v>
      </x:c>
      <x:c r="D8" s="93" t="n">
        <x:v>0.5829059829059829</x:v>
      </x:c>
      <x:c r="E8" s="93" t="n">
        <x:v>0.5829059829059829</x:v>
      </x:c>
      <x:c r="F8" s="93" t="n">
        <x:v>0.3333333333333333</x:v>
      </x:c>
      <x:c r="G8" s="93" t="n">
        <x:v>-0.3333333333333333</x:v>
      </x:c>
      <x:c r="H8" s="139" t="n">
        <x:v>0</x:v>
      </x:c>
      <x:c r="I8" s="139" t="n">
        <x:v>0</x:v>
      </x:c>
      <x:c r="J8" s="93" t="n">
        <x:v>0.5</x:v>
      </x:c>
      <x:c r="K8" s="95" t="n">
        <x:v>50</x:v>
      </x:c>
      <x:c r="L8" s="139" t="n">
        <x:v>5</x:v>
      </x:c>
      <x:c r="M8" s="139" t="n">
        <x:v>0</x:v>
      </x:c>
      <x:c r="N8" s="93" t="n">
        <x:v>0</x:v>
      </x:c>
      <x:c r="O8" s="139" t="n">
        <x:v>0</x:v>
      </x:c>
      <x:c r="P8" s="139" t="n">
        <x:v>5</x:v>
      </x:c>
      <x:c r="Q8" s="93" t="n">
        <x:v>0</x:v>
      </x:c>
      <x:c r="R8" s="139" t="n">
        <x:v>2</x:v>
      </x:c>
      <x:c r="S8" s="139" t="n">
        <x:v>0</x:v>
      </x:c>
      <x:c r="T8" s="93" t="n">
        <x:v>0</x:v>
      </x:c>
      <x:c r="U8" s="139" t="n">
        <x:v>3</x:v>
      </x:c>
      <x:c r="V8" s="139" t="n">
        <x:v>3</x:v>
      </x:c>
      <x:c r="W8" s="139" t="n">
        <x:v>1</x:v>
      </x:c>
      <x:c r="X8" s="139" t="n">
        <x:v>-2.5</x:v>
      </x:c>
      <x:c r="Y8" s="93" t="n">
        <x:v>0</x:v>
      </x:c>
      <x:c r="Z8" s="95" t="n">
        <x:v>0</x:v>
      </x:c>
      <x:c r="AA8" s="95" t="n">
        <x:v>0.7637626158259734</x:v>
      </x:c>
      <x:c r="AB8" s="95" t="n">
        <x:v>100</x:v>
      </x:c>
      <x:c r="AC8" s="95" t="n">
        <x:v>0</x:v>
      </x:c>
    </x:row>
    <x:row r="9">
      <x:c r="A9" s="139" t="inlineStr">
        <x:is>
          <x:t xml:space="preserve">Jonathan</x:t>
        </x:is>
      </x:c>
      <x:c r="B9" s="139" t="n">
        <x:v>6</x:v>
      </x:c>
      <x:c r="C9" s="93" t="n">
        <x:v>0.6666666666666666</x:v>
      </x:c>
      <x:c r="D9" s="93" t="n">
        <x:v>0.4914751914751915</x:v>
      </x:c>
      <x:c r="E9" s="93" t="n">
        <x:v>0.5306304806304806</x:v>
      </x:c>
      <x:c r="F9" s="93" t="n">
        <x:v>0.5600336076863076</x:v>
      </x:c>
      <x:c r="G9" s="93" t="n">
        <x:v>0.106633058980359</x:v>
      </x:c>
      <x:c r="H9" s="139" t="n">
        <x:v>3</x:v>
      </x:c>
      <x:c r="I9" s="139" t="n">
        <x:v>3</x:v>
      </x:c>
      <x:c r="J9" s="93" t="n">
        <x:v>1</x:v>
      </x:c>
      <x:c r="K9" s="95" t="n">
        <x:v>75</x:v>
      </x:c>
      <x:c r="L9" s="139" t="n">
        <x:v>2</x:v>
      </x:c>
      <x:c r="M9" s="139" t="n">
        <x:v>2</x:v>
      </x:c>
      <x:c r="N9" s="93" t="n">
        <x:v>1</x:v>
      </x:c>
      <x:c r="O9" s="139" t="n">
        <x:v>4</x:v>
      </x:c>
      <x:c r="P9" s="139" t="n">
        <x:v>5</x:v>
      </x:c>
      <x:c r="Q9" s="93" t="n">
        <x:v>0.8</x:v>
      </x:c>
      <x:c r="R9" s="139" t="n">
        <x:v>2</x:v>
      </x:c>
      <x:c r="S9" s="139" t="n">
        <x:v>0</x:v>
      </x:c>
      <x:c r="T9" s="93" t="n">
        <x:v>0</x:v>
      </x:c>
      <x:c r="U9" s="139" t="n">
        <x:v>6</x:v>
      </x:c>
      <x:c r="V9" s="139" t="n">
        <x:v>8</x:v>
      </x:c>
      <x:c r="W9" s="139" t="n">
        <x:v>1</x:v>
      </x:c>
      <x:c r="X9" s="139" t="n">
        <x:v>0</x:v>
      </x:c>
      <x:c r="Y9" s="93" t="n">
        <x:v>0.1666666666666667</x:v>
      </x:c>
      <x:c r="Z9" s="95" t="n">
        <x:v>56.39949109414758</x:v>
      </x:c>
      <x:c r="AA9" s="95" t="n">
        <x:v>3.214550253664318</x:v>
      </x:c>
      <x:c r="AB9" s="95" t="n">
        <x:v>0</x:v>
      </x:c>
      <x:c r="AC9" s="95" t="n">
        <x:v>20.5</x:v>
      </x:c>
    </x:row>
    <x:row r="10">
      <x:c r="A10" s="139" t="inlineStr">
        <x:is>
          <x:t xml:space="preserve">Kennard</x:t>
        </x:is>
      </x:c>
      <x:c r="B10" s="139" t="n">
        <x:v>13</x:v>
      </x:c>
      <x:c r="C10" s="93" t="n">
        <x:v>0.6923076923076923</x:v>
      </x:c>
      <x:c r="D10" s="93" t="n">
        <x:v>0.4741053817976895</x:v>
      </x:c>
      <x:c r="E10" s="93" t="n">
        <x:v>0.448647506339814</x:v>
      </x:c>
      <x:c r="F10" s="93" t="n">
        <x:v>0.5547243948165023</x:v>
      </x:c>
      <x:c r="G10" s="93" t="n">
        <x:v>0.13758329749119</x:v>
      </x:c>
      <x:c r="H10" s="139" t="n">
        <x:v>2</x:v>
      </x:c>
      <x:c r="I10" s="139" t="n">
        <x:v>2</x:v>
      </x:c>
      <x:c r="J10" s="93" t="n">
        <x:v>1</x:v>
      </x:c>
      <x:c r="K10" s="95" t="n">
        <x:v>70</x:v>
      </x:c>
      <x:c r="L10" s="139" t="n">
        <x:v>3</x:v>
      </x:c>
      <x:c r="M10" s="139" t="n">
        <x:v>2</x:v>
      </x:c>
      <x:c r="N10" s="93" t="n">
        <x:v>0.6666666666666666</x:v>
      </x:c>
      <x:c r="O10" s="139" t="n">
        <x:v>2</x:v>
      </x:c>
      <x:c r="P10" s="139" t="n">
        <x:v>5</x:v>
      </x:c>
      <x:c r="Q10" s="93" t="n">
        <x:v>0.4</x:v>
      </x:c>
      <x:c r="R10" s="139" t="n">
        <x:v>3</x:v>
      </x:c>
      <x:c r="S10" s="139" t="n">
        <x:v>0</x:v>
      </x:c>
      <x:c r="T10" s="93" t="n">
        <x:v>0</x:v>
      </x:c>
      <x:c r="U10" s="139" t="n">
        <x:v>11</x:v>
      </x:c>
      <x:c r="V10" s="139" t="n">
        <x:v>13</x:v>
      </x:c>
      <x:c r="W10" s="139" t="n">
        <x:v>2</x:v>
      </x:c>
      <x:c r="X10" s="139" t="n">
        <x:v>0.3846153846153846</x:v>
      </x:c>
      <x:c r="Y10" s="93" t="n">
        <x:v>0</x:v>
      </x:c>
      <x:c r="Z10" s="95" t="n">
        <x:v>40.07633587786259</x:v>
      </x:c>
      <x:c r="AA10" s="95" t="n">
        <x:v>3.051820680750365</x:v>
      </x:c>
      <x:c r="AB10" s="95" t="n">
        <x:v>6.639888760720396</x:v>
      </x:c>
      <x:c r="AC10" s="95" t="n">
        <x:v>51.33333333333334</x:v>
      </x:c>
    </x:row>
    <x:row r="11">
      <x:c r="A11" s="139" t="inlineStr">
        <x:is>
          <x:t xml:space="preserve">Michael</x:t>
        </x:is>
      </x:c>
      <x:c r="B11" s="139" t="n">
        <x:v>13</x:v>
      </x:c>
      <x:c r="C11" s="93" t="n">
        <x:v>0.4615384615384616</x:v>
      </x:c>
      <x:c r="D11" s="93" t="n">
        <x:v>0.4990419836573683</x:v>
      </x:c>
      <x:c r="E11" s="93" t="n">
        <x:v>0.5377007607776838</x:v>
      </x:c>
      <x:c r="F11" s="93" t="n">
        <x:v>0.5023660657423774</x:v>
      </x:c>
      <x:c r="G11" s="93" t="n">
        <x:v>-0.04082760420391585</x:v>
      </x:c>
      <x:c r="H11" s="139" t="n">
        <x:v>4</x:v>
      </x:c>
      <x:c r="I11" s="139" t="n">
        <x:v>2</x:v>
      </x:c>
      <x:c r="J11" s="93" t="n">
        <x:v>0.5</x:v>
      </x:c>
      <x:c r="K11" s="95" t="n">
        <x:v>50</x:v>
      </x:c>
      <x:c r="L11" s="139" t="n">
        <x:v>7</x:v>
      </x:c>
      <x:c r="M11" s="139" t="n">
        <x:v>4</x:v>
      </x:c>
      <x:c r="N11" s="93" t="n">
        <x:v>0.5714285714285714</x:v>
      </x:c>
      <x:c r="O11" s="139" t="n">
        <x:v>3</x:v>
      </x:c>
      <x:c r="P11" s="139" t="n">
        <x:v>5</x:v>
      </x:c>
      <x:c r="Q11" s="93" t="n">
        <x:v>0.6</x:v>
      </x:c>
      <x:c r="R11" s="139" t="n">
        <x:v>3</x:v>
      </x:c>
      <x:c r="S11" s="139" t="n">
        <x:v>0</x:v>
      </x:c>
      <x:c r="T11" s="93" t="n">
        <x:v>0</x:v>
      </x:c>
      <x:c r="U11" s="139" t="n">
        <x:v>10</x:v>
      </x:c>
      <x:c r="V11" s="139" t="n">
        <x:v>13</x:v>
      </x:c>
      <x:c r="W11" s="139" t="n">
        <x:v>2</x:v>
      </x:c>
      <x:c r="X11" s="139" t="n">
        <x:v>-0.1538461538461539</x:v>
      </x:c>
      <x:c r="Y11" s="93" t="n">
        <x:v>0.07692307692307693</x:v>
      </x:c>
      <x:c r="Z11" s="95" t="n">
        <x:v>42.59541984732824</x:v>
      </x:c>
      <x:c r="AA11" s="95" t="n">
        <x:v>2.741312258646994</x:v>
      </x:c>
      <x:c r="AB11" s="95" t="n">
        <x:v>19.30962877855592</x:v>
      </x:c>
      <x:c r="AC11" s="95" t="n">
        <x:v>48.66666666666667</x:v>
      </x:c>
    </x:row>
    <x:row r="12">
      <x:c r="A12" s="139" t="inlineStr">
        <x:is>
          <x:t xml:space="preserve">Nicholas</x:t>
        </x:is>
      </x:c>
      <x:c r="B12" s="139" t="n">
        <x:v>7</x:v>
      </x:c>
      <x:c r="C12" s="93" t="n">
        <x:v>0.4285714285714285</x:v>
      </x:c>
      <x:c r="D12" s="93" t="n">
        <x:v>0.5368512439941011</x:v>
      </x:c>
      <x:c r="E12" s="93" t="n">
        <x:v>0.4990438133295276</x:v>
      </x:c>
      <x:c r="F12" s="93" t="n">
        <x:v>0.4723963615608399</x:v>
      </x:c>
      <x:c r="G12" s="93" t="n">
        <x:v>-0.04382493298941131</x:v>
      </x:c>
      <x:c r="H12" s="139" t="n">
        <x:v>4</x:v>
      </x:c>
      <x:c r="I12" s="139" t="n">
        <x:v>2</x:v>
      </x:c>
      <x:c r="J12" s="93" t="n">
        <x:v>0.5</x:v>
      </x:c>
      <x:c r="K12" s="95" t="n">
        <x:v>50</x:v>
      </x:c>
      <x:c r="L12" s="139" t="n">
        <x:v>4</x:v>
      </x:c>
      <x:c r="M12" s="139" t="n">
        <x:v>2</x:v>
      </x:c>
      <x:c r="N12" s="93" t="n">
        <x:v>0.5</x:v>
      </x:c>
      <x:c r="O12" s="139" t="n">
        <x:v>2</x:v>
      </x:c>
      <x:c r="P12" s="139" t="n">
        <x:v>5</x:v>
      </x:c>
      <x:c r="Q12" s="93" t="n">
        <x:v>0.4</x:v>
      </x:c>
      <x:c r="R12" s="139" t="n">
        <x:v>4</x:v>
      </x:c>
      <x:c r="S12" s="139" t="n">
        <x:v>0</x:v>
      </x:c>
      <x:c r="T12" s="93" t="n">
        <x:v>0</x:v>
      </x:c>
      <x:c r="U12" s="139" t="n">
        <x:v>7</x:v>
      </x:c>
      <x:c r="V12" s="139" t="n">
        <x:v>9</x:v>
      </x:c>
      <x:c r="W12" s="139" t="n">
        <x:v>1</x:v>
      </x:c>
      <x:c r="X12" s="139" t="n">
        <x:v>-0.4285714285714285</x:v>
      </x:c>
      <x:c r="Y12" s="93" t="n">
        <x:v>0</x:v>
      </x:c>
      <x:c r="Z12" s="95" t="n">
        <x:v>28.77862595419847</x:v>
      </x:c>
      <x:c r="AA12" s="95" t="n">
        <x:v>2.060315014550851</x:v>
      </x:c>
      <x:c r="AB12" s="95" t="n">
        <x:v>47.09650160189037</x:v>
      </x:c>
      <x:c r="AC12" s="95" t="n">
        <x:v>25.66666666666667</x:v>
      </x:c>
    </x:row>
    <x:row r="13">
      <x:c r="A13" s="139" t="inlineStr">
        <x:is>
          <x:t xml:space="preserve">Nico</x:t>
        </x:is>
      </x:c>
      <x:c r="B13" s="139" t="n">
        <x:v>6</x:v>
      </x:c>
      <x:c r="C13" s="93" t="n">
        <x:v>0.3333333333333333</x:v>
      </x:c>
      <x:c r="D13" s="93" t="n">
        <x:v>0.5041361416361416</x:v>
      </x:c>
      <x:c r="E13" s="93" t="n">
        <x:v>0.4576617826617826</x:v>
      </x:c>
      <x:c r="F13" s="93" t="n">
        <x:v>0.4439704458420381</x:v>
      </x:c>
      <x:c r="G13" s="93" t="n">
        <x:v>-0.1106371125087048</x:v>
      </x:c>
      <x:c r="H13" s="139" t="n">
        <x:v>1</x:v>
      </x:c>
      <x:c r="I13" s="139" t="n">
        <x:v>0</x:v>
      </x:c>
      <x:c r="J13" s="93" t="n">
        <x:v>0</x:v>
      </x:c>
      <x:c r="K13" s="95" t="n">
        <x:v>37.5</x:v>
      </x:c>
      <x:c r="L13" s="139" t="n">
        <x:v>4</x:v>
      </x:c>
      <x:c r="M13" s="139" t="n">
        <x:v>2</x:v>
      </x:c>
      <x:c r="N13" s="93" t="n">
        <x:v>0.5</x:v>
      </x:c>
      <x:c r="O13" s="139" t="n">
        <x:v>2</x:v>
      </x:c>
      <x:c r="P13" s="139" t="n">
        <x:v>5</x:v>
      </x:c>
      <x:c r="Q13" s="93" t="n">
        <x:v>0.4</x:v>
      </x:c>
      <x:c r="R13" s="139" t="n">
        <x:v>1</x:v>
      </x:c>
      <x:c r="S13" s="139" t="n">
        <x:v>0</x:v>
      </x:c>
      <x:c r="T13" s="93" t="n">
        <x:v>0</x:v>
      </x:c>
      <x:c r="U13" s="139" t="n">
        <x:v>6</x:v>
      </x:c>
      <x:c r="V13" s="139" t="n">
        <x:v>8</x:v>
      </x:c>
      <x:c r="W13" s="139" t="n">
        <x:v>1</x:v>
      </x:c>
      <x:c r="X13" s="139" t="n">
        <x:v>-0.8333333333333334</x:v>
      </x:c>
      <x:c r="Y13" s="93" t="n">
        <x:v>0</x:v>
      </x:c>
      <x:c r="Z13" s="95" t="n">
        <x:v>23.15521628498727</x:v>
      </x:c>
      <x:c r="AA13" s="95" t="n">
        <x:v>2.852873794770615</x:v>
      </x:c>
      <x:c r="AB13" s="95" t="n">
        <x:v>14.75756011290767</x:v>
      </x:c>
      <x:c r="AC13" s="95" t="n">
        <x:v>20.5</x:v>
      </x:c>
    </x:row>
    <x:row r="14">
      <x:c r="A14" s="139" t="inlineStr">
        <x:is>
          <x:t xml:space="preserve">Rey</x:t>
        </x:is>
      </x:c>
      <x:c r="B14" s="139" t="n">
        <x:v>7</x:v>
      </x:c>
      <x:c r="C14" s="93" t="n">
        <x:v>0.7142857142857143</x:v>
      </x:c>
      <x:c r="D14" s="93" t="n">
        <x:v>0.493563579277865</x:v>
      </x:c>
      <x:c r="E14" s="93" t="n">
        <x:v>0.4724751439037153</x:v>
      </x:c>
      <x:c r="F14" s="93" t="n">
        <x:v>0.5464283473527284</x:v>
      </x:c>
      <x:c r="G14" s="93" t="n">
        <x:v>0.1678573669329859</x:v>
      </x:c>
      <x:c r="H14" s="139" t="n">
        <x:v>2</x:v>
      </x:c>
      <x:c r="I14" s="139" t="n">
        <x:v>1</x:v>
      </x:c>
      <x:c r="J14" s="93" t="n">
        <x:v>0.5</x:v>
      </x:c>
      <x:c r="K14" s="95" t="n">
        <x:v>50</x:v>
      </x:c>
      <x:c r="L14" s="139" t="n">
        <x:v>2</x:v>
      </x:c>
      <x:c r="M14" s="139" t="n">
        <x:v>2</x:v>
      </x:c>
      <x:c r="N14" s="93" t="n">
        <x:v>1</x:v>
      </x:c>
      <x:c r="O14" s="139" t="n">
        <x:v>4</x:v>
      </x:c>
      <x:c r="P14" s="139" t="n">
        <x:v>5</x:v>
      </x:c>
      <x:c r="Q14" s="93" t="n">
        <x:v>0.8</x:v>
      </x:c>
      <x:c r="R14" s="139" t="n">
        <x:v>1</x:v>
      </x:c>
      <x:c r="S14" s="139" t="n">
        <x:v>0</x:v>
      </x:c>
      <x:c r="T14" s="93" t="n">
        <x:v>0</x:v>
      </x:c>
      <x:c r="U14" s="139" t="n">
        <x:v>7</x:v>
      </x:c>
      <x:c r="V14" s="139" t="n">
        <x:v>8</x:v>
      </x:c>
      <x:c r="W14" s="139" t="n">
        <x:v>1</x:v>
      </x:c>
      <x:c r="X14" s="139" t="n">
        <x:v>1.428571428571429</x:v>
      </x:c>
      <x:c r="Y14" s="93" t="n">
        <x:v>0.1428571428571428</x:v>
      </x:c>
      <x:c r="Z14" s="95" t="n">
        <x:v>73.1515812431843</x:v>
      </x:c>
      <x:c r="AA14" s="95" t="n">
        <x:v>2.060315014550851</x:v>
      </x:c>
      <x:c r="AB14" s="95" t="n">
        <x:v>47.09650160189037</x:v>
      </x:c>
      <x:c r="AC14" s="95" t="n">
        <x:v>23.16666666666667</x:v>
      </x:c>
    </x:row>
    <x:row r="15">
      <x:c r="A15" s="139" t="inlineStr">
        <x:is>
          <x:t xml:space="preserve">Reza</x:t>
        </x:is>
      </x:c>
      <x:c r="B15" s="139" t="n">
        <x:v>6</x:v>
      </x:c>
      <x:c r="C15" s="93" t="n">
        <x:v>0.3333333333333333</x:v>
      </x:c>
      <x:c r="D15" s="93" t="n">
        <x:v>0.5862026862026862</x:v>
      </x:c>
      <x:c r="E15" s="93" t="n">
        <x:v>0.5272283272283272</x:v>
      </x:c>
      <x:c r="F15" s="93" t="n">
        <x:v>0.417396379252862</x:v>
      </x:c>
      <x:c r="G15" s="93" t="n">
        <x:v>-0.08406304591952873</x:v>
      </x:c>
      <x:c r="H15" s="139" t="n">
        <x:v>2</x:v>
      </x:c>
      <x:c r="I15" s="139" t="n">
        <x:v>2</x:v>
      </x:c>
      <x:c r="J15" s="93" t="n">
        <x:v>1</x:v>
      </x:c>
      <x:c r="K15" s="95" t="n">
        <x:v>70</x:v>
      </x:c>
      <x:c r="L15" s="139" t="n">
        <x:v>3</x:v>
      </x:c>
      <x:c r="M15" s="139" t="n">
        <x:v>1</x:v>
      </x:c>
      <x:c r="N15" s="93" t="n">
        <x:v>0.3333333333333333</x:v>
      </x:c>
      <x:c r="O15" s="139" t="n">
        <x:v>2</x:v>
      </x:c>
      <x:c r="P15" s="139" t="n">
        <x:v>5</x:v>
      </x:c>
      <x:c r="Q15" s="93" t="n">
        <x:v>0.4</x:v>
      </x:c>
      <x:c r="R15" s="139" t="n">
        <x:v>2</x:v>
      </x:c>
      <x:c r="S15" s="139" t="n">
        <x:v>0</x:v>
      </x:c>
      <x:c r="T15" s="93" t="n">
        <x:v>0</x:v>
      </x:c>
      <x:c r="U15" s="139" t="n">
        <x:v>6</x:v>
      </x:c>
      <x:c r="V15" s="139" t="n">
        <x:v>7</x:v>
      </x:c>
      <x:c r="W15" s="139" t="n">
        <x:v>1</x:v>
      </x:c>
      <x:c r="X15" s="139" t="n">
        <x:v>-2.333333333333333</x:v>
      </x:c>
      <x:c r="Y15" s="93" t="n">
        <x:v>0</x:v>
      </x:c>
      <x:c r="Z15" s="95" t="n">
        <x:v>2.315521628498725</x:v>
      </x:c>
      <x:c r="AA15" s="95" t="n">
        <x:v>2.494438257849294</x:v>
      </x:c>
      <x:c r="AB15" s="95" t="n">
        <x:v>29.38288020948974</x:v>
      </x:c>
      <x:c r="AC15" s="95" t="n">
        <x:v>18</x:v>
      </x:c>
    </x:row>
    <x:row r="16">
      <x:c r="A16" s="139" t="inlineStr">
        <x:is>
          <x:t xml:space="preserve">Ricky</x:t>
        </x:is>
      </x:c>
      <x:c r="B16" s="139" t="n">
        <x:v>26</x:v>
      </x:c>
      <x:c r="C16" s="93" t="n">
        <x:v>0.6153846153846154</x:v>
      </x:c>
      <x:c r="D16" s="93" t="n">
        <x:v>0.4541910013063859</x:v>
      </x:c>
      <x:c r="E16" s="93" t="n">
        <x:v>0.479004329004329</x:v>
      </x:c>
      <x:c r="F16" s="93" t="n">
        <x:v>0.551794224372019</x:v>
      </x:c>
      <x:c r="G16" s="93" t="n">
        <x:v>0.06359039101259645</x:v>
      </x:c>
      <x:c r="H16" s="139" t="n">
        <x:v>6</x:v>
      </x:c>
      <x:c r="I16" s="139" t="n">
        <x:v>4</x:v>
      </x:c>
      <x:c r="J16" s="93" t="n">
        <x:v>0.6666666666666666</x:v>
      </x:c>
      <x:c r="K16" s="95" t="n">
        <x:v>61.11111111111111</x:v>
      </x:c>
      <x:c r="L16" s="139" t="n">
        <x:v>9</x:v>
      </x:c>
      <x:c r="M16" s="139" t="n">
        <x:v>6</x:v>
      </x:c>
      <x:c r="N16" s="93" t="n">
        <x:v>0.6666666666666666</x:v>
      </x:c>
      <x:c r="O16" s="139" t="n">
        <x:v>3</x:v>
      </x:c>
      <x:c r="P16" s="139" t="n">
        <x:v>5</x:v>
      </x:c>
      <x:c r="Q16" s="93" t="n">
        <x:v>0.6</x:v>
      </x:c>
      <x:c r="R16" s="139" t="n">
        <x:v>4</x:v>
      </x:c>
      <x:c r="S16" s="139" t="n">
        <x:v>0</x:v>
      </x:c>
      <x:c r="T16" s="93" t="n">
        <x:v>0</x:v>
      </x:c>
      <x:c r="U16" s="139" t="n">
        <x:v>17</x:v>
      </x:c>
      <x:c r="V16" s="139" t="n">
        <x:v>18</x:v>
      </x:c>
      <x:c r="W16" s="139" t="n">
        <x:v>4</x:v>
      </x:c>
      <x:c r="X16" s="139" t="n">
        <x:v>0.6538461538461539</x:v>
      </x:c>
      <x:c r="Y16" s="93" t="n">
        <x:v>0.1538461538461539</x:v>
      </x:c>
      <x:c r="Z16" s="95" t="n">
        <x:v>63.81679389312977</x:v>
      </x:c>
      <x:c r="AA16" s="95" t="n">
        <x:v>2.986409056585256</x:v>
      </x:c>
      <x:c r="AB16" s="95" t="n">
        <x:v>9.30889292718517</x:v>
      </x:c>
      <x:c r="AC16" s="95" t="n">
        <x:v>89.83333333333334</x:v>
      </x:c>
    </x:row>
    <x:row r="17">
      <x:c r="A17" s="139" t="inlineStr">
        <x:is>
          <x:t xml:space="preserve">Rizky</x:t>
        </x:is>
      </x:c>
      <x:c r="B17" s="139" t="n">
        <x:v>6</x:v>
      </x:c>
      <x:c r="C17" s="93" t="n">
        <x:v>0.6666666666666666</x:v>
      </x:c>
      <x:c r="D17" s="93" t="n">
        <x:v>0.3606837606837607</x:v>
      </x:c>
      <x:c r="E17" s="93" t="n">
        <x:v>0.3606837606837607</x:v>
      </x:c>
      <x:c r="F17" s="93" t="n">
        <x:v>0.5874877810361681</x:v>
      </x:c>
      <x:c r="G17" s="93" t="n">
        <x:v>0.07917888563049857</x:v>
      </x:c>
      <x:c r="H17" s="139" t="n">
        <x:v>0</x:v>
      </x:c>
      <x:c r="I17" s="139" t="n">
        <x:v>0</x:v>
      </x:c>
      <x:c r="J17" s="93" t="n">
        <x:v>0.5</x:v>
      </x:c>
      <x:c r="K17" s="95" t="n">
        <x:v>50</x:v>
      </x:c>
      <x:c r="L17" s="139" t="n">
        <x:v>2</x:v>
      </x:c>
      <x:c r="M17" s="139" t="n">
        <x:v>2</x:v>
      </x:c>
      <x:c r="N17" s="93" t="n">
        <x:v>1</x:v>
      </x:c>
      <x:c r="O17" s="139" t="n">
        <x:v>4</x:v>
      </x:c>
      <x:c r="P17" s="139" t="n">
        <x:v>5</x:v>
      </x:c>
      <x:c r="Q17" s="93" t="n">
        <x:v>0.8</x:v>
      </x:c>
      <x:c r="R17" s="139" t="n">
        <x:v>0</x:v>
      </x:c>
      <x:c r="S17" s="139" t="n">
        <x:v>0</x:v>
      </x:c>
      <x:c r="T17" s="93" t="n">
        <x:v>0</x:v>
      </x:c>
      <x:c r="U17" s="139" t="n">
        <x:v>3</x:v>
      </x:c>
      <x:c r="V17" s="139" t="n">
        <x:v>3</x:v>
      </x:c>
      <x:c r="W17" s="139" t="n">
        <x:v>1</x:v>
      </x:c>
      <x:c r="X17" s="139" t="n">
        <x:v>0.8333333333333334</x:v>
      </x:c>
      <x:c r="Y17" s="93" t="n">
        <x:v>0.1666666666666667</x:v>
      </x:c>
      <x:c r="Z17" s="95" t="n">
        <x:v>67.97709923664122</x:v>
      </x:c>
      <x:c r="AA17" s="95" t="n">
        <x:v>2.477678124553084</x:v>
      </x:c>
      <x:c r="AB17" s="95" t="n">
        <x:v>30.066747429866</x:v>
      </x:c>
      <x:c r="AC17" s="95" t="n">
        <x:v>0</x:v>
      </x:c>
    </x:row>
    <x:row r="18">
      <x:c r="A18" s="139" t="inlineStr">
        <x:is>
          <x:t xml:space="preserve">Ronald</x:t>
        </x:is>
      </x:c>
      <x:c r="B18" s="139" t="n">
        <x:v>18</x:v>
      </x:c>
      <x:c r="C18" s="93" t="n">
        <x:v>0.6666666666666666</x:v>
      </x:c>
      <x:c r="D18" s="93" t="n">
        <x:v>0.478422965922966</x:v>
      </x:c>
      <x:c r="E18" s="93" t="n">
        <x:v>0.5004218004218005</x:v>
      </x:c>
      <x:c r="F18" s="93" t="n">
        <x:v>0.5558101042807956</x:v>
      </x:c>
      <x:c r="G18" s="93" t="n">
        <x:v>0.110856562385871</x:v>
      </x:c>
      <x:c r="H18" s="139" t="n">
        <x:v>9</x:v>
      </x:c>
      <x:c r="I18" s="139" t="n">
        <x:v>5</x:v>
      </x:c>
      <x:c r="J18" s="93" t="n">
        <x:v>0.5555555555555556</x:v>
      </x:c>
      <x:c r="K18" s="95" t="n">
        <x:v>54.16666666666667</x:v>
      </x:c>
      <x:c r="L18" s="139" t="n">
        <x:v>5</x:v>
      </x:c>
      <x:c r="M18" s="139" t="n">
        <x:v>4</x:v>
      </x:c>
      <x:c r="N18" s="93" t="n">
        <x:v>0.8</x:v>
      </x:c>
      <x:c r="O18" s="139" t="n">
        <x:v>3</x:v>
      </x:c>
      <x:c r="P18" s="139" t="n">
        <x:v>5</x:v>
      </x:c>
      <x:c r="Q18" s="93" t="n">
        <x:v>0.6</x:v>
      </x:c>
      <x:c r="R18" s="139" t="n">
        <x:v>4</x:v>
      </x:c>
      <x:c r="S18" s="139" t="n">
        <x:v>0</x:v>
      </x:c>
      <x:c r="T18" s="93" t="n">
        <x:v>0</x:v>
      </x:c>
      <x:c r="U18" s="139" t="n">
        <x:v>14</x:v>
      </x:c>
      <x:c r="V18" s="139" t="n">
        <x:v>15</x:v>
      </x:c>
      <x:c r="W18" s="139" t="n">
        <x:v>3</x:v>
      </x:c>
      <x:c r="X18" s="139" t="n">
        <x:v>1.055555555555556</x:v>
      </x:c>
      <x:c r="Y18" s="93" t="n">
        <x:v>0.1111111111111111</x:v>
      </x:c>
      <x:c r="Z18" s="95" t="n">
        <x:v>63.84223918575063</x:v>
      </x:c>
      <x:c r="AA18" s="95" t="n">
        <x:v>2.146631009595739</x:v>
      </x:c>
      <x:c r="AB18" s="95" t="n">
        <x:v>43.57453202312175</x:v>
      </x:c>
      <x:c r="AC18" s="95" t="n">
        <x:v>69.33333333333333</x:v>
      </x:c>
    </x:row>
    <x:row r="19">
      <x:c r="A19" s="139" t="inlineStr">
        <x:is>
          <x:t xml:space="preserve">Sandy</x:t>
        </x:is>
      </x:c>
      <x:c r="B19" s="139" t="n">
        <x:v>13</x:v>
      </x:c>
      <x:c r="C19" s="93" t="n">
        <x:v>0.8461538461538461</x:v>
      </x:c>
      <x:c r="D19" s="93" t="n">
        <x:v>0.4739465662542586</x:v>
      </x:c>
      <x:c r="E19" s="93" t="n">
        <x:v>0.4220689566843413</x:v>
      </x:c>
      <x:c r="F19" s="93" t="n">
        <x:v>0.5735482990775767</x:v>
      </x:c>
      <x:c r="G19" s="93" t="n">
        <x:v>0.2726055470762695</x:v>
      </x:c>
      <x:c r="H19" s="139" t="n">
        <x:v>4</x:v>
      </x:c>
      <x:c r="I19" s="139" t="n">
        <x:v>2</x:v>
      </x:c>
      <x:c r="J19" s="93" t="n">
        <x:v>0.5</x:v>
      </x:c>
      <x:c r="K19" s="95" t="n">
        <x:v>50</x:v>
      </x:c>
      <x:c r="L19" s="139" t="n">
        <x:v>2</x:v>
      </x:c>
      <x:c r="M19" s="139" t="n">
        <x:v>2</x:v>
      </x:c>
      <x:c r="N19" s="93" t="n">
        <x:v>1</x:v>
      </x:c>
      <x:c r="O19" s="139" t="n">
        <x:v>4</x:v>
      </x:c>
      <x:c r="P19" s="139" t="n">
        <x:v>5</x:v>
      </x:c>
      <x:c r="Q19" s="93" t="n">
        <x:v>0.8</x:v>
      </x:c>
      <x:c r="R19" s="139" t="n">
        <x:v>1</x:v>
      </x:c>
      <x:c r="S19" s="139" t="n">
        <x:v>1</x:v>
      </x:c>
      <x:c r="T19" s="93" t="n">
        <x:v>1</x:v>
      </x:c>
      <x:c r="U19" s="139" t="n">
        <x:v>11</x:v>
      </x:c>
      <x:c r="V19" s="139" t="n">
        <x:v>14</x:v>
      </x:c>
      <x:c r="W19" s="139" t="n">
        <x:v>2</x:v>
      </x:c>
      <x:c r="X19" s="139" t="n">
        <x:v>2.538461538461538</x:v>
      </x:c>
      <x:c r="Y19" s="93" t="n">
        <x:v>0.2307692307692308</x:v>
      </x:c>
      <x:c r="Z19" s="95" t="n">
        <x:v>100</x:v>
      </x:c>
      <x:c r="AA19" s="95" t="n">
        <x:v>1.94601702164208</x:v>
      </x:c>
      <x:c r="AB19" s="95" t="n">
        <x:v>51.76022648543781</x:v>
      </x:c>
      <x:c r="AC19" s="95" t="n">
        <x:v>53.83333333333334</x:v>
      </x:c>
    </x:row>
    <x:row r="20">
      <x:c r="A20" s="139" t="inlineStr">
        <x:is>
          <x:t xml:space="preserve">Thohir</x:t>
        </x:is>
      </x:c>
      <x:c r="B20" s="139" t="n">
        <x:v>4</x:v>
      </x:c>
      <x:c r="C20" s="93" t="n">
        <x:v>1</x:v>
      </x:c>
      <x:c r="D20" s="93" t="n">
        <x:v>0.4242424242424243</x:v>
      </x:c>
      <x:c r="E20" s="93" t="n">
        <x:v>0.4242424242424243</x:v>
      </x:c>
      <x:c r="F20" s="93" t="n">
        <x:v>0.6260305436650193</x:v>
      </x:c>
      <x:c r="G20" s="93" t="n">
        <x:v>0.3739694563349807</x:v>
      </x:c>
      <x:c r="H20" s="139" t="n">
        <x:v>1</x:v>
      </x:c>
      <x:c r="I20" s="139" t="n">
        <x:v>1</x:v>
      </x:c>
      <x:c r="J20" s="93" t="n">
        <x:v>1</x:v>
      </x:c>
      <x:c r="K20" s="95" t="n">
        <x:v>62.5</x:v>
      </x:c>
      <x:c r="L20" s="139" t="n">
        <x:v>0</x:v>
      </x:c>
      <x:c r="M20" s="139" t="n">
        <x:v>0</x:v>
      </x:c>
      <x:c r="N20" s="93" t="n">
        <x:v>0</x:v>
      </x:c>
      <x:c r="O20" s="139" t="n">
        <x:v>4</x:v>
      </x:c>
      <x:c r="P20" s="139" t="n">
        <x:v>4</x:v>
      </x:c>
      <x:c r="Q20" s="93" t="n">
        <x:v>1</x:v>
      </x:c>
      <x:c r="R20" s="139" t="n">
        <x:v>0</x:v>
      </x:c>
      <x:c r="S20" s="139" t="n">
        <x:v>0</x:v>
      </x:c>
      <x:c r="T20" s="93" t="n">
        <x:v>0</x:v>
      </x:c>
      <x:c r="U20" s="139" t="n">
        <x:v>4</x:v>
      </x:c>
      <x:c r="V20" s="139" t="n">
        <x:v>4</x:v>
      </x:c>
      <x:c r="W20" s="139" t="n">
        <x:v>1</x:v>
      </x:c>
      <x:c r="X20" s="139" t="n">
        <x:v>2.25</x:v>
      </x:c>
      <x:c r="Y20" s="93" t="n">
        <x:v>0</x:v>
      </x:c>
      <x:c r="Z20" s="95" t="n">
        <x:v>65.99236641221374</x:v>
      </x:c>
      <x:c r="AA20" s="95" t="n">
        <x:v>0.82915619758885</x:v>
      </x:c>
      <x:c r="AB20" s="95" t="n">
        <x:v>97.3317320214429</x:v>
      </x:c>
      <x:c r="AC20" s="95" t="n">
        <x:v>5.166666666666667</x:v>
      </x:c>
    </x:row>
    <x:row r="21">
      <x:c r="A21" s="139" t="inlineStr">
        <x:is>
          <x:t xml:space="preserve">Welly</x:t>
        </x:is>
      </x:c>
      <x:c r="B21" s="139" t="n">
        <x:v>10</x:v>
      </x:c>
      <x:c r="C21" s="93" t="n">
        <x:v>0.2</x:v>
      </x:c>
      <x:c r="D21" s="93" t="n">
        <x:v>0.5555211455211455</x:v>
      </x:c>
      <x:c r="E21" s="93" t="n">
        <x:v>0.6093672993672994</x:v>
      </x:c>
      <x:c r="F21" s="93" t="n">
        <x:v>0.4244182266965441</x:v>
      </x:c>
      <x:c r="G21" s="93" t="n">
        <x:v>-0.224418226696544</x:v>
      </x:c>
      <x:c r="H21" s="139" t="n">
        <x:v>2</x:v>
      </x:c>
      <x:c r="I21" s="139" t="n">
        <x:v>0</x:v>
      </x:c>
      <x:c r="J21" s="93" t="n">
        <x:v>0</x:v>
      </x:c>
      <x:c r="K21" s="95" t="n">
        <x:v>30</x:v>
      </x:c>
      <x:c r="L21" s="139" t="n">
        <x:v>7</x:v>
      </x:c>
      <x:c r="M21" s="139" t="n">
        <x:v>2</x:v>
      </x:c>
      <x:c r="N21" s="93" t="n">
        <x:v>0.2857142857142857</x:v>
      </x:c>
      <x:c r="O21" s="139" t="n">
        <x:v>1</x:v>
      </x:c>
      <x:c r="P21" s="139" t="n">
        <x:v>5</x:v>
      </x:c>
      <x:c r="Q21" s="93" t="n">
        <x:v>0.2</x:v>
      </x:c>
      <x:c r="R21" s="139" t="n">
        <x:v>3</x:v>
      </x:c>
      <x:c r="S21" s="139" t="n">
        <x:v>0</x:v>
      </x:c>
      <x:c r="T21" s="93" t="n">
        <x:v>0</x:v>
      </x:c>
      <x:c r="U21" s="139" t="n">
        <x:v>9</x:v>
      </x:c>
      <x:c r="V21" s="139" t="n">
        <x:v>11</x:v>
      </x:c>
      <x:c r="W21" s="139" t="n">
        <x:v>2</x:v>
      </x:c>
      <x:c r="X21" s="139" t="n">
        <x:v>-1.6</x:v>
      </x:c>
      <x:c r="Y21" s="93" t="n">
        <x:v>0</x:v>
      </x:c>
      <x:c r="Z21" s="95" t="n">
        <x:v>12.50381679389313</x:v>
      </x:c>
      <x:c r="AA21" s="95" t="n">
        <x:v>2.576819745345025</x:v>
      </x:c>
      <x:c r="AB21" s="95" t="n">
        <x:v>26.02145116423826</x:v>
      </x:c>
      <x:c r="AC21" s="95" t="n">
        <x:v>41</x:v>
      </x:c>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c r="V22" s="139" t="n"/>
      <x:c r="W22" s="139" t="n"/>
      <x:c r="X22" s="139" t="n"/>
      <x:c r="Y22" s="139" t="n"/>
      <x:c r="Z22" s="139" t="n"/>
      <x:c r="AA22" s="139" t="n"/>
      <x:c r="AB22" s="139" t="n"/>
      <x:c r="AC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c r="V23" s="139" t="n"/>
      <x:c r="W23" s="139" t="n"/>
      <x:c r="X23" s="139" t="n"/>
      <x:c r="Y23" s="139" t="n"/>
      <x:c r="Z23" s="139" t="n"/>
      <x:c r="AA23" s="139" t="n"/>
      <x:c r="AB23" s="139" t="n"/>
      <x:c r="AC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c r="V24" s="139" t="n"/>
      <x:c r="W24" s="139" t="n"/>
      <x:c r="X24" s="139" t="n"/>
      <x:c r="Y24" s="139" t="n"/>
      <x:c r="Z24" s="139" t="n"/>
      <x:c r="AA24" s="139" t="n"/>
      <x:c r="AB24" s="139" t="n"/>
      <x:c r="AC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c r="V25" s="139" t="n"/>
      <x:c r="W25" s="139" t="n"/>
      <x:c r="X25" s="139" t="n"/>
      <x:c r="Y25" s="139" t="n"/>
      <x:c r="Z25" s="139" t="n"/>
      <x:c r="AA25" s="139" t="n"/>
      <x:c r="AB25" s="139" t="n"/>
      <x:c r="AC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c r="V26" s="139" t="n"/>
      <x:c r="W26" s="139" t="n"/>
      <x:c r="X26" s="139" t="n"/>
      <x:c r="Y26" s="139" t="n"/>
      <x:c r="Z26" s="139" t="n"/>
      <x:c r="AA26" s="139" t="n"/>
      <x:c r="AB26" s="139" t="n"/>
      <x:c r="AC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c r="V27" s="139" t="n"/>
      <x:c r="W27" s="139" t="n"/>
      <x:c r="X27" s="139" t="n"/>
      <x:c r="Y27" s="139" t="n"/>
      <x:c r="Z27" s="139" t="n"/>
      <x:c r="AA27" s="139" t="n"/>
      <x:c r="AB27" s="139" t="n"/>
      <x:c r="AC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c r="V28" s="139" t="n"/>
      <x:c r="W28" s="139" t="n"/>
      <x:c r="X28" s="139" t="n"/>
      <x:c r="Y28" s="139" t="n"/>
      <x:c r="Z28" s="139" t="n"/>
      <x:c r="AA28" s="139" t="n"/>
      <x:c r="AB28" s="139" t="n"/>
      <x:c r="AC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c r="V29" s="139" t="n"/>
      <x:c r="W29" s="139" t="n"/>
      <x:c r="X29" s="139" t="n"/>
      <x:c r="Y29" s="139" t="n"/>
      <x:c r="Z29" s="139" t="n"/>
      <x:c r="AA29" s="139" t="n"/>
      <x:c r="AB29" s="139" t="n"/>
      <x:c r="AC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c r="V30" s="139" t="n"/>
      <x:c r="W30" s="139" t="n"/>
      <x:c r="X30" s="139" t="n"/>
      <x:c r="Y30" s="139" t="n"/>
      <x:c r="Z30" s="139" t="n"/>
      <x:c r="AA30" s="139" t="n"/>
      <x:c r="AB30" s="139" t="n"/>
      <x:c r="AC30" s="139" t="n"/>
    </x:row>
    <x:row r="31">
      <x:c r="A31" s="139" t="n"/>
      <x:c r="B31" s="139" t="n"/>
      <x:c r="C31" s="139" t="n"/>
      <x:c r="D31" s="139" t="n"/>
      <x:c r="E31" s="139" t="n"/>
      <x:c r="F31" s="139" t="n"/>
      <x:c r="G31" s="139" t="n"/>
      <x:c r="H31" s="139" t="n"/>
      <x:c r="I31" s="139" t="n"/>
      <x:c r="J31" s="139" t="n"/>
      <x:c r="K31" s="139" t="n"/>
      <x:c r="L31" s="139" t="n"/>
      <x:c r="M31" s="139" t="n"/>
      <x:c r="N31" s="139" t="n"/>
      <x:c r="O31" s="139" t="n"/>
      <x:c r="P31" s="139" t="n"/>
      <x:c r="Q31" s="139" t="n"/>
      <x:c r="R31" s="139" t="n"/>
      <x:c r="S31" s="139" t="n"/>
      <x:c r="T31" s="139" t="n"/>
      <x:c r="U31" s="139" t="n"/>
      <x:c r="V31" s="139" t="n"/>
      <x:c r="W31" s="139" t="n"/>
      <x:c r="X31" s="139" t="n"/>
      <x:c r="Y31" s="139" t="n"/>
      <x:c r="Z31" s="139" t="n"/>
      <x:c r="AA31" s="139" t="n"/>
      <x:c r="AB31" s="139" t="n"/>
      <x:c r="AC31" s="139" t="n"/>
    </x:row>
    <x:row r="32">
      <x:c r="A32" s="139" t="n"/>
      <x:c r="B32" s="139" t="n"/>
      <x:c r="C32" s="139" t="n"/>
      <x:c r="D32" s="139" t="n"/>
      <x:c r="E32" s="139" t="n"/>
      <x:c r="F32" s="139" t="n"/>
      <x:c r="G32" s="139" t="n"/>
      <x:c r="H32" s="139" t="n"/>
      <x:c r="I32" s="139" t="n"/>
      <x:c r="J32" s="139" t="n"/>
      <x:c r="K32" s="139" t="n"/>
      <x:c r="L32" s="139" t="n"/>
      <x:c r="M32" s="139" t="n"/>
      <x:c r="N32" s="139" t="n"/>
      <x:c r="O32" s="139" t="n"/>
      <x:c r="P32" s="139" t="n"/>
      <x:c r="Q32" s="139" t="n"/>
      <x:c r="R32" s="139" t="n"/>
      <x:c r="S32" s="139" t="n"/>
      <x:c r="T32" s="139" t="n"/>
      <x:c r="U32" s="139" t="n"/>
      <x:c r="V32" s="139" t="n"/>
      <x:c r="W32" s="139" t="n"/>
      <x:c r="X32" s="139" t="n"/>
      <x:c r="Y32" s="139" t="n"/>
      <x:c r="Z32" s="139" t="n"/>
      <x:c r="AA32" s="139" t="n"/>
      <x:c r="AB32" s="139" t="n"/>
      <x:c r="AC32" s="139" t="n"/>
    </x:row>
    <x:row r="33">
      <x:c r="A33" s="139" t="n"/>
      <x:c r="B33" s="139" t="n"/>
      <x:c r="C33" s="139" t="n"/>
      <x:c r="D33" s="139" t="n"/>
      <x:c r="E33" s="139" t="n"/>
      <x:c r="F33" s="139" t="n"/>
      <x:c r="G33" s="139" t="n"/>
      <x:c r="H33" s="139" t="n"/>
      <x:c r="I33" s="139" t="n"/>
      <x:c r="J33" s="139" t="n"/>
      <x:c r="K33" s="139" t="n"/>
      <x:c r="L33" s="139" t="n"/>
      <x:c r="M33" s="139" t="n"/>
      <x:c r="N33" s="139" t="n"/>
      <x:c r="O33" s="139" t="n"/>
      <x:c r="P33" s="139" t="n"/>
      <x:c r="Q33" s="139" t="n"/>
      <x:c r="R33" s="139" t="n"/>
      <x:c r="S33" s="139" t="n"/>
      <x:c r="T33" s="139" t="n"/>
      <x:c r="U33" s="139" t="n"/>
      <x:c r="V33" s="139" t="n"/>
      <x:c r="W33" s="139" t="n"/>
      <x:c r="X33" s="139" t="n"/>
      <x:c r="Y33" s="139" t="n"/>
      <x:c r="Z33" s="139" t="n"/>
      <x:c r="AA33" s="139" t="n"/>
      <x:c r="AB33" s="139" t="n"/>
      <x:c r="AC33" s="139" t="n"/>
    </x:row>
    <x:row r="34">
      <x:c r="A34" s="139" t="n"/>
      <x:c r="B34" s="139" t="n"/>
      <x:c r="C34" s="139" t="n"/>
      <x:c r="D34" s="139" t="n"/>
      <x:c r="E34" s="139" t="n"/>
      <x:c r="F34" s="139" t="n"/>
      <x:c r="G34" s="139" t="n"/>
      <x:c r="H34" s="139" t="n"/>
      <x:c r="I34" s="139" t="n"/>
      <x:c r="J34" s="139" t="n"/>
      <x:c r="K34" s="139" t="n"/>
      <x:c r="L34" s="139" t="n"/>
      <x:c r="M34" s="139" t="n"/>
      <x:c r="N34" s="139" t="n"/>
      <x:c r="O34" s="139" t="n"/>
      <x:c r="P34" s="139" t="n"/>
      <x:c r="Q34" s="139" t="n"/>
      <x:c r="R34" s="139" t="n"/>
      <x:c r="S34" s="139" t="n"/>
      <x:c r="T34" s="139" t="n"/>
      <x:c r="U34" s="139" t="n"/>
      <x:c r="V34" s="139" t="n"/>
      <x:c r="W34" s="139" t="n"/>
      <x:c r="X34" s="139" t="n"/>
      <x:c r="Y34" s="139" t="n"/>
      <x:c r="Z34" s="139" t="n"/>
      <x:c r="AA34" s="139" t="n"/>
      <x:c r="AB34" s="139" t="n"/>
      <x:c r="AC34" s="139" t="n"/>
    </x:row>
    <x:row r="35">
      <x:c r="A35" s="139" t="n"/>
      <x:c r="B35" s="139" t="n"/>
      <x:c r="C35" s="139" t="n"/>
      <x:c r="D35" s="139" t="n"/>
      <x:c r="E35" s="139" t="n"/>
      <x:c r="F35" s="139" t="n"/>
      <x:c r="G35" s="139" t="n"/>
      <x:c r="H35" s="139" t="n"/>
      <x:c r="I35" s="139" t="n"/>
      <x:c r="J35" s="139" t="n"/>
      <x:c r="K35" s="139" t="n"/>
      <x:c r="L35" s="139" t="n"/>
      <x:c r="M35" s="139" t="n"/>
      <x:c r="N35" s="139" t="n"/>
      <x:c r="O35" s="139" t="n"/>
      <x:c r="P35" s="139" t="n"/>
      <x:c r="Q35" s="139" t="n"/>
      <x:c r="R35" s="139" t="n"/>
      <x:c r="S35" s="139" t="n"/>
      <x:c r="T35" s="139" t="n"/>
      <x:c r="U35" s="139" t="n"/>
      <x:c r="V35" s="139" t="n"/>
      <x:c r="W35" s="139" t="n"/>
      <x:c r="X35" s="139" t="n"/>
      <x:c r="Y35" s="139" t="n"/>
      <x:c r="Z35" s="139" t="n"/>
      <x:c r="AA35" s="139" t="n"/>
      <x:c r="AB35" s="139" t="n"/>
      <x:c r="AC35" s="139" t="n"/>
    </x:row>
    <x:row r="36">
      <x:c r="A36" s="139" t="n"/>
      <x:c r="B36" s="139" t="n"/>
      <x:c r="C36" s="139" t="n"/>
      <x:c r="D36" s="139" t="n"/>
      <x:c r="E36" s="139" t="n"/>
      <x:c r="F36" s="139" t="n"/>
      <x:c r="G36" s="139" t="n"/>
      <x:c r="H36" s="139" t="n"/>
      <x:c r="I36" s="139" t="n"/>
      <x:c r="J36" s="139" t="n"/>
      <x:c r="K36" s="139" t="n"/>
      <x:c r="L36" s="139" t="n"/>
      <x:c r="M36" s="139" t="n"/>
      <x:c r="N36" s="139" t="n"/>
      <x:c r="O36" s="139" t="n"/>
      <x:c r="P36" s="139" t="n"/>
      <x:c r="Q36" s="139" t="n"/>
      <x:c r="R36" s="139" t="n"/>
      <x:c r="S36" s="139" t="n"/>
      <x:c r="T36" s="139" t="n"/>
      <x:c r="U36" s="139" t="n"/>
      <x:c r="V36" s="139" t="n"/>
      <x:c r="W36" s="139" t="n"/>
      <x:c r="X36" s="139" t="n"/>
      <x:c r="Y36" s="139" t="n"/>
      <x:c r="Z36" s="139" t="n"/>
      <x:c r="AA36" s="139" t="n"/>
      <x:c r="AB36" s="139" t="n"/>
      <x:c r="AC36" s="139" t="n"/>
    </x:row>
    <x:row r="37">
      <x:c r="A37" s="139" t="n"/>
      <x:c r="B37" s="139" t="n"/>
      <x:c r="C37" s="139" t="n"/>
      <x:c r="D37" s="139" t="n"/>
      <x:c r="E37" s="139" t="n"/>
      <x:c r="F37" s="139" t="n"/>
      <x:c r="G37" s="139" t="n"/>
      <x:c r="H37" s="139" t="n"/>
      <x:c r="I37" s="139" t="n"/>
      <x:c r="J37" s="139" t="n"/>
      <x:c r="K37" s="139" t="n"/>
      <x:c r="L37" s="139" t="n"/>
      <x:c r="M37" s="139" t="n"/>
      <x:c r="N37" s="139" t="n"/>
      <x:c r="O37" s="139" t="n"/>
      <x:c r="P37" s="139" t="n"/>
      <x:c r="Q37" s="139" t="n"/>
      <x:c r="R37" s="139" t="n"/>
      <x:c r="S37" s="139" t="n"/>
      <x:c r="T37" s="139" t="n"/>
      <x:c r="U37" s="139" t="n"/>
      <x:c r="V37" s="139" t="n"/>
      <x:c r="W37" s="139" t="n"/>
      <x:c r="X37" s="139" t="n"/>
      <x:c r="Y37" s="139" t="n"/>
      <x:c r="Z37" s="139" t="n"/>
      <x:c r="AA37" s="139" t="n"/>
      <x:c r="AB37" s="139" t="n"/>
      <x:c r="AC37" s="139" t="n"/>
    </x:row>
    <x:row r="38">
      <x:c r="A38" s="139" t="n"/>
      <x:c r="B38" s="139" t="n"/>
      <x:c r="C38" s="139" t="n"/>
      <x:c r="D38" s="139" t="n"/>
      <x:c r="E38" s="139" t="n"/>
      <x:c r="F38" s="139" t="n"/>
      <x:c r="G38" s="139" t="n"/>
      <x:c r="H38" s="139" t="n"/>
      <x:c r="I38" s="139" t="n"/>
      <x:c r="J38" s="139" t="n"/>
      <x:c r="K38" s="139" t="n"/>
      <x:c r="L38" s="139" t="n"/>
      <x:c r="M38" s="139" t="n"/>
      <x:c r="N38" s="139" t="n"/>
      <x:c r="O38" s="139" t="n"/>
      <x:c r="P38" s="139" t="n"/>
      <x:c r="Q38" s="139" t="n"/>
      <x:c r="R38" s="139" t="n"/>
      <x:c r="S38" s="139" t="n"/>
      <x:c r="T38" s="139" t="n"/>
      <x:c r="U38" s="139" t="n"/>
      <x:c r="V38" s="139" t="n"/>
      <x:c r="W38" s="139" t="n"/>
      <x:c r="X38" s="139" t="n"/>
      <x:c r="Y38" s="139" t="n"/>
      <x:c r="Z38" s="139" t="n"/>
      <x:c r="AA38" s="139" t="n"/>
      <x:c r="AB38" s="139" t="n"/>
      <x:c r="AC38" s="139" t="n"/>
    </x:row>
    <x:row r="39">
      <x:c r="A39" s="139" t="n"/>
      <x:c r="B39" s="139" t="n"/>
      <x:c r="C39" s="139" t="n"/>
      <x:c r="D39" s="139" t="n"/>
      <x:c r="E39" s="139" t="n"/>
      <x:c r="F39" s="139" t="n"/>
      <x:c r="G39" s="139" t="n"/>
      <x:c r="H39" s="139" t="n"/>
      <x:c r="I39" s="139" t="n"/>
      <x:c r="J39" s="139" t="n"/>
      <x:c r="K39" s="139" t="n"/>
      <x:c r="L39" s="139" t="n"/>
      <x:c r="M39" s="139" t="n"/>
      <x:c r="N39" s="139" t="n"/>
      <x:c r="O39" s="139" t="n"/>
      <x:c r="P39" s="139" t="n"/>
      <x:c r="Q39" s="139" t="n"/>
      <x:c r="R39" s="139" t="n"/>
      <x:c r="S39" s="139" t="n"/>
      <x:c r="T39" s="139" t="n"/>
      <x:c r="U39" s="139" t="n"/>
      <x:c r="V39" s="139" t="n"/>
      <x:c r="W39" s="139" t="n"/>
      <x:c r="X39" s="139" t="n"/>
      <x:c r="Y39" s="139" t="n"/>
      <x:c r="Z39" s="139" t="n"/>
      <x:c r="AA39" s="139" t="n"/>
      <x:c r="AB39" s="139" t="n"/>
      <x:c r="AC39" s="139" t="n"/>
    </x:row>
    <x:row r="40">
      <x:c r="A40" s="139" t="n"/>
      <x:c r="B40" s="139" t="n"/>
      <x:c r="C40" s="139" t="n"/>
      <x:c r="D40" s="139" t="n"/>
      <x:c r="E40" s="139" t="n"/>
      <x:c r="F40" s="139" t="n"/>
      <x:c r="G40" s="139" t="n"/>
      <x:c r="H40" s="139" t="n"/>
      <x:c r="I40" s="139" t="n"/>
      <x:c r="J40" s="139" t="n"/>
      <x:c r="K40" s="139" t="n"/>
      <x:c r="L40" s="139" t="n"/>
      <x:c r="M40" s="139" t="n"/>
      <x:c r="N40" s="139" t="n"/>
      <x:c r="O40" s="139" t="n"/>
      <x:c r="P40" s="139" t="n"/>
      <x:c r="Q40" s="139" t="n"/>
      <x:c r="R40" s="139" t="n"/>
      <x:c r="S40" s="139" t="n"/>
      <x:c r="T40" s="139" t="n"/>
      <x:c r="U40" s="139" t="n"/>
      <x:c r="V40" s="139" t="n"/>
      <x:c r="W40" s="139" t="n"/>
      <x:c r="X40" s="139" t="n"/>
      <x:c r="Y40" s="139" t="n"/>
      <x:c r="Z40" s="139" t="n"/>
      <x:c r="AA40" s="139" t="n"/>
      <x:c r="AB40" s="139" t="n"/>
      <x:c r="AC40" s="139" t="n"/>
    </x:row>
    <x:row r="41">
      <x:c r="A41" s="139" t="n"/>
      <x:c r="B41" s="139" t="n"/>
      <x:c r="C41" s="139" t="n"/>
      <x:c r="D41" s="139" t="n"/>
      <x:c r="E41" s="139" t="n"/>
      <x:c r="F41" s="139" t="n"/>
      <x:c r="G41" s="139" t="n"/>
      <x:c r="H41" s="139" t="n"/>
      <x:c r="I41" s="139" t="n"/>
      <x:c r="J41" s="139" t="n"/>
      <x:c r="K41" s="139" t="n"/>
      <x:c r="L41" s="139" t="n"/>
      <x:c r="M41" s="139" t="n"/>
      <x:c r="N41" s="139" t="n"/>
      <x:c r="O41" s="139" t="n"/>
      <x:c r="P41" s="139" t="n"/>
      <x:c r="Q41" s="139" t="n"/>
      <x:c r="R41" s="139" t="n"/>
      <x:c r="S41" s="139" t="n"/>
      <x:c r="T41" s="139" t="n"/>
      <x:c r="U41" s="139" t="n"/>
      <x:c r="V41" s="139" t="n"/>
      <x:c r="W41" s="139" t="n"/>
      <x:c r="X41" s="139" t="n"/>
      <x:c r="Y41" s="139" t="n"/>
      <x:c r="Z41" s="139" t="n"/>
      <x:c r="AA41" s="139" t="n"/>
      <x:c r="AB41" s="139" t="n"/>
      <x:c r="AC41" s="139" t="n"/>
    </x:row>
    <x:row r="42">
      <x:c r="A42" s="139" t="n"/>
      <x:c r="B42" s="139" t="n"/>
      <x:c r="C42" s="139" t="n"/>
      <x:c r="D42" s="139" t="n"/>
      <x:c r="E42" s="139" t="n"/>
      <x:c r="F42" s="139" t="n"/>
      <x:c r="G42" s="139" t="n"/>
      <x:c r="H42" s="139" t="n"/>
      <x:c r="I42" s="139" t="n"/>
      <x:c r="J42" s="139" t="n"/>
      <x:c r="K42" s="139" t="n"/>
      <x:c r="L42" s="139" t="n"/>
      <x:c r="M42" s="139" t="n"/>
      <x:c r="N42" s="139" t="n"/>
      <x:c r="O42" s="139" t="n"/>
      <x:c r="P42" s="139" t="n"/>
      <x:c r="Q42" s="139" t="n"/>
      <x:c r="R42" s="139" t="n"/>
      <x:c r="S42" s="139" t="n"/>
      <x:c r="T42" s="139" t="n"/>
      <x:c r="U42" s="139" t="n"/>
      <x:c r="V42" s="139" t="n"/>
      <x:c r="W42" s="139" t="n"/>
      <x:c r="X42" s="139" t="n"/>
      <x:c r="Y42" s="139" t="n"/>
      <x:c r="Z42" s="139" t="n"/>
      <x:c r="AA42" s="139" t="n"/>
      <x:c r="AB42" s="139" t="n"/>
      <x:c r="AC42" s="139" t="n"/>
    </x:row>
    <x:row r="43">
      <x:c r="A43" s="139" t="n"/>
      <x:c r="B43" s="139" t="n"/>
      <x:c r="C43" s="139" t="n"/>
      <x:c r="D43" s="139" t="n"/>
      <x:c r="E43" s="139" t="n"/>
      <x:c r="F43" s="139" t="n"/>
      <x:c r="G43" s="139" t="n"/>
      <x:c r="H43" s="139" t="n"/>
      <x:c r="I43" s="139" t="n"/>
      <x:c r="J43" s="139" t="n"/>
      <x:c r="K43" s="139" t="n"/>
      <x:c r="L43" s="139" t="n"/>
      <x:c r="M43" s="139" t="n"/>
      <x:c r="N43" s="139" t="n"/>
      <x:c r="O43" s="139" t="n"/>
      <x:c r="P43" s="139" t="n"/>
      <x:c r="Q43" s="139" t="n"/>
      <x:c r="R43" s="139" t="n"/>
      <x:c r="S43" s="139" t="n"/>
      <x:c r="T43" s="139" t="n"/>
      <x:c r="U43" s="139" t="n"/>
      <x:c r="V43" s="139" t="n"/>
      <x:c r="W43" s="139" t="n"/>
      <x:c r="X43" s="139" t="n"/>
      <x:c r="Y43" s="139" t="n"/>
      <x:c r="Z43" s="139" t="n"/>
      <x:c r="AA43" s="139" t="n"/>
      <x:c r="AB43" s="139" t="n"/>
      <x:c r="AC43" s="139" t="n"/>
    </x:row>
    <x:row r="44">
      <x:c r="A44" s="139" t="n"/>
      <x:c r="B44" s="139" t="n"/>
      <x:c r="C44" s="139" t="n"/>
      <x:c r="D44" s="139" t="n"/>
      <x:c r="E44" s="139" t="n"/>
      <x:c r="F44" s="139" t="n"/>
      <x:c r="G44" s="139" t="n"/>
      <x:c r="H44" s="139" t="n"/>
      <x:c r="I44" s="139" t="n"/>
      <x:c r="J44" s="139" t="n"/>
      <x:c r="K44" s="139" t="n"/>
      <x:c r="L44" s="139" t="n"/>
      <x:c r="M44" s="139" t="n"/>
      <x:c r="N44" s="139" t="n"/>
      <x:c r="O44" s="139" t="n"/>
      <x:c r="P44" s="139" t="n"/>
      <x:c r="Q44" s="139" t="n"/>
      <x:c r="R44" s="139" t="n"/>
      <x:c r="S44" s="139" t="n"/>
      <x:c r="T44" s="139" t="n"/>
      <x:c r="U44" s="139" t="n"/>
      <x:c r="V44" s="139" t="n"/>
      <x:c r="W44" s="139" t="n"/>
      <x:c r="X44" s="139" t="n"/>
      <x:c r="Y44" s="139" t="n"/>
      <x:c r="Z44" s="139" t="n"/>
      <x:c r="AA44" s="139" t="n"/>
      <x:c r="AB44" s="139" t="n"/>
      <x:c r="AC44" s="139" t="n"/>
    </x:row>
    <x:row r="45">
      <x:c r="A45" s="139" t="n"/>
      <x:c r="B45" s="139" t="n"/>
      <x:c r="C45" s="139" t="n"/>
      <x:c r="D45" s="139" t="n"/>
      <x:c r="E45" s="139" t="n"/>
      <x:c r="F45" s="139" t="n"/>
      <x:c r="G45" s="139" t="n"/>
      <x:c r="H45" s="139" t="n"/>
      <x:c r="I45" s="139" t="n"/>
      <x:c r="J45" s="139" t="n"/>
      <x:c r="K45" s="139" t="n"/>
      <x:c r="L45" s="139" t="n"/>
      <x:c r="M45" s="139" t="n"/>
      <x:c r="N45" s="139" t="n"/>
      <x:c r="O45" s="139" t="n"/>
      <x:c r="P45" s="139" t="n"/>
      <x:c r="Q45" s="139" t="n"/>
      <x:c r="R45" s="139" t="n"/>
      <x:c r="S45" s="139" t="n"/>
      <x:c r="T45" s="139" t="n"/>
      <x:c r="U45" s="139" t="n"/>
      <x:c r="V45" s="139" t="n"/>
      <x:c r="W45" s="139" t="n"/>
      <x:c r="X45" s="139" t="n"/>
      <x:c r="Y45" s="139" t="n"/>
      <x:c r="Z45" s="139" t="n"/>
      <x:c r="AA45" s="139" t="n"/>
      <x:c r="AB45" s="139" t="n"/>
      <x:c r="AC45" s="139" t="n"/>
    </x:row>
    <x:row r="46">
      <x:c r="A46" s="139" t="n"/>
      <x:c r="B46" s="139" t="n"/>
      <x:c r="C46" s="139" t="n"/>
      <x:c r="D46" s="139" t="n"/>
      <x:c r="E46" s="139" t="n"/>
      <x:c r="F46" s="139" t="n"/>
      <x:c r="G46" s="139" t="n"/>
      <x:c r="H46" s="139" t="n"/>
      <x:c r="I46" s="139" t="n"/>
      <x:c r="J46" s="139" t="n"/>
      <x:c r="K46" s="139" t="n"/>
      <x:c r="L46" s="139" t="n"/>
      <x:c r="M46" s="139" t="n"/>
      <x:c r="N46" s="139" t="n"/>
      <x:c r="O46" s="139" t="n"/>
      <x:c r="P46" s="139" t="n"/>
      <x:c r="Q46" s="139" t="n"/>
      <x:c r="R46" s="139" t="n"/>
      <x:c r="S46" s="139" t="n"/>
      <x:c r="T46" s="139" t="n"/>
      <x:c r="U46" s="139" t="n"/>
      <x:c r="V46" s="139" t="n"/>
      <x:c r="W46" s="139" t="n"/>
      <x:c r="X46" s="139" t="n"/>
      <x:c r="Y46" s="139" t="n"/>
      <x:c r="Z46" s="139" t="n"/>
      <x:c r="AA46" s="139" t="n"/>
      <x:c r="AB46" s="139" t="n"/>
      <x:c r="AC46" s="139" t="n"/>
    </x:row>
    <x:row r="47">
      <x:c r="A47" s="139" t="n"/>
      <x:c r="B47" s="139" t="n"/>
      <x:c r="C47" s="139" t="n"/>
      <x:c r="D47" s="139" t="n"/>
      <x:c r="E47" s="139" t="n"/>
      <x:c r="F47" s="139" t="n"/>
      <x:c r="G47" s="139" t="n"/>
      <x:c r="H47" s="139" t="n"/>
      <x:c r="I47" s="139" t="n"/>
      <x:c r="J47" s="139" t="n"/>
      <x:c r="K47" s="139" t="n"/>
      <x:c r="L47" s="139" t="n"/>
      <x:c r="M47" s="139" t="n"/>
      <x:c r="N47" s="139" t="n"/>
      <x:c r="O47" s="139" t="n"/>
      <x:c r="P47" s="139" t="n"/>
      <x:c r="Q47" s="139" t="n"/>
      <x:c r="R47" s="139" t="n"/>
      <x:c r="S47" s="139" t="n"/>
      <x:c r="T47" s="139" t="n"/>
      <x:c r="U47" s="139" t="n"/>
      <x:c r="V47" s="139" t="n"/>
      <x:c r="W47" s="139" t="n"/>
      <x:c r="X47" s="139" t="n"/>
      <x:c r="Y47" s="139" t="n"/>
      <x:c r="Z47" s="139" t="n"/>
      <x:c r="AA47" s="139" t="n"/>
      <x:c r="AB47" s="139" t="n"/>
      <x:c r="AC47" s="139" t="n"/>
    </x:row>
    <x:row r="48">
      <x:c r="A48" s="139" t="n"/>
      <x:c r="B48" s="139" t="n"/>
      <x:c r="C48" s="139" t="n"/>
      <x:c r="D48" s="139" t="n"/>
      <x:c r="E48" s="139" t="n"/>
      <x:c r="F48" s="139" t="n"/>
      <x:c r="G48" s="139" t="n"/>
      <x:c r="H48" s="139" t="n"/>
      <x:c r="I48" s="139" t="n"/>
      <x:c r="J48" s="139" t="n"/>
      <x:c r="K48" s="139" t="n"/>
      <x:c r="L48" s="139" t="n"/>
      <x:c r="M48" s="139" t="n"/>
      <x:c r="N48" s="139" t="n"/>
      <x:c r="O48" s="139" t="n"/>
      <x:c r="P48" s="139" t="n"/>
      <x:c r="Q48" s="139" t="n"/>
      <x:c r="R48" s="139" t="n"/>
      <x:c r="S48" s="139" t="n"/>
      <x:c r="T48" s="139" t="n"/>
      <x:c r="U48" s="139" t="n"/>
      <x:c r="V48" s="139" t="n"/>
      <x:c r="W48" s="139" t="n"/>
      <x:c r="X48" s="139" t="n"/>
      <x:c r="Y48" s="139" t="n"/>
      <x:c r="Z48" s="139" t="n"/>
      <x:c r="AA48" s="139" t="n"/>
      <x:c r="AB48" s="139" t="n"/>
      <x:c r="AC48" s="139" t="n"/>
    </x:row>
    <x:row r="49">
      <x:c r="A49" s="139" t="n"/>
      <x:c r="B49" s="139" t="n"/>
      <x:c r="C49" s="139" t="n"/>
      <x:c r="D49" s="139" t="n"/>
      <x:c r="E49" s="139" t="n"/>
      <x:c r="F49" s="139" t="n"/>
      <x:c r="G49" s="139" t="n"/>
      <x:c r="H49" s="139" t="n"/>
      <x:c r="I49" s="139" t="n"/>
      <x:c r="J49" s="139" t="n"/>
      <x:c r="K49" s="139" t="n"/>
      <x:c r="L49" s="139" t="n"/>
      <x:c r="M49" s="139" t="n"/>
      <x:c r="N49" s="139" t="n"/>
      <x:c r="O49" s="139" t="n"/>
      <x:c r="P49" s="139" t="n"/>
      <x:c r="Q49" s="139" t="n"/>
      <x:c r="R49" s="139" t="n"/>
      <x:c r="S49" s="139" t="n"/>
      <x:c r="T49" s="139" t="n"/>
      <x:c r="U49" s="139" t="n"/>
      <x:c r="V49" s="139" t="n"/>
      <x:c r="W49" s="139" t="n"/>
      <x:c r="X49" s="139" t="n"/>
      <x:c r="Y49" s="139" t="n"/>
      <x:c r="Z49" s="139" t="n"/>
      <x:c r="AA49" s="139" t="n"/>
      <x:c r="AB49" s="139" t="n"/>
      <x:c r="AC49" s="139" t="n"/>
    </x:row>
    <x:row r="50">
      <x:c r="A50" s="139" t="n"/>
      <x:c r="B50" s="139" t="n"/>
      <x:c r="C50" s="139" t="n"/>
      <x:c r="D50" s="139" t="n"/>
      <x:c r="E50" s="139" t="n"/>
      <x:c r="F50" s="139" t="n"/>
      <x:c r="G50" s="139" t="n"/>
      <x:c r="H50" s="139" t="n"/>
      <x:c r="I50" s="139" t="n"/>
      <x:c r="J50" s="139" t="n"/>
      <x:c r="K50" s="139" t="n"/>
      <x:c r="L50" s="139" t="n"/>
      <x:c r="M50" s="139" t="n"/>
      <x:c r="N50" s="139" t="n"/>
      <x:c r="O50" s="139" t="n"/>
      <x:c r="P50" s="139" t="n"/>
      <x:c r="Q50" s="139" t="n"/>
      <x:c r="R50" s="139" t="n"/>
      <x:c r="S50" s="139" t="n"/>
      <x:c r="T50" s="139" t="n"/>
      <x:c r="U50" s="139" t="n"/>
      <x:c r="V50" s="139" t="n"/>
      <x:c r="W50" s="139" t="n"/>
      <x:c r="X50" s="139" t="n"/>
      <x:c r="Y50" s="139" t="n"/>
      <x:c r="Z50" s="139" t="n"/>
      <x:c r="AA50" s="139" t="n"/>
      <x:c r="AB50" s="139" t="n"/>
      <x:c r="AC50" s="139" t="n"/>
    </x:row>
    <x:row r="51">
      <x:c r="A51" s="139" t="n"/>
      <x:c r="B51" s="139" t="n"/>
      <x:c r="C51" s="139" t="n"/>
      <x:c r="D51" s="139" t="n"/>
      <x:c r="E51" s="139" t="n"/>
      <x:c r="F51" s="139" t="n"/>
      <x:c r="G51" s="139" t="n"/>
      <x:c r="H51" s="139" t="n"/>
      <x:c r="I51" s="139" t="n"/>
      <x:c r="J51" s="139" t="n"/>
      <x:c r="K51" s="139" t="n"/>
      <x:c r="L51" s="139" t="n"/>
      <x:c r="M51" s="139" t="n"/>
      <x:c r="N51" s="139" t="n"/>
      <x:c r="O51" s="139" t="n"/>
      <x:c r="P51" s="139" t="n"/>
      <x:c r="Q51" s="139" t="n"/>
      <x:c r="R51" s="139" t="n"/>
      <x:c r="S51" s="139" t="n"/>
      <x:c r="T51" s="139" t="n"/>
      <x:c r="U51" s="139" t="n"/>
      <x:c r="V51" s="139" t="n"/>
      <x:c r="W51" s="139" t="n"/>
      <x:c r="X51" s="139" t="n"/>
      <x:c r="Y51" s="139" t="n"/>
      <x:c r="Z51" s="139" t="n"/>
      <x:c r="AA51" s="139" t="n"/>
      <x:c r="AB51" s="139" t="n"/>
      <x:c r="AC51" s="139" t="n"/>
    </x:row>
    <x:row r="52">
      <x:c r="A52" s="139" t="n"/>
      <x:c r="B52" s="139" t="n"/>
      <x:c r="C52" s="139" t="n"/>
      <x:c r="D52" s="139" t="n"/>
      <x:c r="E52" s="139" t="n"/>
      <x:c r="F52" s="139" t="n"/>
      <x:c r="G52" s="139" t="n"/>
      <x:c r="H52" s="139" t="n"/>
      <x:c r="I52" s="139" t="n"/>
      <x:c r="J52" s="139" t="n"/>
      <x:c r="K52" s="139" t="n"/>
      <x:c r="L52" s="139" t="n"/>
      <x:c r="M52" s="139" t="n"/>
      <x:c r="N52" s="139" t="n"/>
      <x:c r="O52" s="139" t="n"/>
      <x:c r="P52" s="139" t="n"/>
      <x:c r="Q52" s="139" t="n"/>
      <x:c r="R52" s="139" t="n"/>
      <x:c r="S52" s="139" t="n"/>
      <x:c r="T52" s="139" t="n"/>
      <x:c r="U52" s="139" t="n"/>
      <x:c r="V52" s="139" t="n"/>
      <x:c r="W52" s="139" t="n"/>
      <x:c r="X52" s="139" t="n"/>
      <x:c r="Y52" s="139" t="n"/>
      <x:c r="Z52" s="139" t="n"/>
      <x:c r="AA52" s="139" t="n"/>
      <x:c r="AB52" s="139" t="n"/>
      <x:c r="AC52" s="139" t="n"/>
    </x:row>
    <x:row r="53">
      <x:c r="A53" s="139" t="n"/>
      <x:c r="B53" s="139" t="n"/>
      <x:c r="C53" s="139" t="n"/>
      <x:c r="D53" s="139" t="n"/>
      <x:c r="E53" s="139" t="n"/>
      <x:c r="F53" s="139" t="n"/>
      <x:c r="G53" s="139" t="n"/>
      <x:c r="H53" s="139" t="n"/>
      <x:c r="I53" s="139" t="n"/>
      <x:c r="J53" s="139" t="n"/>
      <x:c r="K53" s="139" t="n"/>
      <x:c r="L53" s="139" t="n"/>
      <x:c r="M53" s="139" t="n"/>
      <x:c r="N53" s="139" t="n"/>
      <x:c r="O53" s="139" t="n"/>
      <x:c r="P53" s="139" t="n"/>
      <x:c r="Q53" s="139" t="n"/>
      <x:c r="R53" s="139" t="n"/>
      <x:c r="S53" s="139" t="n"/>
      <x:c r="T53" s="139" t="n"/>
      <x:c r="U53" s="139" t="n"/>
      <x:c r="V53" s="139" t="n"/>
      <x:c r="W53" s="139" t="n"/>
      <x:c r="X53" s="139" t="n"/>
      <x:c r="Y53" s="139" t="n"/>
      <x:c r="Z53" s="139" t="n"/>
      <x:c r="AA53" s="139" t="n"/>
      <x:c r="AB53" s="139" t="n"/>
      <x:c r="AC53" s="139" t="n"/>
    </x:row>
    <x:row r="54">
      <x:c r="A54" s="139" t="n"/>
      <x:c r="B54" s="139" t="n"/>
      <x:c r="C54" s="139" t="n"/>
      <x:c r="D54" s="139" t="n"/>
      <x:c r="E54" s="139" t="n"/>
      <x:c r="F54" s="139" t="n"/>
      <x:c r="G54" s="139" t="n"/>
      <x:c r="H54" s="139" t="n"/>
      <x:c r="I54" s="139" t="n"/>
      <x:c r="J54" s="139" t="n"/>
      <x:c r="K54" s="139" t="n"/>
      <x:c r="L54" s="139" t="n"/>
      <x:c r="M54" s="139" t="n"/>
      <x:c r="N54" s="139" t="n"/>
      <x:c r="O54" s="139" t="n"/>
      <x:c r="P54" s="139" t="n"/>
      <x:c r="Q54" s="139" t="n"/>
      <x:c r="R54" s="139" t="n"/>
      <x:c r="S54" s="139" t="n"/>
      <x:c r="T54" s="139" t="n"/>
      <x:c r="U54" s="139" t="n"/>
      <x:c r="V54" s="139" t="n"/>
      <x:c r="W54" s="139" t="n"/>
      <x:c r="X54" s="139" t="n"/>
      <x:c r="Y54" s="139" t="n"/>
      <x:c r="Z54" s="139" t="n"/>
      <x:c r="AA54" s="139" t="n"/>
      <x:c r="AB54" s="139" t="n"/>
      <x:c r="AC54" s="139" t="n"/>
    </x:row>
    <x:row r="55">
      <x:c r="A55" s="139" t="n"/>
      <x:c r="B55" s="139" t="n"/>
      <x:c r="C55" s="139" t="n"/>
      <x:c r="D55" s="139" t="n"/>
      <x:c r="E55" s="139" t="n"/>
      <x:c r="F55" s="139" t="n"/>
      <x:c r="G55" s="139" t="n"/>
      <x:c r="H55" s="139" t="n"/>
      <x:c r="I55" s="139" t="n"/>
      <x:c r="J55" s="139" t="n"/>
      <x:c r="K55" s="139" t="n"/>
      <x:c r="L55" s="139" t="n"/>
      <x:c r="M55" s="139" t="n"/>
      <x:c r="N55" s="139" t="n"/>
      <x:c r="O55" s="139" t="n"/>
      <x:c r="P55" s="139" t="n"/>
      <x:c r="Q55" s="139" t="n"/>
      <x:c r="R55" s="139" t="n"/>
      <x:c r="S55" s="139" t="n"/>
      <x:c r="T55" s="139" t="n"/>
      <x:c r="U55" s="139" t="n"/>
      <x:c r="V55" s="139" t="n"/>
      <x:c r="W55" s="139" t="n"/>
      <x:c r="X55" s="139" t="n"/>
      <x:c r="Y55" s="139" t="n"/>
      <x:c r="Z55" s="139" t="n"/>
      <x:c r="AA55" s="139" t="n"/>
      <x:c r="AB55" s="139" t="n"/>
      <x:c r="AC55" s="139" t="n"/>
    </x:row>
    <x:row r="56">
      <x:c r="A56" s="139" t="n"/>
      <x:c r="B56" s="139" t="n"/>
      <x:c r="C56" s="139" t="n"/>
      <x:c r="D56" s="139" t="n"/>
      <x:c r="E56" s="139" t="n"/>
      <x:c r="F56" s="139" t="n"/>
      <x:c r="G56" s="139" t="n"/>
      <x:c r="H56" s="139" t="n"/>
      <x:c r="I56" s="139" t="n"/>
      <x:c r="J56" s="139" t="n"/>
      <x:c r="K56" s="139" t="n"/>
      <x:c r="L56" s="139" t="n"/>
      <x:c r="M56" s="139" t="n"/>
      <x:c r="N56" s="139" t="n"/>
      <x:c r="O56" s="139" t="n"/>
      <x:c r="P56" s="139" t="n"/>
      <x:c r="Q56" s="139" t="n"/>
      <x:c r="R56" s="139" t="n"/>
      <x:c r="S56" s="139" t="n"/>
      <x:c r="T56" s="139" t="n"/>
      <x:c r="U56" s="139" t="n"/>
      <x:c r="V56" s="139" t="n"/>
      <x:c r="W56" s="139" t="n"/>
      <x:c r="X56" s="139" t="n"/>
      <x:c r="Y56" s="139" t="n"/>
      <x:c r="Z56" s="139" t="n"/>
      <x:c r="AA56" s="139" t="n"/>
      <x:c r="AB56" s="139" t="n"/>
      <x:c r="AC56" s="139" t="n"/>
    </x:row>
    <x:row r="57">
      <x:c r="A57" s="139" t="n"/>
      <x:c r="B57" s="139" t="n"/>
      <x:c r="C57" s="139" t="n"/>
      <x:c r="D57" s="139" t="n"/>
      <x:c r="E57" s="139" t="n"/>
      <x:c r="F57" s="139" t="n"/>
      <x:c r="G57" s="139" t="n"/>
      <x:c r="H57" s="139" t="n"/>
      <x:c r="I57" s="139" t="n"/>
      <x:c r="J57" s="139" t="n"/>
      <x:c r="K57" s="139" t="n"/>
      <x:c r="L57" s="139" t="n"/>
      <x:c r="M57" s="139" t="n"/>
      <x:c r="N57" s="139" t="n"/>
      <x:c r="O57" s="139" t="n"/>
      <x:c r="P57" s="139" t="n"/>
      <x:c r="Q57" s="139" t="n"/>
      <x:c r="R57" s="139" t="n"/>
      <x:c r="S57" s="139" t="n"/>
      <x:c r="T57" s="139" t="n"/>
      <x:c r="U57" s="139" t="n"/>
      <x:c r="V57" s="139" t="n"/>
      <x:c r="W57" s="139" t="n"/>
      <x:c r="X57" s="139" t="n"/>
      <x:c r="Y57" s="139" t="n"/>
      <x:c r="Z57" s="139" t="n"/>
      <x:c r="AA57" s="139" t="n"/>
      <x:c r="AB57" s="139" t="n"/>
      <x:c r="AC57" s="139" t="n"/>
    </x:row>
    <x:row r="58">
      <x:c r="A58" s="139" t="n"/>
      <x:c r="B58" s="139" t="n"/>
      <x:c r="C58" s="139" t="n"/>
      <x:c r="D58" s="139" t="n"/>
      <x:c r="E58" s="139" t="n"/>
      <x:c r="F58" s="139" t="n"/>
      <x:c r="G58" s="139" t="n"/>
      <x:c r="H58" s="139" t="n"/>
      <x:c r="I58" s="139" t="n"/>
      <x:c r="J58" s="139" t="n"/>
      <x:c r="K58" s="139" t="n"/>
      <x:c r="L58" s="139" t="n"/>
      <x:c r="M58" s="139" t="n"/>
      <x:c r="N58" s="139" t="n"/>
      <x:c r="O58" s="139" t="n"/>
      <x:c r="P58" s="139" t="n"/>
      <x:c r="Q58" s="139" t="n"/>
      <x:c r="R58" s="139" t="n"/>
      <x:c r="S58" s="139" t="n"/>
      <x:c r="T58" s="139" t="n"/>
      <x:c r="U58" s="139" t="n"/>
      <x:c r="V58" s="139" t="n"/>
      <x:c r="W58" s="139" t="n"/>
      <x:c r="X58" s="139" t="n"/>
      <x:c r="Y58" s="139" t="n"/>
      <x:c r="Z58" s="139" t="n"/>
      <x:c r="AA58" s="139" t="n"/>
      <x:c r="AB58" s="139" t="n"/>
      <x:c r="AC58" s="139" t="n"/>
    </x:row>
    <x:row r="59">
      <x:c r="A59" s="139" t="n"/>
      <x:c r="B59" s="139" t="n"/>
      <x:c r="C59" s="139" t="n"/>
      <x:c r="D59" s="139" t="n"/>
      <x:c r="E59" s="139" t="n"/>
      <x:c r="F59" s="139" t="n"/>
      <x:c r="G59" s="139" t="n"/>
      <x:c r="H59" s="139" t="n"/>
      <x:c r="I59" s="139" t="n"/>
      <x:c r="J59" s="139" t="n"/>
      <x:c r="K59" s="139" t="n"/>
      <x:c r="L59" s="139" t="n"/>
      <x:c r="M59" s="139" t="n"/>
      <x:c r="N59" s="139" t="n"/>
      <x:c r="O59" s="139" t="n"/>
      <x:c r="P59" s="139" t="n"/>
      <x:c r="Q59" s="139" t="n"/>
      <x:c r="R59" s="139" t="n"/>
      <x:c r="S59" s="139" t="n"/>
      <x:c r="T59" s="139" t="n"/>
      <x:c r="U59" s="139" t="n"/>
      <x:c r="V59" s="139" t="n"/>
      <x:c r="W59" s="139" t="n"/>
      <x:c r="X59" s="139" t="n"/>
      <x:c r="Y59" s="139" t="n"/>
      <x:c r="Z59" s="139" t="n"/>
      <x:c r="AA59" s="139" t="n"/>
      <x:c r="AB59" s="139" t="n"/>
      <x:c r="AC59" s="139" t="n"/>
    </x:row>
    <x:row r="60">
      <x:c r="A60" s="139" t="n"/>
      <x:c r="B60" s="139" t="n"/>
      <x:c r="C60" s="139" t="n"/>
      <x:c r="D60" s="139" t="n"/>
      <x:c r="E60" s="139" t="n"/>
      <x:c r="F60" s="139" t="n"/>
      <x:c r="G60" s="139" t="n"/>
      <x:c r="H60" s="139" t="n"/>
      <x:c r="I60" s="139" t="n"/>
      <x:c r="J60" s="139" t="n"/>
      <x:c r="K60" s="139" t="n"/>
      <x:c r="L60" s="139" t="n"/>
      <x:c r="M60" s="139" t="n"/>
      <x:c r="N60" s="139" t="n"/>
      <x:c r="O60" s="139" t="n"/>
      <x:c r="P60" s="139" t="n"/>
      <x:c r="Q60" s="139" t="n"/>
      <x:c r="R60" s="139" t="n"/>
      <x:c r="S60" s="139" t="n"/>
      <x:c r="T60" s="139" t="n"/>
      <x:c r="U60" s="139" t="n"/>
      <x:c r="V60" s="139" t="n"/>
      <x:c r="W60" s="139" t="n"/>
      <x:c r="X60" s="139" t="n"/>
      <x:c r="Y60" s="139" t="n"/>
      <x:c r="Z60" s="139" t="n"/>
      <x:c r="AA60" s="139" t="n"/>
      <x:c r="AB60" s="139" t="n"/>
      <x:c r="AC60" s="139" t="n"/>
    </x:row>
    <x:row r="61">
      <x:c r="A61" s="139" t="n"/>
      <x:c r="B61" s="139" t="n"/>
      <x:c r="C61" s="139" t="n"/>
      <x:c r="D61" s="139" t="n"/>
      <x:c r="E61" s="139" t="n"/>
      <x:c r="F61" s="139" t="n"/>
      <x:c r="G61" s="139" t="n"/>
      <x:c r="H61" s="139" t="n"/>
      <x:c r="I61" s="139" t="n"/>
      <x:c r="J61" s="139" t="n"/>
      <x:c r="K61" s="139" t="n"/>
      <x:c r="L61" s="139" t="n"/>
      <x:c r="M61" s="139" t="n"/>
      <x:c r="N61" s="139" t="n"/>
      <x:c r="O61" s="139" t="n"/>
      <x:c r="P61" s="139" t="n"/>
      <x:c r="Q61" s="139" t="n"/>
      <x:c r="R61" s="139" t="n"/>
      <x:c r="S61" s="139" t="n"/>
      <x:c r="T61" s="139" t="n"/>
      <x:c r="U61" s="139" t="n"/>
      <x:c r="V61" s="139" t="n"/>
      <x:c r="W61" s="139" t="n"/>
      <x:c r="X61" s="139" t="n"/>
      <x:c r="Y61" s="139" t="n"/>
      <x:c r="Z61" s="139" t="n"/>
      <x:c r="AA61" s="139" t="n"/>
      <x:c r="AB61" s="139" t="n"/>
      <x:c r="AC61" s="139" t="n"/>
    </x:row>
    <x:row r="62">
      <x:c r="A62" s="139" t="n"/>
      <x:c r="B62" s="139" t="n"/>
      <x:c r="C62" s="139" t="n"/>
      <x:c r="D62" s="139" t="n"/>
      <x:c r="E62" s="139" t="n"/>
      <x:c r="F62" s="139" t="n"/>
      <x:c r="G62" s="139" t="n"/>
      <x:c r="H62" s="139" t="n"/>
      <x:c r="I62" s="139" t="n"/>
      <x:c r="J62" s="139" t="n"/>
      <x:c r="K62" s="139" t="n"/>
      <x:c r="L62" s="139" t="n"/>
      <x:c r="M62" s="139" t="n"/>
      <x:c r="N62" s="139" t="n"/>
      <x:c r="O62" s="139" t="n"/>
      <x:c r="P62" s="139" t="n"/>
      <x:c r="Q62" s="139" t="n"/>
      <x:c r="R62" s="139" t="n"/>
      <x:c r="S62" s="139" t="n"/>
      <x:c r="T62" s="139" t="n"/>
      <x:c r="U62" s="139" t="n"/>
      <x:c r="V62" s="139" t="n"/>
      <x:c r="W62" s="139" t="n"/>
      <x:c r="X62" s="139" t="n"/>
      <x:c r="Y62" s="139" t="n"/>
      <x:c r="Z62" s="139" t="n"/>
      <x:c r="AA62" s="139" t="n"/>
      <x:c r="AB62" s="139" t="n"/>
      <x:c r="AC62" s="139" t="n"/>
    </x:row>
    <x:row r="63">
      <x:c r="A63" s="139" t="n"/>
      <x:c r="B63" s="139" t="n"/>
      <x:c r="C63" s="139" t="n"/>
      <x:c r="D63" s="139" t="n"/>
      <x:c r="E63" s="139" t="n"/>
      <x:c r="F63" s="139" t="n"/>
      <x:c r="G63" s="139" t="n"/>
      <x:c r="H63" s="139" t="n"/>
      <x:c r="I63" s="139" t="n"/>
      <x:c r="J63" s="139" t="n"/>
      <x:c r="K63" s="139" t="n"/>
      <x:c r="L63" s="139" t="n"/>
      <x:c r="M63" s="139" t="n"/>
      <x:c r="N63" s="139" t="n"/>
      <x:c r="O63" s="139" t="n"/>
      <x:c r="P63" s="139" t="n"/>
      <x:c r="Q63" s="139" t="n"/>
      <x:c r="R63" s="139" t="n"/>
      <x:c r="S63" s="139" t="n"/>
      <x:c r="T63" s="139" t="n"/>
      <x:c r="U63" s="139" t="n"/>
      <x:c r="V63" s="139" t="n"/>
      <x:c r="W63" s="139" t="n"/>
      <x:c r="X63" s="139" t="n"/>
      <x:c r="Y63" s="139" t="n"/>
      <x:c r="Z63" s="139" t="n"/>
      <x:c r="AA63" s="139" t="n"/>
      <x:c r="AB63" s="139" t="n"/>
      <x:c r="AC63" s="139" t="n"/>
    </x:row>
    <x:row r="64">
      <x:c r="A64" s="139" t="n"/>
      <x:c r="B64" s="139" t="n"/>
      <x:c r="C64" s="139" t="n"/>
      <x:c r="D64" s="139" t="n"/>
      <x:c r="E64" s="139" t="n"/>
      <x:c r="F64" s="139" t="n"/>
      <x:c r="G64" s="139" t="n"/>
      <x:c r="H64" s="139" t="n"/>
      <x:c r="I64" s="139" t="n"/>
      <x:c r="J64" s="139" t="n"/>
      <x:c r="K64" s="139" t="n"/>
      <x:c r="L64" s="139" t="n"/>
      <x:c r="M64" s="139" t="n"/>
      <x:c r="N64" s="139" t="n"/>
      <x:c r="O64" s="139" t="n"/>
      <x:c r="P64" s="139" t="n"/>
      <x:c r="Q64" s="139" t="n"/>
      <x:c r="R64" s="139" t="n"/>
      <x:c r="S64" s="139" t="n"/>
      <x:c r="T64" s="139" t="n"/>
      <x:c r="U64" s="139" t="n"/>
      <x:c r="V64" s="139" t="n"/>
      <x:c r="W64" s="139" t="n"/>
      <x:c r="X64" s="139" t="n"/>
      <x:c r="Y64" s="139" t="n"/>
      <x:c r="Z64" s="139" t="n"/>
      <x:c r="AA64" s="139" t="n"/>
      <x:c r="AB64" s="139" t="n"/>
      <x:c r="AC64" s="139" t="n"/>
    </x:row>
    <x:row r="65">
      <x:c r="A65" s="139" t="n"/>
      <x:c r="B65" s="139" t="n"/>
      <x:c r="C65" s="139" t="n"/>
      <x:c r="D65" s="139" t="n"/>
      <x:c r="E65" s="139" t="n"/>
      <x:c r="F65" s="139" t="n"/>
      <x:c r="G65" s="139" t="n"/>
      <x:c r="H65" s="139" t="n"/>
      <x:c r="I65" s="139" t="n"/>
      <x:c r="J65" s="139" t="n"/>
      <x:c r="K65" s="139" t="n"/>
      <x:c r="L65" s="139" t="n"/>
      <x:c r="M65" s="139" t="n"/>
      <x:c r="N65" s="139" t="n"/>
      <x:c r="O65" s="139" t="n"/>
      <x:c r="P65" s="139" t="n"/>
      <x:c r="Q65" s="139" t="n"/>
      <x:c r="R65" s="139" t="n"/>
      <x:c r="S65" s="139" t="n"/>
      <x:c r="T65" s="139" t="n"/>
      <x:c r="U65" s="139" t="n"/>
      <x:c r="V65" s="139" t="n"/>
      <x:c r="W65" s="139" t="n"/>
      <x:c r="X65" s="139" t="n"/>
      <x:c r="Y65" s="139" t="n"/>
      <x:c r="Z65" s="139" t="n"/>
      <x:c r="AA65" s="139" t="n"/>
      <x:c r="AB65" s="139" t="n"/>
      <x:c r="AC65" s="139" t="n"/>
    </x:row>
    <x:row r="66">
      <x:c r="A66" s="139" t="n"/>
      <x:c r="B66" s="139" t="n"/>
      <x:c r="C66" s="139" t="n"/>
      <x:c r="D66" s="139" t="n"/>
      <x:c r="E66" s="139" t="n"/>
      <x:c r="F66" s="139" t="n"/>
      <x:c r="G66" s="139" t="n"/>
      <x:c r="H66" s="139" t="n"/>
      <x:c r="I66" s="139" t="n"/>
      <x:c r="J66" s="139" t="n"/>
      <x:c r="K66" s="139" t="n"/>
      <x:c r="L66" s="139" t="n"/>
      <x:c r="M66" s="139" t="n"/>
      <x:c r="N66" s="139" t="n"/>
      <x:c r="O66" s="139" t="n"/>
      <x:c r="P66" s="139" t="n"/>
      <x:c r="Q66" s="139" t="n"/>
      <x:c r="R66" s="139" t="n"/>
      <x:c r="S66" s="139" t="n"/>
      <x:c r="T66" s="139" t="n"/>
      <x:c r="U66" s="139" t="n"/>
      <x:c r="V66" s="139" t="n"/>
      <x:c r="W66" s="139" t="n"/>
      <x:c r="X66" s="139" t="n"/>
      <x:c r="Y66" s="139" t="n"/>
      <x:c r="Z66" s="139" t="n"/>
      <x:c r="AA66" s="139" t="n"/>
      <x:c r="AB66" s="139" t="n"/>
      <x:c r="AC66" s="139" t="n"/>
    </x:row>
    <x:row r="67">
      <x:c r="A67" s="139" t="n"/>
      <x:c r="B67" s="139" t="n"/>
      <x:c r="C67" s="139" t="n"/>
      <x:c r="D67" s="139" t="n"/>
      <x:c r="E67" s="139" t="n"/>
      <x:c r="F67" s="139" t="n"/>
      <x:c r="G67" s="139" t="n"/>
      <x:c r="H67" s="139" t="n"/>
      <x:c r="I67" s="139" t="n"/>
      <x:c r="J67" s="139" t="n"/>
      <x:c r="K67" s="139" t="n"/>
      <x:c r="L67" s="139" t="n"/>
      <x:c r="M67" s="139" t="n"/>
      <x:c r="N67" s="139" t="n"/>
      <x:c r="O67" s="139" t="n"/>
      <x:c r="P67" s="139" t="n"/>
      <x:c r="Q67" s="139" t="n"/>
      <x:c r="R67" s="139" t="n"/>
      <x:c r="S67" s="139" t="n"/>
      <x:c r="T67" s="139" t="n"/>
      <x:c r="U67" s="139" t="n"/>
      <x:c r="V67" s="139" t="n"/>
      <x:c r="W67" s="139" t="n"/>
      <x:c r="X67" s="139" t="n"/>
      <x:c r="Y67" s="139" t="n"/>
      <x:c r="Z67" s="139" t="n"/>
      <x:c r="AA67" s="139" t="n"/>
      <x:c r="AB67" s="139" t="n"/>
      <x:c r="AC67" s="139" t="n"/>
    </x:row>
    <x:row r="68">
      <x:c r="A68" s="139" t="n"/>
      <x:c r="B68" s="139" t="n"/>
      <x:c r="C68" s="139" t="n"/>
      <x:c r="D68" s="139" t="n"/>
      <x:c r="E68" s="139" t="n"/>
      <x:c r="F68" s="139" t="n"/>
      <x:c r="G68" s="139" t="n"/>
      <x:c r="H68" s="139" t="n"/>
      <x:c r="I68" s="139" t="n"/>
      <x:c r="J68" s="139" t="n"/>
      <x:c r="K68" s="139" t="n"/>
      <x:c r="L68" s="139" t="n"/>
      <x:c r="M68" s="139" t="n"/>
      <x:c r="N68" s="139" t="n"/>
      <x:c r="O68" s="139" t="n"/>
      <x:c r="P68" s="139" t="n"/>
      <x:c r="Q68" s="139" t="n"/>
      <x:c r="R68" s="139" t="n"/>
      <x:c r="S68" s="139" t="n"/>
      <x:c r="T68" s="139" t="n"/>
      <x:c r="U68" s="139" t="n"/>
      <x:c r="V68" s="139" t="n"/>
      <x:c r="W68" s="139" t="n"/>
      <x:c r="X68" s="139" t="n"/>
      <x:c r="Y68" s="139" t="n"/>
      <x:c r="Z68" s="139" t="n"/>
      <x:c r="AA68" s="139" t="n"/>
      <x:c r="AB68" s="139" t="n"/>
      <x:c r="AC68" s="139" t="n"/>
    </x:row>
    <x:row r="69">
      <x:c r="A69" s="139" t="n"/>
      <x:c r="B69" s="139" t="n"/>
      <x:c r="C69" s="139" t="n"/>
      <x:c r="D69" s="139" t="n"/>
      <x:c r="E69" s="139" t="n"/>
      <x:c r="F69" s="139" t="n"/>
      <x:c r="G69" s="139" t="n"/>
      <x:c r="H69" s="139" t="n"/>
      <x:c r="I69" s="139" t="n"/>
      <x:c r="J69" s="139" t="n"/>
      <x:c r="K69" s="139" t="n"/>
      <x:c r="L69" s="139" t="n"/>
      <x:c r="M69" s="139" t="n"/>
      <x:c r="N69" s="139" t="n"/>
      <x:c r="O69" s="139" t="n"/>
      <x:c r="P69" s="139" t="n"/>
      <x:c r="Q69" s="139" t="n"/>
      <x:c r="R69" s="139" t="n"/>
      <x:c r="S69" s="139" t="n"/>
      <x:c r="T69" s="139" t="n"/>
      <x:c r="U69" s="139" t="n"/>
      <x:c r="V69" s="139" t="n"/>
      <x:c r="W69" s="139" t="n"/>
      <x:c r="X69" s="139" t="n"/>
      <x:c r="Y69" s="139" t="n"/>
      <x:c r="Z69" s="139" t="n"/>
      <x:c r="AA69" s="139" t="n"/>
      <x:c r="AB69" s="139" t="n"/>
      <x:c r="AC69" s="139" t="n"/>
    </x:row>
    <x:row r="70">
      <x:c r="A70" s="139" t="n"/>
      <x:c r="B70" s="139" t="n"/>
      <x:c r="C70" s="139" t="n"/>
      <x:c r="D70" s="139" t="n"/>
      <x:c r="E70" s="139" t="n"/>
      <x:c r="F70" s="139" t="n"/>
      <x:c r="G70" s="139" t="n"/>
      <x:c r="H70" s="139" t="n"/>
      <x:c r="I70" s="139" t="n"/>
      <x:c r="J70" s="139" t="n"/>
      <x:c r="K70" s="139" t="n"/>
      <x:c r="L70" s="139" t="n"/>
      <x:c r="M70" s="139" t="n"/>
      <x:c r="N70" s="139" t="n"/>
      <x:c r="O70" s="139" t="n"/>
      <x:c r="P70" s="139" t="n"/>
      <x:c r="Q70" s="139" t="n"/>
      <x:c r="R70" s="139" t="n"/>
      <x:c r="S70" s="139" t="n"/>
      <x:c r="T70" s="139" t="n"/>
      <x:c r="U70" s="139" t="n"/>
      <x:c r="V70" s="139" t="n"/>
      <x:c r="W70" s="139" t="n"/>
      <x:c r="X70" s="139" t="n"/>
      <x:c r="Y70" s="139" t="n"/>
      <x:c r="Z70" s="139" t="n"/>
      <x:c r="AA70" s="139" t="n"/>
      <x:c r="AB70" s="139" t="n"/>
      <x:c r="AC70" s="139" t="n"/>
    </x:row>
    <x:row r="71">
      <x:c r="A71" s="139" t="n"/>
      <x:c r="B71" s="139" t="n"/>
      <x:c r="C71" s="139" t="n"/>
      <x:c r="D71" s="139" t="n"/>
      <x:c r="E71" s="139" t="n"/>
      <x:c r="F71" s="139" t="n"/>
      <x:c r="G71" s="139" t="n"/>
      <x:c r="H71" s="139" t="n"/>
      <x:c r="I71" s="139" t="n"/>
      <x:c r="J71" s="139" t="n"/>
      <x:c r="K71" s="139" t="n"/>
      <x:c r="L71" s="139" t="n"/>
      <x:c r="M71" s="139" t="n"/>
      <x:c r="N71" s="139" t="n"/>
      <x:c r="O71" s="139" t="n"/>
      <x:c r="P71" s="139" t="n"/>
      <x:c r="Q71" s="139" t="n"/>
      <x:c r="R71" s="139" t="n"/>
      <x:c r="S71" s="139" t="n"/>
      <x:c r="T71" s="139" t="n"/>
      <x:c r="U71" s="139" t="n"/>
      <x:c r="V71" s="139" t="n"/>
      <x:c r="W71" s="139" t="n"/>
      <x:c r="X71" s="139" t="n"/>
      <x:c r="Y71" s="139" t="n"/>
      <x:c r="Z71" s="139" t="n"/>
      <x:c r="AA71" s="139" t="n"/>
      <x:c r="AB71" s="139" t="n"/>
      <x:c r="AC71" s="139" t="n"/>
    </x:row>
    <x:row r="72">
      <x:c r="A72" s="139" t="n"/>
      <x:c r="B72" s="139" t="n"/>
      <x:c r="C72" s="139" t="n"/>
      <x:c r="D72" s="139" t="n"/>
      <x:c r="E72" s="139" t="n"/>
      <x:c r="F72" s="139" t="n"/>
      <x:c r="G72" s="139" t="n"/>
      <x:c r="H72" s="139" t="n"/>
      <x:c r="I72" s="139" t="n"/>
      <x:c r="J72" s="139" t="n"/>
      <x:c r="K72" s="139" t="n"/>
      <x:c r="L72" s="139" t="n"/>
      <x:c r="M72" s="139" t="n"/>
      <x:c r="N72" s="139" t="n"/>
      <x:c r="O72" s="139" t="n"/>
      <x:c r="P72" s="139" t="n"/>
      <x:c r="Q72" s="139" t="n"/>
      <x:c r="R72" s="139" t="n"/>
      <x:c r="S72" s="139" t="n"/>
      <x:c r="T72" s="139" t="n"/>
      <x:c r="U72" s="139" t="n"/>
      <x:c r="V72" s="139" t="n"/>
      <x:c r="W72" s="139" t="n"/>
      <x:c r="X72" s="139" t="n"/>
      <x:c r="Y72" s="139" t="n"/>
      <x:c r="Z72" s="139" t="n"/>
      <x:c r="AA72" s="139" t="n"/>
      <x:c r="AB72" s="139" t="n"/>
      <x:c r="AC72" s="139" t="n"/>
    </x:row>
    <x:row r="73">
      <x:c r="A73" s="139" t="n"/>
      <x:c r="B73" s="139" t="n"/>
      <x:c r="C73" s="139" t="n"/>
      <x:c r="D73" s="139" t="n"/>
      <x:c r="E73" s="139" t="n"/>
      <x:c r="F73" s="139" t="n"/>
      <x:c r="G73" s="139" t="n"/>
      <x:c r="H73" s="139" t="n"/>
      <x:c r="I73" s="139" t="n"/>
      <x:c r="J73" s="139" t="n"/>
      <x:c r="K73" s="139" t="n"/>
      <x:c r="L73" s="139" t="n"/>
      <x:c r="M73" s="139" t="n"/>
      <x:c r="N73" s="139" t="n"/>
      <x:c r="O73" s="139" t="n"/>
      <x:c r="P73" s="139" t="n"/>
      <x:c r="Q73" s="139" t="n"/>
      <x:c r="R73" s="139" t="n"/>
      <x:c r="S73" s="139" t="n"/>
      <x:c r="T73" s="139" t="n"/>
      <x:c r="U73" s="139" t="n"/>
      <x:c r="V73" s="139" t="n"/>
      <x:c r="W73" s="139" t="n"/>
      <x:c r="X73" s="139" t="n"/>
      <x:c r="Y73" s="139" t="n"/>
      <x:c r="Z73" s="139" t="n"/>
      <x:c r="AA73" s="139" t="n"/>
      <x:c r="AB73" s="139" t="n"/>
      <x:c r="AC73" s="139" t="n"/>
    </x:row>
    <x:row r="74">
      <x:c r="A74" s="139" t="n"/>
      <x:c r="B74" s="139" t="n"/>
      <x:c r="C74" s="139" t="n"/>
      <x:c r="D74" s="139" t="n"/>
      <x:c r="E74" s="139" t="n"/>
      <x:c r="F74" s="139" t="n"/>
      <x:c r="G74" s="139" t="n"/>
      <x:c r="H74" s="139" t="n"/>
      <x:c r="I74" s="139" t="n"/>
      <x:c r="J74" s="139" t="n"/>
      <x:c r="K74" s="139" t="n"/>
      <x:c r="L74" s="139" t="n"/>
      <x:c r="M74" s="139" t="n"/>
      <x:c r="N74" s="139" t="n"/>
      <x:c r="O74" s="139" t="n"/>
      <x:c r="P74" s="139" t="n"/>
      <x:c r="Q74" s="139" t="n"/>
      <x:c r="R74" s="139" t="n"/>
      <x:c r="S74" s="139" t="n"/>
      <x:c r="T74" s="139" t="n"/>
      <x:c r="U74" s="139" t="n"/>
      <x:c r="V74" s="139" t="n"/>
      <x:c r="W74" s="139" t="n"/>
      <x:c r="X74" s="139" t="n"/>
      <x:c r="Y74" s="139" t="n"/>
      <x:c r="Z74" s="139" t="n"/>
      <x:c r="AA74" s="139" t="n"/>
      <x:c r="AB74" s="139" t="n"/>
      <x:c r="AC74" s="139" t="n"/>
    </x:row>
    <x:row r="75">
      <x:c r="A75" s="139" t="n"/>
      <x:c r="B75" s="139" t="n"/>
      <x:c r="C75" s="139" t="n"/>
      <x:c r="D75" s="139" t="n"/>
      <x:c r="E75" s="139" t="n"/>
      <x:c r="F75" s="139" t="n"/>
      <x:c r="G75" s="139" t="n"/>
      <x:c r="H75" s="139" t="n"/>
      <x:c r="I75" s="139" t="n"/>
      <x:c r="J75" s="139" t="n"/>
      <x:c r="K75" s="139" t="n"/>
      <x:c r="L75" s="139" t="n"/>
      <x:c r="M75" s="139" t="n"/>
      <x:c r="N75" s="139" t="n"/>
      <x:c r="O75" s="139" t="n"/>
      <x:c r="P75" s="139" t="n"/>
      <x:c r="Q75" s="139" t="n"/>
      <x:c r="R75" s="139" t="n"/>
      <x:c r="S75" s="139" t="n"/>
      <x:c r="T75" s="139" t="n"/>
      <x:c r="U75" s="139" t="n"/>
      <x:c r="V75" s="139" t="n"/>
      <x:c r="W75" s="139" t="n"/>
      <x:c r="X75" s="139" t="n"/>
      <x:c r="Y75" s="139" t="n"/>
      <x:c r="Z75" s="139" t="n"/>
      <x:c r="AA75" s="139" t="n"/>
      <x:c r="AB75" s="139" t="n"/>
      <x:c r="AC75" s="139" t="n"/>
    </x:row>
    <x:row r="76">
      <x:c r="A76" s="139" t="n"/>
      <x:c r="B76" s="139" t="n"/>
      <x:c r="C76" s="139" t="n"/>
      <x:c r="D76" s="139" t="n"/>
      <x:c r="E76" s="139" t="n"/>
      <x:c r="F76" s="139" t="n"/>
      <x:c r="G76" s="139" t="n"/>
      <x:c r="H76" s="139" t="n"/>
      <x:c r="I76" s="139" t="n"/>
      <x:c r="J76" s="139" t="n"/>
      <x:c r="K76" s="139" t="n"/>
      <x:c r="L76" s="139" t="n"/>
      <x:c r="M76" s="139" t="n"/>
      <x:c r="N76" s="139" t="n"/>
      <x:c r="O76" s="139" t="n"/>
      <x:c r="P76" s="139" t="n"/>
      <x:c r="Q76" s="139" t="n"/>
      <x:c r="R76" s="139" t="n"/>
      <x:c r="S76" s="139" t="n"/>
      <x:c r="T76" s="139" t="n"/>
      <x:c r="U76" s="139" t="n"/>
      <x:c r="V76" s="139" t="n"/>
      <x:c r="W76" s="139" t="n"/>
      <x:c r="X76" s="139" t="n"/>
      <x:c r="Y76" s="139" t="n"/>
      <x:c r="Z76" s="139" t="n"/>
      <x:c r="AA76" s="139" t="n"/>
      <x:c r="AB76" s="139" t="n"/>
      <x:c r="AC76" s="139" t="n"/>
    </x:row>
    <x:row r="77">
      <x:c r="A77" s="139" t="n"/>
      <x:c r="B77" s="139" t="n"/>
      <x:c r="C77" s="139" t="n"/>
      <x:c r="D77" s="139" t="n"/>
      <x:c r="E77" s="139" t="n"/>
      <x:c r="F77" s="139" t="n"/>
      <x:c r="G77" s="139" t="n"/>
      <x:c r="H77" s="139" t="n"/>
      <x:c r="I77" s="139" t="n"/>
      <x:c r="J77" s="139" t="n"/>
      <x:c r="K77" s="139" t="n"/>
      <x:c r="L77" s="139" t="n"/>
      <x:c r="M77" s="139" t="n"/>
      <x:c r="N77" s="139" t="n"/>
      <x:c r="O77" s="139" t="n"/>
      <x:c r="P77" s="139" t="n"/>
      <x:c r="Q77" s="139" t="n"/>
      <x:c r="R77" s="139" t="n"/>
      <x:c r="S77" s="139" t="n"/>
      <x:c r="T77" s="139" t="n"/>
      <x:c r="U77" s="139" t="n"/>
      <x:c r="V77" s="139" t="n"/>
      <x:c r="W77" s="139" t="n"/>
      <x:c r="X77" s="139" t="n"/>
      <x:c r="Y77" s="139" t="n"/>
      <x:c r="Z77" s="139" t="n"/>
      <x:c r="AA77" s="139" t="n"/>
      <x:c r="AB77" s="139" t="n"/>
      <x:c r="AC77" s="139" t="n"/>
    </x:row>
    <x:row r="78">
      <x:c r="A78" s="139" t="n"/>
      <x:c r="B78" s="139" t="n"/>
      <x:c r="C78" s="139" t="n"/>
      <x:c r="D78" s="139" t="n"/>
      <x:c r="E78" s="139" t="n"/>
      <x:c r="F78" s="139" t="n"/>
      <x:c r="G78" s="139" t="n"/>
      <x:c r="H78" s="139" t="n"/>
      <x:c r="I78" s="139" t="n"/>
      <x:c r="J78" s="139" t="n"/>
      <x:c r="K78" s="139" t="n"/>
      <x:c r="L78" s="139" t="n"/>
      <x:c r="M78" s="139" t="n"/>
      <x:c r="N78" s="139" t="n"/>
      <x:c r="O78" s="139" t="n"/>
      <x:c r="P78" s="139" t="n"/>
      <x:c r="Q78" s="139" t="n"/>
      <x:c r="R78" s="139" t="n"/>
      <x:c r="S78" s="139" t="n"/>
      <x:c r="T78" s="139" t="n"/>
      <x:c r="U78" s="139" t="n"/>
      <x:c r="V78" s="139" t="n"/>
      <x:c r="W78" s="139" t="n"/>
      <x:c r="X78" s="139" t="n"/>
      <x:c r="Y78" s="139" t="n"/>
      <x:c r="Z78" s="139" t="n"/>
      <x:c r="AA78" s="139" t="n"/>
      <x:c r="AB78" s="139" t="n"/>
      <x:c r="AC78" s="139" t="n"/>
    </x:row>
    <x:row r="79">
      <x:c r="A79" s="139" t="n"/>
      <x:c r="B79" s="139" t="n"/>
      <x:c r="C79" s="139" t="n"/>
      <x:c r="D79" s="139" t="n"/>
      <x:c r="E79" s="139" t="n"/>
      <x:c r="F79" s="139" t="n"/>
      <x:c r="G79" s="139" t="n"/>
      <x:c r="H79" s="139" t="n"/>
      <x:c r="I79" s="139" t="n"/>
      <x:c r="J79" s="139" t="n"/>
      <x:c r="K79" s="139" t="n"/>
      <x:c r="L79" s="139" t="n"/>
      <x:c r="M79" s="139" t="n"/>
      <x:c r="N79" s="139" t="n"/>
      <x:c r="O79" s="139" t="n"/>
      <x:c r="P79" s="139" t="n"/>
      <x:c r="Q79" s="139" t="n"/>
      <x:c r="R79" s="139" t="n"/>
      <x:c r="S79" s="139" t="n"/>
      <x:c r="T79" s="139" t="n"/>
      <x:c r="U79" s="139" t="n"/>
      <x:c r="V79" s="139" t="n"/>
      <x:c r="W79" s="139" t="n"/>
      <x:c r="X79" s="139" t="n"/>
      <x:c r="Y79" s="139" t="n"/>
      <x:c r="Z79" s="139" t="n"/>
      <x:c r="AA79" s="139" t="n"/>
      <x:c r="AB79" s="139" t="n"/>
      <x:c r="AC79" s="139" t="n"/>
    </x:row>
    <x:row r="80">
      <x:c r="A80" s="139" t="n"/>
      <x:c r="B80" s="139" t="n"/>
      <x:c r="C80" s="139" t="n"/>
      <x:c r="D80" s="139" t="n"/>
      <x:c r="E80" s="139" t="n"/>
      <x:c r="F80" s="139" t="n"/>
      <x:c r="G80" s="139" t="n"/>
      <x:c r="H80" s="139" t="n"/>
      <x:c r="I80" s="139" t="n"/>
      <x:c r="J80" s="139" t="n"/>
      <x:c r="K80" s="139" t="n"/>
      <x:c r="L80" s="139" t="n"/>
      <x:c r="M80" s="139" t="n"/>
      <x:c r="N80" s="139" t="n"/>
      <x:c r="O80" s="139" t="n"/>
      <x:c r="P80" s="139" t="n"/>
      <x:c r="Q80" s="139" t="n"/>
      <x:c r="R80" s="139" t="n"/>
      <x:c r="S80" s="139" t="n"/>
      <x:c r="T80" s="139" t="n"/>
      <x:c r="U80" s="139" t="n"/>
      <x:c r="V80" s="139" t="n"/>
      <x:c r="W80" s="139" t="n"/>
      <x:c r="X80" s="139" t="n"/>
      <x:c r="Y80" s="139" t="n"/>
      <x:c r="Z80" s="139" t="n"/>
      <x:c r="AA80" s="139" t="n"/>
      <x:c r="AB80" s="139" t="n"/>
      <x:c r="AC80" s="139" t="n"/>
    </x:row>
    <x:row r="81">
      <x:c r="A81" s="139" t="n"/>
      <x:c r="B81" s="139" t="n"/>
      <x:c r="C81" s="139" t="n"/>
      <x:c r="D81" s="139" t="n"/>
      <x:c r="E81" s="139" t="n"/>
      <x:c r="F81" s="139" t="n"/>
      <x:c r="G81" s="139" t="n"/>
      <x:c r="H81" s="139" t="n"/>
      <x:c r="I81" s="139" t="n"/>
      <x:c r="J81" s="139" t="n"/>
      <x:c r="K81" s="139" t="n"/>
      <x:c r="L81" s="139" t="n"/>
      <x:c r="M81" s="139" t="n"/>
      <x:c r="N81" s="139" t="n"/>
      <x:c r="O81" s="139" t="n"/>
      <x:c r="P81" s="139" t="n"/>
      <x:c r="Q81" s="139" t="n"/>
      <x:c r="R81" s="139" t="n"/>
      <x:c r="S81" s="139" t="n"/>
      <x:c r="T81" s="139" t="n"/>
      <x:c r="U81" s="139" t="n"/>
      <x:c r="V81" s="139" t="n"/>
      <x:c r="W81" s="139" t="n"/>
      <x:c r="X81" s="139" t="n"/>
      <x:c r="Y81" s="139" t="n"/>
      <x:c r="Z81" s="139" t="n"/>
      <x:c r="AA81" s="139" t="n"/>
      <x:c r="AB81" s="139" t="n"/>
      <x:c r="AC81" s="139" t="n"/>
    </x:row>
    <x:row r="82">
      <x:c r="A82" s="139" t="n"/>
      <x:c r="B82" s="139" t="n"/>
      <x:c r="C82" s="139" t="n"/>
      <x:c r="D82" s="139" t="n"/>
      <x:c r="E82" s="139" t="n"/>
      <x:c r="F82" s="139" t="n"/>
      <x:c r="G82" s="139" t="n"/>
      <x:c r="H82" s="139" t="n"/>
      <x:c r="I82" s="139" t="n"/>
      <x:c r="J82" s="139" t="n"/>
      <x:c r="K82" s="139" t="n"/>
      <x:c r="L82" s="139" t="n"/>
      <x:c r="M82" s="139" t="n"/>
      <x:c r="N82" s="139" t="n"/>
      <x:c r="O82" s="139" t="n"/>
      <x:c r="P82" s="139" t="n"/>
      <x:c r="Q82" s="139" t="n"/>
      <x:c r="R82" s="139" t="n"/>
      <x:c r="S82" s="139" t="n"/>
      <x:c r="T82" s="139" t="n"/>
      <x:c r="U82" s="139" t="n"/>
      <x:c r="V82" s="139" t="n"/>
      <x:c r="W82" s="139" t="n"/>
      <x:c r="X82" s="139" t="n"/>
      <x:c r="Y82" s="139" t="n"/>
      <x:c r="Z82" s="139" t="n"/>
      <x:c r="AA82" s="139" t="n"/>
      <x:c r="AB82" s="139" t="n"/>
      <x:c r="AC82" s="139" t="n"/>
    </x:row>
    <x:row r="83">
      <x:c r="A83" s="139" t="n"/>
      <x:c r="B83" s="139" t="n"/>
      <x:c r="C83" s="139" t="n"/>
      <x:c r="D83" s="139" t="n"/>
      <x:c r="E83" s="139" t="n"/>
      <x:c r="F83" s="139" t="n"/>
      <x:c r="G83" s="139" t="n"/>
      <x:c r="H83" s="139" t="n"/>
      <x:c r="I83" s="139" t="n"/>
      <x:c r="J83" s="139" t="n"/>
      <x:c r="K83" s="139" t="n"/>
      <x:c r="L83" s="139" t="n"/>
      <x:c r="M83" s="139" t="n"/>
      <x:c r="N83" s="139" t="n"/>
      <x:c r="O83" s="139" t="n"/>
      <x:c r="P83" s="139" t="n"/>
      <x:c r="Q83" s="139" t="n"/>
      <x:c r="R83" s="139" t="n"/>
      <x:c r="S83" s="139" t="n"/>
      <x:c r="T83" s="139" t="n"/>
      <x:c r="U83" s="139" t="n"/>
      <x:c r="V83" s="139" t="n"/>
      <x:c r="W83" s="139" t="n"/>
      <x:c r="X83" s="139" t="n"/>
      <x:c r="Y83" s="139" t="n"/>
      <x:c r="Z83" s="139" t="n"/>
      <x:c r="AA83" s="139" t="n"/>
      <x:c r="AB83" s="139" t="n"/>
      <x:c r="AC83" s="139" t="n"/>
    </x:row>
    <x:row r="84">
      <x:c r="A84" s="139" t="n"/>
      <x:c r="B84" s="139" t="n"/>
      <x:c r="C84" s="139" t="n"/>
      <x:c r="D84" s="139" t="n"/>
      <x:c r="E84" s="139" t="n"/>
      <x:c r="F84" s="139" t="n"/>
      <x:c r="G84" s="139" t="n"/>
      <x:c r="H84" s="139" t="n"/>
      <x:c r="I84" s="139" t="n"/>
      <x:c r="J84" s="139" t="n"/>
      <x:c r="K84" s="139" t="n"/>
      <x:c r="L84" s="139" t="n"/>
      <x:c r="M84" s="139" t="n"/>
      <x:c r="N84" s="139" t="n"/>
      <x:c r="O84" s="139" t="n"/>
      <x:c r="P84" s="139" t="n"/>
      <x:c r="Q84" s="139" t="n"/>
      <x:c r="R84" s="139" t="n"/>
      <x:c r="S84" s="139" t="n"/>
      <x:c r="T84" s="139" t="n"/>
      <x:c r="U84" s="139" t="n"/>
      <x:c r="V84" s="139" t="n"/>
      <x:c r="W84" s="139" t="n"/>
      <x:c r="X84" s="139" t="n"/>
      <x:c r="Y84" s="139" t="n"/>
      <x:c r="Z84" s="139" t="n"/>
      <x:c r="AA84" s="139" t="n"/>
      <x:c r="AB84" s="139" t="n"/>
      <x:c r="AC84" s="139" t="n"/>
    </x:row>
    <x:row r="85">
      <x:c r="A85" s="139" t="n"/>
      <x:c r="B85" s="139" t="n"/>
      <x:c r="C85" s="139" t="n"/>
      <x:c r="D85" s="139" t="n"/>
      <x:c r="E85" s="139" t="n"/>
      <x:c r="F85" s="139" t="n"/>
      <x:c r="G85" s="139" t="n"/>
      <x:c r="H85" s="139" t="n"/>
      <x:c r="I85" s="139" t="n"/>
      <x:c r="J85" s="139" t="n"/>
      <x:c r="K85" s="139" t="n"/>
      <x:c r="L85" s="139" t="n"/>
      <x:c r="M85" s="139" t="n"/>
      <x:c r="N85" s="139" t="n"/>
      <x:c r="O85" s="139" t="n"/>
      <x:c r="P85" s="139" t="n"/>
      <x:c r="Q85" s="139" t="n"/>
      <x:c r="R85" s="139" t="n"/>
      <x:c r="S85" s="139" t="n"/>
      <x:c r="T85" s="139" t="n"/>
      <x:c r="U85" s="139" t="n"/>
      <x:c r="V85" s="139" t="n"/>
      <x:c r="W85" s="139" t="n"/>
      <x:c r="X85" s="139" t="n"/>
      <x:c r="Y85" s="139" t="n"/>
      <x:c r="Z85" s="139" t="n"/>
      <x:c r="AA85" s="139" t="n"/>
      <x:c r="AB85" s="139" t="n"/>
      <x:c r="AC85" s="139" t="n"/>
    </x:row>
    <x:row r="86">
      <x:c r="A86" s="139" t="n"/>
      <x:c r="B86" s="139" t="n"/>
      <x:c r="C86" s="139" t="n"/>
      <x:c r="D86" s="139" t="n"/>
      <x:c r="E86" s="139" t="n"/>
      <x:c r="F86" s="139" t="n"/>
      <x:c r="G86" s="139" t="n"/>
      <x:c r="H86" s="139" t="n"/>
      <x:c r="I86" s="139" t="n"/>
      <x:c r="J86" s="139" t="n"/>
      <x:c r="K86" s="139" t="n"/>
      <x:c r="L86" s="139" t="n"/>
      <x:c r="M86" s="139" t="n"/>
      <x:c r="N86" s="139" t="n"/>
      <x:c r="O86" s="139" t="n"/>
      <x:c r="P86" s="139" t="n"/>
      <x:c r="Q86" s="139" t="n"/>
      <x:c r="R86" s="139" t="n"/>
      <x:c r="S86" s="139" t="n"/>
      <x:c r="T86" s="139" t="n"/>
      <x:c r="U86" s="139" t="n"/>
      <x:c r="V86" s="139" t="n"/>
      <x:c r="W86" s="139" t="n"/>
      <x:c r="X86" s="139" t="n"/>
      <x:c r="Y86" s="139" t="n"/>
      <x:c r="Z86" s="139" t="n"/>
      <x:c r="AA86" s="139" t="n"/>
      <x:c r="AB86" s="139" t="n"/>
      <x:c r="AC86" s="139" t="n"/>
    </x:row>
    <x:row r="87">
      <x:c r="A87" s="139" t="n"/>
      <x:c r="B87" s="139" t="n"/>
      <x:c r="C87" s="139" t="n"/>
      <x:c r="D87" s="139" t="n"/>
      <x:c r="E87" s="139" t="n"/>
      <x:c r="F87" s="139" t="n"/>
      <x:c r="G87" s="139" t="n"/>
      <x:c r="H87" s="139" t="n"/>
      <x:c r="I87" s="139" t="n"/>
      <x:c r="J87" s="139" t="n"/>
      <x:c r="K87" s="139" t="n"/>
      <x:c r="L87" s="139" t="n"/>
      <x:c r="M87" s="139" t="n"/>
      <x:c r="N87" s="139" t="n"/>
      <x:c r="O87" s="139" t="n"/>
      <x:c r="P87" s="139" t="n"/>
      <x:c r="Q87" s="139" t="n"/>
      <x:c r="R87" s="139" t="n"/>
      <x:c r="S87" s="139" t="n"/>
      <x:c r="T87" s="139" t="n"/>
      <x:c r="U87" s="139" t="n"/>
      <x:c r="V87" s="139" t="n"/>
      <x:c r="W87" s="139" t="n"/>
      <x:c r="X87" s="139" t="n"/>
      <x:c r="Y87" s="139" t="n"/>
      <x:c r="Z87" s="139" t="n"/>
      <x:c r="AA87" s="139" t="n"/>
      <x:c r="AB87" s="139" t="n"/>
      <x:c r="AC87" s="139" t="n"/>
    </x:row>
    <x:row r="88">
      <x:c r="A88" s="139" t="n"/>
      <x:c r="B88" s="139" t="n"/>
      <x:c r="C88" s="139" t="n"/>
      <x:c r="D88" s="139" t="n"/>
      <x:c r="E88" s="139" t="n"/>
      <x:c r="F88" s="139" t="n"/>
      <x:c r="G88" s="139" t="n"/>
      <x:c r="H88" s="139" t="n"/>
      <x:c r="I88" s="139" t="n"/>
      <x:c r="J88" s="139" t="n"/>
      <x:c r="K88" s="139" t="n"/>
      <x:c r="L88" s="139" t="n"/>
      <x:c r="M88" s="139" t="n"/>
      <x:c r="N88" s="139" t="n"/>
      <x:c r="O88" s="139" t="n"/>
      <x:c r="P88" s="139" t="n"/>
      <x:c r="Q88" s="139" t="n"/>
      <x:c r="R88" s="139" t="n"/>
      <x:c r="S88" s="139" t="n"/>
      <x:c r="T88" s="139" t="n"/>
      <x:c r="U88" s="139" t="n"/>
      <x:c r="V88" s="139" t="n"/>
      <x:c r="W88" s="139" t="n"/>
      <x:c r="X88" s="139" t="n"/>
      <x:c r="Y88" s="139" t="n"/>
      <x:c r="Z88" s="139" t="n"/>
      <x:c r="AA88" s="139" t="n"/>
      <x:c r="AB88" s="139" t="n"/>
      <x:c r="AC88" s="139" t="n"/>
    </x:row>
    <x:row r="89">
      <x:c r="A89" s="139" t="n"/>
      <x:c r="B89" s="139" t="n"/>
      <x:c r="C89" s="139" t="n"/>
      <x:c r="D89" s="139" t="n"/>
      <x:c r="E89" s="139" t="n"/>
      <x:c r="F89" s="139" t="n"/>
      <x:c r="G89" s="139" t="n"/>
      <x:c r="H89" s="139" t="n"/>
      <x:c r="I89" s="139" t="n"/>
      <x:c r="J89" s="139" t="n"/>
      <x:c r="K89" s="139" t="n"/>
      <x:c r="L89" s="139" t="n"/>
      <x:c r="M89" s="139" t="n"/>
      <x:c r="N89" s="139" t="n"/>
      <x:c r="O89" s="139" t="n"/>
      <x:c r="P89" s="139" t="n"/>
      <x:c r="Q89" s="139" t="n"/>
      <x:c r="R89" s="139" t="n"/>
      <x:c r="S89" s="139" t="n"/>
      <x:c r="T89" s="139" t="n"/>
      <x:c r="U89" s="139" t="n"/>
      <x:c r="V89" s="139" t="n"/>
      <x:c r="W89" s="139" t="n"/>
      <x:c r="X89" s="139" t="n"/>
      <x:c r="Y89" s="139" t="n"/>
      <x:c r="Z89" s="139" t="n"/>
      <x:c r="AA89" s="139" t="n"/>
      <x:c r="AB89" s="139" t="n"/>
      <x:c r="AC89" s="139" t="n"/>
    </x:row>
    <x:row r="90">
      <x:c r="A90" s="139" t="n"/>
      <x:c r="B90" s="139" t="n"/>
      <x:c r="C90" s="139" t="n"/>
      <x:c r="D90" s="139" t="n"/>
      <x:c r="E90" s="139" t="n"/>
      <x:c r="F90" s="139" t="n"/>
      <x:c r="G90" s="139" t="n"/>
      <x:c r="H90" s="139" t="n"/>
      <x:c r="I90" s="139" t="n"/>
      <x:c r="J90" s="139" t="n"/>
      <x:c r="K90" s="139" t="n"/>
      <x:c r="L90" s="139" t="n"/>
      <x:c r="M90" s="139" t="n"/>
      <x:c r="N90" s="139" t="n"/>
      <x:c r="O90" s="139" t="n"/>
      <x:c r="P90" s="139" t="n"/>
      <x:c r="Q90" s="139" t="n"/>
      <x:c r="R90" s="139" t="n"/>
      <x:c r="S90" s="139" t="n"/>
      <x:c r="T90" s="139" t="n"/>
      <x:c r="U90" s="139" t="n"/>
      <x:c r="V90" s="139" t="n"/>
      <x:c r="W90" s="139" t="n"/>
      <x:c r="X90" s="139" t="n"/>
      <x:c r="Y90" s="139" t="n"/>
      <x:c r="Z90" s="139" t="n"/>
      <x:c r="AA90" s="139" t="n"/>
      <x:c r="AB90" s="139" t="n"/>
      <x:c r="AC90" s="139" t="n"/>
    </x:row>
    <x:row r="91">
      <x:c r="A91" s="139" t="n"/>
      <x:c r="B91" s="139" t="n"/>
      <x:c r="C91" s="139" t="n"/>
      <x:c r="D91" s="139" t="n"/>
      <x:c r="E91" s="139" t="n"/>
      <x:c r="F91" s="139" t="n"/>
      <x:c r="G91" s="139" t="n"/>
      <x:c r="H91" s="139" t="n"/>
      <x:c r="I91" s="139" t="n"/>
      <x:c r="J91" s="139" t="n"/>
      <x:c r="K91" s="139" t="n"/>
      <x:c r="L91" s="139" t="n"/>
      <x:c r="M91" s="139" t="n"/>
      <x:c r="N91" s="139" t="n"/>
      <x:c r="O91" s="139" t="n"/>
      <x:c r="P91" s="139" t="n"/>
      <x:c r="Q91" s="139" t="n"/>
      <x:c r="R91" s="139" t="n"/>
      <x:c r="S91" s="139" t="n"/>
      <x:c r="T91" s="139" t="n"/>
      <x:c r="U91" s="139" t="n"/>
      <x:c r="V91" s="139" t="n"/>
      <x:c r="W91" s="139" t="n"/>
      <x:c r="X91" s="139" t="n"/>
      <x:c r="Y91" s="139" t="n"/>
      <x:c r="Z91" s="139" t="n"/>
      <x:c r="AA91" s="139" t="n"/>
      <x:c r="AB91" s="139" t="n"/>
      <x:c r="AC91" s="139" t="n"/>
    </x:row>
    <x:row r="92">
      <x:c r="A92" s="139" t="n"/>
      <x:c r="B92" s="139" t="n"/>
      <x:c r="C92" s="139" t="n"/>
      <x:c r="D92" s="139" t="n"/>
      <x:c r="E92" s="139" t="n"/>
      <x:c r="F92" s="139" t="n"/>
      <x:c r="G92" s="139" t="n"/>
      <x:c r="H92" s="139" t="n"/>
      <x:c r="I92" s="139" t="n"/>
      <x:c r="J92" s="139" t="n"/>
      <x:c r="K92" s="139" t="n"/>
      <x:c r="L92" s="139" t="n"/>
      <x:c r="M92" s="139" t="n"/>
      <x:c r="N92" s="139" t="n"/>
      <x:c r="O92" s="139" t="n"/>
      <x:c r="P92" s="139" t="n"/>
      <x:c r="Q92" s="139" t="n"/>
      <x:c r="R92" s="139" t="n"/>
      <x:c r="S92" s="139" t="n"/>
      <x:c r="T92" s="139" t="n"/>
      <x:c r="U92" s="139" t="n"/>
      <x:c r="V92" s="139" t="n"/>
      <x:c r="W92" s="139" t="n"/>
      <x:c r="X92" s="139" t="n"/>
      <x:c r="Y92" s="139" t="n"/>
      <x:c r="Z92" s="139" t="n"/>
      <x:c r="AA92" s="139" t="n"/>
      <x:c r="AB92" s="139" t="n"/>
      <x:c r="AC92" s="139" t="n"/>
    </x:row>
    <x:row r="93">
      <x:c r="A93" s="139" t="n"/>
      <x:c r="B93" s="139" t="n"/>
      <x:c r="C93" s="139" t="n"/>
      <x:c r="D93" s="139" t="n"/>
      <x:c r="E93" s="139" t="n"/>
      <x:c r="F93" s="139" t="n"/>
      <x:c r="G93" s="139" t="n"/>
      <x:c r="H93" s="139" t="n"/>
      <x:c r="I93" s="139" t="n"/>
      <x:c r="J93" s="139" t="n"/>
      <x:c r="K93" s="139" t="n"/>
      <x:c r="L93" s="139" t="n"/>
      <x:c r="M93" s="139" t="n"/>
      <x:c r="N93" s="139" t="n"/>
      <x:c r="O93" s="139" t="n"/>
      <x:c r="P93" s="139" t="n"/>
      <x:c r="Q93" s="139" t="n"/>
      <x:c r="R93" s="139" t="n"/>
      <x:c r="S93" s="139" t="n"/>
      <x:c r="T93" s="139" t="n"/>
      <x:c r="U93" s="139" t="n"/>
      <x:c r="V93" s="139" t="n"/>
      <x:c r="W93" s="139" t="n"/>
      <x:c r="X93" s="139" t="n"/>
      <x:c r="Y93" s="139" t="n"/>
      <x:c r="Z93" s="139" t="n"/>
      <x:c r="AA93" s="139" t="n"/>
      <x:c r="AB93" s="139" t="n"/>
      <x:c r="AC93" s="139" t="n"/>
    </x:row>
    <x:row r="94">
      <x:c r="A94" s="139" t="n"/>
      <x:c r="B94" s="139" t="n"/>
      <x:c r="C94" s="139" t="n"/>
      <x:c r="D94" s="139" t="n"/>
      <x:c r="E94" s="139" t="n"/>
      <x:c r="F94" s="139" t="n"/>
      <x:c r="G94" s="139" t="n"/>
      <x:c r="H94" s="139" t="n"/>
      <x:c r="I94" s="139" t="n"/>
      <x:c r="J94" s="139" t="n"/>
      <x:c r="K94" s="139" t="n"/>
      <x:c r="L94" s="139" t="n"/>
      <x:c r="M94" s="139" t="n"/>
      <x:c r="N94" s="139" t="n"/>
      <x:c r="O94" s="139" t="n"/>
      <x:c r="P94" s="139" t="n"/>
      <x:c r="Q94" s="139" t="n"/>
      <x:c r="R94" s="139" t="n"/>
      <x:c r="S94" s="139" t="n"/>
      <x:c r="T94" s="139" t="n"/>
      <x:c r="U94" s="139" t="n"/>
      <x:c r="V94" s="139" t="n"/>
      <x:c r="W94" s="139" t="n"/>
      <x:c r="X94" s="139" t="n"/>
      <x:c r="Y94" s="139" t="n"/>
      <x:c r="Z94" s="139" t="n"/>
      <x:c r="AA94" s="139" t="n"/>
      <x:c r="AB94" s="139" t="n"/>
      <x:c r="AC94" s="139" t="n"/>
    </x:row>
    <x:row r="95">
      <x:c r="A95" s="139" t="n"/>
      <x:c r="B95" s="139" t="n"/>
      <x:c r="C95" s="139" t="n"/>
      <x:c r="D95" s="139" t="n"/>
      <x:c r="E95" s="139" t="n"/>
      <x:c r="F95" s="139" t="n"/>
      <x:c r="G95" s="139" t="n"/>
      <x:c r="H95" s="139" t="n"/>
      <x:c r="I95" s="139" t="n"/>
      <x:c r="J95" s="139" t="n"/>
      <x:c r="K95" s="139" t="n"/>
      <x:c r="L95" s="139" t="n"/>
      <x:c r="M95" s="139" t="n"/>
      <x:c r="N95" s="139" t="n"/>
      <x:c r="O95" s="139" t="n"/>
      <x:c r="P95" s="139" t="n"/>
      <x:c r="Q95" s="139" t="n"/>
      <x:c r="R95" s="139" t="n"/>
      <x:c r="S95" s="139" t="n"/>
      <x:c r="T95" s="139" t="n"/>
      <x:c r="U95" s="139" t="n"/>
      <x:c r="V95" s="139" t="n"/>
      <x:c r="W95" s="139" t="n"/>
      <x:c r="X95" s="139" t="n"/>
      <x:c r="Y95" s="139" t="n"/>
      <x:c r="Z95" s="139" t="n"/>
      <x:c r="AA95" s="139" t="n"/>
      <x:c r="AB95" s="139" t="n"/>
      <x:c r="AC95" s="139" t="n"/>
    </x:row>
    <x:row r="96">
      <x:c r="A96" s="139" t="n"/>
      <x:c r="B96" s="139" t="n"/>
      <x:c r="C96" s="139" t="n"/>
      <x:c r="D96" s="139" t="n"/>
      <x:c r="E96" s="139" t="n"/>
      <x:c r="F96" s="139" t="n"/>
      <x:c r="G96" s="139" t="n"/>
      <x:c r="H96" s="139" t="n"/>
      <x:c r="I96" s="139" t="n"/>
      <x:c r="J96" s="139" t="n"/>
      <x:c r="K96" s="139" t="n"/>
      <x:c r="L96" s="139" t="n"/>
      <x:c r="M96" s="139" t="n"/>
      <x:c r="N96" s="139" t="n"/>
      <x:c r="O96" s="139" t="n"/>
      <x:c r="P96" s="139" t="n"/>
      <x:c r="Q96" s="139" t="n"/>
      <x:c r="R96" s="139" t="n"/>
      <x:c r="S96" s="139" t="n"/>
      <x:c r="T96" s="139" t="n"/>
      <x:c r="U96" s="139" t="n"/>
      <x:c r="V96" s="139" t="n"/>
      <x:c r="W96" s="139" t="n"/>
      <x:c r="X96" s="139" t="n"/>
      <x:c r="Y96" s="139" t="n"/>
      <x:c r="Z96" s="139" t="n"/>
      <x:c r="AA96" s="139" t="n"/>
      <x:c r="AB96" s="139" t="n"/>
      <x:c r="AC96" s="139" t="n"/>
    </x:row>
    <x:row r="97">
      <x:c r="A97" s="139" t="n"/>
      <x:c r="B97" s="139" t="n"/>
      <x:c r="C97" s="139" t="n"/>
      <x:c r="D97" s="139" t="n"/>
      <x:c r="E97" s="139" t="n"/>
      <x:c r="F97" s="139" t="n"/>
      <x:c r="G97" s="139" t="n"/>
      <x:c r="H97" s="139" t="n"/>
      <x:c r="I97" s="139" t="n"/>
      <x:c r="J97" s="139" t="n"/>
      <x:c r="K97" s="139" t="n"/>
      <x:c r="L97" s="139" t="n"/>
      <x:c r="M97" s="139" t="n"/>
      <x:c r="N97" s="139" t="n"/>
      <x:c r="O97" s="139" t="n"/>
      <x:c r="P97" s="139" t="n"/>
      <x:c r="Q97" s="139" t="n"/>
      <x:c r="R97" s="139" t="n"/>
      <x:c r="S97" s="139" t="n"/>
      <x:c r="T97" s="139" t="n"/>
      <x:c r="U97" s="139" t="n"/>
      <x:c r="V97" s="139" t="n"/>
      <x:c r="W97" s="139" t="n"/>
      <x:c r="X97" s="139" t="n"/>
      <x:c r="Y97" s="139" t="n"/>
      <x:c r="Z97" s="139" t="n"/>
      <x:c r="AA97" s="139" t="n"/>
      <x:c r="AB97" s="139" t="n"/>
      <x:c r="AC97" s="139" t="n"/>
    </x:row>
    <x:row r="98">
      <x:c r="A98" s="139" t="n"/>
      <x:c r="B98" s="139" t="n"/>
      <x:c r="C98" s="139" t="n"/>
      <x:c r="D98" s="139" t="n"/>
      <x:c r="E98" s="139" t="n"/>
      <x:c r="F98" s="139" t="n"/>
      <x:c r="G98" s="139" t="n"/>
      <x:c r="H98" s="139" t="n"/>
      <x:c r="I98" s="139" t="n"/>
      <x:c r="J98" s="139" t="n"/>
      <x:c r="K98" s="139" t="n"/>
      <x:c r="L98" s="139" t="n"/>
      <x:c r="M98" s="139" t="n"/>
      <x:c r="N98" s="139" t="n"/>
      <x:c r="O98" s="139" t="n"/>
      <x:c r="P98" s="139" t="n"/>
      <x:c r="Q98" s="139" t="n"/>
      <x:c r="R98" s="139" t="n"/>
      <x:c r="S98" s="139" t="n"/>
      <x:c r="T98" s="139" t="n"/>
      <x:c r="U98" s="139" t="n"/>
      <x:c r="V98" s="139" t="n"/>
      <x:c r="W98" s="139" t="n"/>
      <x:c r="X98" s="139" t="n"/>
      <x:c r="Y98" s="139" t="n"/>
      <x:c r="Z98" s="139" t="n"/>
      <x:c r="AA98" s="139" t="n"/>
      <x:c r="AB98" s="139" t="n"/>
      <x:c r="AC98" s="139" t="n"/>
    </x:row>
    <x:row r="99">
      <x:c r="A99" s="139" t="n"/>
      <x:c r="B99" s="139" t="n"/>
      <x:c r="C99" s="139" t="n"/>
      <x:c r="D99" s="139" t="n"/>
      <x:c r="E99" s="139" t="n"/>
      <x:c r="F99" s="139" t="n"/>
      <x:c r="G99" s="139" t="n"/>
      <x:c r="H99" s="139" t="n"/>
      <x:c r="I99" s="139" t="n"/>
      <x:c r="J99" s="139" t="n"/>
      <x:c r="K99" s="139" t="n"/>
      <x:c r="L99" s="139" t="n"/>
      <x:c r="M99" s="139" t="n"/>
      <x:c r="N99" s="139" t="n"/>
      <x:c r="O99" s="139" t="n"/>
      <x:c r="P99" s="139" t="n"/>
      <x:c r="Q99" s="139" t="n"/>
      <x:c r="R99" s="139" t="n"/>
      <x:c r="S99" s="139" t="n"/>
      <x:c r="T99" s="139" t="n"/>
      <x:c r="U99" s="139" t="n"/>
      <x:c r="V99" s="139" t="n"/>
      <x:c r="W99" s="139" t="n"/>
      <x:c r="X99" s="139" t="n"/>
      <x:c r="Y99" s="139" t="n"/>
      <x:c r="Z99" s="139" t="n"/>
      <x:c r="AA99" s="139" t="n"/>
      <x:c r="AB99" s="139" t="n"/>
      <x:c r="AC99" s="139" t="n"/>
    </x:row>
    <x:row r="100">
      <x:c r="A100" s="139" t="n"/>
      <x:c r="B100" s="139" t="n"/>
      <x:c r="C100" s="139" t="n"/>
      <x:c r="D100" s="139" t="n"/>
      <x:c r="E100" s="139" t="n"/>
      <x:c r="F100" s="139" t="n"/>
      <x:c r="G100" s="139" t="n"/>
      <x:c r="H100" s="139" t="n"/>
      <x:c r="I100" s="139" t="n"/>
      <x:c r="J100" s="139" t="n"/>
      <x:c r="K100" s="139" t="n"/>
      <x:c r="L100" s="139" t="n"/>
      <x:c r="M100" s="139" t="n"/>
      <x:c r="N100" s="139" t="n"/>
      <x:c r="O100" s="139" t="n"/>
      <x:c r="P100" s="139" t="n"/>
      <x:c r="Q100" s="139" t="n"/>
      <x:c r="R100" s="139" t="n"/>
      <x:c r="S100" s="139" t="n"/>
      <x:c r="T100" s="139" t="n"/>
      <x:c r="U100" s="139" t="n"/>
      <x:c r="V100" s="139" t="n"/>
      <x:c r="W100" s="139" t="n"/>
      <x:c r="X100" s="139" t="n"/>
      <x:c r="Y100" s="139" t="n"/>
      <x:c r="Z100" s="139" t="n"/>
      <x:c r="AA100" s="139" t="n"/>
      <x:c r="AB100" s="139" t="n"/>
      <x:c r="AC100" s="139" t="n"/>
    </x:row>
    <x:row r="101">
      <x:c r="A101" s="139" t="n"/>
      <x:c r="B101" s="139" t="n"/>
      <x:c r="C101" s="139" t="n"/>
      <x:c r="D101" s="139" t="n"/>
      <x:c r="E101" s="139" t="n"/>
      <x:c r="F101" s="139" t="n"/>
      <x:c r="G101" s="139" t="n"/>
      <x:c r="H101" s="139" t="n"/>
      <x:c r="I101" s="139" t="n"/>
      <x:c r="J101" s="139" t="n"/>
      <x:c r="K101" s="139" t="n"/>
      <x:c r="L101" s="139" t="n"/>
      <x:c r="M101" s="139" t="n"/>
      <x:c r="N101" s="139" t="n"/>
      <x:c r="O101" s="139" t="n"/>
      <x:c r="P101" s="139" t="n"/>
      <x:c r="Q101" s="139" t="n"/>
      <x:c r="R101" s="139" t="n"/>
      <x:c r="S101" s="139" t="n"/>
      <x:c r="T101" s="139" t="n"/>
      <x:c r="U101" s="139" t="n"/>
      <x:c r="V101" s="139" t="n"/>
      <x:c r="W101" s="139" t="n"/>
      <x:c r="X101" s="139" t="n"/>
      <x:c r="Y101" s="139" t="n"/>
      <x:c r="Z101" s="139" t="n"/>
      <x:c r="AA101" s="139" t="n"/>
      <x:c r="AB101" s="139" t="n"/>
      <x:c r="AC101" s="139" t="n"/>
    </x:row>
    <x:row r="102">
      <x:c r="A102" s="139" t="n"/>
      <x:c r="B102" s="139" t="n"/>
      <x:c r="C102" s="139" t="n"/>
      <x:c r="D102" s="139" t="n"/>
      <x:c r="E102" s="139" t="n"/>
      <x:c r="F102" s="139" t="n"/>
      <x:c r="G102" s="139" t="n"/>
      <x:c r="H102" s="139" t="n"/>
      <x:c r="I102" s="139" t="n"/>
      <x:c r="J102" s="139" t="n"/>
      <x:c r="K102" s="139" t="n"/>
      <x:c r="L102" s="139" t="n"/>
      <x:c r="M102" s="139" t="n"/>
      <x:c r="N102" s="139" t="n"/>
      <x:c r="O102" s="139" t="n"/>
      <x:c r="P102" s="139" t="n"/>
      <x:c r="Q102" s="139" t="n"/>
      <x:c r="R102" s="139" t="n"/>
      <x:c r="S102" s="139" t="n"/>
      <x:c r="T102" s="139" t="n"/>
      <x:c r="U102" s="139" t="n"/>
      <x:c r="V102" s="139" t="n"/>
      <x:c r="W102" s="139" t="n"/>
      <x:c r="X102" s="139" t="n"/>
      <x:c r="Y102" s="139" t="n"/>
      <x:c r="Z102" s="139" t="n"/>
      <x:c r="AA102" s="139" t="n"/>
      <x:c r="AB102" s="139" t="n"/>
      <x:c r="AC102" s="139" t="n"/>
    </x:row>
    <x:row r="103">
      <x:c r="A103" s="139" t="n"/>
      <x:c r="B103" s="139" t="n"/>
      <x:c r="C103" s="139" t="n"/>
      <x:c r="D103" s="139" t="n"/>
      <x:c r="E103" s="139" t="n"/>
      <x:c r="F103" s="139" t="n"/>
      <x:c r="G103" s="139" t="n"/>
      <x:c r="H103" s="139" t="n"/>
      <x:c r="I103" s="139" t="n"/>
      <x:c r="J103" s="139" t="n"/>
      <x:c r="K103" s="139" t="n"/>
      <x:c r="L103" s="139" t="n"/>
      <x:c r="M103" s="139" t="n"/>
      <x:c r="N103" s="139" t="n"/>
      <x:c r="O103" s="139" t="n"/>
      <x:c r="P103" s="139" t="n"/>
      <x:c r="Q103" s="139" t="n"/>
      <x:c r="R103" s="139" t="n"/>
      <x:c r="S103" s="139" t="n"/>
      <x:c r="T103" s="139" t="n"/>
      <x:c r="U103" s="139" t="n"/>
      <x:c r="V103" s="139" t="n"/>
      <x:c r="W103" s="139" t="n"/>
      <x:c r="X103" s="139" t="n"/>
      <x:c r="Y103" s="139" t="n"/>
      <x:c r="Z103" s="139" t="n"/>
      <x:c r="AA103" s="139" t="n"/>
      <x:c r="AB103" s="139" t="n"/>
      <x:c r="AC103" s="139" t="n"/>
    </x:row>
    <x:row r="104">
      <x:c r="A104" s="139" t="n"/>
      <x:c r="B104" s="139" t="n"/>
      <x:c r="C104" s="139" t="n"/>
      <x:c r="D104" s="139" t="n"/>
      <x:c r="E104" s="139" t="n"/>
      <x:c r="F104" s="139" t="n"/>
      <x:c r="G104" s="139" t="n"/>
      <x:c r="H104" s="139" t="n"/>
      <x:c r="I104" s="139" t="n"/>
      <x:c r="J104" s="139" t="n"/>
      <x:c r="K104" s="139" t="n"/>
      <x:c r="L104" s="139" t="n"/>
      <x:c r="M104" s="139" t="n"/>
      <x:c r="N104" s="139" t="n"/>
      <x:c r="O104" s="139" t="n"/>
      <x:c r="P104" s="139" t="n"/>
      <x:c r="Q104" s="139" t="n"/>
      <x:c r="R104" s="139" t="n"/>
      <x:c r="S104" s="139" t="n"/>
      <x:c r="T104" s="139" t="n"/>
      <x:c r="U104" s="139" t="n"/>
      <x:c r="V104" s="139" t="n"/>
      <x:c r="W104" s="139" t="n"/>
      <x:c r="X104" s="139" t="n"/>
      <x:c r="Y104" s="139" t="n"/>
      <x:c r="Z104" s="139" t="n"/>
      <x:c r="AA104" s="139" t="n"/>
      <x:c r="AB104" s="139" t="n"/>
      <x:c r="AC104" s="139" t="n"/>
    </x:row>
    <x:row r="105">
      <x:c r="A105" s="139" t="n"/>
      <x:c r="B105" s="139" t="n"/>
      <x:c r="C105" s="139" t="n"/>
      <x:c r="D105" s="139" t="n"/>
      <x:c r="E105" s="139" t="n"/>
      <x:c r="F105" s="139" t="n"/>
      <x:c r="G105" s="139" t="n"/>
      <x:c r="H105" s="139" t="n"/>
      <x:c r="I105" s="139" t="n"/>
      <x:c r="J105" s="139" t="n"/>
      <x:c r="K105" s="139" t="n"/>
      <x:c r="L105" s="139" t="n"/>
      <x:c r="M105" s="139" t="n"/>
      <x:c r="N105" s="139" t="n"/>
      <x:c r="O105" s="139" t="n"/>
      <x:c r="P105" s="139" t="n"/>
      <x:c r="Q105" s="139" t="n"/>
      <x:c r="R105" s="139" t="n"/>
      <x:c r="S105" s="139" t="n"/>
      <x:c r="T105" s="139" t="n"/>
      <x:c r="U105" s="139" t="n"/>
      <x:c r="V105" s="139" t="n"/>
      <x:c r="W105" s="139" t="n"/>
      <x:c r="X105" s="139" t="n"/>
      <x:c r="Y105" s="139" t="n"/>
      <x:c r="Z105" s="139" t="n"/>
      <x:c r="AA105" s="139" t="n"/>
      <x:c r="AB105" s="139" t="n"/>
      <x:c r="AC105" s="139" t="n"/>
    </x:row>
    <x:row r="106">
      <x:c r="A106" s="139" t="n"/>
      <x:c r="B106" s="139" t="n"/>
      <x:c r="C106" s="139" t="n"/>
      <x:c r="D106" s="139" t="n"/>
      <x:c r="E106" s="139" t="n"/>
      <x:c r="F106" s="139" t="n"/>
      <x:c r="G106" s="139" t="n"/>
      <x:c r="H106" s="139" t="n"/>
      <x:c r="I106" s="139" t="n"/>
      <x:c r="J106" s="139" t="n"/>
      <x:c r="K106" s="139" t="n"/>
      <x:c r="L106" s="139" t="n"/>
      <x:c r="M106" s="139" t="n"/>
      <x:c r="N106" s="139" t="n"/>
      <x:c r="O106" s="139" t="n"/>
      <x:c r="P106" s="139" t="n"/>
      <x:c r="Q106" s="139" t="n"/>
      <x:c r="R106" s="139" t="n"/>
      <x:c r="S106" s="139" t="n"/>
      <x:c r="T106" s="139" t="n"/>
      <x:c r="U106" s="139" t="n"/>
      <x:c r="V106" s="139" t="n"/>
      <x:c r="W106" s="139" t="n"/>
      <x:c r="X106" s="139" t="n"/>
      <x:c r="Y106" s="139" t="n"/>
      <x:c r="Z106" s="139" t="n"/>
      <x:c r="AA106" s="139" t="n"/>
      <x:c r="AB106" s="139" t="n"/>
      <x:c r="AC106" s="139" t="n"/>
    </x:row>
    <x:row r="107">
      <x:c r="A107" s="139" t="n"/>
      <x:c r="B107" s="139" t="n"/>
      <x:c r="C107" s="139" t="n"/>
      <x:c r="D107" s="139" t="n"/>
      <x:c r="E107" s="139" t="n"/>
      <x:c r="F107" s="139" t="n"/>
      <x:c r="G107" s="139" t="n"/>
      <x:c r="H107" s="139" t="n"/>
      <x:c r="I107" s="139" t="n"/>
      <x:c r="J107" s="139" t="n"/>
      <x:c r="K107" s="139" t="n"/>
      <x:c r="L107" s="139" t="n"/>
      <x:c r="M107" s="139" t="n"/>
      <x:c r="N107" s="139" t="n"/>
      <x:c r="O107" s="139" t="n"/>
      <x:c r="P107" s="139" t="n"/>
      <x:c r="Q107" s="139" t="n"/>
      <x:c r="R107" s="139" t="n"/>
      <x:c r="S107" s="139" t="n"/>
      <x:c r="T107" s="139" t="n"/>
      <x:c r="U107" s="139" t="n"/>
      <x:c r="V107" s="139" t="n"/>
      <x:c r="W107" s="139" t="n"/>
      <x:c r="X107" s="139" t="n"/>
      <x:c r="Y107" s="139" t="n"/>
      <x:c r="Z107" s="139" t="n"/>
      <x:c r="AA107" s="139" t="n"/>
      <x:c r="AB107" s="139" t="n"/>
      <x:c r="AC107" s="139" t="n"/>
    </x:row>
    <x:row r="108">
      <x:c r="A108" s="139" t="n"/>
      <x:c r="B108" s="139" t="n"/>
      <x:c r="C108" s="139" t="n"/>
      <x:c r="D108" s="139" t="n"/>
      <x:c r="E108" s="139" t="n"/>
      <x:c r="F108" s="139" t="n"/>
      <x:c r="G108" s="139" t="n"/>
      <x:c r="H108" s="139" t="n"/>
      <x:c r="I108" s="139" t="n"/>
      <x:c r="J108" s="139" t="n"/>
      <x:c r="K108" s="139" t="n"/>
      <x:c r="L108" s="139" t="n"/>
      <x:c r="M108" s="139" t="n"/>
      <x:c r="N108" s="139" t="n"/>
      <x:c r="O108" s="139" t="n"/>
      <x:c r="P108" s="139" t="n"/>
      <x:c r="Q108" s="139" t="n"/>
      <x:c r="R108" s="139" t="n"/>
      <x:c r="S108" s="139" t="n"/>
      <x:c r="T108" s="139" t="n"/>
      <x:c r="U108" s="139" t="n"/>
      <x:c r="V108" s="139" t="n"/>
      <x:c r="W108" s="139" t="n"/>
      <x:c r="X108" s="139" t="n"/>
      <x:c r="Y108" s="139" t="n"/>
      <x:c r="Z108" s="139" t="n"/>
      <x:c r="AA108" s="139" t="n"/>
      <x:c r="AB108" s="139" t="n"/>
      <x:c r="AC108" s="139" t="n"/>
    </x:row>
    <x:row r="109">
      <x:c r="A109" s="139" t="n"/>
      <x:c r="B109" s="139" t="n"/>
      <x:c r="C109" s="139" t="n"/>
      <x:c r="D109" s="139" t="n"/>
      <x:c r="E109" s="139" t="n"/>
      <x:c r="F109" s="139" t="n"/>
      <x:c r="G109" s="139" t="n"/>
      <x:c r="H109" s="139" t="n"/>
      <x:c r="I109" s="139" t="n"/>
      <x:c r="J109" s="139" t="n"/>
      <x:c r="K109" s="139" t="n"/>
      <x:c r="L109" s="139" t="n"/>
      <x:c r="M109" s="139" t="n"/>
      <x:c r="N109" s="139" t="n"/>
      <x:c r="O109" s="139" t="n"/>
      <x:c r="P109" s="139" t="n"/>
      <x:c r="Q109" s="139" t="n"/>
      <x:c r="R109" s="139" t="n"/>
      <x:c r="S109" s="139" t="n"/>
      <x:c r="T109" s="139" t="n"/>
      <x:c r="U109" s="139" t="n"/>
      <x:c r="V109" s="139" t="n"/>
      <x:c r="W109" s="139" t="n"/>
      <x:c r="X109" s="139" t="n"/>
      <x:c r="Y109" s="139" t="n"/>
      <x:c r="Z109" s="139" t="n"/>
      <x:c r="AA109" s="139" t="n"/>
      <x:c r="AB109" s="139" t="n"/>
      <x:c r="AC109" s="139" t="n"/>
    </x:row>
    <x:row r="110">
      <x:c r="A110" s="139" t="n"/>
      <x:c r="B110" s="139" t="n"/>
      <x:c r="C110" s="139" t="n"/>
      <x:c r="D110" s="139" t="n"/>
      <x:c r="E110" s="139" t="n"/>
      <x:c r="F110" s="139" t="n"/>
      <x:c r="G110" s="139" t="n"/>
      <x:c r="H110" s="139" t="n"/>
      <x:c r="I110" s="139" t="n"/>
      <x:c r="J110" s="139" t="n"/>
      <x:c r="K110" s="139" t="n"/>
      <x:c r="L110" s="139" t="n"/>
      <x:c r="M110" s="139" t="n"/>
      <x:c r="N110" s="139" t="n"/>
      <x:c r="O110" s="139" t="n"/>
      <x:c r="P110" s="139" t="n"/>
      <x:c r="Q110" s="139" t="n"/>
      <x:c r="R110" s="139" t="n"/>
      <x:c r="S110" s="139" t="n"/>
      <x:c r="T110" s="139" t="n"/>
      <x:c r="U110" s="139" t="n"/>
      <x:c r="V110" s="139" t="n"/>
      <x:c r="W110" s="139" t="n"/>
      <x:c r="X110" s="139" t="n"/>
      <x:c r="Y110" s="139" t="n"/>
      <x:c r="Z110" s="139" t="n"/>
      <x:c r="AA110" s="139" t="n"/>
      <x:c r="AB110" s="139" t="n"/>
      <x:c r="AC110" s="139" t="n"/>
    </x:row>
    <x:row r="111">
      <x:c r="A111" s="139" t="n"/>
      <x:c r="B111" s="139" t="n"/>
      <x:c r="C111" s="139" t="n"/>
      <x:c r="D111" s="139" t="n"/>
      <x:c r="E111" s="139" t="n"/>
      <x:c r="F111" s="139" t="n"/>
      <x:c r="G111" s="139" t="n"/>
      <x:c r="H111" s="139" t="n"/>
      <x:c r="I111" s="139" t="n"/>
      <x:c r="J111" s="139" t="n"/>
      <x:c r="K111" s="139" t="n"/>
      <x:c r="L111" s="139" t="n"/>
      <x:c r="M111" s="139" t="n"/>
      <x:c r="N111" s="139" t="n"/>
      <x:c r="O111" s="139" t="n"/>
      <x:c r="P111" s="139" t="n"/>
      <x:c r="Q111" s="139" t="n"/>
      <x:c r="R111" s="139" t="n"/>
      <x:c r="S111" s="139" t="n"/>
      <x:c r="T111" s="139" t="n"/>
      <x:c r="U111" s="139" t="n"/>
      <x:c r="V111" s="139" t="n"/>
      <x:c r="W111" s="139" t="n"/>
      <x:c r="X111" s="139" t="n"/>
      <x:c r="Y111" s="139" t="n"/>
      <x:c r="Z111" s="139" t="n"/>
      <x:c r="AA111" s="139" t="n"/>
      <x:c r="AB111" s="139" t="n"/>
      <x:c r="AC111" s="139" t="n"/>
    </x:row>
    <x:row r="112">
      <x:c r="A112" s="139" t="n"/>
      <x:c r="B112" s="139" t="n"/>
      <x:c r="C112" s="139" t="n"/>
      <x:c r="D112" s="139" t="n"/>
      <x:c r="E112" s="139" t="n"/>
      <x:c r="F112" s="139" t="n"/>
      <x:c r="G112" s="139" t="n"/>
      <x:c r="H112" s="139" t="n"/>
      <x:c r="I112" s="139" t="n"/>
      <x:c r="J112" s="139" t="n"/>
      <x:c r="K112" s="139" t="n"/>
      <x:c r="L112" s="139" t="n"/>
      <x:c r="M112" s="139" t="n"/>
      <x:c r="N112" s="139" t="n"/>
      <x:c r="O112" s="139" t="n"/>
      <x:c r="P112" s="139" t="n"/>
      <x:c r="Q112" s="139" t="n"/>
      <x:c r="R112" s="139" t="n"/>
      <x:c r="S112" s="139" t="n"/>
      <x:c r="T112" s="139" t="n"/>
      <x:c r="U112" s="139" t="n"/>
      <x:c r="V112" s="139" t="n"/>
      <x:c r="W112" s="139" t="n"/>
      <x:c r="X112" s="139" t="n"/>
      <x:c r="Y112" s="139" t="n"/>
      <x:c r="Z112" s="139" t="n"/>
      <x:c r="AA112" s="139" t="n"/>
      <x:c r="AB112" s="139" t="n"/>
      <x:c r="AC112" s="139" t="n"/>
    </x:row>
    <x:row r="113">
      <x:c r="A113" s="139" t="n"/>
      <x:c r="B113" s="139" t="n"/>
      <x:c r="C113" s="139" t="n"/>
      <x:c r="D113" s="139" t="n"/>
      <x:c r="E113" s="139" t="n"/>
      <x:c r="F113" s="139" t="n"/>
      <x:c r="G113" s="139" t="n"/>
      <x:c r="H113" s="139" t="n"/>
      <x:c r="I113" s="139" t="n"/>
      <x:c r="J113" s="139" t="n"/>
      <x:c r="K113" s="139" t="n"/>
      <x:c r="L113" s="139" t="n"/>
      <x:c r="M113" s="139" t="n"/>
      <x:c r="N113" s="139" t="n"/>
      <x:c r="O113" s="139" t="n"/>
      <x:c r="P113" s="139" t="n"/>
      <x:c r="Q113" s="139" t="n"/>
      <x:c r="R113" s="139" t="n"/>
      <x:c r="S113" s="139" t="n"/>
      <x:c r="T113" s="139" t="n"/>
      <x:c r="U113" s="139" t="n"/>
      <x:c r="V113" s="139" t="n"/>
      <x:c r="W113" s="139" t="n"/>
      <x:c r="X113" s="139" t="n"/>
      <x:c r="Y113" s="139" t="n"/>
      <x:c r="Z113" s="139" t="n"/>
      <x:c r="AA113" s="139" t="n"/>
      <x:c r="AB113" s="139" t="n"/>
      <x:c r="AC113" s="139" t="n"/>
    </x:row>
    <x:row r="114">
      <x:c r="A114" s="139" t="n"/>
      <x:c r="B114" s="139" t="n"/>
      <x:c r="C114" s="139" t="n"/>
      <x:c r="D114" s="139" t="n"/>
      <x:c r="E114" s="139" t="n"/>
      <x:c r="F114" s="139" t="n"/>
      <x:c r="G114" s="139" t="n"/>
      <x:c r="H114" s="139" t="n"/>
      <x:c r="I114" s="139" t="n"/>
      <x:c r="J114" s="139" t="n"/>
      <x:c r="K114" s="139" t="n"/>
      <x:c r="L114" s="139" t="n"/>
      <x:c r="M114" s="139" t="n"/>
      <x:c r="N114" s="139" t="n"/>
      <x:c r="O114" s="139" t="n"/>
      <x:c r="P114" s="139" t="n"/>
      <x:c r="Q114" s="139" t="n"/>
      <x:c r="R114" s="139" t="n"/>
      <x:c r="S114" s="139" t="n"/>
      <x:c r="T114" s="139" t="n"/>
      <x:c r="U114" s="139" t="n"/>
      <x:c r="V114" s="139" t="n"/>
      <x:c r="W114" s="139" t="n"/>
      <x:c r="X114" s="139" t="n"/>
      <x:c r="Y114" s="139" t="n"/>
      <x:c r="Z114" s="139" t="n"/>
      <x:c r="AA114" s="139" t="n"/>
      <x:c r="AB114" s="139" t="n"/>
      <x:c r="AC114" s="139" t="n"/>
    </x:row>
    <x:row r="115">
      <x:c r="A115" s="139" t="n"/>
      <x:c r="B115" s="139" t="n"/>
      <x:c r="C115" s="139" t="n"/>
      <x:c r="D115" s="139" t="n"/>
      <x:c r="E115" s="139" t="n"/>
      <x:c r="F115" s="139" t="n"/>
      <x:c r="G115" s="139" t="n"/>
      <x:c r="H115" s="139" t="n"/>
      <x:c r="I115" s="139" t="n"/>
      <x:c r="J115" s="139" t="n"/>
      <x:c r="K115" s="139" t="n"/>
      <x:c r="L115" s="139" t="n"/>
      <x:c r="M115" s="139" t="n"/>
      <x:c r="N115" s="139" t="n"/>
      <x:c r="O115" s="139" t="n"/>
      <x:c r="P115" s="139" t="n"/>
      <x:c r="Q115" s="139" t="n"/>
      <x:c r="R115" s="139" t="n"/>
      <x:c r="S115" s="139" t="n"/>
      <x:c r="T115" s="139" t="n"/>
      <x:c r="U115" s="139" t="n"/>
      <x:c r="V115" s="139" t="n"/>
      <x:c r="W115" s="139" t="n"/>
      <x:c r="X115" s="139" t="n"/>
      <x:c r="Y115" s="139" t="n"/>
      <x:c r="Z115" s="139" t="n"/>
      <x:c r="AA115" s="139" t="n"/>
      <x:c r="AB115" s="139" t="n"/>
      <x:c r="AC115" s="139" t="n"/>
    </x:row>
    <x:row r="116">
      <x:c r="A116" s="139" t="n"/>
      <x:c r="B116" s="139" t="n"/>
      <x:c r="C116" s="139" t="n"/>
      <x:c r="D116" s="139" t="n"/>
      <x:c r="E116" s="139" t="n"/>
      <x:c r="F116" s="139" t="n"/>
      <x:c r="G116" s="139" t="n"/>
      <x:c r="H116" s="139" t="n"/>
      <x:c r="I116" s="139" t="n"/>
      <x:c r="J116" s="139" t="n"/>
      <x:c r="K116" s="139" t="n"/>
      <x:c r="L116" s="139" t="n"/>
      <x:c r="M116" s="139" t="n"/>
      <x:c r="N116" s="139" t="n"/>
      <x:c r="O116" s="139" t="n"/>
      <x:c r="P116" s="139" t="n"/>
      <x:c r="Q116" s="139" t="n"/>
      <x:c r="R116" s="139" t="n"/>
      <x:c r="S116" s="139" t="n"/>
      <x:c r="T116" s="139" t="n"/>
      <x:c r="U116" s="139" t="n"/>
      <x:c r="V116" s="139" t="n"/>
      <x:c r="W116" s="139" t="n"/>
      <x:c r="X116" s="139" t="n"/>
      <x:c r="Y116" s="139" t="n"/>
      <x:c r="Z116" s="139" t="n"/>
      <x:c r="AA116" s="139" t="n"/>
      <x:c r="AB116" s="139" t="n"/>
      <x:c r="AC116" s="139" t="n"/>
    </x:row>
    <x:row r="117">
      <x:c r="A117" s="139" t="n"/>
      <x:c r="B117" s="139" t="n"/>
      <x:c r="C117" s="139" t="n"/>
      <x:c r="D117" s="139" t="n"/>
      <x:c r="E117" s="139" t="n"/>
      <x:c r="F117" s="139" t="n"/>
      <x:c r="G117" s="139" t="n"/>
      <x:c r="H117" s="139" t="n"/>
      <x:c r="I117" s="139" t="n"/>
      <x:c r="J117" s="139" t="n"/>
      <x:c r="K117" s="139" t="n"/>
      <x:c r="L117" s="139" t="n"/>
      <x:c r="M117" s="139" t="n"/>
      <x:c r="N117" s="139" t="n"/>
      <x:c r="O117" s="139" t="n"/>
      <x:c r="P117" s="139" t="n"/>
      <x:c r="Q117" s="139" t="n"/>
      <x:c r="R117" s="139" t="n"/>
      <x:c r="S117" s="139" t="n"/>
      <x:c r="T117" s="139" t="n"/>
      <x:c r="U117" s="139" t="n"/>
      <x:c r="V117" s="139" t="n"/>
      <x:c r="W117" s="139" t="n"/>
      <x:c r="X117" s="139" t="n"/>
      <x:c r="Y117" s="139" t="n"/>
      <x:c r="Z117" s="139" t="n"/>
      <x:c r="AA117" s="139" t="n"/>
      <x:c r="AB117" s="139" t="n"/>
      <x:c r="AC117" s="139" t="n"/>
    </x:row>
    <x:row r="118">
      <x:c r="A118" s="139" t="n"/>
      <x:c r="B118" s="139" t="n"/>
      <x:c r="C118" s="139" t="n"/>
      <x:c r="D118" s="139" t="n"/>
      <x:c r="E118" s="139" t="n"/>
      <x:c r="F118" s="139" t="n"/>
      <x:c r="G118" s="139" t="n"/>
      <x:c r="H118" s="139" t="n"/>
      <x:c r="I118" s="139" t="n"/>
      <x:c r="J118" s="139" t="n"/>
      <x:c r="K118" s="139" t="n"/>
      <x:c r="L118" s="139" t="n"/>
      <x:c r="M118" s="139" t="n"/>
      <x:c r="N118" s="139" t="n"/>
      <x:c r="O118" s="139" t="n"/>
      <x:c r="P118" s="139" t="n"/>
      <x:c r="Q118" s="139" t="n"/>
      <x:c r="R118" s="139" t="n"/>
      <x:c r="S118" s="139" t="n"/>
      <x:c r="T118" s="139" t="n"/>
      <x:c r="U118" s="139" t="n"/>
      <x:c r="V118" s="139" t="n"/>
      <x:c r="W118" s="139" t="n"/>
      <x:c r="X118" s="139" t="n"/>
      <x:c r="Y118" s="139" t="n"/>
      <x:c r="Z118" s="139" t="n"/>
      <x:c r="AA118" s="139" t="n"/>
      <x:c r="AB118" s="139" t="n"/>
      <x:c r="AC118" s="139" t="n"/>
    </x:row>
    <x:row r="119">
      <x:c r="A119" s="139" t="n"/>
      <x:c r="B119" s="139" t="n"/>
      <x:c r="C119" s="139" t="n"/>
      <x:c r="D119" s="139" t="n"/>
      <x:c r="E119" s="139" t="n"/>
      <x:c r="F119" s="139" t="n"/>
      <x:c r="G119" s="139" t="n"/>
      <x:c r="H119" s="139" t="n"/>
      <x:c r="I119" s="139" t="n"/>
      <x:c r="J119" s="139" t="n"/>
      <x:c r="K119" s="139" t="n"/>
      <x:c r="L119" s="139" t="n"/>
      <x:c r="M119" s="139" t="n"/>
      <x:c r="N119" s="139" t="n"/>
      <x:c r="O119" s="139" t="n"/>
      <x:c r="P119" s="139" t="n"/>
      <x:c r="Q119" s="139" t="n"/>
      <x:c r="R119" s="139" t="n"/>
      <x:c r="S119" s="139" t="n"/>
      <x:c r="T119" s="139" t="n"/>
      <x:c r="U119" s="139" t="n"/>
      <x:c r="V119" s="139" t="n"/>
      <x:c r="W119" s="139" t="n"/>
      <x:c r="X119" s="139" t="n"/>
      <x:c r="Y119" s="139" t="n"/>
      <x:c r="Z119" s="139" t="n"/>
      <x:c r="AA119" s="139" t="n"/>
      <x:c r="AB119" s="139" t="n"/>
      <x:c r="AC119" s="139" t="n"/>
    </x:row>
    <x:row r="120">
      <x:c r="A120" s="139" t="n"/>
      <x:c r="B120" s="139" t="n"/>
      <x:c r="C120" s="139" t="n"/>
      <x:c r="D120" s="139" t="n"/>
      <x:c r="E120" s="139" t="n"/>
      <x:c r="F120" s="139" t="n"/>
      <x:c r="G120" s="139" t="n"/>
      <x:c r="H120" s="139" t="n"/>
      <x:c r="I120" s="139" t="n"/>
      <x:c r="J120" s="139" t="n"/>
      <x:c r="K120" s="139" t="n"/>
      <x:c r="L120" s="139" t="n"/>
      <x:c r="M120" s="139" t="n"/>
      <x:c r="N120" s="139" t="n"/>
      <x:c r="O120" s="139" t="n"/>
      <x:c r="P120" s="139" t="n"/>
      <x:c r="Q120" s="139" t="n"/>
      <x:c r="R120" s="139" t="n"/>
      <x:c r="S120" s="139" t="n"/>
      <x:c r="T120" s="139" t="n"/>
      <x:c r="U120" s="139" t="n"/>
      <x:c r="V120" s="139" t="n"/>
      <x:c r="W120" s="139" t="n"/>
      <x:c r="X120" s="139" t="n"/>
      <x:c r="Y120" s="139" t="n"/>
      <x:c r="Z120" s="139" t="n"/>
      <x:c r="AA120" s="139" t="n"/>
      <x:c r="AB120" s="139" t="n"/>
      <x:c r="AC120" s="139" t="n"/>
    </x:row>
    <x:row r="121">
      <x:c r="A121" s="139" t="n"/>
      <x:c r="B121" s="139" t="n"/>
      <x:c r="C121" s="139" t="n"/>
      <x:c r="D121" s="139" t="n"/>
      <x:c r="E121" s="139" t="n"/>
      <x:c r="F121" s="139" t="n"/>
      <x:c r="G121" s="139" t="n"/>
      <x:c r="H121" s="139" t="n"/>
      <x:c r="I121" s="139" t="n"/>
      <x:c r="J121" s="139" t="n"/>
      <x:c r="K121" s="139" t="n"/>
      <x:c r="L121" s="139" t="n"/>
      <x:c r="M121" s="139" t="n"/>
      <x:c r="N121" s="139" t="n"/>
      <x:c r="O121" s="139" t="n"/>
      <x:c r="P121" s="139" t="n"/>
      <x:c r="Q121" s="139" t="n"/>
      <x:c r="R121" s="139" t="n"/>
      <x:c r="S121" s="139" t="n"/>
      <x:c r="T121" s="139" t="n"/>
      <x:c r="U121" s="139" t="n"/>
      <x:c r="V121" s="139" t="n"/>
      <x:c r="W121" s="139" t="n"/>
      <x:c r="X121" s="139" t="n"/>
      <x:c r="Y121" s="139" t="n"/>
      <x:c r="Z121" s="139" t="n"/>
      <x:c r="AA121" s="139" t="n"/>
      <x:c r="AB121" s="139" t="n"/>
      <x:c r="AC121" s="139" t="n"/>
    </x:row>
    <x:row r="122">
      <x:c r="A122" s="139" t="n"/>
      <x:c r="B122" s="139" t="n"/>
      <x:c r="C122" s="139" t="n"/>
      <x:c r="D122" s="139" t="n"/>
      <x:c r="E122" s="139" t="n"/>
      <x:c r="F122" s="139" t="n"/>
      <x:c r="G122" s="139" t="n"/>
      <x:c r="H122" s="139" t="n"/>
      <x:c r="I122" s="139" t="n"/>
      <x:c r="J122" s="139" t="n"/>
      <x:c r="K122" s="139" t="n"/>
      <x:c r="L122" s="139" t="n"/>
      <x:c r="M122" s="139" t="n"/>
      <x:c r="N122" s="139" t="n"/>
      <x:c r="O122" s="139" t="n"/>
      <x:c r="P122" s="139" t="n"/>
      <x:c r="Q122" s="139" t="n"/>
      <x:c r="R122" s="139" t="n"/>
      <x:c r="S122" s="139" t="n"/>
      <x:c r="T122" s="139" t="n"/>
      <x:c r="U122" s="139" t="n"/>
      <x:c r="V122" s="139" t="n"/>
      <x:c r="W122" s="139" t="n"/>
      <x:c r="X122" s="139" t="n"/>
      <x:c r="Y122" s="139" t="n"/>
      <x:c r="Z122" s="139" t="n"/>
      <x:c r="AA122" s="139" t="n"/>
      <x:c r="AB122" s="139" t="n"/>
      <x:c r="AC122" s="139" t="n"/>
    </x:row>
    <x:row r="123">
      <x:c r="A123" s="139" t="n"/>
      <x:c r="B123" s="139" t="n"/>
      <x:c r="C123" s="139" t="n"/>
      <x:c r="D123" s="139" t="n"/>
      <x:c r="E123" s="139" t="n"/>
      <x:c r="F123" s="139" t="n"/>
      <x:c r="G123" s="139" t="n"/>
      <x:c r="H123" s="139" t="n"/>
      <x:c r="I123" s="139" t="n"/>
      <x:c r="J123" s="139" t="n"/>
      <x:c r="K123" s="139" t="n"/>
      <x:c r="L123" s="139" t="n"/>
      <x:c r="M123" s="139" t="n"/>
      <x:c r="N123" s="139" t="n"/>
      <x:c r="O123" s="139" t="n"/>
      <x:c r="P123" s="139" t="n"/>
      <x:c r="Q123" s="139" t="n"/>
      <x:c r="R123" s="139" t="n"/>
      <x:c r="S123" s="139" t="n"/>
      <x:c r="T123" s="139" t="n"/>
      <x:c r="U123" s="139" t="n"/>
      <x:c r="V123" s="139" t="n"/>
      <x:c r="W123" s="139" t="n"/>
      <x:c r="X123" s="139" t="n"/>
      <x:c r="Y123" s="139" t="n"/>
      <x:c r="Z123" s="139" t="n"/>
      <x:c r="AA123" s="139" t="n"/>
      <x:c r="AB123" s="139" t="n"/>
      <x:c r="AC123" s="139" t="n"/>
    </x:row>
    <x:row r="124">
      <x:c r="A124" s="139" t="n"/>
      <x:c r="B124" s="139" t="n"/>
      <x:c r="C124" s="139" t="n"/>
      <x:c r="D124" s="139" t="n"/>
      <x:c r="E124" s="139" t="n"/>
      <x:c r="F124" s="139" t="n"/>
      <x:c r="G124" s="139" t="n"/>
      <x:c r="H124" s="139" t="n"/>
      <x:c r="I124" s="139" t="n"/>
      <x:c r="J124" s="139" t="n"/>
      <x:c r="K124" s="139" t="n"/>
      <x:c r="L124" s="139" t="n"/>
      <x:c r="M124" s="139" t="n"/>
      <x:c r="N124" s="139" t="n"/>
      <x:c r="O124" s="139" t="n"/>
      <x:c r="P124" s="139" t="n"/>
      <x:c r="Q124" s="139" t="n"/>
      <x:c r="R124" s="139" t="n"/>
      <x:c r="S124" s="139" t="n"/>
      <x:c r="T124" s="139" t="n"/>
      <x:c r="U124" s="139" t="n"/>
      <x:c r="V124" s="139" t="n"/>
      <x:c r="W124" s="139" t="n"/>
      <x:c r="X124" s="139" t="n"/>
      <x:c r="Y124" s="139" t="n"/>
      <x:c r="Z124" s="139" t="n"/>
      <x:c r="AA124" s="139" t="n"/>
      <x:c r="AB124" s="139" t="n"/>
      <x:c r="AC124" s="139" t="n"/>
    </x:row>
    <x:row r="125">
      <x:c r="A125" s="139" t="n"/>
      <x:c r="B125" s="139" t="n"/>
      <x:c r="C125" s="139" t="n"/>
      <x:c r="D125" s="139" t="n"/>
      <x:c r="E125" s="139" t="n"/>
      <x:c r="F125" s="139" t="n"/>
      <x:c r="G125" s="139" t="n"/>
      <x:c r="H125" s="139" t="n"/>
      <x:c r="I125" s="139" t="n"/>
      <x:c r="J125" s="139" t="n"/>
      <x:c r="K125" s="139" t="n"/>
      <x:c r="L125" s="139" t="n"/>
      <x:c r="M125" s="139" t="n"/>
      <x:c r="N125" s="139" t="n"/>
      <x:c r="O125" s="139" t="n"/>
      <x:c r="P125" s="139" t="n"/>
      <x:c r="Q125" s="139" t="n"/>
      <x:c r="R125" s="139" t="n"/>
      <x:c r="S125" s="139" t="n"/>
      <x:c r="T125" s="139" t="n"/>
      <x:c r="U125" s="139" t="n"/>
      <x:c r="V125" s="139" t="n"/>
      <x:c r="W125" s="139" t="n"/>
      <x:c r="X125" s="139" t="n"/>
      <x:c r="Y125" s="139" t="n"/>
      <x:c r="Z125" s="139" t="n"/>
      <x:c r="AA125" s="139" t="n"/>
      <x:c r="AB125" s="139" t="n"/>
      <x:c r="AC125" s="139" t="n"/>
    </x:row>
    <x:row r="126">
      <x:c r="A126" s="139" t="n"/>
      <x:c r="B126" s="139" t="n"/>
      <x:c r="C126" s="139" t="n"/>
      <x:c r="D126" s="139" t="n"/>
      <x:c r="E126" s="139" t="n"/>
      <x:c r="F126" s="139" t="n"/>
      <x:c r="G126" s="139" t="n"/>
      <x:c r="H126" s="139" t="n"/>
      <x:c r="I126" s="139" t="n"/>
      <x:c r="J126" s="139" t="n"/>
      <x:c r="K126" s="139" t="n"/>
      <x:c r="L126" s="139" t="n"/>
      <x:c r="M126" s="139" t="n"/>
      <x:c r="N126" s="139" t="n"/>
      <x:c r="O126" s="139" t="n"/>
      <x:c r="P126" s="139" t="n"/>
      <x:c r="Q126" s="139" t="n"/>
      <x:c r="R126" s="139" t="n"/>
      <x:c r="S126" s="139" t="n"/>
      <x:c r="T126" s="139" t="n"/>
      <x:c r="U126" s="139" t="n"/>
      <x:c r="V126" s="139" t="n"/>
      <x:c r="W126" s="139" t="n"/>
      <x:c r="X126" s="139" t="n"/>
      <x:c r="Y126" s="139" t="n"/>
      <x:c r="Z126" s="139" t="n"/>
      <x:c r="AA126" s="139" t="n"/>
      <x:c r="AB126" s="139" t="n"/>
      <x:c r="AC126" s="139" t="n"/>
    </x:row>
    <x:row r="127">
      <x:c r="A127" s="139" t="n"/>
      <x:c r="B127" s="139" t="n"/>
      <x:c r="C127" s="139" t="n"/>
      <x:c r="D127" s="139" t="n"/>
      <x:c r="E127" s="139" t="n"/>
      <x:c r="F127" s="139" t="n"/>
      <x:c r="G127" s="139" t="n"/>
      <x:c r="H127" s="139" t="n"/>
      <x:c r="I127" s="139" t="n"/>
      <x:c r="J127" s="139" t="n"/>
      <x:c r="K127" s="139" t="n"/>
      <x:c r="L127" s="139" t="n"/>
      <x:c r="M127" s="139" t="n"/>
      <x:c r="N127" s="139" t="n"/>
      <x:c r="O127" s="139" t="n"/>
      <x:c r="P127" s="139" t="n"/>
      <x:c r="Q127" s="139" t="n"/>
      <x:c r="R127" s="139" t="n"/>
      <x:c r="S127" s="139" t="n"/>
      <x:c r="T127" s="139" t="n"/>
      <x:c r="U127" s="139" t="n"/>
      <x:c r="V127" s="139" t="n"/>
      <x:c r="W127" s="139" t="n"/>
      <x:c r="X127" s="139" t="n"/>
      <x:c r="Y127" s="139" t="n"/>
      <x:c r="Z127" s="139" t="n"/>
      <x:c r="AA127" s="139" t="n"/>
      <x:c r="AB127" s="139" t="n"/>
      <x:c r="AC127" s="139" t="n"/>
    </x:row>
    <x:row r="128">
      <x:c r="A128" s="139" t="n"/>
      <x:c r="B128" s="139" t="n"/>
      <x:c r="C128" s="139" t="n"/>
      <x:c r="D128" s="139" t="n"/>
      <x:c r="E128" s="139" t="n"/>
      <x:c r="F128" s="139" t="n"/>
      <x:c r="G128" s="139" t="n"/>
      <x:c r="H128" s="139" t="n"/>
      <x:c r="I128" s="139" t="n"/>
      <x:c r="J128" s="139" t="n"/>
      <x:c r="K128" s="139" t="n"/>
      <x:c r="L128" s="139" t="n"/>
      <x:c r="M128" s="139" t="n"/>
      <x:c r="N128" s="139" t="n"/>
      <x:c r="O128" s="139" t="n"/>
      <x:c r="P128" s="139" t="n"/>
      <x:c r="Q128" s="139" t="n"/>
      <x:c r="R128" s="139" t="n"/>
      <x:c r="S128" s="139" t="n"/>
      <x:c r="T128" s="139" t="n"/>
      <x:c r="U128" s="139" t="n"/>
      <x:c r="V128" s="139" t="n"/>
      <x:c r="W128" s="139" t="n"/>
      <x:c r="X128" s="139" t="n"/>
      <x:c r="Y128" s="139" t="n"/>
      <x:c r="Z128" s="139" t="n"/>
      <x:c r="AA128" s="139" t="n"/>
      <x:c r="AB128" s="139" t="n"/>
      <x:c r="AC128" s="139" t="n"/>
    </x:row>
    <x:row r="129">
      <x:c r="A129" s="139" t="n"/>
      <x:c r="B129" s="139" t="n"/>
      <x:c r="C129" s="139" t="n"/>
      <x:c r="D129" s="139" t="n"/>
      <x:c r="E129" s="139" t="n"/>
      <x:c r="F129" s="139" t="n"/>
      <x:c r="G129" s="139" t="n"/>
      <x:c r="H129" s="139" t="n"/>
      <x:c r="I129" s="139" t="n"/>
      <x:c r="J129" s="139" t="n"/>
      <x:c r="K129" s="139" t="n"/>
      <x:c r="L129" s="139" t="n"/>
      <x:c r="M129" s="139" t="n"/>
      <x:c r="N129" s="139" t="n"/>
      <x:c r="O129" s="139" t="n"/>
      <x:c r="P129" s="139" t="n"/>
      <x:c r="Q129" s="139" t="n"/>
      <x:c r="R129" s="139" t="n"/>
      <x:c r="S129" s="139" t="n"/>
      <x:c r="T129" s="139" t="n"/>
      <x:c r="U129" s="139" t="n"/>
      <x:c r="V129" s="139" t="n"/>
      <x:c r="W129" s="139" t="n"/>
      <x:c r="X129" s="139" t="n"/>
      <x:c r="Y129" s="139" t="n"/>
      <x:c r="Z129" s="139" t="n"/>
      <x:c r="AA129" s="139" t="n"/>
      <x:c r="AB129" s="139" t="n"/>
      <x:c r="AC129" s="139" t="n"/>
    </x:row>
    <x:row r="130">
      <x:c r="A130" s="139" t="n"/>
      <x:c r="B130" s="139" t="n"/>
      <x:c r="C130" s="139" t="n"/>
      <x:c r="D130" s="139" t="n"/>
      <x:c r="E130" s="139" t="n"/>
      <x:c r="F130" s="139" t="n"/>
      <x:c r="G130" s="139" t="n"/>
      <x:c r="H130" s="139" t="n"/>
      <x:c r="I130" s="139" t="n"/>
      <x:c r="J130" s="139" t="n"/>
      <x:c r="K130" s="139" t="n"/>
      <x:c r="L130" s="139" t="n"/>
      <x:c r="M130" s="139" t="n"/>
      <x:c r="N130" s="139" t="n"/>
      <x:c r="O130" s="139" t="n"/>
      <x:c r="P130" s="139" t="n"/>
      <x:c r="Q130" s="139" t="n"/>
      <x:c r="R130" s="139" t="n"/>
      <x:c r="S130" s="139" t="n"/>
      <x:c r="T130" s="139" t="n"/>
      <x:c r="U130" s="139" t="n"/>
      <x:c r="V130" s="139" t="n"/>
      <x:c r="W130" s="139" t="n"/>
      <x:c r="X130" s="139" t="n"/>
      <x:c r="Y130" s="139" t="n"/>
      <x:c r="Z130" s="139" t="n"/>
      <x:c r="AA130" s="139" t="n"/>
      <x:c r="AB130" s="139" t="n"/>
      <x:c r="AC130" s="139" t="n"/>
    </x:row>
    <x:row r="131">
      <x:c r="A131" s="139" t="n"/>
      <x:c r="B131" s="139" t="n"/>
      <x:c r="C131" s="139" t="n"/>
      <x:c r="D131" s="139" t="n"/>
      <x:c r="E131" s="139" t="n"/>
      <x:c r="F131" s="139" t="n"/>
      <x:c r="G131" s="139" t="n"/>
      <x:c r="H131" s="139" t="n"/>
      <x:c r="I131" s="139" t="n"/>
      <x:c r="J131" s="139" t="n"/>
      <x:c r="K131" s="139" t="n"/>
      <x:c r="L131" s="139" t="n"/>
      <x:c r="M131" s="139" t="n"/>
      <x:c r="N131" s="139" t="n"/>
      <x:c r="O131" s="139" t="n"/>
      <x:c r="P131" s="139" t="n"/>
      <x:c r="Q131" s="139" t="n"/>
      <x:c r="R131" s="139" t="n"/>
      <x:c r="S131" s="139" t="n"/>
      <x:c r="T131" s="139" t="n"/>
      <x:c r="U131" s="139" t="n"/>
      <x:c r="V131" s="139" t="n"/>
      <x:c r="W131" s="139" t="n"/>
      <x:c r="X131" s="139" t="n"/>
      <x:c r="Y131" s="139" t="n"/>
      <x:c r="Z131" s="139" t="n"/>
      <x:c r="AA131" s="139" t="n"/>
      <x:c r="AB131" s="139" t="n"/>
      <x:c r="AC131" s="139" t="n"/>
    </x:row>
    <x:row r="132">
      <x:c r="A132" s="139" t="n"/>
      <x:c r="B132" s="139" t="n"/>
      <x:c r="C132" s="139" t="n"/>
      <x:c r="D132" s="139" t="n"/>
      <x:c r="E132" s="139" t="n"/>
      <x:c r="F132" s="139" t="n"/>
      <x:c r="G132" s="139" t="n"/>
      <x:c r="H132" s="139" t="n"/>
      <x:c r="I132" s="139" t="n"/>
      <x:c r="J132" s="139" t="n"/>
      <x:c r="K132" s="139" t="n"/>
      <x:c r="L132" s="139" t="n"/>
      <x:c r="M132" s="139" t="n"/>
      <x:c r="N132" s="139" t="n"/>
      <x:c r="O132" s="139" t="n"/>
      <x:c r="P132" s="139" t="n"/>
      <x:c r="Q132" s="139" t="n"/>
      <x:c r="R132" s="139" t="n"/>
      <x:c r="S132" s="139" t="n"/>
      <x:c r="T132" s="139" t="n"/>
      <x:c r="U132" s="139" t="n"/>
      <x:c r="V132" s="139" t="n"/>
      <x:c r="W132" s="139" t="n"/>
      <x:c r="X132" s="139" t="n"/>
      <x:c r="Y132" s="139" t="n"/>
      <x:c r="Z132" s="139" t="n"/>
      <x:c r="AA132" s="139" t="n"/>
      <x:c r="AB132" s="139" t="n"/>
      <x:c r="AC132" s="139" t="n"/>
    </x:row>
    <x:row r="133">
      <x:c r="A133" s="139" t="n"/>
      <x:c r="B133" s="139" t="n"/>
      <x:c r="C133" s="139" t="n"/>
      <x:c r="D133" s="139" t="n"/>
      <x:c r="E133" s="139" t="n"/>
      <x:c r="F133" s="139" t="n"/>
      <x:c r="G133" s="139" t="n"/>
      <x:c r="H133" s="139" t="n"/>
      <x:c r="I133" s="139" t="n"/>
      <x:c r="J133" s="139" t="n"/>
      <x:c r="K133" s="139" t="n"/>
      <x:c r="L133" s="139" t="n"/>
      <x:c r="M133" s="139" t="n"/>
      <x:c r="N133" s="139" t="n"/>
      <x:c r="O133" s="139" t="n"/>
      <x:c r="P133" s="139" t="n"/>
      <x:c r="Q133" s="139" t="n"/>
      <x:c r="R133" s="139" t="n"/>
      <x:c r="S133" s="139" t="n"/>
      <x:c r="T133" s="139" t="n"/>
      <x:c r="U133" s="139" t="n"/>
      <x:c r="V133" s="139" t="n"/>
      <x:c r="W133" s="139" t="n"/>
      <x:c r="X133" s="139" t="n"/>
      <x:c r="Y133" s="139" t="n"/>
      <x:c r="Z133" s="139" t="n"/>
      <x:c r="AA133" s="139" t="n"/>
      <x:c r="AB133" s="139" t="n"/>
      <x:c r="AC133" s="139" t="n"/>
    </x:row>
    <x:row r="134">
      <x:c r="A134" s="139" t="n"/>
      <x:c r="B134" s="139" t="n"/>
      <x:c r="C134" s="139" t="n"/>
      <x:c r="D134" s="139" t="n"/>
      <x:c r="E134" s="139" t="n"/>
      <x:c r="F134" s="139" t="n"/>
      <x:c r="G134" s="139" t="n"/>
      <x:c r="H134" s="139" t="n"/>
      <x:c r="I134" s="139" t="n"/>
      <x:c r="J134" s="139" t="n"/>
      <x:c r="K134" s="139" t="n"/>
      <x:c r="L134" s="139" t="n"/>
      <x:c r="M134" s="139" t="n"/>
      <x:c r="N134" s="139" t="n"/>
      <x:c r="O134" s="139" t="n"/>
      <x:c r="P134" s="139" t="n"/>
      <x:c r="Q134" s="139" t="n"/>
      <x:c r="R134" s="139" t="n"/>
      <x:c r="S134" s="139" t="n"/>
      <x:c r="T134" s="139" t="n"/>
      <x:c r="U134" s="139" t="n"/>
      <x:c r="V134" s="139" t="n"/>
      <x:c r="W134" s="139" t="n"/>
      <x:c r="X134" s="139" t="n"/>
      <x:c r="Y134" s="139" t="n"/>
      <x:c r="Z134" s="139" t="n"/>
      <x:c r="AA134" s="139" t="n"/>
      <x:c r="AB134" s="139" t="n"/>
      <x:c r="AC134" s="139" t="n"/>
    </x:row>
    <x:row r="135">
      <x:c r="A135" s="139" t="n"/>
      <x:c r="B135" s="139" t="n"/>
      <x:c r="C135" s="139" t="n"/>
      <x:c r="D135" s="139" t="n"/>
      <x:c r="E135" s="139" t="n"/>
      <x:c r="F135" s="139" t="n"/>
      <x:c r="G135" s="139" t="n"/>
      <x:c r="H135" s="139" t="n"/>
      <x:c r="I135" s="139" t="n"/>
      <x:c r="J135" s="139" t="n"/>
      <x:c r="K135" s="139" t="n"/>
      <x:c r="L135" s="139" t="n"/>
      <x:c r="M135" s="139" t="n"/>
      <x:c r="N135" s="139" t="n"/>
      <x:c r="O135" s="139" t="n"/>
      <x:c r="P135" s="139" t="n"/>
      <x:c r="Q135" s="139" t="n"/>
      <x:c r="R135" s="139" t="n"/>
      <x:c r="S135" s="139" t="n"/>
      <x:c r="T135" s="139" t="n"/>
      <x:c r="U135" s="139" t="n"/>
      <x:c r="V135" s="139" t="n"/>
      <x:c r="W135" s="139" t="n"/>
      <x:c r="X135" s="139" t="n"/>
      <x:c r="Y135" s="139" t="n"/>
      <x:c r="Z135" s="139" t="n"/>
      <x:c r="AA135" s="139" t="n"/>
      <x:c r="AB135" s="139" t="n"/>
      <x:c r="AC135" s="139" t="n"/>
    </x:row>
    <x:row r="136">
      <x:c r="A136" s="139" t="n"/>
      <x:c r="B136" s="139" t="n"/>
      <x:c r="C136" s="139" t="n"/>
      <x:c r="D136" s="139" t="n"/>
      <x:c r="E136" s="139" t="n"/>
      <x:c r="F136" s="139" t="n"/>
      <x:c r="G136" s="139" t="n"/>
      <x:c r="H136" s="139" t="n"/>
      <x:c r="I136" s="139" t="n"/>
      <x:c r="J136" s="139" t="n"/>
      <x:c r="K136" s="139" t="n"/>
      <x:c r="L136" s="139" t="n"/>
      <x:c r="M136" s="139" t="n"/>
      <x:c r="N136" s="139" t="n"/>
      <x:c r="O136" s="139" t="n"/>
      <x:c r="P136" s="139" t="n"/>
      <x:c r="Q136" s="139" t="n"/>
      <x:c r="R136" s="139" t="n"/>
      <x:c r="S136" s="139" t="n"/>
      <x:c r="T136" s="139" t="n"/>
      <x:c r="U136" s="139" t="n"/>
      <x:c r="V136" s="139" t="n"/>
      <x:c r="W136" s="139" t="n"/>
      <x:c r="X136" s="139" t="n"/>
      <x:c r="Y136" s="139" t="n"/>
      <x:c r="Z136" s="139" t="n"/>
      <x:c r="AA136" s="139" t="n"/>
      <x:c r="AB136" s="139" t="n"/>
      <x:c r="AC136" s="139" t="n"/>
    </x:row>
    <x:row r="137">
      <x:c r="A137" s="139" t="n"/>
      <x:c r="B137" s="139" t="n"/>
      <x:c r="C137" s="139" t="n"/>
      <x:c r="D137" s="139" t="n"/>
      <x:c r="E137" s="139" t="n"/>
      <x:c r="F137" s="139" t="n"/>
      <x:c r="G137" s="139" t="n"/>
      <x:c r="H137" s="139" t="n"/>
      <x:c r="I137" s="139" t="n"/>
      <x:c r="J137" s="139" t="n"/>
      <x:c r="K137" s="139" t="n"/>
      <x:c r="L137" s="139" t="n"/>
      <x:c r="M137" s="139" t="n"/>
      <x:c r="N137" s="139" t="n"/>
      <x:c r="O137" s="139" t="n"/>
      <x:c r="P137" s="139" t="n"/>
      <x:c r="Q137" s="139" t="n"/>
      <x:c r="R137" s="139" t="n"/>
      <x:c r="S137" s="139" t="n"/>
      <x:c r="T137" s="139" t="n"/>
      <x:c r="U137" s="139" t="n"/>
      <x:c r="V137" s="139" t="n"/>
      <x:c r="W137" s="139" t="n"/>
      <x:c r="X137" s="139" t="n"/>
      <x:c r="Y137" s="139" t="n"/>
      <x:c r="Z137" s="139" t="n"/>
      <x:c r="AA137" s="139" t="n"/>
      <x:c r="AB137" s="139" t="n"/>
      <x:c r="AC137" s="139" t="n"/>
    </x:row>
    <x:row r="138">
      <x:c r="A138" s="139" t="n"/>
      <x:c r="B138" s="139" t="n"/>
      <x:c r="C138" s="139" t="n"/>
      <x:c r="D138" s="139" t="n"/>
      <x:c r="E138" s="139" t="n"/>
      <x:c r="F138" s="139" t="n"/>
      <x:c r="G138" s="139" t="n"/>
      <x:c r="H138" s="139" t="n"/>
      <x:c r="I138" s="139" t="n"/>
      <x:c r="J138" s="139" t="n"/>
      <x:c r="K138" s="139" t="n"/>
      <x:c r="L138" s="139" t="n"/>
      <x:c r="M138" s="139" t="n"/>
      <x:c r="N138" s="139" t="n"/>
      <x:c r="O138" s="139" t="n"/>
      <x:c r="P138" s="139" t="n"/>
      <x:c r="Q138" s="139" t="n"/>
      <x:c r="R138" s="139" t="n"/>
      <x:c r="S138" s="139" t="n"/>
      <x:c r="T138" s="139" t="n"/>
      <x:c r="U138" s="139" t="n"/>
      <x:c r="V138" s="139" t="n"/>
      <x:c r="W138" s="139" t="n"/>
      <x:c r="X138" s="139" t="n"/>
      <x:c r="Y138" s="139" t="n"/>
      <x:c r="Z138" s="139" t="n"/>
      <x:c r="AA138" s="139" t="n"/>
      <x:c r="AB138" s="139" t="n"/>
      <x:c r="AC138" s="139" t="n"/>
    </x:row>
    <x:row r="139">
      <x:c r="A139" s="139" t="n"/>
      <x:c r="B139" s="139" t="n"/>
      <x:c r="C139" s="139" t="n"/>
      <x:c r="D139" s="139" t="n"/>
      <x:c r="E139" s="139" t="n"/>
      <x:c r="F139" s="139" t="n"/>
      <x:c r="G139" s="139" t="n"/>
      <x:c r="H139" s="139" t="n"/>
      <x:c r="I139" s="139" t="n"/>
      <x:c r="J139" s="139" t="n"/>
      <x:c r="K139" s="139" t="n"/>
      <x:c r="L139" s="139" t="n"/>
      <x:c r="M139" s="139" t="n"/>
      <x:c r="N139" s="139" t="n"/>
      <x:c r="O139" s="139" t="n"/>
      <x:c r="P139" s="139" t="n"/>
      <x:c r="Q139" s="139" t="n"/>
      <x:c r="R139" s="139" t="n"/>
      <x:c r="S139" s="139" t="n"/>
      <x:c r="T139" s="139" t="n"/>
      <x:c r="U139" s="139" t="n"/>
      <x:c r="V139" s="139" t="n"/>
      <x:c r="W139" s="139" t="n"/>
      <x:c r="X139" s="139" t="n"/>
      <x:c r="Y139" s="139" t="n"/>
      <x:c r="Z139" s="139" t="n"/>
      <x:c r="AA139" s="139" t="n"/>
      <x:c r="AB139" s="139" t="n"/>
      <x:c r="AC139" s="139" t="n"/>
    </x:row>
    <x:row r="140">
      <x:c r="A140" s="139" t="n"/>
      <x:c r="B140" s="139" t="n"/>
      <x:c r="C140" s="139" t="n"/>
      <x:c r="D140" s="139" t="n"/>
      <x:c r="E140" s="139" t="n"/>
      <x:c r="F140" s="139" t="n"/>
      <x:c r="G140" s="139" t="n"/>
      <x:c r="H140" s="139" t="n"/>
      <x:c r="I140" s="139" t="n"/>
      <x:c r="J140" s="139" t="n"/>
      <x:c r="K140" s="139" t="n"/>
      <x:c r="L140" s="139" t="n"/>
      <x:c r="M140" s="139" t="n"/>
      <x:c r="N140" s="139" t="n"/>
      <x:c r="O140" s="139" t="n"/>
      <x:c r="P140" s="139" t="n"/>
      <x:c r="Q140" s="139" t="n"/>
      <x:c r="R140" s="139" t="n"/>
      <x:c r="S140" s="139" t="n"/>
      <x:c r="T140" s="139" t="n"/>
      <x:c r="U140" s="139" t="n"/>
      <x:c r="V140" s="139" t="n"/>
      <x:c r="W140" s="139" t="n"/>
      <x:c r="X140" s="139" t="n"/>
      <x:c r="Y140" s="139" t="n"/>
      <x:c r="Z140" s="139" t="n"/>
      <x:c r="AA140" s="139" t="n"/>
      <x:c r="AB140" s="139" t="n"/>
      <x:c r="AC140" s="139" t="n"/>
    </x:row>
    <x:row r="141">
      <x:c r="A141" s="139" t="n"/>
      <x:c r="B141" s="139" t="n"/>
      <x:c r="C141" s="139" t="n"/>
      <x:c r="D141" s="139" t="n"/>
      <x:c r="E141" s="139" t="n"/>
      <x:c r="F141" s="139" t="n"/>
      <x:c r="G141" s="139" t="n"/>
      <x:c r="H141" s="139" t="n"/>
      <x:c r="I141" s="139" t="n"/>
      <x:c r="J141" s="139" t="n"/>
      <x:c r="K141" s="139" t="n"/>
      <x:c r="L141" s="139" t="n"/>
      <x:c r="M141" s="139" t="n"/>
      <x:c r="N141" s="139" t="n"/>
      <x:c r="O141" s="139" t="n"/>
      <x:c r="P141" s="139" t="n"/>
      <x:c r="Q141" s="139" t="n"/>
      <x:c r="R141" s="139" t="n"/>
      <x:c r="S141" s="139" t="n"/>
      <x:c r="T141" s="139" t="n"/>
      <x:c r="U141" s="139" t="n"/>
      <x:c r="V141" s="139" t="n"/>
      <x:c r="W141" s="139" t="n"/>
      <x:c r="X141" s="139" t="n"/>
      <x:c r="Y141" s="139" t="n"/>
      <x:c r="Z141" s="139" t="n"/>
      <x:c r="AA141" s="139" t="n"/>
      <x:c r="AB141" s="139" t="n"/>
      <x:c r="AC141" s="139" t="n"/>
    </x:row>
    <x:row r="142">
      <x:c r="A142" s="139" t="n"/>
      <x:c r="B142" s="139" t="n"/>
      <x:c r="C142" s="139" t="n"/>
      <x:c r="D142" s="139" t="n"/>
      <x:c r="E142" s="139" t="n"/>
      <x:c r="F142" s="139" t="n"/>
      <x:c r="G142" s="139" t="n"/>
      <x:c r="H142" s="139" t="n"/>
      <x:c r="I142" s="139" t="n"/>
      <x:c r="J142" s="139" t="n"/>
      <x:c r="K142" s="139" t="n"/>
      <x:c r="L142" s="139" t="n"/>
      <x:c r="M142" s="139" t="n"/>
      <x:c r="N142" s="139" t="n"/>
      <x:c r="O142" s="139" t="n"/>
      <x:c r="P142" s="139" t="n"/>
      <x:c r="Q142" s="139" t="n"/>
      <x:c r="R142" s="139" t="n"/>
      <x:c r="S142" s="139" t="n"/>
      <x:c r="T142" s="139" t="n"/>
      <x:c r="U142" s="139" t="n"/>
      <x:c r="V142" s="139" t="n"/>
      <x:c r="W142" s="139" t="n"/>
      <x:c r="X142" s="139" t="n"/>
      <x:c r="Y142" s="139" t="n"/>
      <x:c r="Z142" s="139" t="n"/>
      <x:c r="AA142" s="139" t="n"/>
      <x:c r="AB142" s="139" t="n"/>
      <x:c r="AC142" s="139" t="n"/>
    </x:row>
    <x:row r="143">
      <x:c r="A143" s="139" t="n"/>
      <x:c r="B143" s="139" t="n"/>
      <x:c r="C143" s="139" t="n"/>
      <x:c r="D143" s="139" t="n"/>
      <x:c r="E143" s="139" t="n"/>
      <x:c r="F143" s="139" t="n"/>
      <x:c r="G143" s="139" t="n"/>
      <x:c r="H143" s="139" t="n"/>
      <x:c r="I143" s="139" t="n"/>
      <x:c r="J143" s="139" t="n"/>
      <x:c r="K143" s="139" t="n"/>
      <x:c r="L143" s="139" t="n"/>
      <x:c r="M143" s="139" t="n"/>
      <x:c r="N143" s="139" t="n"/>
      <x:c r="O143" s="139" t="n"/>
      <x:c r="P143" s="139" t="n"/>
      <x:c r="Q143" s="139" t="n"/>
      <x:c r="R143" s="139" t="n"/>
      <x:c r="S143" s="139" t="n"/>
      <x:c r="T143" s="139" t="n"/>
      <x:c r="U143" s="139" t="n"/>
      <x:c r="V143" s="139" t="n"/>
      <x:c r="W143" s="139" t="n"/>
      <x:c r="X143" s="139" t="n"/>
      <x:c r="Y143" s="139" t="n"/>
      <x:c r="Z143" s="139" t="n"/>
      <x:c r="AA143" s="139" t="n"/>
      <x:c r="AB143" s="139" t="n"/>
      <x:c r="AC143" s="139" t="n"/>
    </x:row>
    <x:row r="144">
      <x:c r="A144" s="139" t="n"/>
      <x:c r="B144" s="139" t="n"/>
      <x:c r="C144" s="139" t="n"/>
      <x:c r="D144" s="139" t="n"/>
      <x:c r="E144" s="139" t="n"/>
      <x:c r="F144" s="139" t="n"/>
      <x:c r="G144" s="139" t="n"/>
      <x:c r="H144" s="139" t="n"/>
      <x:c r="I144" s="139" t="n"/>
      <x:c r="J144" s="139" t="n"/>
      <x:c r="K144" s="139" t="n"/>
      <x:c r="L144" s="139" t="n"/>
      <x:c r="M144" s="139" t="n"/>
      <x:c r="N144" s="139" t="n"/>
      <x:c r="O144" s="139" t="n"/>
      <x:c r="P144" s="139" t="n"/>
      <x:c r="Q144" s="139" t="n"/>
      <x:c r="R144" s="139" t="n"/>
      <x:c r="S144" s="139" t="n"/>
      <x:c r="T144" s="139" t="n"/>
      <x:c r="U144" s="139" t="n"/>
      <x:c r="V144" s="139" t="n"/>
      <x:c r="W144" s="139" t="n"/>
      <x:c r="X144" s="139" t="n"/>
      <x:c r="Y144" s="139" t="n"/>
      <x:c r="Z144" s="139" t="n"/>
      <x:c r="AA144" s="139" t="n"/>
      <x:c r="AB144" s="139" t="n"/>
      <x:c r="AC144" s="139" t="n"/>
    </x:row>
    <x:row r="145">
      <x:c r="A145" s="139" t="n"/>
      <x:c r="B145" s="139" t="n"/>
      <x:c r="C145" s="139" t="n"/>
      <x:c r="D145" s="139" t="n"/>
      <x:c r="E145" s="139" t="n"/>
      <x:c r="F145" s="139" t="n"/>
      <x:c r="G145" s="139" t="n"/>
      <x:c r="H145" s="139" t="n"/>
      <x:c r="I145" s="139" t="n"/>
      <x:c r="J145" s="139" t="n"/>
      <x:c r="K145" s="139" t="n"/>
      <x:c r="L145" s="139" t="n"/>
      <x:c r="M145" s="139" t="n"/>
      <x:c r="N145" s="139" t="n"/>
      <x:c r="O145" s="139" t="n"/>
      <x:c r="P145" s="139" t="n"/>
      <x:c r="Q145" s="139" t="n"/>
      <x:c r="R145" s="139" t="n"/>
      <x:c r="S145" s="139" t="n"/>
      <x:c r="T145" s="139" t="n"/>
      <x:c r="U145" s="139" t="n"/>
      <x:c r="V145" s="139" t="n"/>
      <x:c r="W145" s="139" t="n"/>
      <x:c r="X145" s="139" t="n"/>
      <x:c r="Y145" s="139" t="n"/>
      <x:c r="Z145" s="139" t="n"/>
      <x:c r="AA145" s="139" t="n"/>
      <x:c r="AB145" s="139" t="n"/>
      <x:c r="AC145" s="139" t="n"/>
    </x:row>
    <x:row r="146">
      <x:c r="A146" s="139" t="n"/>
      <x:c r="B146" s="139" t="n"/>
      <x:c r="C146" s="139" t="n"/>
      <x:c r="D146" s="139" t="n"/>
      <x:c r="E146" s="139" t="n"/>
      <x:c r="F146" s="139" t="n"/>
      <x:c r="G146" s="139" t="n"/>
      <x:c r="H146" s="139" t="n"/>
      <x:c r="I146" s="139" t="n"/>
      <x:c r="J146" s="139" t="n"/>
      <x:c r="K146" s="139" t="n"/>
      <x:c r="L146" s="139" t="n"/>
      <x:c r="M146" s="139" t="n"/>
      <x:c r="N146" s="139" t="n"/>
      <x:c r="O146" s="139" t="n"/>
      <x:c r="P146" s="139" t="n"/>
      <x:c r="Q146" s="139" t="n"/>
      <x:c r="R146" s="139" t="n"/>
      <x:c r="S146" s="139" t="n"/>
      <x:c r="T146" s="139" t="n"/>
      <x:c r="U146" s="139" t="n"/>
      <x:c r="V146" s="139" t="n"/>
      <x:c r="W146" s="139" t="n"/>
      <x:c r="X146" s="139" t="n"/>
      <x:c r="Y146" s="139" t="n"/>
      <x:c r="Z146" s="139" t="n"/>
      <x:c r="AA146" s="139" t="n"/>
      <x:c r="AB146" s="139" t="n"/>
      <x:c r="AC146" s="139" t="n"/>
    </x:row>
    <x:row r="147">
      <x:c r="A147" s="139" t="n"/>
      <x:c r="B147" s="139" t="n"/>
      <x:c r="C147" s="139" t="n"/>
      <x:c r="D147" s="139" t="n"/>
      <x:c r="E147" s="139" t="n"/>
      <x:c r="F147" s="139" t="n"/>
      <x:c r="G147" s="139" t="n"/>
      <x:c r="H147" s="139" t="n"/>
      <x:c r="I147" s="139" t="n"/>
      <x:c r="J147" s="139" t="n"/>
      <x:c r="K147" s="139" t="n"/>
      <x:c r="L147" s="139" t="n"/>
      <x:c r="M147" s="139" t="n"/>
      <x:c r="N147" s="139" t="n"/>
      <x:c r="O147" s="139" t="n"/>
      <x:c r="P147" s="139" t="n"/>
      <x:c r="Q147" s="139" t="n"/>
      <x:c r="R147" s="139" t="n"/>
      <x:c r="S147" s="139" t="n"/>
      <x:c r="T147" s="139" t="n"/>
      <x:c r="U147" s="139" t="n"/>
      <x:c r="V147" s="139" t="n"/>
      <x:c r="W147" s="139" t="n"/>
      <x:c r="X147" s="139" t="n"/>
      <x:c r="Y147" s="139" t="n"/>
      <x:c r="Z147" s="139" t="n"/>
      <x:c r="AA147" s="139" t="n"/>
      <x:c r="AB147" s="139" t="n"/>
      <x:c r="AC147" s="139" t="n"/>
    </x:row>
    <x:row r="148">
      <x:c r="A148" s="139" t="n"/>
      <x:c r="B148" s="139" t="n"/>
      <x:c r="C148" s="139" t="n"/>
      <x:c r="D148" s="139" t="n"/>
      <x:c r="E148" s="139" t="n"/>
      <x:c r="F148" s="139" t="n"/>
      <x:c r="G148" s="139" t="n"/>
      <x:c r="H148" s="139" t="n"/>
      <x:c r="I148" s="139" t="n"/>
      <x:c r="J148" s="139" t="n"/>
      <x:c r="K148" s="139" t="n"/>
      <x:c r="L148" s="139" t="n"/>
      <x:c r="M148" s="139" t="n"/>
      <x:c r="N148" s="139" t="n"/>
      <x:c r="O148" s="139" t="n"/>
      <x:c r="P148" s="139" t="n"/>
      <x:c r="Q148" s="139" t="n"/>
      <x:c r="R148" s="139" t="n"/>
      <x:c r="S148" s="139" t="n"/>
      <x:c r="T148" s="139" t="n"/>
      <x:c r="U148" s="139" t="n"/>
      <x:c r="V148" s="139" t="n"/>
      <x:c r="W148" s="139" t="n"/>
      <x:c r="X148" s="139" t="n"/>
      <x:c r="Y148" s="139" t="n"/>
      <x:c r="Z148" s="139" t="n"/>
      <x:c r="AA148" s="139" t="n"/>
      <x:c r="AB148" s="139" t="n"/>
      <x:c r="AC148" s="139" t="n"/>
    </x:row>
    <x:row r="149">
      <x:c r="A149" s="139" t="n"/>
      <x:c r="B149" s="139" t="n"/>
      <x:c r="C149" s="139" t="n"/>
      <x:c r="D149" s="139" t="n"/>
      <x:c r="E149" s="139" t="n"/>
      <x:c r="F149" s="139" t="n"/>
      <x:c r="G149" s="139" t="n"/>
      <x:c r="H149" s="139" t="n"/>
      <x:c r="I149" s="139" t="n"/>
      <x:c r="J149" s="139" t="n"/>
      <x:c r="K149" s="139" t="n"/>
      <x:c r="L149" s="139" t="n"/>
      <x:c r="M149" s="139" t="n"/>
      <x:c r="N149" s="139" t="n"/>
      <x:c r="O149" s="139" t="n"/>
      <x:c r="P149" s="139" t="n"/>
      <x:c r="Q149" s="139" t="n"/>
      <x:c r="R149" s="139" t="n"/>
      <x:c r="S149" s="139" t="n"/>
      <x:c r="T149" s="139" t="n"/>
      <x:c r="U149" s="139" t="n"/>
      <x:c r="V149" s="139" t="n"/>
      <x:c r="W149" s="139" t="n"/>
      <x:c r="X149" s="139" t="n"/>
      <x:c r="Y149" s="139" t="n"/>
      <x:c r="Z149" s="139" t="n"/>
      <x:c r="AA149" s="139" t="n"/>
      <x:c r="AB149" s="139" t="n"/>
      <x:c r="AC149" s="139" t="n"/>
    </x:row>
    <x:row r="150">
      <x:c r="A150" s="139" t="n"/>
      <x:c r="B150" s="139" t="n"/>
      <x:c r="C150" s="139" t="n"/>
      <x:c r="D150" s="139" t="n"/>
      <x:c r="E150" s="139" t="n"/>
      <x:c r="F150" s="139" t="n"/>
      <x:c r="G150" s="139" t="n"/>
      <x:c r="H150" s="139" t="n"/>
      <x:c r="I150" s="139" t="n"/>
      <x:c r="J150" s="139" t="n"/>
      <x:c r="K150" s="139" t="n"/>
      <x:c r="L150" s="139" t="n"/>
      <x:c r="M150" s="139" t="n"/>
      <x:c r="N150" s="139" t="n"/>
      <x:c r="O150" s="139" t="n"/>
      <x:c r="P150" s="139" t="n"/>
      <x:c r="Q150" s="139" t="n"/>
      <x:c r="R150" s="139" t="n"/>
      <x:c r="S150" s="139" t="n"/>
      <x:c r="T150" s="139" t="n"/>
      <x:c r="U150" s="139" t="n"/>
      <x:c r="V150" s="139" t="n"/>
      <x:c r="W150" s="139" t="n"/>
      <x:c r="X150" s="139" t="n"/>
      <x:c r="Y150" s="139" t="n"/>
      <x:c r="Z150" s="139" t="n"/>
      <x:c r="AA150" s="139" t="n"/>
      <x:c r="AB150" s="139" t="n"/>
      <x:c r="AC150" s="139" t="n"/>
    </x:row>
    <x:row r="151">
      <x:c r="A151" s="139" t="n"/>
      <x:c r="B151" s="139" t="n"/>
      <x:c r="C151" s="139" t="n"/>
      <x:c r="D151" s="139" t="n"/>
      <x:c r="E151" s="139" t="n"/>
      <x:c r="F151" s="139" t="n"/>
      <x:c r="G151" s="139" t="n"/>
      <x:c r="H151" s="139" t="n"/>
      <x:c r="I151" s="139" t="n"/>
      <x:c r="J151" s="139" t="n"/>
      <x:c r="K151" s="139" t="n"/>
      <x:c r="L151" s="139" t="n"/>
      <x:c r="M151" s="139" t="n"/>
      <x:c r="N151" s="139" t="n"/>
      <x:c r="O151" s="139" t="n"/>
      <x:c r="P151" s="139" t="n"/>
      <x:c r="Q151" s="139" t="n"/>
      <x:c r="R151" s="139" t="n"/>
      <x:c r="S151" s="139" t="n"/>
      <x:c r="T151" s="139" t="n"/>
      <x:c r="U151" s="139" t="n"/>
      <x:c r="V151" s="139" t="n"/>
      <x:c r="W151" s="139" t="n"/>
      <x:c r="X151" s="139" t="n"/>
      <x:c r="Y151" s="139" t="n"/>
      <x:c r="Z151" s="139" t="n"/>
      <x:c r="AA151" s="139" t="n"/>
      <x:c r="AB151" s="139" t="n"/>
      <x:c r="AC151" s="139" t="n"/>
    </x:row>
    <x:row r="152">
      <x:c r="A152" s="139" t="n"/>
      <x:c r="B152" s="139" t="n"/>
      <x:c r="C152" s="139" t="n"/>
      <x:c r="D152" s="139" t="n"/>
      <x:c r="E152" s="139" t="n"/>
      <x:c r="F152" s="139" t="n"/>
      <x:c r="G152" s="139" t="n"/>
      <x:c r="H152" s="139" t="n"/>
      <x:c r="I152" s="139" t="n"/>
      <x:c r="J152" s="139" t="n"/>
      <x:c r="K152" s="139" t="n"/>
      <x:c r="L152" s="139" t="n"/>
      <x:c r="M152" s="139" t="n"/>
      <x:c r="N152" s="139" t="n"/>
      <x:c r="O152" s="139" t="n"/>
      <x:c r="P152" s="139" t="n"/>
      <x:c r="Q152" s="139" t="n"/>
      <x:c r="R152" s="139" t="n"/>
      <x:c r="S152" s="139" t="n"/>
      <x:c r="T152" s="139" t="n"/>
      <x:c r="U152" s="139" t="n"/>
      <x:c r="V152" s="139" t="n"/>
      <x:c r="W152" s="139" t="n"/>
      <x:c r="X152" s="139" t="n"/>
      <x:c r="Y152" s="139" t="n"/>
      <x:c r="Z152" s="139" t="n"/>
      <x:c r="AA152" s="139" t="n"/>
      <x:c r="AB152" s="139" t="n"/>
      <x:c r="AC152" s="139" t="n"/>
    </x:row>
    <x:row r="153">
      <x:c r="A153" s="139" t="n"/>
      <x:c r="B153" s="139" t="n"/>
      <x:c r="C153" s="139" t="n"/>
      <x:c r="D153" s="139" t="n"/>
      <x:c r="E153" s="139" t="n"/>
      <x:c r="F153" s="139" t="n"/>
      <x:c r="G153" s="139" t="n"/>
      <x:c r="H153" s="139" t="n"/>
      <x:c r="I153" s="139" t="n"/>
      <x:c r="J153" s="139" t="n"/>
      <x:c r="K153" s="139" t="n"/>
      <x:c r="L153" s="139" t="n"/>
      <x:c r="M153" s="139" t="n"/>
      <x:c r="N153" s="139" t="n"/>
      <x:c r="O153" s="139" t="n"/>
      <x:c r="P153" s="139" t="n"/>
      <x:c r="Q153" s="139" t="n"/>
      <x:c r="R153" s="139" t="n"/>
      <x:c r="S153" s="139" t="n"/>
      <x:c r="T153" s="139" t="n"/>
      <x:c r="U153" s="139" t="n"/>
      <x:c r="V153" s="139" t="n"/>
      <x:c r="W153" s="139" t="n"/>
      <x:c r="X153" s="139" t="n"/>
      <x:c r="Y153" s="139" t="n"/>
      <x:c r="Z153" s="139" t="n"/>
      <x:c r="AA153" s="139" t="n"/>
      <x:c r="AB153" s="139" t="n"/>
      <x:c r="AC153" s="139" t="n"/>
    </x:row>
    <x:row r="154">
      <x:c r="A154" s="139" t="n"/>
      <x:c r="B154" s="139" t="n"/>
      <x:c r="C154" s="139" t="n"/>
      <x:c r="D154" s="139" t="n"/>
      <x:c r="E154" s="139" t="n"/>
      <x:c r="F154" s="139" t="n"/>
      <x:c r="G154" s="139" t="n"/>
      <x:c r="H154" s="139" t="n"/>
      <x:c r="I154" s="139" t="n"/>
      <x:c r="J154" s="139" t="n"/>
      <x:c r="K154" s="139" t="n"/>
      <x:c r="L154" s="139" t="n"/>
      <x:c r="M154" s="139" t="n"/>
      <x:c r="N154" s="139" t="n"/>
      <x:c r="O154" s="139" t="n"/>
      <x:c r="P154" s="139" t="n"/>
      <x:c r="Q154" s="139" t="n"/>
      <x:c r="R154" s="139" t="n"/>
      <x:c r="S154" s="139" t="n"/>
      <x:c r="T154" s="139" t="n"/>
      <x:c r="U154" s="139" t="n"/>
      <x:c r="V154" s="139" t="n"/>
      <x:c r="W154" s="139" t="n"/>
      <x:c r="X154" s="139" t="n"/>
      <x:c r="Y154" s="139" t="n"/>
      <x:c r="Z154" s="139" t="n"/>
      <x:c r="AA154" s="139" t="n"/>
      <x:c r="AB154" s="139" t="n"/>
      <x:c r="AC154" s="139" t="n"/>
    </x:row>
    <x:row r="155">
      <x:c r="A155" s="139" t="n"/>
      <x:c r="B155" s="139" t="n"/>
      <x:c r="C155" s="139" t="n"/>
      <x:c r="D155" s="139" t="n"/>
      <x:c r="E155" s="139" t="n"/>
      <x:c r="F155" s="139" t="n"/>
      <x:c r="G155" s="139" t="n"/>
      <x:c r="H155" s="139" t="n"/>
      <x:c r="I155" s="139" t="n"/>
      <x:c r="J155" s="139" t="n"/>
      <x:c r="K155" s="139" t="n"/>
      <x:c r="L155" s="139" t="n"/>
      <x:c r="M155" s="139" t="n"/>
      <x:c r="N155" s="139" t="n"/>
      <x:c r="O155" s="139" t="n"/>
      <x:c r="P155" s="139" t="n"/>
      <x:c r="Q155" s="139" t="n"/>
      <x:c r="R155" s="139" t="n"/>
      <x:c r="S155" s="139" t="n"/>
      <x:c r="T155" s="139" t="n"/>
      <x:c r="U155" s="139" t="n"/>
      <x:c r="V155" s="139" t="n"/>
      <x:c r="W155" s="139" t="n"/>
      <x:c r="X155" s="139" t="n"/>
      <x:c r="Y155" s="139" t="n"/>
      <x:c r="Z155" s="139" t="n"/>
      <x:c r="AA155" s="139" t="n"/>
      <x:c r="AB155" s="139" t="n"/>
      <x:c r="AC155" s="139" t="n"/>
    </x:row>
    <x:row r="156">
      <x:c r="A156" s="139" t="n"/>
      <x:c r="B156" s="139" t="n"/>
      <x:c r="C156" s="139" t="n"/>
      <x:c r="D156" s="139" t="n"/>
      <x:c r="E156" s="139" t="n"/>
      <x:c r="F156" s="139" t="n"/>
      <x:c r="G156" s="139" t="n"/>
      <x:c r="H156" s="139" t="n"/>
      <x:c r="I156" s="139" t="n"/>
      <x:c r="J156" s="139" t="n"/>
      <x:c r="K156" s="139" t="n"/>
      <x:c r="L156" s="139" t="n"/>
      <x:c r="M156" s="139" t="n"/>
      <x:c r="N156" s="139" t="n"/>
      <x:c r="O156" s="139" t="n"/>
      <x:c r="P156" s="139" t="n"/>
      <x:c r="Q156" s="139" t="n"/>
      <x:c r="R156" s="139" t="n"/>
      <x:c r="S156" s="139" t="n"/>
      <x:c r="T156" s="139" t="n"/>
      <x:c r="U156" s="139" t="n"/>
      <x:c r="V156" s="139" t="n"/>
      <x:c r="W156" s="139" t="n"/>
      <x:c r="X156" s="139" t="n"/>
      <x:c r="Y156" s="139" t="n"/>
      <x:c r="Z156" s="139" t="n"/>
      <x:c r="AA156" s="139" t="n"/>
      <x:c r="AB156" s="139" t="n"/>
      <x:c r="AC156" s="139" t="n"/>
    </x:row>
    <x:row r="157">
      <x:c r="A157" s="139" t="n"/>
      <x:c r="B157" s="139" t="n"/>
      <x:c r="C157" s="139" t="n"/>
      <x:c r="D157" s="139" t="n"/>
      <x:c r="E157" s="139" t="n"/>
      <x:c r="F157" s="139" t="n"/>
      <x:c r="G157" s="139" t="n"/>
      <x:c r="H157" s="139" t="n"/>
      <x:c r="I157" s="139" t="n"/>
      <x:c r="J157" s="139" t="n"/>
      <x:c r="K157" s="139" t="n"/>
      <x:c r="L157" s="139" t="n"/>
      <x:c r="M157" s="139" t="n"/>
      <x:c r="N157" s="139" t="n"/>
      <x:c r="O157" s="139" t="n"/>
      <x:c r="P157" s="139" t="n"/>
      <x:c r="Q157" s="139" t="n"/>
      <x:c r="R157" s="139" t="n"/>
      <x:c r="S157" s="139" t="n"/>
      <x:c r="T157" s="139" t="n"/>
      <x:c r="U157" s="139" t="n"/>
      <x:c r="V157" s="139" t="n"/>
      <x:c r="W157" s="139" t="n"/>
      <x:c r="X157" s="139" t="n"/>
      <x:c r="Y157" s="139" t="n"/>
      <x:c r="Z157" s="139" t="n"/>
      <x:c r="AA157" s="139" t="n"/>
      <x:c r="AB157" s="139" t="n"/>
      <x:c r="AC157" s="139" t="n"/>
    </x:row>
    <x:row r="158">
      <x:c r="A158" s="139" t="n"/>
      <x:c r="B158" s="139" t="n"/>
      <x:c r="C158" s="139" t="n"/>
      <x:c r="D158" s="139" t="n"/>
      <x:c r="E158" s="139" t="n"/>
      <x:c r="F158" s="139" t="n"/>
      <x:c r="G158" s="139" t="n"/>
      <x:c r="H158" s="139" t="n"/>
      <x:c r="I158" s="139" t="n"/>
      <x:c r="J158" s="139" t="n"/>
      <x:c r="K158" s="139" t="n"/>
      <x:c r="L158" s="139" t="n"/>
      <x:c r="M158" s="139" t="n"/>
      <x:c r="N158" s="139" t="n"/>
      <x:c r="O158" s="139" t="n"/>
      <x:c r="P158" s="139" t="n"/>
      <x:c r="Q158" s="139" t="n"/>
      <x:c r="R158" s="139" t="n"/>
      <x:c r="S158" s="139" t="n"/>
      <x:c r="T158" s="139" t="n"/>
      <x:c r="U158" s="139" t="n"/>
      <x:c r="V158" s="139" t="n"/>
      <x:c r="W158" s="139" t="n"/>
      <x:c r="X158" s="139" t="n"/>
      <x:c r="Y158" s="139" t="n"/>
      <x:c r="Z158" s="139" t="n"/>
      <x:c r="AA158" s="139" t="n"/>
      <x:c r="AB158" s="139" t="n"/>
      <x:c r="AC158" s="139" t="n"/>
    </x:row>
    <x:row r="159">
      <x:c r="A159" s="139" t="n"/>
      <x:c r="B159" s="139" t="n"/>
      <x:c r="C159" s="139" t="n"/>
      <x:c r="D159" s="139" t="n"/>
      <x:c r="E159" s="139" t="n"/>
      <x:c r="F159" s="139" t="n"/>
      <x:c r="G159" s="139" t="n"/>
      <x:c r="H159" s="139" t="n"/>
      <x:c r="I159" s="139" t="n"/>
      <x:c r="J159" s="139" t="n"/>
      <x:c r="K159" s="139" t="n"/>
      <x:c r="L159" s="139" t="n"/>
      <x:c r="M159" s="139" t="n"/>
      <x:c r="N159" s="139" t="n"/>
      <x:c r="O159" s="139" t="n"/>
      <x:c r="P159" s="139" t="n"/>
      <x:c r="Q159" s="139" t="n"/>
      <x:c r="R159" s="139" t="n"/>
      <x:c r="S159" s="139" t="n"/>
      <x:c r="T159" s="139" t="n"/>
      <x:c r="U159" s="139" t="n"/>
      <x:c r="V159" s="139" t="n"/>
      <x:c r="W159" s="139" t="n"/>
      <x:c r="X159" s="139" t="n"/>
      <x:c r="Y159" s="139" t="n"/>
      <x:c r="Z159" s="139" t="n"/>
      <x:c r="AA159" s="139" t="n"/>
      <x:c r="AB159" s="139" t="n"/>
      <x:c r="AC159" s="139" t="n"/>
    </x:row>
    <x:row r="160">
      <x:c r="A160" s="139" t="n"/>
      <x:c r="B160" s="139" t="n"/>
      <x:c r="C160" s="139" t="n"/>
      <x:c r="D160" s="139" t="n"/>
      <x:c r="E160" s="139" t="n"/>
      <x:c r="F160" s="139" t="n"/>
      <x:c r="G160" s="139" t="n"/>
      <x:c r="H160" s="139" t="n"/>
      <x:c r="I160" s="139" t="n"/>
      <x:c r="J160" s="139" t="n"/>
      <x:c r="K160" s="139" t="n"/>
      <x:c r="L160" s="139" t="n"/>
      <x:c r="M160" s="139" t="n"/>
      <x:c r="N160" s="139" t="n"/>
      <x:c r="O160" s="139" t="n"/>
      <x:c r="P160" s="139" t="n"/>
      <x:c r="Q160" s="139" t="n"/>
      <x:c r="R160" s="139" t="n"/>
      <x:c r="S160" s="139" t="n"/>
      <x:c r="T160" s="139" t="n"/>
      <x:c r="U160" s="139" t="n"/>
      <x:c r="V160" s="139" t="n"/>
      <x:c r="W160" s="139" t="n"/>
      <x:c r="X160" s="139" t="n"/>
      <x:c r="Y160" s="139" t="n"/>
      <x:c r="Z160" s="139" t="n"/>
      <x:c r="AA160" s="139" t="n"/>
      <x:c r="AB160" s="139" t="n"/>
      <x:c r="AC160" s="139" t="n"/>
    </x:row>
    <x:row r="161">
      <x:c r="A161" s="139" t="n"/>
      <x:c r="B161" s="139" t="n"/>
      <x:c r="C161" s="139" t="n"/>
      <x:c r="D161" s="139" t="n"/>
      <x:c r="E161" s="139" t="n"/>
      <x:c r="F161" s="139" t="n"/>
      <x:c r="G161" s="139" t="n"/>
      <x:c r="H161" s="139" t="n"/>
      <x:c r="I161" s="139" t="n"/>
      <x:c r="J161" s="139" t="n"/>
      <x:c r="K161" s="139" t="n"/>
      <x:c r="L161" s="139" t="n"/>
      <x:c r="M161" s="139" t="n"/>
      <x:c r="N161" s="139" t="n"/>
      <x:c r="O161" s="139" t="n"/>
      <x:c r="P161" s="139" t="n"/>
      <x:c r="Q161" s="139" t="n"/>
      <x:c r="R161" s="139" t="n"/>
      <x:c r="S161" s="139" t="n"/>
      <x:c r="T161" s="139" t="n"/>
      <x:c r="U161" s="139" t="n"/>
      <x:c r="V161" s="139" t="n"/>
      <x:c r="W161" s="139" t="n"/>
      <x:c r="X161" s="139" t="n"/>
      <x:c r="Y161" s="139" t="n"/>
      <x:c r="Z161" s="139" t="n"/>
      <x:c r="AA161" s="139" t="n"/>
      <x:c r="AB161" s="139" t="n"/>
      <x:c r="AC161" s="139" t="n"/>
    </x:row>
    <x:row r="162">
      <x:c r="A162" s="139" t="n"/>
      <x:c r="B162" s="139" t="n"/>
      <x:c r="C162" s="139" t="n"/>
      <x:c r="D162" s="139" t="n"/>
      <x:c r="E162" s="139" t="n"/>
      <x:c r="F162" s="139" t="n"/>
      <x:c r="G162" s="139" t="n"/>
      <x:c r="H162" s="139" t="n"/>
      <x:c r="I162" s="139" t="n"/>
      <x:c r="J162" s="139" t="n"/>
      <x:c r="K162" s="139" t="n"/>
      <x:c r="L162" s="139" t="n"/>
      <x:c r="M162" s="139" t="n"/>
      <x:c r="N162" s="139" t="n"/>
      <x:c r="O162" s="139" t="n"/>
      <x:c r="P162" s="139" t="n"/>
      <x:c r="Q162" s="139" t="n"/>
      <x:c r="R162" s="139" t="n"/>
      <x:c r="S162" s="139" t="n"/>
      <x:c r="T162" s="139" t="n"/>
      <x:c r="U162" s="139" t="n"/>
      <x:c r="V162" s="139" t="n"/>
      <x:c r="W162" s="139" t="n"/>
      <x:c r="X162" s="139" t="n"/>
      <x:c r="Y162" s="139" t="n"/>
      <x:c r="Z162" s="139" t="n"/>
      <x:c r="AA162" s="139" t="n"/>
      <x:c r="AB162" s="139" t="n"/>
      <x:c r="AC162" s="139" t="n"/>
    </x:row>
    <x:row r="163">
      <x:c r="A163" s="139" t="n"/>
      <x:c r="B163" s="139" t="n"/>
      <x:c r="C163" s="139" t="n"/>
      <x:c r="D163" s="139" t="n"/>
      <x:c r="E163" s="139" t="n"/>
      <x:c r="F163" s="139" t="n"/>
      <x:c r="G163" s="139" t="n"/>
      <x:c r="H163" s="139" t="n"/>
      <x:c r="I163" s="139" t="n"/>
      <x:c r="J163" s="139" t="n"/>
      <x:c r="K163" s="139" t="n"/>
      <x:c r="L163" s="139" t="n"/>
      <x:c r="M163" s="139" t="n"/>
      <x:c r="N163" s="139" t="n"/>
      <x:c r="O163" s="139" t="n"/>
      <x:c r="P163" s="139" t="n"/>
      <x:c r="Q163" s="139" t="n"/>
      <x:c r="R163" s="139" t="n"/>
      <x:c r="S163" s="139" t="n"/>
      <x:c r="T163" s="139" t="n"/>
      <x:c r="U163" s="139" t="n"/>
      <x:c r="V163" s="139" t="n"/>
      <x:c r="W163" s="139" t="n"/>
      <x:c r="X163" s="139" t="n"/>
      <x:c r="Y163" s="139" t="n"/>
      <x:c r="Z163" s="139" t="n"/>
      <x:c r="AA163" s="139" t="n"/>
      <x:c r="AB163" s="139" t="n"/>
      <x:c r="AC163" s="139" t="n"/>
    </x:row>
    <x:row r="164">
      <x:c r="A164" s="139" t="n"/>
      <x:c r="B164" s="139" t="n"/>
      <x:c r="C164" s="139" t="n"/>
      <x:c r="D164" s="139" t="n"/>
      <x:c r="E164" s="139" t="n"/>
      <x:c r="F164" s="139" t="n"/>
      <x:c r="G164" s="139" t="n"/>
      <x:c r="H164" s="139" t="n"/>
      <x:c r="I164" s="139" t="n"/>
      <x:c r="J164" s="139" t="n"/>
      <x:c r="K164" s="139" t="n"/>
      <x:c r="L164" s="139" t="n"/>
      <x:c r="M164" s="139" t="n"/>
      <x:c r="N164" s="139" t="n"/>
      <x:c r="O164" s="139" t="n"/>
      <x:c r="P164" s="139" t="n"/>
      <x:c r="Q164" s="139" t="n"/>
      <x:c r="R164" s="139" t="n"/>
      <x:c r="S164" s="139" t="n"/>
      <x:c r="T164" s="139" t="n"/>
      <x:c r="U164" s="139" t="n"/>
      <x:c r="V164" s="139" t="n"/>
      <x:c r="W164" s="139" t="n"/>
      <x:c r="X164" s="139" t="n"/>
      <x:c r="Y164" s="139" t="n"/>
      <x:c r="Z164" s="139" t="n"/>
      <x:c r="AA164" s="139" t="n"/>
      <x:c r="AB164" s="139" t="n"/>
      <x:c r="AC164" s="139" t="n"/>
    </x:row>
    <x:row r="165">
      <x:c r="A165" s="139" t="n"/>
      <x:c r="B165" s="139" t="n"/>
      <x:c r="C165" s="139" t="n"/>
      <x:c r="D165" s="139" t="n"/>
      <x:c r="E165" s="139" t="n"/>
      <x:c r="F165" s="139" t="n"/>
      <x:c r="G165" s="139" t="n"/>
      <x:c r="H165" s="139" t="n"/>
      <x:c r="I165" s="139" t="n"/>
      <x:c r="J165" s="139" t="n"/>
      <x:c r="K165" s="139" t="n"/>
      <x:c r="L165" s="139" t="n"/>
      <x:c r="M165" s="139" t="n"/>
      <x:c r="N165" s="139" t="n"/>
      <x:c r="O165" s="139" t="n"/>
      <x:c r="P165" s="139" t="n"/>
      <x:c r="Q165" s="139" t="n"/>
      <x:c r="R165" s="139" t="n"/>
      <x:c r="S165" s="139" t="n"/>
      <x:c r="T165" s="139" t="n"/>
      <x:c r="U165" s="139" t="n"/>
      <x:c r="V165" s="139" t="n"/>
      <x:c r="W165" s="139" t="n"/>
      <x:c r="X165" s="139" t="n"/>
      <x:c r="Y165" s="139" t="n"/>
      <x:c r="Z165" s="139" t="n"/>
      <x:c r="AA165" s="139" t="n"/>
      <x:c r="AB165" s="139" t="n"/>
      <x:c r="AC165" s="139" t="n"/>
    </x:row>
    <x:row r="166">
      <x:c r="A166" s="139" t="n"/>
      <x:c r="B166" s="139" t="n"/>
      <x:c r="C166" s="139" t="n"/>
      <x:c r="D166" s="139" t="n"/>
      <x:c r="E166" s="139" t="n"/>
      <x:c r="F166" s="139" t="n"/>
      <x:c r="G166" s="139" t="n"/>
      <x:c r="H166" s="139" t="n"/>
      <x:c r="I166" s="139" t="n"/>
      <x:c r="J166" s="139" t="n"/>
      <x:c r="K166" s="139" t="n"/>
      <x:c r="L166" s="139" t="n"/>
      <x:c r="M166" s="139" t="n"/>
      <x:c r="N166" s="139" t="n"/>
      <x:c r="O166" s="139" t="n"/>
      <x:c r="P166" s="139" t="n"/>
      <x:c r="Q166" s="139" t="n"/>
      <x:c r="R166" s="139" t="n"/>
      <x:c r="S166" s="139" t="n"/>
      <x:c r="T166" s="139" t="n"/>
      <x:c r="U166" s="139" t="n"/>
      <x:c r="V166" s="139" t="n"/>
      <x:c r="W166" s="139" t="n"/>
      <x:c r="X166" s="139" t="n"/>
      <x:c r="Y166" s="139" t="n"/>
      <x:c r="Z166" s="139" t="n"/>
      <x:c r="AA166" s="139" t="n"/>
      <x:c r="AB166" s="139" t="n"/>
      <x:c r="AC166" s="139" t="n"/>
    </x:row>
    <x:row r="167">
      <x:c r="A167" s="139" t="n"/>
      <x:c r="B167" s="139" t="n"/>
      <x:c r="C167" s="139" t="n"/>
      <x:c r="D167" s="139" t="n"/>
      <x:c r="E167" s="139" t="n"/>
      <x:c r="F167" s="139" t="n"/>
      <x:c r="G167" s="139" t="n"/>
      <x:c r="H167" s="139" t="n"/>
      <x:c r="I167" s="139" t="n"/>
      <x:c r="J167" s="139" t="n"/>
      <x:c r="K167" s="139" t="n"/>
      <x:c r="L167" s="139" t="n"/>
      <x:c r="M167" s="139" t="n"/>
      <x:c r="N167" s="139" t="n"/>
      <x:c r="O167" s="139" t="n"/>
      <x:c r="P167" s="139" t="n"/>
      <x:c r="Q167" s="139" t="n"/>
      <x:c r="R167" s="139" t="n"/>
      <x:c r="S167" s="139" t="n"/>
      <x:c r="T167" s="139" t="n"/>
      <x:c r="U167" s="139" t="n"/>
      <x:c r="V167" s="139" t="n"/>
      <x:c r="W167" s="139" t="n"/>
      <x:c r="X167" s="139" t="n"/>
      <x:c r="Y167" s="139" t="n"/>
      <x:c r="Z167" s="139" t="n"/>
      <x:c r="AA167" s="139" t="n"/>
      <x:c r="AB167" s="139" t="n"/>
      <x:c r="AC167" s="139" t="n"/>
    </x:row>
    <x:row r="168">
      <x:c r="A168" s="139" t="n"/>
      <x:c r="B168" s="139" t="n"/>
      <x:c r="C168" s="139" t="n"/>
      <x:c r="D168" s="139" t="n"/>
      <x:c r="E168" s="139" t="n"/>
      <x:c r="F168" s="139" t="n"/>
      <x:c r="G168" s="139" t="n"/>
      <x:c r="H168" s="139" t="n"/>
      <x:c r="I168" s="139" t="n"/>
      <x:c r="J168" s="139" t="n"/>
      <x:c r="K168" s="139" t="n"/>
      <x:c r="L168" s="139" t="n"/>
      <x:c r="M168" s="139" t="n"/>
      <x:c r="N168" s="139" t="n"/>
      <x:c r="O168" s="139" t="n"/>
      <x:c r="P168" s="139" t="n"/>
      <x:c r="Q168" s="139" t="n"/>
      <x:c r="R168" s="139" t="n"/>
      <x:c r="S168" s="139" t="n"/>
      <x:c r="T168" s="139" t="n"/>
      <x:c r="U168" s="139" t="n"/>
      <x:c r="V168" s="139" t="n"/>
      <x:c r="W168" s="139" t="n"/>
      <x:c r="X168" s="139" t="n"/>
      <x:c r="Y168" s="139" t="n"/>
      <x:c r="Z168" s="139" t="n"/>
      <x:c r="AA168" s="139" t="n"/>
      <x:c r="AB168" s="139" t="n"/>
      <x:c r="AC168" s="139" t="n"/>
    </x:row>
    <x:row r="169">
      <x:c r="A169" s="139" t="n"/>
      <x:c r="B169" s="139" t="n"/>
      <x:c r="C169" s="139" t="n"/>
      <x:c r="D169" s="139" t="n"/>
      <x:c r="E169" s="139" t="n"/>
      <x:c r="F169" s="139" t="n"/>
      <x:c r="G169" s="139" t="n"/>
      <x:c r="H169" s="139" t="n"/>
      <x:c r="I169" s="139" t="n"/>
      <x:c r="J169" s="139" t="n"/>
      <x:c r="K169" s="139" t="n"/>
      <x:c r="L169" s="139" t="n"/>
      <x:c r="M169" s="139" t="n"/>
      <x:c r="N169" s="139" t="n"/>
      <x:c r="O169" s="139" t="n"/>
      <x:c r="P169" s="139" t="n"/>
      <x:c r="Q169" s="139" t="n"/>
      <x:c r="R169" s="139" t="n"/>
      <x:c r="S169" s="139" t="n"/>
      <x:c r="T169" s="139" t="n"/>
      <x:c r="U169" s="139" t="n"/>
      <x:c r="V169" s="139" t="n"/>
      <x:c r="W169" s="139" t="n"/>
      <x:c r="X169" s="139" t="n"/>
      <x:c r="Y169" s="139" t="n"/>
      <x:c r="Z169" s="139" t="n"/>
      <x:c r="AA169" s="139" t="n"/>
      <x:c r="AB169" s="139" t="n"/>
      <x:c r="AC169" s="139" t="n"/>
    </x:row>
    <x:row r="170">
      <x:c r="A170" s="139" t="n"/>
      <x:c r="B170" s="139" t="n"/>
      <x:c r="C170" s="139" t="n"/>
      <x:c r="D170" s="139" t="n"/>
      <x:c r="E170" s="139" t="n"/>
      <x:c r="F170" s="139" t="n"/>
      <x:c r="G170" s="139" t="n"/>
      <x:c r="H170" s="139" t="n"/>
      <x:c r="I170" s="139" t="n"/>
      <x:c r="J170" s="139" t="n"/>
      <x:c r="K170" s="139" t="n"/>
      <x:c r="L170" s="139" t="n"/>
      <x:c r="M170" s="139" t="n"/>
      <x:c r="N170" s="139" t="n"/>
      <x:c r="O170" s="139" t="n"/>
      <x:c r="P170" s="139" t="n"/>
      <x:c r="Q170" s="139" t="n"/>
      <x:c r="R170" s="139" t="n"/>
      <x:c r="S170" s="139" t="n"/>
      <x:c r="T170" s="139" t="n"/>
      <x:c r="U170" s="139" t="n"/>
      <x:c r="V170" s="139" t="n"/>
      <x:c r="W170" s="139" t="n"/>
      <x:c r="X170" s="139" t="n"/>
      <x:c r="Y170" s="139" t="n"/>
      <x:c r="Z170" s="139" t="n"/>
      <x:c r="AA170" s="139" t="n"/>
      <x:c r="AB170" s="139" t="n"/>
      <x:c r="AC170" s="139" t="n"/>
    </x:row>
    <x:row r="171">
      <x:c r="A171" s="139" t="n"/>
      <x:c r="B171" s="139" t="n"/>
      <x:c r="C171" s="139" t="n"/>
      <x:c r="D171" s="139" t="n"/>
      <x:c r="E171" s="139" t="n"/>
      <x:c r="F171" s="139" t="n"/>
      <x:c r="G171" s="139" t="n"/>
      <x:c r="H171" s="139" t="n"/>
      <x:c r="I171" s="139" t="n"/>
      <x:c r="J171" s="139" t="n"/>
      <x:c r="K171" s="139" t="n"/>
      <x:c r="L171" s="139" t="n"/>
      <x:c r="M171" s="139" t="n"/>
      <x:c r="N171" s="139" t="n"/>
      <x:c r="O171" s="139" t="n"/>
      <x:c r="P171" s="139" t="n"/>
      <x:c r="Q171" s="139" t="n"/>
      <x:c r="R171" s="139" t="n"/>
      <x:c r="S171" s="139" t="n"/>
      <x:c r="T171" s="139" t="n"/>
      <x:c r="U171" s="139" t="n"/>
      <x:c r="V171" s="139" t="n"/>
      <x:c r="W171" s="139" t="n"/>
      <x:c r="X171" s="139" t="n"/>
      <x:c r="Y171" s="139" t="n"/>
      <x:c r="Z171" s="139" t="n"/>
      <x:c r="AA171" s="139" t="n"/>
      <x:c r="AB171" s="139" t="n"/>
      <x:c r="AC171" s="139" t="n"/>
    </x:row>
    <x:row r="172">
      <x:c r="A172" s="139" t="n"/>
      <x:c r="B172" s="139" t="n"/>
      <x:c r="C172" s="139" t="n"/>
      <x:c r="D172" s="139" t="n"/>
      <x:c r="E172" s="139" t="n"/>
      <x:c r="F172" s="139" t="n"/>
      <x:c r="G172" s="139" t="n"/>
      <x:c r="H172" s="139" t="n"/>
      <x:c r="I172" s="139" t="n"/>
      <x:c r="J172" s="139" t="n"/>
      <x:c r="K172" s="139" t="n"/>
      <x:c r="L172" s="139" t="n"/>
      <x:c r="M172" s="139" t="n"/>
      <x:c r="N172" s="139" t="n"/>
      <x:c r="O172" s="139" t="n"/>
      <x:c r="P172" s="139" t="n"/>
      <x:c r="Q172" s="139" t="n"/>
      <x:c r="R172" s="139" t="n"/>
      <x:c r="S172" s="139" t="n"/>
      <x:c r="T172" s="139" t="n"/>
      <x:c r="U172" s="139" t="n"/>
      <x:c r="V172" s="139" t="n"/>
      <x:c r="W172" s="139" t="n"/>
      <x:c r="X172" s="139" t="n"/>
      <x:c r="Y172" s="139" t="n"/>
      <x:c r="Z172" s="139" t="n"/>
      <x:c r="AA172" s="139" t="n"/>
      <x:c r="AB172" s="139" t="n"/>
      <x:c r="AC172" s="139" t="n"/>
    </x:row>
    <x:row r="173">
      <x:c r="A173" s="139" t="n"/>
      <x:c r="B173" s="139" t="n"/>
      <x:c r="C173" s="139" t="n"/>
      <x:c r="D173" s="139" t="n"/>
      <x:c r="E173" s="139" t="n"/>
      <x:c r="F173" s="139" t="n"/>
      <x:c r="G173" s="139" t="n"/>
      <x:c r="H173" s="139" t="n"/>
      <x:c r="I173" s="139" t="n"/>
      <x:c r="J173" s="139" t="n"/>
      <x:c r="K173" s="139" t="n"/>
      <x:c r="L173" s="139" t="n"/>
      <x:c r="M173" s="139" t="n"/>
      <x:c r="N173" s="139" t="n"/>
      <x:c r="O173" s="139" t="n"/>
      <x:c r="P173" s="139" t="n"/>
      <x:c r="Q173" s="139" t="n"/>
      <x:c r="R173" s="139" t="n"/>
      <x:c r="S173" s="139" t="n"/>
      <x:c r="T173" s="139" t="n"/>
      <x:c r="U173" s="139" t="n"/>
      <x:c r="V173" s="139" t="n"/>
      <x:c r="W173" s="139" t="n"/>
      <x:c r="X173" s="139" t="n"/>
      <x:c r="Y173" s="139" t="n"/>
      <x:c r="Z173" s="139" t="n"/>
      <x:c r="AA173" s="139" t="n"/>
      <x:c r="AB173" s="139" t="n"/>
      <x:c r="AC173" s="139" t="n"/>
    </x:row>
    <x:row r="174">
      <x:c r="A174" s="139" t="n"/>
      <x:c r="B174" s="139" t="n"/>
      <x:c r="C174" s="139" t="n"/>
      <x:c r="D174" s="139" t="n"/>
      <x:c r="E174" s="139" t="n"/>
      <x:c r="F174" s="139" t="n"/>
      <x:c r="G174" s="139" t="n"/>
      <x:c r="H174" s="139" t="n"/>
      <x:c r="I174" s="139" t="n"/>
      <x:c r="J174" s="139" t="n"/>
      <x:c r="K174" s="139" t="n"/>
      <x:c r="L174" s="139" t="n"/>
      <x:c r="M174" s="139" t="n"/>
      <x:c r="N174" s="139" t="n"/>
      <x:c r="O174" s="139" t="n"/>
      <x:c r="P174" s="139" t="n"/>
      <x:c r="Q174" s="139" t="n"/>
      <x:c r="R174" s="139" t="n"/>
      <x:c r="S174" s="139" t="n"/>
      <x:c r="T174" s="139" t="n"/>
      <x:c r="U174" s="139" t="n"/>
      <x:c r="V174" s="139" t="n"/>
      <x:c r="W174" s="139" t="n"/>
      <x:c r="X174" s="139" t="n"/>
      <x:c r="Y174" s="139" t="n"/>
      <x:c r="Z174" s="139" t="n"/>
      <x:c r="AA174" s="139" t="n"/>
      <x:c r="AB174" s="139" t="n"/>
      <x:c r="AC174" s="139" t="n"/>
    </x:row>
    <x:row r="175">
      <x:c r="A175" s="139" t="n"/>
      <x:c r="B175" s="139" t="n"/>
      <x:c r="C175" s="139" t="n"/>
      <x:c r="D175" s="139" t="n"/>
      <x:c r="E175" s="139" t="n"/>
      <x:c r="F175" s="139" t="n"/>
      <x:c r="G175" s="139" t="n"/>
      <x:c r="H175" s="139" t="n"/>
      <x:c r="I175" s="139" t="n"/>
      <x:c r="J175" s="139" t="n"/>
      <x:c r="K175" s="139" t="n"/>
      <x:c r="L175" s="139" t="n"/>
      <x:c r="M175" s="139" t="n"/>
      <x:c r="N175" s="139" t="n"/>
      <x:c r="O175" s="139" t="n"/>
      <x:c r="P175" s="139" t="n"/>
      <x:c r="Q175" s="139" t="n"/>
      <x:c r="R175" s="139" t="n"/>
      <x:c r="S175" s="139" t="n"/>
      <x:c r="T175" s="139" t="n"/>
      <x:c r="U175" s="139" t="n"/>
      <x:c r="V175" s="139" t="n"/>
      <x:c r="W175" s="139" t="n"/>
      <x:c r="X175" s="139" t="n"/>
      <x:c r="Y175" s="139" t="n"/>
      <x:c r="Z175" s="139" t="n"/>
      <x:c r="AA175" s="139" t="n"/>
      <x:c r="AB175" s="139" t="n"/>
      <x:c r="AC175" s="139" t="n"/>
    </x:row>
    <x:row r="176">
      <x:c r="A176" s="139" t="n"/>
      <x:c r="B176" s="139" t="n"/>
      <x:c r="C176" s="139" t="n"/>
      <x:c r="D176" s="139" t="n"/>
      <x:c r="E176" s="139" t="n"/>
      <x:c r="F176" s="139" t="n"/>
      <x:c r="G176" s="139" t="n"/>
      <x:c r="H176" s="139" t="n"/>
      <x:c r="I176" s="139" t="n"/>
      <x:c r="J176" s="139" t="n"/>
      <x:c r="K176" s="139" t="n"/>
      <x:c r="L176" s="139" t="n"/>
      <x:c r="M176" s="139" t="n"/>
      <x:c r="N176" s="139" t="n"/>
      <x:c r="O176" s="139" t="n"/>
      <x:c r="P176" s="139" t="n"/>
      <x:c r="Q176" s="139" t="n"/>
      <x:c r="R176" s="139" t="n"/>
      <x:c r="S176" s="139" t="n"/>
      <x:c r="T176" s="139" t="n"/>
      <x:c r="U176" s="139" t="n"/>
      <x:c r="V176" s="139" t="n"/>
      <x:c r="W176" s="139" t="n"/>
      <x:c r="X176" s="139" t="n"/>
      <x:c r="Y176" s="139" t="n"/>
      <x:c r="Z176" s="139" t="n"/>
      <x:c r="AA176" s="139" t="n"/>
      <x:c r="AB176" s="139" t="n"/>
      <x:c r="AC176" s="139" t="n"/>
    </x:row>
    <x:row r="177">
      <x:c r="A177" s="139" t="n"/>
      <x:c r="B177" s="139" t="n"/>
      <x:c r="C177" s="139" t="n"/>
      <x:c r="D177" s="139" t="n"/>
      <x:c r="E177" s="139" t="n"/>
      <x:c r="F177" s="139" t="n"/>
      <x:c r="G177" s="139" t="n"/>
      <x:c r="H177" s="139" t="n"/>
      <x:c r="I177" s="139" t="n"/>
      <x:c r="J177" s="139" t="n"/>
      <x:c r="K177" s="139" t="n"/>
      <x:c r="L177" s="139" t="n"/>
      <x:c r="M177" s="139" t="n"/>
      <x:c r="N177" s="139" t="n"/>
      <x:c r="O177" s="139" t="n"/>
      <x:c r="P177" s="139" t="n"/>
      <x:c r="Q177" s="139" t="n"/>
      <x:c r="R177" s="139" t="n"/>
      <x:c r="S177" s="139" t="n"/>
      <x:c r="T177" s="139" t="n"/>
      <x:c r="U177" s="139" t="n"/>
      <x:c r="V177" s="139" t="n"/>
      <x:c r="W177" s="139" t="n"/>
      <x:c r="X177" s="139" t="n"/>
      <x:c r="Y177" s="139" t="n"/>
      <x:c r="Z177" s="139" t="n"/>
      <x:c r="AA177" s="139" t="n"/>
      <x:c r="AB177" s="139" t="n"/>
      <x:c r="AC177" s="139" t="n"/>
    </x:row>
    <x:row r="178">
      <x:c r="A178" s="139" t="n"/>
      <x:c r="B178" s="139" t="n"/>
      <x:c r="C178" s="139" t="n"/>
      <x:c r="D178" s="139" t="n"/>
      <x:c r="E178" s="139" t="n"/>
      <x:c r="F178" s="139" t="n"/>
      <x:c r="G178" s="139" t="n"/>
      <x:c r="H178" s="139" t="n"/>
      <x:c r="I178" s="139" t="n"/>
      <x:c r="J178" s="139" t="n"/>
      <x:c r="K178" s="139" t="n"/>
      <x:c r="L178" s="139" t="n"/>
      <x:c r="M178" s="139" t="n"/>
      <x:c r="N178" s="139" t="n"/>
      <x:c r="O178" s="139" t="n"/>
      <x:c r="P178" s="139" t="n"/>
      <x:c r="Q178" s="139" t="n"/>
      <x:c r="R178" s="139" t="n"/>
      <x:c r="S178" s="139" t="n"/>
      <x:c r="T178" s="139" t="n"/>
      <x:c r="U178" s="139" t="n"/>
      <x:c r="V178" s="139" t="n"/>
      <x:c r="W178" s="139" t="n"/>
      <x:c r="X178" s="139" t="n"/>
      <x:c r="Y178" s="139" t="n"/>
      <x:c r="Z178" s="139" t="n"/>
      <x:c r="AA178" s="139" t="n"/>
      <x:c r="AB178" s="139" t="n"/>
      <x:c r="AC178" s="139" t="n"/>
    </x:row>
    <x:row r="179">
      <x:c r="A179" s="139" t="n"/>
      <x:c r="B179" s="139" t="n"/>
      <x:c r="C179" s="139" t="n"/>
      <x:c r="D179" s="139" t="n"/>
      <x:c r="E179" s="139" t="n"/>
      <x:c r="F179" s="139" t="n"/>
      <x:c r="G179" s="139" t="n"/>
      <x:c r="H179" s="139" t="n"/>
      <x:c r="I179" s="139" t="n"/>
      <x:c r="J179" s="139" t="n"/>
      <x:c r="K179" s="139" t="n"/>
      <x:c r="L179" s="139" t="n"/>
      <x:c r="M179" s="139" t="n"/>
      <x:c r="N179" s="139" t="n"/>
      <x:c r="O179" s="139" t="n"/>
      <x:c r="P179" s="139" t="n"/>
      <x:c r="Q179" s="139" t="n"/>
      <x:c r="R179" s="139" t="n"/>
      <x:c r="S179" s="139" t="n"/>
      <x:c r="T179" s="139" t="n"/>
      <x:c r="U179" s="139" t="n"/>
      <x:c r="V179" s="139" t="n"/>
      <x:c r="W179" s="139" t="n"/>
      <x:c r="X179" s="139" t="n"/>
      <x:c r="Y179" s="139" t="n"/>
      <x:c r="Z179" s="139" t="n"/>
      <x:c r="AA179" s="139" t="n"/>
      <x:c r="AB179" s="139" t="n"/>
      <x:c r="AC179" s="139" t="n"/>
    </x:row>
    <x:row r="180">
      <x:c r="A180" s="139" t="n"/>
      <x:c r="B180" s="139" t="n"/>
      <x:c r="C180" s="139" t="n"/>
      <x:c r="D180" s="139" t="n"/>
      <x:c r="E180" s="139" t="n"/>
      <x:c r="F180" s="139" t="n"/>
      <x:c r="G180" s="139" t="n"/>
      <x:c r="H180" s="139" t="n"/>
      <x:c r="I180" s="139" t="n"/>
      <x:c r="J180" s="139" t="n"/>
      <x:c r="K180" s="139" t="n"/>
      <x:c r="L180" s="139" t="n"/>
      <x:c r="M180" s="139" t="n"/>
      <x:c r="N180" s="139" t="n"/>
      <x:c r="O180" s="139" t="n"/>
      <x:c r="P180" s="139" t="n"/>
      <x:c r="Q180" s="139" t="n"/>
      <x:c r="R180" s="139" t="n"/>
      <x:c r="S180" s="139" t="n"/>
      <x:c r="T180" s="139" t="n"/>
      <x:c r="U180" s="139" t="n"/>
      <x:c r="V180" s="139" t="n"/>
      <x:c r="W180" s="139" t="n"/>
      <x:c r="X180" s="139" t="n"/>
      <x:c r="Y180" s="139" t="n"/>
      <x:c r="Z180" s="139" t="n"/>
      <x:c r="AA180" s="139" t="n"/>
      <x:c r="AB180" s="139" t="n"/>
      <x:c r="AC180" s="139" t="n"/>
    </x:row>
    <x:row r="181">
      <x:c r="A181" s="139" t="n"/>
      <x:c r="B181" s="139" t="n"/>
      <x:c r="C181" s="139" t="n"/>
      <x:c r="D181" s="139" t="n"/>
      <x:c r="E181" s="139" t="n"/>
      <x:c r="F181" s="139" t="n"/>
      <x:c r="G181" s="139" t="n"/>
      <x:c r="H181" s="139" t="n"/>
      <x:c r="I181" s="139" t="n"/>
      <x:c r="J181" s="139" t="n"/>
      <x:c r="K181" s="139" t="n"/>
      <x:c r="L181" s="139" t="n"/>
      <x:c r="M181" s="139" t="n"/>
      <x:c r="N181" s="139" t="n"/>
      <x:c r="O181" s="139" t="n"/>
      <x:c r="P181" s="139" t="n"/>
      <x:c r="Q181" s="139" t="n"/>
      <x:c r="R181" s="139" t="n"/>
      <x:c r="S181" s="139" t="n"/>
      <x:c r="T181" s="139" t="n"/>
      <x:c r="U181" s="139" t="n"/>
      <x:c r="V181" s="139" t="n"/>
      <x:c r="W181" s="139" t="n"/>
      <x:c r="X181" s="139" t="n"/>
      <x:c r="Y181" s="139" t="n"/>
      <x:c r="Z181" s="139" t="n"/>
      <x:c r="AA181" s="139" t="n"/>
      <x:c r="AB181" s="139" t="n"/>
      <x:c r="AC181" s="139" t="n"/>
    </x:row>
    <x:row r="182">
      <x:c r="A182" s="139" t="n"/>
      <x:c r="B182" s="139" t="n"/>
      <x:c r="C182" s="139" t="n"/>
      <x:c r="D182" s="139" t="n"/>
      <x:c r="E182" s="139" t="n"/>
      <x:c r="F182" s="139" t="n"/>
      <x:c r="G182" s="139" t="n"/>
      <x:c r="H182" s="139" t="n"/>
      <x:c r="I182" s="139" t="n"/>
      <x:c r="J182" s="139" t="n"/>
      <x:c r="K182" s="139" t="n"/>
      <x:c r="L182" s="139" t="n"/>
      <x:c r="M182" s="139" t="n"/>
      <x:c r="N182" s="139" t="n"/>
      <x:c r="O182" s="139" t="n"/>
      <x:c r="P182" s="139" t="n"/>
      <x:c r="Q182" s="139" t="n"/>
      <x:c r="R182" s="139" t="n"/>
      <x:c r="S182" s="139" t="n"/>
      <x:c r="T182" s="139" t="n"/>
      <x:c r="U182" s="139" t="n"/>
      <x:c r="V182" s="139" t="n"/>
      <x:c r="W182" s="139" t="n"/>
      <x:c r="X182" s="139" t="n"/>
      <x:c r="Y182" s="139" t="n"/>
      <x:c r="Z182" s="139" t="n"/>
      <x:c r="AA182" s="139" t="n"/>
      <x:c r="AB182" s="139" t="n"/>
      <x:c r="AC182" s="139" t="n"/>
    </x:row>
    <x:row r="183">
      <x:c r="A183" s="139" t="n"/>
      <x:c r="B183" s="139" t="n"/>
      <x:c r="C183" s="139" t="n"/>
      <x:c r="D183" s="139" t="n"/>
      <x:c r="E183" s="139" t="n"/>
      <x:c r="F183" s="139" t="n"/>
      <x:c r="G183" s="139" t="n"/>
      <x:c r="H183" s="139" t="n"/>
      <x:c r="I183" s="139" t="n"/>
      <x:c r="J183" s="139" t="n"/>
      <x:c r="K183" s="139" t="n"/>
      <x:c r="L183" s="139" t="n"/>
      <x:c r="M183" s="139" t="n"/>
      <x:c r="N183" s="139" t="n"/>
      <x:c r="O183" s="139" t="n"/>
      <x:c r="P183" s="139" t="n"/>
      <x:c r="Q183" s="139" t="n"/>
      <x:c r="R183" s="139" t="n"/>
      <x:c r="S183" s="139" t="n"/>
      <x:c r="T183" s="139" t="n"/>
      <x:c r="U183" s="139" t="n"/>
      <x:c r="V183" s="139" t="n"/>
      <x:c r="W183" s="139" t="n"/>
      <x:c r="X183" s="139" t="n"/>
      <x:c r="Y183" s="139" t="n"/>
      <x:c r="Z183" s="139" t="n"/>
      <x:c r="AA183" s="139" t="n"/>
      <x:c r="AB183" s="139" t="n"/>
      <x:c r="AC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c r="V184" s="139" t="n"/>
      <x:c r="W184" s="139" t="n"/>
      <x:c r="X184" s="139" t="n"/>
      <x:c r="Y184" s="139" t="n"/>
      <x:c r="Z184" s="139" t="n"/>
      <x:c r="AA184" s="139" t="n"/>
      <x:c r="AB184" s="139" t="n"/>
      <x:c r="AC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c r="V185" s="139" t="n"/>
      <x:c r="W185" s="139" t="n"/>
      <x:c r="X185" s="139" t="n"/>
      <x:c r="Y185" s="139" t="n"/>
      <x:c r="Z185" s="139" t="n"/>
      <x:c r="AA185" s="139" t="n"/>
      <x:c r="AB185" s="139" t="n"/>
      <x:c r="AC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c r="V186" s="139" t="n"/>
      <x:c r="W186" s="139" t="n"/>
      <x:c r="X186" s="139" t="n"/>
      <x:c r="Y186" s="139" t="n"/>
      <x:c r="Z186" s="139" t="n"/>
      <x:c r="AA186" s="139" t="n"/>
      <x:c r="AB186" s="139" t="n"/>
      <x:c r="AC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c r="V187" s="139" t="n"/>
      <x:c r="W187" s="139" t="n"/>
      <x:c r="X187" s="139" t="n"/>
      <x:c r="Y187" s="139" t="n"/>
      <x:c r="Z187" s="139" t="n"/>
      <x:c r="AA187" s="139" t="n"/>
      <x:c r="AB187" s="139" t="n"/>
      <x:c r="AC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c r="V188" s="139" t="n"/>
      <x:c r="W188" s="139" t="n"/>
      <x:c r="X188" s="139" t="n"/>
      <x:c r="Y188" s="139" t="n"/>
      <x:c r="Z188" s="139" t="n"/>
      <x:c r="AA188" s="139" t="n"/>
      <x:c r="AB188" s="139" t="n"/>
      <x:c r="AC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c r="V189" s="139" t="n"/>
      <x:c r="W189" s="139" t="n"/>
      <x:c r="X189" s="139" t="n"/>
      <x:c r="Y189" s="139" t="n"/>
      <x:c r="Z189" s="139" t="n"/>
      <x:c r="AA189" s="139" t="n"/>
      <x:c r="AB189" s="139" t="n"/>
      <x:c r="AC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c r="V190" s="139" t="n"/>
      <x:c r="W190" s="139" t="n"/>
      <x:c r="X190" s="139" t="n"/>
      <x:c r="Y190" s="139" t="n"/>
      <x:c r="Z190" s="139" t="n"/>
      <x:c r="AA190" s="139" t="n"/>
      <x:c r="AB190" s="139" t="n"/>
      <x:c r="AC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c r="V191" s="139" t="n"/>
      <x:c r="W191" s="139" t="n"/>
      <x:c r="X191" s="139" t="n"/>
      <x:c r="Y191" s="139" t="n"/>
      <x:c r="Z191" s="139" t="n"/>
      <x:c r="AA191" s="139" t="n"/>
      <x:c r="AB191" s="139" t="n"/>
      <x:c r="AC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c r="V192" s="139" t="n"/>
      <x:c r="W192" s="139" t="n"/>
      <x:c r="X192" s="139" t="n"/>
      <x:c r="Y192" s="139" t="n"/>
      <x:c r="Z192" s="139" t="n"/>
      <x:c r="AA192" s="139" t="n"/>
      <x:c r="AB192" s="139" t="n"/>
      <x:c r="AC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c r="V193" s="139" t="n"/>
      <x:c r="W193" s="139" t="n"/>
      <x:c r="X193" s="139" t="n"/>
      <x:c r="Y193" s="139" t="n"/>
      <x:c r="Z193" s="139" t="n"/>
      <x:c r="AA193" s="139" t="n"/>
      <x:c r="AB193" s="139" t="n"/>
      <x:c r="AC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c r="V194" s="139" t="n"/>
      <x:c r="W194" s="139" t="n"/>
      <x:c r="X194" s="139" t="n"/>
      <x:c r="Y194" s="139" t="n"/>
      <x:c r="Z194" s="139" t="n"/>
      <x:c r="AA194" s="139" t="n"/>
      <x:c r="AB194" s="139" t="n"/>
      <x:c r="AC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c r="V195" s="139" t="n"/>
      <x:c r="W195" s="139" t="n"/>
      <x:c r="X195" s="139" t="n"/>
      <x:c r="Y195" s="139" t="n"/>
      <x:c r="Z195" s="139" t="n"/>
      <x:c r="AA195" s="139" t="n"/>
      <x:c r="AB195" s="139" t="n"/>
      <x:c r="AC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c r="V196" s="139" t="n"/>
      <x:c r="W196" s="139" t="n"/>
      <x:c r="X196" s="139" t="n"/>
      <x:c r="Y196" s="139" t="n"/>
      <x:c r="Z196" s="139" t="n"/>
      <x:c r="AA196" s="139" t="n"/>
      <x:c r="AB196" s="139" t="n"/>
      <x:c r="AC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c r="V197" s="139" t="n"/>
      <x:c r="W197" s="139" t="n"/>
      <x:c r="X197" s="139" t="n"/>
      <x:c r="Y197" s="139" t="n"/>
      <x:c r="Z197" s="139" t="n"/>
      <x:c r="AA197" s="139" t="n"/>
      <x:c r="AB197" s="139" t="n"/>
      <x:c r="AC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c r="V198" s="139" t="n"/>
      <x:c r="W198" s="139" t="n"/>
      <x:c r="X198" s="139" t="n"/>
      <x:c r="Y198" s="139" t="n"/>
      <x:c r="Z198" s="139" t="n"/>
      <x:c r="AA198" s="139" t="n"/>
      <x:c r="AB198" s="139" t="n"/>
      <x:c r="AC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c r="V199" s="139" t="n"/>
      <x:c r="W199" s="139" t="n"/>
      <x:c r="X199" s="139" t="n"/>
      <x:c r="Y199" s="139" t="n"/>
      <x:c r="Z199" s="139" t="n"/>
      <x:c r="AA199" s="139" t="n"/>
      <x:c r="AB199" s="139" t="n"/>
      <x:c r="AC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c r="V200" s="139" t="n"/>
      <x:c r="W200" s="139" t="n"/>
      <x:c r="X200" s="139" t="n"/>
      <x:c r="Y200" s="139" t="n"/>
      <x:c r="Z200" s="139" t="n"/>
      <x:c r="AA200" s="139" t="n"/>
      <x:c r="AB200" s="139" t="n"/>
      <x:c r="AC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c r="V201" s="139" t="n"/>
      <x:c r="W201" s="139" t="n"/>
      <x:c r="X201" s="139" t="n"/>
      <x:c r="Y201" s="139" t="n"/>
      <x:c r="Z201" s="139" t="n"/>
      <x:c r="AA201" s="139" t="n"/>
      <x:c r="AB201" s="139" t="n"/>
      <x:c r="AC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c r="V202" s="139" t="n"/>
      <x:c r="W202" s="139" t="n"/>
      <x:c r="X202" s="139" t="n"/>
      <x:c r="Y202" s="139" t="n"/>
      <x:c r="Z202" s="139" t="n"/>
      <x:c r="AA202" s="139" t="n"/>
      <x:c r="AB202" s="139" t="n"/>
      <x:c r="AC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c r="V203" s="139" t="n"/>
      <x:c r="W203" s="139" t="n"/>
      <x:c r="X203" s="139" t="n"/>
      <x:c r="Y203" s="139" t="n"/>
      <x:c r="Z203" s="139" t="n"/>
      <x:c r="AA203" s="139" t="n"/>
      <x:c r="AB203" s="139" t="n"/>
      <x:c r="AC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c r="V204" s="139" t="n"/>
      <x:c r="W204" s="139" t="n"/>
      <x:c r="X204" s="139" t="n"/>
      <x:c r="Y204" s="139" t="n"/>
      <x:c r="Z204" s="139" t="n"/>
      <x:c r="AA204" s="139" t="n"/>
      <x:c r="AB204" s="139" t="n"/>
      <x:c r="AC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c r="V205" s="139" t="n"/>
      <x:c r="W205" s="139" t="n"/>
      <x:c r="X205" s="139" t="n"/>
      <x:c r="Y205" s="139" t="n"/>
      <x:c r="Z205" s="139" t="n"/>
      <x:c r="AA205" s="139" t="n"/>
      <x:c r="AB205" s="139" t="n"/>
      <x:c r="AC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c r="V206" s="139" t="n"/>
      <x:c r="W206" s="139" t="n"/>
      <x:c r="X206" s="139" t="n"/>
      <x:c r="Y206" s="139" t="n"/>
      <x:c r="Z206" s="139" t="n"/>
      <x:c r="AA206" s="139" t="n"/>
      <x:c r="AB206" s="139" t="n"/>
      <x:c r="AC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c r="V207" s="139" t="n"/>
      <x:c r="W207" s="139" t="n"/>
      <x:c r="X207" s="139" t="n"/>
      <x:c r="Y207" s="139" t="n"/>
      <x:c r="Z207" s="139" t="n"/>
      <x:c r="AA207" s="139" t="n"/>
      <x:c r="AB207" s="139" t="n"/>
      <x:c r="AC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c r="V208" s="139" t="n"/>
      <x:c r="W208" s="139" t="n"/>
      <x:c r="X208" s="139" t="n"/>
      <x:c r="Y208" s="139" t="n"/>
      <x:c r="Z208" s="139" t="n"/>
      <x:c r="AA208" s="139" t="n"/>
      <x:c r="AB208" s="139" t="n"/>
      <x:c r="AC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c r="V209" s="139" t="n"/>
      <x:c r="W209" s="139" t="n"/>
      <x:c r="X209" s="139" t="n"/>
      <x:c r="Y209" s="139" t="n"/>
      <x:c r="Z209" s="139" t="n"/>
      <x:c r="AA209" s="139" t="n"/>
      <x:c r="AB209" s="139" t="n"/>
      <x:c r="AC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c r="V210" s="139" t="n"/>
      <x:c r="W210" s="139" t="n"/>
      <x:c r="X210" s="139" t="n"/>
      <x:c r="Y210" s="139" t="n"/>
      <x:c r="Z210" s="139" t="n"/>
      <x:c r="AA210" s="139" t="n"/>
      <x:c r="AB210" s="139" t="n"/>
      <x:c r="AC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c r="V211" s="139" t="n"/>
      <x:c r="W211" s="139" t="n"/>
      <x:c r="X211" s="139" t="n"/>
      <x:c r="Y211" s="139" t="n"/>
      <x:c r="Z211" s="139" t="n"/>
      <x:c r="AA211" s="139" t="n"/>
      <x:c r="AB211" s="139" t="n"/>
      <x:c r="AC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c r="V212" s="139" t="n"/>
      <x:c r="W212" s="139" t="n"/>
      <x:c r="X212" s="139" t="n"/>
      <x:c r="Y212" s="139" t="n"/>
      <x:c r="Z212" s="139" t="n"/>
      <x:c r="AA212" s="139" t="n"/>
      <x:c r="AB212" s="139" t="n"/>
      <x:c r="AC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c r="V213" s="139" t="n"/>
      <x:c r="W213" s="139" t="n"/>
      <x:c r="X213" s="139" t="n"/>
      <x:c r="Y213" s="139" t="n"/>
      <x:c r="Z213" s="139" t="n"/>
      <x:c r="AA213" s="139" t="n"/>
      <x:c r="AB213" s="139" t="n"/>
      <x:c r="AC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c r="V214" s="139" t="n"/>
      <x:c r="W214" s="139" t="n"/>
      <x:c r="X214" s="139" t="n"/>
      <x:c r="Y214" s="139" t="n"/>
      <x:c r="Z214" s="139" t="n"/>
      <x:c r="AA214" s="139" t="n"/>
      <x:c r="AB214" s="139" t="n"/>
      <x:c r="AC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c r="V215" s="139" t="n"/>
      <x:c r="W215" s="139" t="n"/>
      <x:c r="X215" s="139" t="n"/>
      <x:c r="Y215" s="139" t="n"/>
      <x:c r="Z215" s="139" t="n"/>
      <x:c r="AA215" s="139" t="n"/>
      <x:c r="AB215" s="139" t="n"/>
      <x:c r="AC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c r="V216" s="139" t="n"/>
      <x:c r="W216" s="139" t="n"/>
      <x:c r="X216" s="139" t="n"/>
      <x:c r="Y216" s="139" t="n"/>
      <x:c r="Z216" s="139" t="n"/>
      <x:c r="AA216" s="139" t="n"/>
      <x:c r="AB216" s="139" t="n"/>
      <x:c r="AC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c r="V217" s="139" t="n"/>
      <x:c r="W217" s="139" t="n"/>
      <x:c r="X217" s="139" t="n"/>
      <x:c r="Y217" s="139" t="n"/>
      <x:c r="Z217" s="139" t="n"/>
      <x:c r="AA217" s="139" t="n"/>
      <x:c r="AB217" s="139" t="n"/>
      <x:c r="AC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c r="V218" s="139" t="n"/>
      <x:c r="W218" s="139" t="n"/>
      <x:c r="X218" s="139" t="n"/>
      <x:c r="Y218" s="139" t="n"/>
      <x:c r="Z218" s="139" t="n"/>
      <x:c r="AA218" s="139" t="n"/>
      <x:c r="AB218" s="139" t="n"/>
      <x:c r="AC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c r="V219" s="139" t="n"/>
      <x:c r="W219" s="139" t="n"/>
      <x:c r="X219" s="139" t="n"/>
      <x:c r="Y219" s="139" t="n"/>
      <x:c r="Z219" s="139" t="n"/>
      <x:c r="AA219" s="139" t="n"/>
      <x:c r="AB219" s="139" t="n"/>
      <x:c r="AC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c r="V220" s="139" t="n"/>
      <x:c r="W220" s="139" t="n"/>
      <x:c r="X220" s="139" t="n"/>
      <x:c r="Y220" s="139" t="n"/>
      <x:c r="Z220" s="139" t="n"/>
      <x:c r="AA220" s="139" t="n"/>
      <x:c r="AB220" s="139" t="n"/>
      <x:c r="AC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c r="V221" s="139" t="n"/>
      <x:c r="W221" s="139" t="n"/>
      <x:c r="X221" s="139" t="n"/>
      <x:c r="Y221" s="139" t="n"/>
      <x:c r="Z221" s="139" t="n"/>
      <x:c r="AA221" s="139" t="n"/>
      <x:c r="AB221" s="139" t="n"/>
      <x:c r="AC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c r="V222" s="139" t="n"/>
      <x:c r="W222" s="139" t="n"/>
      <x:c r="X222" s="139" t="n"/>
      <x:c r="Y222" s="139" t="n"/>
      <x:c r="Z222" s="139" t="n"/>
      <x:c r="AA222" s="139" t="n"/>
      <x:c r="AB222" s="139" t="n"/>
      <x:c r="AC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c r="V223" s="139" t="n"/>
      <x:c r="W223" s="139" t="n"/>
      <x:c r="X223" s="139" t="n"/>
      <x:c r="Y223" s="139" t="n"/>
      <x:c r="Z223" s="139" t="n"/>
      <x:c r="AA223" s="139" t="n"/>
      <x:c r="AB223" s="139" t="n"/>
      <x:c r="AC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c r="V224" s="139" t="n"/>
      <x:c r="W224" s="139" t="n"/>
      <x:c r="X224" s="139" t="n"/>
      <x:c r="Y224" s="139" t="n"/>
      <x:c r="Z224" s="139" t="n"/>
      <x:c r="AA224" s="139" t="n"/>
      <x:c r="AB224" s="139" t="n"/>
      <x:c r="AC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c r="V225" s="139" t="n"/>
      <x:c r="W225" s="139" t="n"/>
      <x:c r="X225" s="139" t="n"/>
      <x:c r="Y225" s="139" t="n"/>
      <x:c r="Z225" s="139" t="n"/>
      <x:c r="AA225" s="139" t="n"/>
      <x:c r="AB225" s="139" t="n"/>
      <x:c r="AC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c r="V226" s="139" t="n"/>
      <x:c r="W226" s="139" t="n"/>
      <x:c r="X226" s="139" t="n"/>
      <x:c r="Y226" s="139" t="n"/>
      <x:c r="Z226" s="139" t="n"/>
      <x:c r="AA226" s="139" t="n"/>
      <x:c r="AB226" s="139" t="n"/>
      <x:c r="AC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c r="V227" s="139" t="n"/>
      <x:c r="W227" s="139" t="n"/>
      <x:c r="X227" s="139" t="n"/>
      <x:c r="Y227" s="139" t="n"/>
      <x:c r="Z227" s="139" t="n"/>
      <x:c r="AA227" s="139" t="n"/>
      <x:c r="AB227" s="139" t="n"/>
      <x:c r="AC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c r="V228" s="139" t="n"/>
      <x:c r="W228" s="139" t="n"/>
      <x:c r="X228" s="139" t="n"/>
      <x:c r="Y228" s="139" t="n"/>
      <x:c r="Z228" s="139" t="n"/>
      <x:c r="AA228" s="139" t="n"/>
      <x:c r="AB228" s="139" t="n"/>
      <x:c r="AC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c r="V229" s="139" t="n"/>
      <x:c r="W229" s="139" t="n"/>
      <x:c r="X229" s="139" t="n"/>
      <x:c r="Y229" s="139" t="n"/>
      <x:c r="Z229" s="139" t="n"/>
      <x:c r="AA229" s="139" t="n"/>
      <x:c r="AB229" s="139" t="n"/>
      <x:c r="AC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c r="V230" s="139" t="n"/>
      <x:c r="W230" s="139" t="n"/>
      <x:c r="X230" s="139" t="n"/>
      <x:c r="Y230" s="139" t="n"/>
      <x:c r="Z230" s="139" t="n"/>
      <x:c r="AA230" s="139" t="n"/>
      <x:c r="AB230" s="139" t="n"/>
      <x:c r="AC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c r="V231" s="139" t="n"/>
      <x:c r="W231" s="139" t="n"/>
      <x:c r="X231" s="139" t="n"/>
      <x:c r="Y231" s="139" t="n"/>
      <x:c r="Z231" s="139" t="n"/>
      <x:c r="AA231" s="139" t="n"/>
      <x:c r="AB231" s="139" t="n"/>
      <x:c r="AC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c r="V232" s="139" t="n"/>
      <x:c r="W232" s="139" t="n"/>
      <x:c r="X232" s="139" t="n"/>
      <x:c r="Y232" s="139" t="n"/>
      <x:c r="Z232" s="139" t="n"/>
      <x:c r="AA232" s="139" t="n"/>
      <x:c r="AB232" s="139" t="n"/>
      <x:c r="AC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c r="V233" s="139" t="n"/>
      <x:c r="W233" s="139" t="n"/>
      <x:c r="X233" s="139" t="n"/>
      <x:c r="Y233" s="139" t="n"/>
      <x:c r="Z233" s="139" t="n"/>
      <x:c r="AA233" s="139" t="n"/>
      <x:c r="AB233" s="139" t="n"/>
      <x:c r="AC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c r="V234" s="139" t="n"/>
      <x:c r="W234" s="139" t="n"/>
      <x:c r="X234" s="139" t="n"/>
      <x:c r="Y234" s="139" t="n"/>
      <x:c r="Z234" s="139" t="n"/>
      <x:c r="AA234" s="139" t="n"/>
      <x:c r="AB234" s="139" t="n"/>
      <x:c r="AC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c r="V235" s="139" t="n"/>
      <x:c r="W235" s="139" t="n"/>
      <x:c r="X235" s="139" t="n"/>
      <x:c r="Y235" s="139" t="n"/>
      <x:c r="Z235" s="139" t="n"/>
      <x:c r="AA235" s="139" t="n"/>
      <x:c r="AB235" s="139" t="n"/>
      <x:c r="AC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c r="V236" s="139" t="n"/>
      <x:c r="W236" s="139" t="n"/>
      <x:c r="X236" s="139" t="n"/>
      <x:c r="Y236" s="139" t="n"/>
      <x:c r="Z236" s="139" t="n"/>
      <x:c r="AA236" s="139" t="n"/>
      <x:c r="AB236" s="139" t="n"/>
      <x:c r="AC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c r="V237" s="139" t="n"/>
      <x:c r="W237" s="139" t="n"/>
      <x:c r="X237" s="139" t="n"/>
      <x:c r="Y237" s="139" t="n"/>
      <x:c r="Z237" s="139" t="n"/>
      <x:c r="AA237" s="139" t="n"/>
      <x:c r="AB237" s="139" t="n"/>
      <x:c r="AC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c r="V238" s="139" t="n"/>
      <x:c r="W238" s="139" t="n"/>
      <x:c r="X238" s="139" t="n"/>
      <x:c r="Y238" s="139" t="n"/>
      <x:c r="Z238" s="139" t="n"/>
      <x:c r="AA238" s="139" t="n"/>
      <x:c r="AB238" s="139" t="n"/>
      <x:c r="AC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c r="V239" s="139" t="n"/>
      <x:c r="W239" s="139" t="n"/>
      <x:c r="X239" s="139" t="n"/>
      <x:c r="Y239" s="139" t="n"/>
      <x:c r="Z239" s="139" t="n"/>
      <x:c r="AA239" s="139" t="n"/>
      <x:c r="AB239" s="139" t="n"/>
      <x:c r="AC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c r="V240" s="139" t="n"/>
      <x:c r="W240" s="139" t="n"/>
      <x:c r="X240" s="139" t="n"/>
      <x:c r="Y240" s="139" t="n"/>
      <x:c r="Z240" s="139" t="n"/>
      <x:c r="AA240" s="139" t="n"/>
      <x:c r="AB240" s="139" t="n"/>
      <x:c r="AC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c r="V241" s="139" t="n"/>
      <x:c r="W241" s="139" t="n"/>
      <x:c r="X241" s="139" t="n"/>
      <x:c r="Y241" s="139" t="n"/>
      <x:c r="Z241" s="139" t="n"/>
      <x:c r="AA241" s="139" t="n"/>
      <x:c r="AB241" s="139" t="n"/>
      <x:c r="AC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c r="V242" s="139" t="n"/>
      <x:c r="W242" s="139" t="n"/>
      <x:c r="X242" s="139" t="n"/>
      <x:c r="Y242" s="139" t="n"/>
      <x:c r="Z242" s="139" t="n"/>
      <x:c r="AA242" s="139" t="n"/>
      <x:c r="AB242" s="139" t="n"/>
      <x:c r="AC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c r="V243" s="139" t="n"/>
      <x:c r="W243" s="139" t="n"/>
      <x:c r="X243" s="139" t="n"/>
      <x:c r="Y243" s="139" t="n"/>
      <x:c r="Z243" s="139" t="n"/>
      <x:c r="AA243" s="139" t="n"/>
      <x:c r="AB243" s="139" t="n"/>
      <x:c r="AC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c r="V244" s="139" t="n"/>
      <x:c r="W244" s="139" t="n"/>
      <x:c r="X244" s="139" t="n"/>
      <x:c r="Y244" s="139" t="n"/>
      <x:c r="Z244" s="139" t="n"/>
      <x:c r="AA244" s="139" t="n"/>
      <x:c r="AB244" s="139" t="n"/>
      <x:c r="AC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c r="V245" s="139" t="n"/>
      <x:c r="W245" s="139" t="n"/>
      <x:c r="X245" s="139" t="n"/>
      <x:c r="Y245" s="139" t="n"/>
      <x:c r="Z245" s="139" t="n"/>
      <x:c r="AA245" s="139" t="n"/>
      <x:c r="AB245" s="139" t="n"/>
      <x:c r="AC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c r="V246" s="139" t="n"/>
      <x:c r="W246" s="139" t="n"/>
      <x:c r="X246" s="139" t="n"/>
      <x:c r="Y246" s="139" t="n"/>
      <x:c r="Z246" s="139" t="n"/>
      <x:c r="AA246" s="139" t="n"/>
      <x:c r="AB246" s="139" t="n"/>
      <x:c r="AC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c r="V247" s="139" t="n"/>
      <x:c r="W247" s="139" t="n"/>
      <x:c r="X247" s="139" t="n"/>
      <x:c r="Y247" s="139" t="n"/>
      <x:c r="Z247" s="139" t="n"/>
      <x:c r="AA247" s="139" t="n"/>
      <x:c r="AB247" s="139" t="n"/>
      <x:c r="AC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c r="V248" s="139" t="n"/>
      <x:c r="W248" s="139" t="n"/>
      <x:c r="X248" s="139" t="n"/>
      <x:c r="Y248" s="139" t="n"/>
      <x:c r="Z248" s="139" t="n"/>
      <x:c r="AA248" s="139" t="n"/>
      <x:c r="AB248" s="139" t="n"/>
      <x:c r="AC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c r="V249" s="139" t="n"/>
      <x:c r="W249" s="139" t="n"/>
      <x:c r="X249" s="139" t="n"/>
      <x:c r="Y249" s="139" t="n"/>
      <x:c r="Z249" s="139" t="n"/>
      <x:c r="AA249" s="139" t="n"/>
      <x:c r="AB249" s="139" t="n"/>
      <x:c r="AC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c r="V250" s="139" t="n"/>
      <x:c r="W250" s="139" t="n"/>
      <x:c r="X250" s="139" t="n"/>
      <x:c r="Y250" s="139" t="n"/>
      <x:c r="Z250" s="139" t="n"/>
      <x:c r="AA250" s="139" t="n"/>
      <x:c r="AB250" s="139" t="n"/>
      <x:c r="AC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c r="V251" s="139" t="n"/>
      <x:c r="W251" s="139" t="n"/>
      <x:c r="X251" s="139" t="n"/>
      <x:c r="Y251" s="139" t="n"/>
      <x:c r="Z251" s="139" t="n"/>
      <x:c r="AA251" s="139" t="n"/>
      <x:c r="AB251" s="139" t="n"/>
      <x:c r="AC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c r="V252" s="139" t="n"/>
      <x:c r="W252" s="139" t="n"/>
      <x:c r="X252" s="139" t="n"/>
      <x:c r="Y252" s="139" t="n"/>
      <x:c r="Z252" s="139" t="n"/>
      <x:c r="AA252" s="139" t="n"/>
      <x:c r="AB252" s="139" t="n"/>
      <x:c r="AC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c r="V253" s="139" t="n"/>
      <x:c r="W253" s="139" t="n"/>
      <x:c r="X253" s="139" t="n"/>
      <x:c r="Y253" s="139" t="n"/>
      <x:c r="Z253" s="139" t="n"/>
      <x:c r="AA253" s="139" t="n"/>
      <x:c r="AB253" s="139" t="n"/>
      <x:c r="AC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c r="V254" s="139" t="n"/>
      <x:c r="W254" s="139" t="n"/>
      <x:c r="X254" s="139" t="n"/>
      <x:c r="Y254" s="139" t="n"/>
      <x:c r="Z254" s="139" t="n"/>
      <x:c r="AA254" s="139" t="n"/>
      <x:c r="AB254" s="139" t="n"/>
      <x:c r="AC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c r="V255" s="139" t="n"/>
      <x:c r="W255" s="139" t="n"/>
      <x:c r="X255" s="139" t="n"/>
      <x:c r="Y255" s="139" t="n"/>
      <x:c r="Z255" s="139" t="n"/>
      <x:c r="AA255" s="139" t="n"/>
      <x:c r="AB255" s="139" t="n"/>
      <x:c r="AC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c r="V256" s="139" t="n"/>
      <x:c r="W256" s="139" t="n"/>
      <x:c r="X256" s="139" t="n"/>
      <x:c r="Y256" s="139" t="n"/>
      <x:c r="Z256" s="139" t="n"/>
      <x:c r="AA256" s="139" t="n"/>
      <x:c r="AB256" s="139" t="n"/>
      <x:c r="AC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c r="V257" s="139" t="n"/>
      <x:c r="W257" s="139" t="n"/>
      <x:c r="X257" s="139" t="n"/>
      <x:c r="Y257" s="139" t="n"/>
      <x:c r="Z257" s="139" t="n"/>
      <x:c r="AA257" s="139" t="n"/>
      <x:c r="AB257" s="139" t="n"/>
      <x:c r="AC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c r="V258" s="139" t="n"/>
      <x:c r="W258" s="139" t="n"/>
      <x:c r="X258" s="139" t="n"/>
      <x:c r="Y258" s="139" t="n"/>
      <x:c r="Z258" s="139" t="n"/>
      <x:c r="AA258" s="139" t="n"/>
      <x:c r="AB258" s="139" t="n"/>
      <x:c r="AC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c r="V259" s="139" t="n"/>
      <x:c r="W259" s="139" t="n"/>
      <x:c r="X259" s="139" t="n"/>
      <x:c r="Y259" s="139" t="n"/>
      <x:c r="Z259" s="139" t="n"/>
      <x:c r="AA259" s="139" t="n"/>
      <x:c r="AB259" s="139" t="n"/>
      <x:c r="AC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c r="V260" s="139" t="n"/>
      <x:c r="W260" s="139" t="n"/>
      <x:c r="X260" s="139" t="n"/>
      <x:c r="Y260" s="139" t="n"/>
      <x:c r="Z260" s="139" t="n"/>
      <x:c r="AA260" s="139" t="n"/>
      <x:c r="AB260" s="139" t="n"/>
      <x:c r="AC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c r="V261" s="139" t="n"/>
      <x:c r="W261" s="139" t="n"/>
      <x:c r="X261" s="139" t="n"/>
      <x:c r="Y261" s="139" t="n"/>
      <x:c r="Z261" s="139" t="n"/>
      <x:c r="AA261" s="139" t="n"/>
      <x:c r="AB261" s="139" t="n"/>
      <x:c r="AC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c r="V262" s="139" t="n"/>
      <x:c r="W262" s="139" t="n"/>
      <x:c r="X262" s="139" t="n"/>
      <x:c r="Y262" s="139" t="n"/>
      <x:c r="Z262" s="139" t="n"/>
      <x:c r="AA262" s="139" t="n"/>
      <x:c r="AB262" s="139" t="n"/>
      <x:c r="AC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c r="V263" s="139" t="n"/>
      <x:c r="W263" s="139" t="n"/>
      <x:c r="X263" s="139" t="n"/>
      <x:c r="Y263" s="139" t="n"/>
      <x:c r="Z263" s="139" t="n"/>
      <x:c r="AA263" s="139" t="n"/>
      <x:c r="AB263" s="139" t="n"/>
      <x:c r="AC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c r="V264" s="139" t="n"/>
      <x:c r="W264" s="139" t="n"/>
      <x:c r="X264" s="139" t="n"/>
      <x:c r="Y264" s="139" t="n"/>
      <x:c r="Z264" s="139" t="n"/>
      <x:c r="AA264" s="139" t="n"/>
      <x:c r="AB264" s="139" t="n"/>
      <x:c r="AC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c r="V265" s="139" t="n"/>
      <x:c r="W265" s="139" t="n"/>
      <x:c r="X265" s="139" t="n"/>
      <x:c r="Y265" s="139" t="n"/>
      <x:c r="Z265" s="139" t="n"/>
      <x:c r="AA265" s="139" t="n"/>
      <x:c r="AB265" s="139" t="n"/>
      <x:c r="AC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c r="V266" s="139" t="n"/>
      <x:c r="W266" s="139" t="n"/>
      <x:c r="X266" s="139" t="n"/>
      <x:c r="Y266" s="139" t="n"/>
      <x:c r="Z266" s="139" t="n"/>
      <x:c r="AA266" s="139" t="n"/>
      <x:c r="AB266" s="139" t="n"/>
      <x:c r="AC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c r="V267" s="139" t="n"/>
      <x:c r="W267" s="139" t="n"/>
      <x:c r="X267" s="139" t="n"/>
      <x:c r="Y267" s="139" t="n"/>
      <x:c r="Z267" s="139" t="n"/>
      <x:c r="AA267" s="139" t="n"/>
      <x:c r="AB267" s="139" t="n"/>
      <x:c r="AC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c r="V268" s="139" t="n"/>
      <x:c r="W268" s="139" t="n"/>
      <x:c r="X268" s="139" t="n"/>
      <x:c r="Y268" s="139" t="n"/>
      <x:c r="Z268" s="139" t="n"/>
      <x:c r="AA268" s="139" t="n"/>
      <x:c r="AB268" s="139" t="n"/>
      <x:c r="AC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c r="V269" s="139" t="n"/>
      <x:c r="W269" s="139" t="n"/>
      <x:c r="X269" s="139" t="n"/>
      <x:c r="Y269" s="139" t="n"/>
      <x:c r="Z269" s="139" t="n"/>
      <x:c r="AA269" s="139" t="n"/>
      <x:c r="AB269" s="139" t="n"/>
      <x:c r="AC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c r="V270" s="139" t="n"/>
      <x:c r="W270" s="139" t="n"/>
      <x:c r="X270" s="139" t="n"/>
      <x:c r="Y270" s="139" t="n"/>
      <x:c r="Z270" s="139" t="n"/>
      <x:c r="AA270" s="139" t="n"/>
      <x:c r="AB270" s="139" t="n"/>
      <x:c r="AC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c r="V271" s="139" t="n"/>
      <x:c r="W271" s="139" t="n"/>
      <x:c r="X271" s="139" t="n"/>
      <x:c r="Y271" s="139" t="n"/>
      <x:c r="Z271" s="139" t="n"/>
      <x:c r="AA271" s="139" t="n"/>
      <x:c r="AB271" s="139" t="n"/>
      <x:c r="AC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c r="V272" s="139" t="n"/>
      <x:c r="W272" s="139" t="n"/>
      <x:c r="X272" s="139" t="n"/>
      <x:c r="Y272" s="139" t="n"/>
      <x:c r="Z272" s="139" t="n"/>
      <x:c r="AA272" s="139" t="n"/>
      <x:c r="AB272" s="139" t="n"/>
      <x:c r="AC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c r="V273" s="139" t="n"/>
      <x:c r="W273" s="139" t="n"/>
      <x:c r="X273" s="139" t="n"/>
      <x:c r="Y273" s="139" t="n"/>
      <x:c r="Z273" s="139" t="n"/>
      <x:c r="AA273" s="139" t="n"/>
      <x:c r="AB273" s="139" t="n"/>
      <x:c r="AC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c r="V274" s="139" t="n"/>
      <x:c r="W274" s="139" t="n"/>
      <x:c r="X274" s="139" t="n"/>
      <x:c r="Y274" s="139" t="n"/>
      <x:c r="Z274" s="139" t="n"/>
      <x:c r="AA274" s="139" t="n"/>
      <x:c r="AB274" s="139" t="n"/>
      <x:c r="AC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c r="V275" s="139" t="n"/>
      <x:c r="W275" s="139" t="n"/>
      <x:c r="X275" s="139" t="n"/>
      <x:c r="Y275" s="139" t="n"/>
      <x:c r="Z275" s="139" t="n"/>
      <x:c r="AA275" s="139" t="n"/>
      <x:c r="AB275" s="139" t="n"/>
      <x:c r="AC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c r="V276" s="139" t="n"/>
      <x:c r="W276" s="139" t="n"/>
      <x:c r="X276" s="139" t="n"/>
      <x:c r="Y276" s="139" t="n"/>
      <x:c r="Z276" s="139" t="n"/>
      <x:c r="AA276" s="139" t="n"/>
      <x:c r="AB276" s="139" t="n"/>
      <x:c r="AC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c r="V277" s="139" t="n"/>
      <x:c r="W277" s="139" t="n"/>
      <x:c r="X277" s="139" t="n"/>
      <x:c r="Y277" s="139" t="n"/>
      <x:c r="Z277" s="139" t="n"/>
      <x:c r="AA277" s="139" t="n"/>
      <x:c r="AB277" s="139" t="n"/>
      <x:c r="AC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c r="V278" s="139" t="n"/>
      <x:c r="W278" s="139" t="n"/>
      <x:c r="X278" s="139" t="n"/>
      <x:c r="Y278" s="139" t="n"/>
      <x:c r="Z278" s="139" t="n"/>
      <x:c r="AA278" s="139" t="n"/>
      <x:c r="AB278" s="139" t="n"/>
      <x:c r="AC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c r="V279" s="139" t="n"/>
      <x:c r="W279" s="139" t="n"/>
      <x:c r="X279" s="139" t="n"/>
      <x:c r="Y279" s="139" t="n"/>
      <x:c r="Z279" s="139" t="n"/>
      <x:c r="AA279" s="139" t="n"/>
      <x:c r="AB279" s="139" t="n"/>
      <x:c r="AC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c r="V280" s="139" t="n"/>
      <x:c r="W280" s="139" t="n"/>
      <x:c r="X280" s="139" t="n"/>
      <x:c r="Y280" s="139" t="n"/>
      <x:c r="Z280" s="139" t="n"/>
      <x:c r="AA280" s="139" t="n"/>
      <x:c r="AB280" s="139" t="n"/>
      <x:c r="AC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c r="V281" s="139" t="n"/>
      <x:c r="W281" s="139" t="n"/>
      <x:c r="X281" s="139" t="n"/>
      <x:c r="Y281" s="139" t="n"/>
      <x:c r="Z281" s="139" t="n"/>
      <x:c r="AA281" s="139" t="n"/>
      <x:c r="AB281" s="139" t="n"/>
      <x:c r="AC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c r="V282" s="139" t="n"/>
      <x:c r="W282" s="139" t="n"/>
      <x:c r="X282" s="139" t="n"/>
      <x:c r="Y282" s="139" t="n"/>
      <x:c r="Z282" s="139" t="n"/>
      <x:c r="AA282" s="139" t="n"/>
      <x:c r="AB282" s="139" t="n"/>
      <x:c r="AC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c r="V283" s="139" t="n"/>
      <x:c r="W283" s="139" t="n"/>
      <x:c r="X283" s="139" t="n"/>
      <x:c r="Y283" s="139" t="n"/>
      <x:c r="Z283" s="139" t="n"/>
      <x:c r="AA283" s="139" t="n"/>
      <x:c r="AB283" s="139" t="n"/>
      <x:c r="AC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c r="V284" s="139" t="n"/>
      <x:c r="W284" s="139" t="n"/>
      <x:c r="X284" s="139" t="n"/>
      <x:c r="Y284" s="139" t="n"/>
      <x:c r="Z284" s="139" t="n"/>
      <x:c r="AA284" s="139" t="n"/>
      <x:c r="AB284" s="139" t="n"/>
      <x:c r="AC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c r="V285" s="139" t="n"/>
      <x:c r="W285" s="139" t="n"/>
      <x:c r="X285" s="139" t="n"/>
      <x:c r="Y285" s="139" t="n"/>
      <x:c r="Z285" s="139" t="n"/>
      <x:c r="AA285" s="139" t="n"/>
      <x:c r="AB285" s="139" t="n"/>
      <x:c r="AC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c r="V286" s="139" t="n"/>
      <x:c r="W286" s="139" t="n"/>
      <x:c r="X286" s="139" t="n"/>
      <x:c r="Y286" s="139" t="n"/>
      <x:c r="Z286" s="139" t="n"/>
      <x:c r="AA286" s="139" t="n"/>
      <x:c r="AB286" s="139" t="n"/>
      <x:c r="AC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c r="V287" s="139" t="n"/>
      <x:c r="W287" s="139" t="n"/>
      <x:c r="X287" s="139" t="n"/>
      <x:c r="Y287" s="139" t="n"/>
      <x:c r="Z287" s="139" t="n"/>
      <x:c r="AA287" s="139" t="n"/>
      <x:c r="AB287" s="139" t="n"/>
      <x:c r="AC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c r="V288" s="139" t="n"/>
      <x:c r="W288" s="139" t="n"/>
      <x:c r="X288" s="139" t="n"/>
      <x:c r="Y288" s="139" t="n"/>
      <x:c r="Z288" s="139" t="n"/>
      <x:c r="AA288" s="139" t="n"/>
      <x:c r="AB288" s="139" t="n"/>
      <x:c r="AC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c r="V289" s="139" t="n"/>
      <x:c r="W289" s="139" t="n"/>
      <x:c r="X289" s="139" t="n"/>
      <x:c r="Y289" s="139" t="n"/>
      <x:c r="Z289" s="139" t="n"/>
      <x:c r="AA289" s="139" t="n"/>
      <x:c r="AB289" s="139" t="n"/>
      <x:c r="AC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c r="V290" s="139" t="n"/>
      <x:c r="W290" s="139" t="n"/>
      <x:c r="X290" s="139" t="n"/>
      <x:c r="Y290" s="139" t="n"/>
      <x:c r="Z290" s="139" t="n"/>
      <x:c r="AA290" s="139" t="n"/>
      <x:c r="AB290" s="139" t="n"/>
      <x:c r="AC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c r="V291" s="139" t="n"/>
      <x:c r="W291" s="139" t="n"/>
      <x:c r="X291" s="139" t="n"/>
      <x:c r="Y291" s="139" t="n"/>
      <x:c r="Z291" s="139" t="n"/>
      <x:c r="AA291" s="139" t="n"/>
      <x:c r="AB291" s="139" t="n"/>
      <x:c r="AC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c r="V292" s="139" t="n"/>
      <x:c r="W292" s="139" t="n"/>
      <x:c r="X292" s="139" t="n"/>
      <x:c r="Y292" s="139" t="n"/>
      <x:c r="Z292" s="139" t="n"/>
      <x:c r="AA292" s="139" t="n"/>
      <x:c r="AB292" s="139" t="n"/>
      <x:c r="AC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c r="V293" s="139" t="n"/>
      <x:c r="W293" s="139" t="n"/>
      <x:c r="X293" s="139" t="n"/>
      <x:c r="Y293" s="139" t="n"/>
      <x:c r="Z293" s="139" t="n"/>
      <x:c r="AA293" s="139" t="n"/>
      <x:c r="AB293" s="139" t="n"/>
      <x:c r="AC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c r="V294" s="139" t="n"/>
      <x:c r="W294" s="139" t="n"/>
      <x:c r="X294" s="139" t="n"/>
      <x:c r="Y294" s="139" t="n"/>
      <x:c r="Z294" s="139" t="n"/>
      <x:c r="AA294" s="139" t="n"/>
      <x:c r="AB294" s="139" t="n"/>
      <x:c r="AC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c r="V295" s="139" t="n"/>
      <x:c r="W295" s="139" t="n"/>
      <x:c r="X295" s="139" t="n"/>
      <x:c r="Y295" s="139" t="n"/>
      <x:c r="Z295" s="139" t="n"/>
      <x:c r="AA295" s="139" t="n"/>
      <x:c r="AB295" s="139" t="n"/>
      <x:c r="AC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c r="V296" s="139" t="n"/>
      <x:c r="W296" s="139" t="n"/>
      <x:c r="X296" s="139" t="n"/>
      <x:c r="Y296" s="139" t="n"/>
      <x:c r="Z296" s="139" t="n"/>
      <x:c r="AA296" s="139" t="n"/>
      <x:c r="AB296" s="139" t="n"/>
      <x:c r="AC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c r="V297" s="139" t="n"/>
      <x:c r="W297" s="139" t="n"/>
      <x:c r="X297" s="139" t="n"/>
      <x:c r="Y297" s="139" t="n"/>
      <x:c r="Z297" s="139" t="n"/>
      <x:c r="AA297" s="139" t="n"/>
      <x:c r="AB297" s="139" t="n"/>
      <x:c r="AC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c r="V298" s="139" t="n"/>
      <x:c r="W298" s="139" t="n"/>
      <x:c r="X298" s="139" t="n"/>
      <x:c r="Y298" s="139" t="n"/>
      <x:c r="Z298" s="139" t="n"/>
      <x:c r="AA298" s="139" t="n"/>
      <x:c r="AB298" s="139" t="n"/>
      <x:c r="AC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c r="V299" s="139" t="n"/>
      <x:c r="W299" s="139" t="n"/>
      <x:c r="X299" s="139" t="n"/>
      <x:c r="Y299" s="139" t="n"/>
      <x:c r="Z299" s="139" t="n"/>
      <x:c r="AA299" s="139" t="n"/>
      <x:c r="AB299" s="139" t="n"/>
      <x:c r="AC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c r="V300" s="139" t="n"/>
      <x:c r="W300" s="139" t="n"/>
      <x:c r="X300" s="139" t="n"/>
      <x:c r="Y300" s="139" t="n"/>
      <x:c r="Z300" s="139" t="n"/>
      <x:c r="AA300" s="139" t="n"/>
      <x:c r="AB300" s="139" t="n"/>
      <x:c r="AC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c r="V301" s="139" t="n"/>
      <x:c r="W301" s="139" t="n"/>
      <x:c r="X301" s="139" t="n"/>
      <x:c r="Y301" s="139" t="n"/>
      <x:c r="Z301" s="139" t="n"/>
      <x:c r="AA301" s="139" t="n"/>
      <x:c r="AB301" s="139" t="n"/>
      <x:c r="AC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c r="V302" s="139" t="n"/>
      <x:c r="W302" s="139" t="n"/>
      <x:c r="X302" s="139" t="n"/>
      <x:c r="Y302" s="139" t="n"/>
      <x:c r="Z302" s="139" t="n"/>
      <x:c r="AA302" s="139" t="n"/>
      <x:c r="AB302" s="139" t="n"/>
      <x:c r="AC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c r="V303" s="139" t="n"/>
      <x:c r="W303" s="139" t="n"/>
      <x:c r="X303" s="139" t="n"/>
      <x:c r="Y303" s="139" t="n"/>
      <x:c r="Z303" s="139" t="n"/>
      <x:c r="AA303" s="139" t="n"/>
      <x:c r="AB303" s="139" t="n"/>
      <x:c r="AC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c r="V304" s="139" t="n"/>
      <x:c r="W304" s="139" t="n"/>
      <x:c r="X304" s="139" t="n"/>
      <x:c r="Y304" s="139" t="n"/>
      <x:c r="Z304" s="139" t="n"/>
      <x:c r="AA304" s="139" t="n"/>
      <x:c r="AB304" s="139" t="n"/>
      <x:c r="AC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c r="V305" s="139" t="n"/>
      <x:c r="W305" s="139" t="n"/>
      <x:c r="X305" s="139" t="n"/>
      <x:c r="Y305" s="139" t="n"/>
      <x:c r="Z305" s="139" t="n"/>
      <x:c r="AA305" s="139" t="n"/>
      <x:c r="AB305" s="139" t="n"/>
      <x:c r="AC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c r="V306" s="139" t="n"/>
      <x:c r="W306" s="139" t="n"/>
      <x:c r="X306" s="139" t="n"/>
      <x:c r="Y306" s="139" t="n"/>
      <x:c r="Z306" s="139" t="n"/>
      <x:c r="AA306" s="139" t="n"/>
      <x:c r="AB306" s="139" t="n"/>
      <x:c r="AC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c r="V307" s="139" t="n"/>
      <x:c r="W307" s="139" t="n"/>
      <x:c r="X307" s="139" t="n"/>
      <x:c r="Y307" s="139" t="n"/>
      <x:c r="Z307" s="139" t="n"/>
      <x:c r="AA307" s="139" t="n"/>
      <x:c r="AB307" s="139" t="n"/>
      <x:c r="AC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c r="V308" s="139" t="n"/>
      <x:c r="W308" s="139" t="n"/>
      <x:c r="X308" s="139" t="n"/>
      <x:c r="Y308" s="139" t="n"/>
      <x:c r="Z308" s="139" t="n"/>
      <x:c r="AA308" s="139" t="n"/>
      <x:c r="AB308" s="139" t="n"/>
      <x:c r="AC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c r="V309" s="139" t="n"/>
      <x:c r="W309" s="139" t="n"/>
      <x:c r="X309" s="139" t="n"/>
      <x:c r="Y309" s="139" t="n"/>
      <x:c r="Z309" s="139" t="n"/>
      <x:c r="AA309" s="139" t="n"/>
      <x:c r="AB309" s="139" t="n"/>
      <x:c r="AC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c r="V310" s="139" t="n"/>
      <x:c r="W310" s="139" t="n"/>
      <x:c r="X310" s="139" t="n"/>
      <x:c r="Y310" s="139" t="n"/>
      <x:c r="Z310" s="139" t="n"/>
      <x:c r="AA310" s="139" t="n"/>
      <x:c r="AB310" s="139" t="n"/>
      <x:c r="AC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c r="V311" s="139" t="n"/>
      <x:c r="W311" s="139" t="n"/>
      <x:c r="X311" s="139" t="n"/>
      <x:c r="Y311" s="139" t="n"/>
      <x:c r="Z311" s="139" t="n"/>
      <x:c r="AA311" s="139" t="n"/>
      <x:c r="AB311" s="139" t="n"/>
      <x:c r="AC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c r="V312" s="139" t="n"/>
      <x:c r="W312" s="139" t="n"/>
      <x:c r="X312" s="139" t="n"/>
      <x:c r="Y312" s="139" t="n"/>
      <x:c r="Z312" s="139" t="n"/>
      <x:c r="AA312" s="139" t="n"/>
      <x:c r="AB312" s="139" t="n"/>
      <x:c r="AC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c r="V313" s="139" t="n"/>
      <x:c r="W313" s="139" t="n"/>
      <x:c r="X313" s="139" t="n"/>
      <x:c r="Y313" s="139" t="n"/>
      <x:c r="Z313" s="139" t="n"/>
      <x:c r="AA313" s="139" t="n"/>
      <x:c r="AB313" s="139" t="n"/>
      <x:c r="AC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c r="V314" s="139" t="n"/>
      <x:c r="W314" s="139" t="n"/>
      <x:c r="X314" s="139" t="n"/>
      <x:c r="Y314" s="139" t="n"/>
      <x:c r="Z314" s="139" t="n"/>
      <x:c r="AA314" s="139" t="n"/>
      <x:c r="AB314" s="139" t="n"/>
      <x:c r="AC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c r="V315" s="139" t="n"/>
      <x:c r="W315" s="139" t="n"/>
      <x:c r="X315" s="139" t="n"/>
      <x:c r="Y315" s="139" t="n"/>
      <x:c r="Z315" s="139" t="n"/>
      <x:c r="AA315" s="139" t="n"/>
      <x:c r="AB315" s="139" t="n"/>
      <x:c r="AC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c r="V316" s="139" t="n"/>
      <x:c r="W316" s="139" t="n"/>
      <x:c r="X316" s="139" t="n"/>
      <x:c r="Y316" s="139" t="n"/>
      <x:c r="Z316" s="139" t="n"/>
      <x:c r="AA316" s="139" t="n"/>
      <x:c r="AB316" s="139" t="n"/>
      <x:c r="AC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c r="V317" s="139" t="n"/>
      <x:c r="W317" s="139" t="n"/>
      <x:c r="X317" s="139" t="n"/>
      <x:c r="Y317" s="139" t="n"/>
      <x:c r="Z317" s="139" t="n"/>
      <x:c r="AA317" s="139" t="n"/>
      <x:c r="AB317" s="139" t="n"/>
      <x:c r="AC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c r="V318" s="139" t="n"/>
      <x:c r="W318" s="139" t="n"/>
      <x:c r="X318" s="139" t="n"/>
      <x:c r="Y318" s="139" t="n"/>
      <x:c r="Z318" s="139" t="n"/>
      <x:c r="AA318" s="139" t="n"/>
      <x:c r="AB318" s="139" t="n"/>
      <x:c r="AC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c r="V319" s="139" t="n"/>
      <x:c r="W319" s="139" t="n"/>
      <x:c r="X319" s="139" t="n"/>
      <x:c r="Y319" s="139" t="n"/>
      <x:c r="Z319" s="139" t="n"/>
      <x:c r="AA319" s="139" t="n"/>
      <x:c r="AB319" s="139" t="n"/>
      <x:c r="AC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c r="V320" s="139" t="n"/>
      <x:c r="W320" s="139" t="n"/>
      <x:c r="X320" s="139" t="n"/>
      <x:c r="Y320" s="139" t="n"/>
      <x:c r="Z320" s="139" t="n"/>
      <x:c r="AA320" s="139" t="n"/>
      <x:c r="AB320" s="139" t="n"/>
      <x:c r="AC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c r="V321" s="139" t="n"/>
      <x:c r="W321" s="139" t="n"/>
      <x:c r="X321" s="139" t="n"/>
      <x:c r="Y321" s="139" t="n"/>
      <x:c r="Z321" s="139" t="n"/>
      <x:c r="AA321" s="139" t="n"/>
      <x:c r="AB321" s="139" t="n"/>
      <x:c r="AC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c r="V322" s="139" t="n"/>
      <x:c r="W322" s="139" t="n"/>
      <x:c r="X322" s="139" t="n"/>
      <x:c r="Y322" s="139" t="n"/>
      <x:c r="Z322" s="139" t="n"/>
      <x:c r="AA322" s="139" t="n"/>
      <x:c r="AB322" s="139" t="n"/>
      <x:c r="AC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c r="V323" s="139" t="n"/>
      <x:c r="W323" s="139" t="n"/>
      <x:c r="X323" s="139" t="n"/>
      <x:c r="Y323" s="139" t="n"/>
      <x:c r="Z323" s="139" t="n"/>
      <x:c r="AA323" s="139" t="n"/>
      <x:c r="AB323" s="139" t="n"/>
      <x:c r="AC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c r="V324" s="139" t="n"/>
      <x:c r="W324" s="139" t="n"/>
      <x:c r="X324" s="139" t="n"/>
      <x:c r="Y324" s="139" t="n"/>
      <x:c r="Z324" s="139" t="n"/>
      <x:c r="AA324" s="139" t="n"/>
      <x:c r="AB324" s="139" t="n"/>
      <x:c r="AC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c r="V325" s="139" t="n"/>
      <x:c r="W325" s="139" t="n"/>
      <x:c r="X325" s="139" t="n"/>
      <x:c r="Y325" s="139" t="n"/>
      <x:c r="Z325" s="139" t="n"/>
      <x:c r="AA325" s="139" t="n"/>
      <x:c r="AB325" s="139" t="n"/>
      <x:c r="AC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c r="V326" s="139" t="n"/>
      <x:c r="W326" s="139" t="n"/>
      <x:c r="X326" s="139" t="n"/>
      <x:c r="Y326" s="139" t="n"/>
      <x:c r="Z326" s="139" t="n"/>
      <x:c r="AA326" s="139" t="n"/>
      <x:c r="AB326" s="139" t="n"/>
      <x:c r="AC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c r="V327" s="139" t="n"/>
      <x:c r="W327" s="139" t="n"/>
      <x:c r="X327" s="139" t="n"/>
      <x:c r="Y327" s="139" t="n"/>
      <x:c r="Z327" s="139" t="n"/>
      <x:c r="AA327" s="139" t="n"/>
      <x:c r="AB327" s="139" t="n"/>
      <x:c r="AC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c r="V328" s="139" t="n"/>
      <x:c r="W328" s="139" t="n"/>
      <x:c r="X328" s="139" t="n"/>
      <x:c r="Y328" s="139" t="n"/>
      <x:c r="Z328" s="139" t="n"/>
      <x:c r="AA328" s="139" t="n"/>
      <x:c r="AB328" s="139" t="n"/>
      <x:c r="AC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c r="V329" s="139" t="n"/>
      <x:c r="W329" s="139" t="n"/>
      <x:c r="X329" s="139" t="n"/>
      <x:c r="Y329" s="139" t="n"/>
      <x:c r="Z329" s="139" t="n"/>
      <x:c r="AA329" s="139" t="n"/>
      <x:c r="AB329" s="139" t="n"/>
      <x:c r="AC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c r="V330" s="139" t="n"/>
      <x:c r="W330" s="139" t="n"/>
      <x:c r="X330" s="139" t="n"/>
      <x:c r="Y330" s="139" t="n"/>
      <x:c r="Z330" s="139" t="n"/>
      <x:c r="AA330" s="139" t="n"/>
      <x:c r="AB330" s="139" t="n"/>
      <x:c r="AC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c r="V331" s="139" t="n"/>
      <x:c r="W331" s="139" t="n"/>
      <x:c r="X331" s="139" t="n"/>
      <x:c r="Y331" s="139" t="n"/>
      <x:c r="Z331" s="139" t="n"/>
      <x:c r="AA331" s="139" t="n"/>
      <x:c r="AB331" s="139" t="n"/>
      <x:c r="AC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c r="V332" s="139" t="n"/>
      <x:c r="W332" s="139" t="n"/>
      <x:c r="X332" s="139" t="n"/>
      <x:c r="Y332" s="139" t="n"/>
      <x:c r="Z332" s="139" t="n"/>
      <x:c r="AA332" s="139" t="n"/>
      <x:c r="AB332" s="139" t="n"/>
      <x:c r="AC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c r="V333" s="139" t="n"/>
      <x:c r="W333" s="139" t="n"/>
      <x:c r="X333" s="139" t="n"/>
      <x:c r="Y333" s="139" t="n"/>
      <x:c r="Z333" s="139" t="n"/>
      <x:c r="AA333" s="139" t="n"/>
      <x:c r="AB333" s="139" t="n"/>
      <x:c r="AC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c r="V334" s="139" t="n"/>
      <x:c r="W334" s="139" t="n"/>
      <x:c r="X334" s="139" t="n"/>
      <x:c r="Y334" s="139" t="n"/>
      <x:c r="Z334" s="139" t="n"/>
      <x:c r="AA334" s="139" t="n"/>
      <x:c r="AB334" s="139" t="n"/>
      <x:c r="AC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c r="V335" s="139" t="n"/>
      <x:c r="W335" s="139" t="n"/>
      <x:c r="X335" s="139" t="n"/>
      <x:c r="Y335" s="139" t="n"/>
      <x:c r="Z335" s="139" t="n"/>
      <x:c r="AA335" s="139" t="n"/>
      <x:c r="AB335" s="139" t="n"/>
      <x:c r="AC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c r="V336" s="139" t="n"/>
      <x:c r="W336" s="139" t="n"/>
      <x:c r="X336" s="139" t="n"/>
      <x:c r="Y336" s="139" t="n"/>
      <x:c r="Z336" s="139" t="n"/>
      <x:c r="AA336" s="139" t="n"/>
      <x:c r="AB336" s="139" t="n"/>
      <x:c r="AC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c r="V337" s="139" t="n"/>
      <x:c r="W337" s="139" t="n"/>
      <x:c r="X337" s="139" t="n"/>
      <x:c r="Y337" s="139" t="n"/>
      <x:c r="Z337" s="139" t="n"/>
      <x:c r="AA337" s="139" t="n"/>
      <x:c r="AB337" s="139" t="n"/>
      <x:c r="AC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c r="V338" s="139" t="n"/>
      <x:c r="W338" s="139" t="n"/>
      <x:c r="X338" s="139" t="n"/>
      <x:c r="Y338" s="139" t="n"/>
      <x:c r="Z338" s="139" t="n"/>
      <x:c r="AA338" s="139" t="n"/>
      <x:c r="AB338" s="139" t="n"/>
      <x:c r="AC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c r="V339" s="139" t="n"/>
      <x:c r="W339" s="139" t="n"/>
      <x:c r="X339" s="139" t="n"/>
      <x:c r="Y339" s="139" t="n"/>
      <x:c r="Z339" s="139" t="n"/>
      <x:c r="AA339" s="139" t="n"/>
      <x:c r="AB339" s="139" t="n"/>
      <x:c r="AC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c r="V340" s="139" t="n"/>
      <x:c r="W340" s="139" t="n"/>
      <x:c r="X340" s="139" t="n"/>
      <x:c r="Y340" s="139" t="n"/>
      <x:c r="Z340" s="139" t="n"/>
      <x:c r="AA340" s="139" t="n"/>
      <x:c r="AB340" s="139" t="n"/>
      <x:c r="AC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c r="V341" s="139" t="n"/>
      <x:c r="W341" s="139" t="n"/>
      <x:c r="X341" s="139" t="n"/>
      <x:c r="Y341" s="139" t="n"/>
      <x:c r="Z341" s="139" t="n"/>
      <x:c r="AA341" s="139" t="n"/>
      <x:c r="AB341" s="139" t="n"/>
      <x:c r="AC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c r="V342" s="139" t="n"/>
      <x:c r="W342" s="139" t="n"/>
      <x:c r="X342" s="139" t="n"/>
      <x:c r="Y342" s="139" t="n"/>
      <x:c r="Z342" s="139" t="n"/>
      <x:c r="AA342" s="139" t="n"/>
      <x:c r="AB342" s="139" t="n"/>
      <x:c r="AC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c r="V343" s="139" t="n"/>
      <x:c r="W343" s="139" t="n"/>
      <x:c r="X343" s="139" t="n"/>
      <x:c r="Y343" s="139" t="n"/>
      <x:c r="Z343" s="139" t="n"/>
      <x:c r="AA343" s="139" t="n"/>
      <x:c r="AB343" s="139" t="n"/>
      <x:c r="AC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c r="V344" s="139" t="n"/>
      <x:c r="W344" s="139" t="n"/>
      <x:c r="X344" s="139" t="n"/>
      <x:c r="Y344" s="139" t="n"/>
      <x:c r="Z344" s="139" t="n"/>
      <x:c r="AA344" s="139" t="n"/>
      <x:c r="AB344" s="139" t="n"/>
      <x:c r="AC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c r="V345" s="139" t="n"/>
      <x:c r="W345" s="139" t="n"/>
      <x:c r="X345" s="139" t="n"/>
      <x:c r="Y345" s="139" t="n"/>
      <x:c r="Z345" s="139" t="n"/>
      <x:c r="AA345" s="139" t="n"/>
      <x:c r="AB345" s="139" t="n"/>
      <x:c r="AC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c r="V346" s="139" t="n"/>
      <x:c r="W346" s="139" t="n"/>
      <x:c r="X346" s="139" t="n"/>
      <x:c r="Y346" s="139" t="n"/>
      <x:c r="Z346" s="139" t="n"/>
      <x:c r="AA346" s="139" t="n"/>
      <x:c r="AB346" s="139" t="n"/>
      <x:c r="AC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c r="V347" s="139" t="n"/>
      <x:c r="W347" s="139" t="n"/>
      <x:c r="X347" s="139" t="n"/>
      <x:c r="Y347" s="139" t="n"/>
      <x:c r="Z347" s="139" t="n"/>
      <x:c r="AA347" s="139" t="n"/>
      <x:c r="AB347" s="139" t="n"/>
      <x:c r="AC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c r="V348" s="139" t="n"/>
      <x:c r="W348" s="139" t="n"/>
      <x:c r="X348" s="139" t="n"/>
      <x:c r="Y348" s="139" t="n"/>
      <x:c r="Z348" s="139" t="n"/>
      <x:c r="AA348" s="139" t="n"/>
      <x:c r="AB348" s="139" t="n"/>
      <x:c r="AC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c r="V349" s="139" t="n"/>
      <x:c r="W349" s="139" t="n"/>
      <x:c r="X349" s="139" t="n"/>
      <x:c r="Y349" s="139" t="n"/>
      <x:c r="Z349" s="139" t="n"/>
      <x:c r="AA349" s="139" t="n"/>
      <x:c r="AB349" s="139" t="n"/>
      <x:c r="AC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c r="V350" s="139" t="n"/>
      <x:c r="W350" s="139" t="n"/>
      <x:c r="X350" s="139" t="n"/>
      <x:c r="Y350" s="139" t="n"/>
      <x:c r="Z350" s="139" t="n"/>
      <x:c r="AA350" s="139" t="n"/>
      <x:c r="AB350" s="139" t="n"/>
      <x:c r="AC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c r="V351" s="139" t="n"/>
      <x:c r="W351" s="139" t="n"/>
      <x:c r="X351" s="139" t="n"/>
      <x:c r="Y351" s="139" t="n"/>
      <x:c r="Z351" s="139" t="n"/>
      <x:c r="AA351" s="139" t="n"/>
      <x:c r="AB351" s="139" t="n"/>
      <x:c r="AC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c r="V352" s="139" t="n"/>
      <x:c r="W352" s="139" t="n"/>
      <x:c r="X352" s="139" t="n"/>
      <x:c r="Y352" s="139" t="n"/>
      <x:c r="Z352" s="139" t="n"/>
      <x:c r="AA352" s="139" t="n"/>
      <x:c r="AB352" s="139" t="n"/>
      <x:c r="AC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c r="V353" s="139" t="n"/>
      <x:c r="W353" s="139" t="n"/>
      <x:c r="X353" s="139" t="n"/>
      <x:c r="Y353" s="139" t="n"/>
      <x:c r="Z353" s="139" t="n"/>
      <x:c r="AA353" s="139" t="n"/>
      <x:c r="AB353" s="139" t="n"/>
      <x:c r="AC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c r="V354" s="139" t="n"/>
      <x:c r="W354" s="139" t="n"/>
      <x:c r="X354" s="139" t="n"/>
      <x:c r="Y354" s="139" t="n"/>
      <x:c r="Z354" s="139" t="n"/>
      <x:c r="AA354" s="139" t="n"/>
      <x:c r="AB354" s="139" t="n"/>
      <x:c r="AC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c r="V355" s="139" t="n"/>
      <x:c r="W355" s="139" t="n"/>
      <x:c r="X355" s="139" t="n"/>
      <x:c r="Y355" s="139" t="n"/>
      <x:c r="Z355" s="139" t="n"/>
      <x:c r="AA355" s="139" t="n"/>
      <x:c r="AB355" s="139" t="n"/>
      <x:c r="AC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c r="V356" s="139" t="n"/>
      <x:c r="W356" s="139" t="n"/>
      <x:c r="X356" s="139" t="n"/>
      <x:c r="Y356" s="139" t="n"/>
      <x:c r="Z356" s="139" t="n"/>
      <x:c r="AA356" s="139" t="n"/>
      <x:c r="AB356" s="139" t="n"/>
      <x:c r="AC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c r="V357" s="139" t="n"/>
      <x:c r="W357" s="139" t="n"/>
      <x:c r="X357" s="139" t="n"/>
      <x:c r="Y357" s="139" t="n"/>
      <x:c r="Z357" s="139" t="n"/>
      <x:c r="AA357" s="139" t="n"/>
      <x:c r="AB357" s="139" t="n"/>
      <x:c r="AC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c r="V358" s="139" t="n"/>
      <x:c r="W358" s="139" t="n"/>
      <x:c r="X358" s="139" t="n"/>
      <x:c r="Y358" s="139" t="n"/>
      <x:c r="Z358" s="139" t="n"/>
      <x:c r="AA358" s="139" t="n"/>
      <x:c r="AB358" s="139" t="n"/>
      <x:c r="AC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c r="V359" s="139" t="n"/>
      <x:c r="W359" s="139" t="n"/>
      <x:c r="X359" s="139" t="n"/>
      <x:c r="Y359" s="139" t="n"/>
      <x:c r="Z359" s="139" t="n"/>
      <x:c r="AA359" s="139" t="n"/>
      <x:c r="AB359" s="139" t="n"/>
      <x:c r="AC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c r="V360" s="139" t="n"/>
      <x:c r="W360" s="139" t="n"/>
      <x:c r="X360" s="139" t="n"/>
      <x:c r="Y360" s="139" t="n"/>
      <x:c r="Z360" s="139" t="n"/>
      <x:c r="AA360" s="139" t="n"/>
      <x:c r="AB360" s="139" t="n"/>
      <x:c r="AC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c r="V361" s="139" t="n"/>
      <x:c r="W361" s="139" t="n"/>
      <x:c r="X361" s="139" t="n"/>
      <x:c r="Y361" s="139" t="n"/>
      <x:c r="Z361" s="139" t="n"/>
      <x:c r="AA361" s="139" t="n"/>
      <x:c r="AB361" s="139" t="n"/>
      <x:c r="AC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c r="V362" s="139" t="n"/>
      <x:c r="W362" s="139" t="n"/>
      <x:c r="X362" s="139" t="n"/>
      <x:c r="Y362" s="139" t="n"/>
      <x:c r="Z362" s="139" t="n"/>
      <x:c r="AA362" s="139" t="n"/>
      <x:c r="AB362" s="139" t="n"/>
      <x:c r="AC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c r="V363" s="139" t="n"/>
      <x:c r="W363" s="139" t="n"/>
      <x:c r="X363" s="139" t="n"/>
      <x:c r="Y363" s="139" t="n"/>
      <x:c r="Z363" s="139" t="n"/>
      <x:c r="AA363" s="139" t="n"/>
      <x:c r="AB363" s="139" t="n"/>
      <x:c r="AC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c r="V364" s="139" t="n"/>
      <x:c r="W364" s="139" t="n"/>
      <x:c r="X364" s="139" t="n"/>
      <x:c r="Y364" s="139" t="n"/>
      <x:c r="Z364" s="139" t="n"/>
      <x:c r="AA364" s="139" t="n"/>
      <x:c r="AB364" s="139" t="n"/>
      <x:c r="AC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c r="V365" s="139" t="n"/>
      <x:c r="W365" s="139" t="n"/>
      <x:c r="X365" s="139" t="n"/>
      <x:c r="Y365" s="139" t="n"/>
      <x:c r="Z365" s="139" t="n"/>
      <x:c r="AA365" s="139" t="n"/>
      <x:c r="AB365" s="139" t="n"/>
      <x:c r="AC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c r="V366" s="139" t="n"/>
      <x:c r="W366" s="139" t="n"/>
      <x:c r="X366" s="139" t="n"/>
      <x:c r="Y366" s="139" t="n"/>
      <x:c r="Z366" s="139" t="n"/>
      <x:c r="AA366" s="139" t="n"/>
      <x:c r="AB366" s="139" t="n"/>
      <x:c r="AC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c r="V367" s="139" t="n"/>
      <x:c r="W367" s="139" t="n"/>
      <x:c r="X367" s="139" t="n"/>
      <x:c r="Y367" s="139" t="n"/>
      <x:c r="Z367" s="139" t="n"/>
      <x:c r="AA367" s="139" t="n"/>
      <x:c r="AB367" s="139" t="n"/>
      <x:c r="AC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c r="V368" s="139" t="n"/>
      <x:c r="W368" s="139" t="n"/>
      <x:c r="X368" s="139" t="n"/>
      <x:c r="Y368" s="139" t="n"/>
      <x:c r="Z368" s="139" t="n"/>
      <x:c r="AA368" s="139" t="n"/>
      <x:c r="AB368" s="139" t="n"/>
      <x:c r="AC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c r="V369" s="139" t="n"/>
      <x:c r="W369" s="139" t="n"/>
      <x:c r="X369" s="139" t="n"/>
      <x:c r="Y369" s="139" t="n"/>
      <x:c r="Z369" s="139" t="n"/>
      <x:c r="AA369" s="139" t="n"/>
      <x:c r="AB369" s="139" t="n"/>
      <x:c r="AC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c r="V370" s="139" t="n"/>
      <x:c r="W370" s="139" t="n"/>
      <x:c r="X370" s="139" t="n"/>
      <x:c r="Y370" s="139" t="n"/>
      <x:c r="Z370" s="139" t="n"/>
      <x:c r="AA370" s="139" t="n"/>
      <x:c r="AB370" s="139" t="n"/>
      <x:c r="AC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c r="V371" s="139" t="n"/>
      <x:c r="W371" s="139" t="n"/>
      <x:c r="X371" s="139" t="n"/>
      <x:c r="Y371" s="139" t="n"/>
      <x:c r="Z371" s="139" t="n"/>
      <x:c r="AA371" s="139" t="n"/>
      <x:c r="AB371" s="139" t="n"/>
      <x:c r="AC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c r="V372" s="139" t="n"/>
      <x:c r="W372" s="139" t="n"/>
      <x:c r="X372" s="139" t="n"/>
      <x:c r="Y372" s="139" t="n"/>
      <x:c r="Z372" s="139" t="n"/>
      <x:c r="AA372" s="139" t="n"/>
      <x:c r="AB372" s="139" t="n"/>
      <x:c r="AC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c r="V373" s="139" t="n"/>
      <x:c r="W373" s="139" t="n"/>
      <x:c r="X373" s="139" t="n"/>
      <x:c r="Y373" s="139" t="n"/>
      <x:c r="Z373" s="139" t="n"/>
      <x:c r="AA373" s="139" t="n"/>
      <x:c r="AB373" s="139" t="n"/>
      <x:c r="AC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c r="V374" s="139" t="n"/>
      <x:c r="W374" s="139" t="n"/>
      <x:c r="X374" s="139" t="n"/>
      <x:c r="Y374" s="139" t="n"/>
      <x:c r="Z374" s="139" t="n"/>
      <x:c r="AA374" s="139" t="n"/>
      <x:c r="AB374" s="139" t="n"/>
      <x:c r="AC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c r="V375" s="139" t="n"/>
      <x:c r="W375" s="139" t="n"/>
      <x:c r="X375" s="139" t="n"/>
      <x:c r="Y375" s="139" t="n"/>
      <x:c r="Z375" s="139" t="n"/>
      <x:c r="AA375" s="139" t="n"/>
      <x:c r="AB375" s="139" t="n"/>
      <x:c r="AC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c r="V376" s="139" t="n"/>
      <x:c r="W376" s="139" t="n"/>
      <x:c r="X376" s="139" t="n"/>
      <x:c r="Y376" s="139" t="n"/>
      <x:c r="Z376" s="139" t="n"/>
      <x:c r="AA376" s="139" t="n"/>
      <x:c r="AB376" s="139" t="n"/>
      <x:c r="AC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c r="V377" s="139" t="n"/>
      <x:c r="W377" s="139" t="n"/>
      <x:c r="X377" s="139" t="n"/>
      <x:c r="Y377" s="139" t="n"/>
      <x:c r="Z377" s="139" t="n"/>
      <x:c r="AA377" s="139" t="n"/>
      <x:c r="AB377" s="139" t="n"/>
      <x:c r="AC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c r="V378" s="139" t="n"/>
      <x:c r="W378" s="139" t="n"/>
      <x:c r="X378" s="139" t="n"/>
      <x:c r="Y378" s="139" t="n"/>
      <x:c r="Z378" s="139" t="n"/>
      <x:c r="AA378" s="139" t="n"/>
      <x:c r="AB378" s="139" t="n"/>
      <x:c r="AC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c r="V379" s="139" t="n"/>
      <x:c r="W379" s="139" t="n"/>
      <x:c r="X379" s="139" t="n"/>
      <x:c r="Y379" s="139" t="n"/>
      <x:c r="Z379" s="139" t="n"/>
      <x:c r="AA379" s="139" t="n"/>
      <x:c r="AB379" s="139" t="n"/>
      <x:c r="AC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c r="V380" s="139" t="n"/>
      <x:c r="W380" s="139" t="n"/>
      <x:c r="X380" s="139" t="n"/>
      <x:c r="Y380" s="139" t="n"/>
      <x:c r="Z380" s="139" t="n"/>
      <x:c r="AA380" s="139" t="n"/>
      <x:c r="AB380" s="139" t="n"/>
      <x:c r="AC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c r="V381" s="139" t="n"/>
      <x:c r="W381" s="139" t="n"/>
      <x:c r="X381" s="139" t="n"/>
      <x:c r="Y381" s="139" t="n"/>
      <x:c r="Z381" s="139" t="n"/>
      <x:c r="AA381" s="139" t="n"/>
      <x:c r="AB381" s="139" t="n"/>
      <x:c r="AC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c r="V382" s="139" t="n"/>
      <x:c r="W382" s="139" t="n"/>
      <x:c r="X382" s="139" t="n"/>
      <x:c r="Y382" s="139" t="n"/>
      <x:c r="Z382" s="139" t="n"/>
      <x:c r="AA382" s="139" t="n"/>
      <x:c r="AB382" s="139" t="n"/>
      <x:c r="AC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c r="V383" s="139" t="n"/>
      <x:c r="W383" s="139" t="n"/>
      <x:c r="X383" s="139" t="n"/>
      <x:c r="Y383" s="139" t="n"/>
      <x:c r="Z383" s="139" t="n"/>
      <x:c r="AA383" s="139" t="n"/>
      <x:c r="AB383" s="139" t="n"/>
      <x:c r="AC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c r="V384" s="139" t="n"/>
      <x:c r="W384" s="139" t="n"/>
      <x:c r="X384" s="139" t="n"/>
      <x:c r="Y384" s="139" t="n"/>
      <x:c r="Z384" s="139" t="n"/>
      <x:c r="AA384" s="139" t="n"/>
      <x:c r="AB384" s="139" t="n"/>
      <x:c r="AC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c r="V385" s="139" t="n"/>
      <x:c r="W385" s="139" t="n"/>
      <x:c r="X385" s="139" t="n"/>
      <x:c r="Y385" s="139" t="n"/>
      <x:c r="Z385" s="139" t="n"/>
      <x:c r="AA385" s="139" t="n"/>
      <x:c r="AB385" s="139" t="n"/>
      <x:c r="AC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c r="V386" s="139" t="n"/>
      <x:c r="W386" s="139" t="n"/>
      <x:c r="X386" s="139" t="n"/>
      <x:c r="Y386" s="139" t="n"/>
      <x:c r="Z386" s="139" t="n"/>
      <x:c r="AA386" s="139" t="n"/>
      <x:c r="AB386" s="139" t="n"/>
      <x:c r="AC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c r="V387" s="139" t="n"/>
      <x:c r="W387" s="139" t="n"/>
      <x:c r="X387" s="139" t="n"/>
      <x:c r="Y387" s="139" t="n"/>
      <x:c r="Z387" s="139" t="n"/>
      <x:c r="AA387" s="139" t="n"/>
      <x:c r="AB387" s="139" t="n"/>
      <x:c r="AC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c r="V388" s="139" t="n"/>
      <x:c r="W388" s="139" t="n"/>
      <x:c r="X388" s="139" t="n"/>
      <x:c r="Y388" s="139" t="n"/>
      <x:c r="Z388" s="139" t="n"/>
      <x:c r="AA388" s="139" t="n"/>
      <x:c r="AB388" s="139" t="n"/>
      <x:c r="AC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c r="V389" s="139" t="n"/>
      <x:c r="W389" s="139" t="n"/>
      <x:c r="X389" s="139" t="n"/>
      <x:c r="Y389" s="139" t="n"/>
      <x:c r="Z389" s="139" t="n"/>
      <x:c r="AA389" s="139" t="n"/>
      <x:c r="AB389" s="139" t="n"/>
      <x:c r="AC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c r="V390" s="139" t="n"/>
      <x:c r="W390" s="139" t="n"/>
      <x:c r="X390" s="139" t="n"/>
      <x:c r="Y390" s="139" t="n"/>
      <x:c r="Z390" s="139" t="n"/>
      <x:c r="AA390" s="139" t="n"/>
      <x:c r="AB390" s="139" t="n"/>
      <x:c r="AC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c r="V391" s="139" t="n"/>
      <x:c r="W391" s="139" t="n"/>
      <x:c r="X391" s="139" t="n"/>
      <x:c r="Y391" s="139" t="n"/>
      <x:c r="Z391" s="139" t="n"/>
      <x:c r="AA391" s="139" t="n"/>
      <x:c r="AB391" s="139" t="n"/>
      <x:c r="AC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c r="V392" s="139" t="n"/>
      <x:c r="W392" s="139" t="n"/>
      <x:c r="X392" s="139" t="n"/>
      <x:c r="Y392" s="139" t="n"/>
      <x:c r="Z392" s="139" t="n"/>
      <x:c r="AA392" s="139" t="n"/>
      <x:c r="AB392" s="139" t="n"/>
      <x:c r="AC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c r="V393" s="139" t="n"/>
      <x:c r="W393" s="139" t="n"/>
      <x:c r="X393" s="139" t="n"/>
      <x:c r="Y393" s="139" t="n"/>
      <x:c r="Z393" s="139" t="n"/>
      <x:c r="AA393" s="139" t="n"/>
      <x:c r="AB393" s="139" t="n"/>
      <x:c r="AC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c r="V394" s="139" t="n"/>
      <x:c r="W394" s="139" t="n"/>
      <x:c r="X394" s="139" t="n"/>
      <x:c r="Y394" s="139" t="n"/>
      <x:c r="Z394" s="139" t="n"/>
      <x:c r="AA394" s="139" t="n"/>
      <x:c r="AB394" s="139" t="n"/>
      <x:c r="AC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c r="V395" s="139" t="n"/>
      <x:c r="W395" s="139" t="n"/>
      <x:c r="X395" s="139" t="n"/>
      <x:c r="Y395" s="139" t="n"/>
      <x:c r="Z395" s="139" t="n"/>
      <x:c r="AA395" s="139" t="n"/>
      <x:c r="AB395" s="139" t="n"/>
      <x:c r="AC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c r="V396" s="139" t="n"/>
      <x:c r="W396" s="139" t="n"/>
      <x:c r="X396" s="139" t="n"/>
      <x:c r="Y396" s="139" t="n"/>
      <x:c r="Z396" s="139" t="n"/>
      <x:c r="AA396" s="139" t="n"/>
      <x:c r="AB396" s="139" t="n"/>
      <x:c r="AC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c r="V397" s="139" t="n"/>
      <x:c r="W397" s="139" t="n"/>
      <x:c r="X397" s="139" t="n"/>
      <x:c r="Y397" s="139" t="n"/>
      <x:c r="Z397" s="139" t="n"/>
      <x:c r="AA397" s="139" t="n"/>
      <x:c r="AB397" s="139" t="n"/>
      <x:c r="AC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c r="V398" s="139" t="n"/>
      <x:c r="W398" s="139" t="n"/>
      <x:c r="X398" s="139" t="n"/>
      <x:c r="Y398" s="139" t="n"/>
      <x:c r="Z398" s="139" t="n"/>
      <x:c r="AA398" s="139" t="n"/>
      <x:c r="AB398" s="139" t="n"/>
      <x:c r="AC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c r="V399" s="139" t="n"/>
      <x:c r="W399" s="139" t="n"/>
      <x:c r="X399" s="139" t="n"/>
      <x:c r="Y399" s="139" t="n"/>
      <x:c r="Z399" s="139" t="n"/>
      <x:c r="AA399" s="139" t="n"/>
      <x:c r="AB399" s="139" t="n"/>
      <x:c r="AC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c r="V400" s="139" t="n"/>
      <x:c r="W400" s="139" t="n"/>
      <x:c r="X400" s="139" t="n"/>
      <x:c r="Y400" s="139" t="n"/>
      <x:c r="Z400" s="139" t="n"/>
      <x:c r="AA400" s="139" t="n"/>
      <x:c r="AB400" s="139" t="n"/>
      <x:c r="AC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c r="V401" s="139" t="n"/>
      <x:c r="W401" s="139" t="n"/>
      <x:c r="X401" s="139" t="n"/>
      <x:c r="Y401" s="139" t="n"/>
      <x:c r="Z401" s="139" t="n"/>
      <x:c r="AA401" s="139" t="n"/>
      <x:c r="AB401" s="139" t="n"/>
      <x:c r="AC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c r="V402" s="139" t="n"/>
      <x:c r="W402" s="139" t="n"/>
      <x:c r="X402" s="139" t="n"/>
      <x:c r="Y402" s="139" t="n"/>
      <x:c r="Z402" s="139" t="n"/>
      <x:c r="AA402" s="139" t="n"/>
      <x:c r="AB402" s="139" t="n"/>
      <x:c r="AC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c r="V403" s="139" t="n"/>
      <x:c r="W403" s="139" t="n"/>
      <x:c r="X403" s="139" t="n"/>
      <x:c r="Y403" s="139" t="n"/>
      <x:c r="Z403" s="139" t="n"/>
      <x:c r="AA403" s="139" t="n"/>
      <x:c r="AB403" s="139" t="n"/>
      <x:c r="AC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c r="V404" s="139" t="n"/>
      <x:c r="W404" s="139" t="n"/>
      <x:c r="X404" s="139" t="n"/>
      <x:c r="Y404" s="139" t="n"/>
      <x:c r="Z404" s="139" t="n"/>
      <x:c r="AA404" s="139" t="n"/>
      <x:c r="AB404" s="139" t="n"/>
      <x:c r="AC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c r="V405" s="139" t="n"/>
      <x:c r="W405" s="139" t="n"/>
      <x:c r="X405" s="139" t="n"/>
      <x:c r="Y405" s="139" t="n"/>
      <x:c r="Z405" s="139" t="n"/>
      <x:c r="AA405" s="139" t="n"/>
      <x:c r="AB405" s="139" t="n"/>
      <x:c r="AC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c r="V406" s="139" t="n"/>
      <x:c r="W406" s="139" t="n"/>
      <x:c r="X406" s="139" t="n"/>
      <x:c r="Y406" s="139" t="n"/>
      <x:c r="Z406" s="139" t="n"/>
      <x:c r="AA406" s="139" t="n"/>
      <x:c r="AB406" s="139" t="n"/>
      <x:c r="AC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c r="V407" s="139" t="n"/>
      <x:c r="W407" s="139" t="n"/>
      <x:c r="X407" s="139" t="n"/>
      <x:c r="Y407" s="139" t="n"/>
      <x:c r="Z407" s="139" t="n"/>
      <x:c r="AA407" s="139" t="n"/>
      <x:c r="AB407" s="139" t="n"/>
      <x:c r="AC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c r="V408" s="139" t="n"/>
      <x:c r="W408" s="139" t="n"/>
      <x:c r="X408" s="139" t="n"/>
      <x:c r="Y408" s="139" t="n"/>
      <x:c r="Z408" s="139" t="n"/>
      <x:c r="AA408" s="139" t="n"/>
      <x:c r="AB408" s="139" t="n"/>
      <x:c r="AC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c r="V409" s="139" t="n"/>
      <x:c r="W409" s="139" t="n"/>
      <x:c r="X409" s="139" t="n"/>
      <x:c r="Y409" s="139" t="n"/>
      <x:c r="Z409" s="139" t="n"/>
      <x:c r="AA409" s="139" t="n"/>
      <x:c r="AB409" s="139" t="n"/>
      <x:c r="AC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c r="V410" s="139" t="n"/>
      <x:c r="W410" s="139" t="n"/>
      <x:c r="X410" s="139" t="n"/>
      <x:c r="Y410" s="139" t="n"/>
      <x:c r="Z410" s="139" t="n"/>
      <x:c r="AA410" s="139" t="n"/>
      <x:c r="AB410" s="139" t="n"/>
      <x:c r="AC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c r="V411" s="139" t="n"/>
      <x:c r="W411" s="139" t="n"/>
      <x:c r="X411" s="139" t="n"/>
      <x:c r="Y411" s="139" t="n"/>
      <x:c r="Z411" s="139" t="n"/>
      <x:c r="AA411" s="139" t="n"/>
      <x:c r="AB411" s="139" t="n"/>
      <x:c r="AC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c r="V412" s="139" t="n"/>
      <x:c r="W412" s="139" t="n"/>
      <x:c r="X412" s="139" t="n"/>
      <x:c r="Y412" s="139" t="n"/>
      <x:c r="Z412" s="139" t="n"/>
      <x:c r="AA412" s="139" t="n"/>
      <x:c r="AB412" s="139" t="n"/>
      <x:c r="AC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c r="V413" s="139" t="n"/>
      <x:c r="W413" s="139" t="n"/>
      <x:c r="X413" s="139" t="n"/>
      <x:c r="Y413" s="139" t="n"/>
      <x:c r="Z413" s="139" t="n"/>
      <x:c r="AA413" s="139" t="n"/>
      <x:c r="AB413" s="139" t="n"/>
      <x:c r="AC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c r="V414" s="139" t="n"/>
      <x:c r="W414" s="139" t="n"/>
      <x:c r="X414" s="139" t="n"/>
      <x:c r="Y414" s="139" t="n"/>
      <x:c r="Z414" s="139" t="n"/>
      <x:c r="AA414" s="139" t="n"/>
      <x:c r="AB414" s="139" t="n"/>
      <x:c r="AC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c r="V415" s="139" t="n"/>
      <x:c r="W415" s="139" t="n"/>
      <x:c r="X415" s="139" t="n"/>
      <x:c r="Y415" s="139" t="n"/>
      <x:c r="Z415" s="139" t="n"/>
      <x:c r="AA415" s="139" t="n"/>
      <x:c r="AB415" s="139" t="n"/>
      <x:c r="AC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c r="V416" s="139" t="n"/>
      <x:c r="W416" s="139" t="n"/>
      <x:c r="X416" s="139" t="n"/>
      <x:c r="Y416" s="139" t="n"/>
      <x:c r="Z416" s="139" t="n"/>
      <x:c r="AA416" s="139" t="n"/>
      <x:c r="AB416" s="139" t="n"/>
      <x:c r="AC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c r="V417" s="139" t="n"/>
      <x:c r="W417" s="139" t="n"/>
      <x:c r="X417" s="139" t="n"/>
      <x:c r="Y417" s="139" t="n"/>
      <x:c r="Z417" s="139" t="n"/>
      <x:c r="AA417" s="139" t="n"/>
      <x:c r="AB417" s="139" t="n"/>
      <x:c r="AC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c r="V418" s="139" t="n"/>
      <x:c r="W418" s="139" t="n"/>
      <x:c r="X418" s="139" t="n"/>
      <x:c r="Y418" s="139" t="n"/>
      <x:c r="Z418" s="139" t="n"/>
      <x:c r="AA418" s="139" t="n"/>
      <x:c r="AB418" s="139" t="n"/>
      <x:c r="AC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c r="V419" s="139" t="n"/>
      <x:c r="W419" s="139" t="n"/>
      <x:c r="X419" s="139" t="n"/>
      <x:c r="Y419" s="139" t="n"/>
      <x:c r="Z419" s="139" t="n"/>
      <x:c r="AA419" s="139" t="n"/>
      <x:c r="AB419" s="139" t="n"/>
      <x:c r="AC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c r="V420" s="139" t="n"/>
      <x:c r="W420" s="139" t="n"/>
      <x:c r="X420" s="139" t="n"/>
      <x:c r="Y420" s="139" t="n"/>
      <x:c r="Z420" s="139" t="n"/>
      <x:c r="AA420" s="139" t="n"/>
      <x:c r="AB420" s="139" t="n"/>
      <x:c r="AC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c r="V421" s="139" t="n"/>
      <x:c r="W421" s="139" t="n"/>
      <x:c r="X421" s="139" t="n"/>
      <x:c r="Y421" s="139" t="n"/>
      <x:c r="Z421" s="139" t="n"/>
      <x:c r="AA421" s="139" t="n"/>
      <x:c r="AB421" s="139" t="n"/>
      <x:c r="AC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c r="V422" s="139" t="n"/>
      <x:c r="W422" s="139" t="n"/>
      <x:c r="X422" s="139" t="n"/>
      <x:c r="Y422" s="139" t="n"/>
      <x:c r="Z422" s="139" t="n"/>
      <x:c r="AA422" s="139" t="n"/>
      <x:c r="AB422" s="139" t="n"/>
      <x:c r="AC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c r="V423" s="139" t="n"/>
      <x:c r="W423" s="139" t="n"/>
      <x:c r="X423" s="139" t="n"/>
      <x:c r="Y423" s="139" t="n"/>
      <x:c r="Z423" s="139" t="n"/>
      <x:c r="AA423" s="139" t="n"/>
      <x:c r="AB423" s="139" t="n"/>
      <x:c r="AC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c r="V424" s="139" t="n"/>
      <x:c r="W424" s="139" t="n"/>
      <x:c r="X424" s="139" t="n"/>
      <x:c r="Y424" s="139" t="n"/>
      <x:c r="Z424" s="139" t="n"/>
      <x:c r="AA424" s="139" t="n"/>
      <x:c r="AB424" s="139" t="n"/>
      <x:c r="AC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c r="V425" s="139" t="n"/>
      <x:c r="W425" s="139" t="n"/>
      <x:c r="X425" s="139" t="n"/>
      <x:c r="Y425" s="139" t="n"/>
      <x:c r="Z425" s="139" t="n"/>
      <x:c r="AA425" s="139" t="n"/>
      <x:c r="AB425" s="139" t="n"/>
      <x:c r="AC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c r="V426" s="139" t="n"/>
      <x:c r="W426" s="139" t="n"/>
      <x:c r="X426" s="139" t="n"/>
      <x:c r="Y426" s="139" t="n"/>
      <x:c r="Z426" s="139" t="n"/>
      <x:c r="AA426" s="139" t="n"/>
      <x:c r="AB426" s="139" t="n"/>
      <x:c r="AC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c r="V427" s="139" t="n"/>
      <x:c r="W427" s="139" t="n"/>
      <x:c r="X427" s="139" t="n"/>
      <x:c r="Y427" s="139" t="n"/>
      <x:c r="Z427" s="139" t="n"/>
      <x:c r="AA427" s="139" t="n"/>
      <x:c r="AB427" s="139" t="n"/>
      <x:c r="AC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c r="V428" s="139" t="n"/>
      <x:c r="W428" s="139" t="n"/>
      <x:c r="X428" s="139" t="n"/>
      <x:c r="Y428" s="139" t="n"/>
      <x:c r="Z428" s="139" t="n"/>
      <x:c r="AA428" s="139" t="n"/>
      <x:c r="AB428" s="139" t="n"/>
      <x:c r="AC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c r="V429" s="139" t="n"/>
      <x:c r="W429" s="139" t="n"/>
      <x:c r="X429" s="139" t="n"/>
      <x:c r="Y429" s="139" t="n"/>
      <x:c r="Z429" s="139" t="n"/>
      <x:c r="AA429" s="139" t="n"/>
      <x:c r="AB429" s="139" t="n"/>
      <x:c r="AC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c r="V430" s="139" t="n"/>
      <x:c r="W430" s="139" t="n"/>
      <x:c r="X430" s="139" t="n"/>
      <x:c r="Y430" s="139" t="n"/>
      <x:c r="Z430" s="139" t="n"/>
      <x:c r="AA430" s="139" t="n"/>
      <x:c r="AB430" s="139" t="n"/>
      <x:c r="AC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c r="V431" s="139" t="n"/>
      <x:c r="W431" s="139" t="n"/>
      <x:c r="X431" s="139" t="n"/>
      <x:c r="Y431" s="139" t="n"/>
      <x:c r="Z431" s="139" t="n"/>
      <x:c r="AA431" s="139" t="n"/>
      <x:c r="AB431" s="139" t="n"/>
      <x:c r="AC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c r="V432" s="139" t="n"/>
      <x:c r="W432" s="139" t="n"/>
      <x:c r="X432" s="139" t="n"/>
      <x:c r="Y432" s="139" t="n"/>
      <x:c r="Z432" s="139" t="n"/>
      <x:c r="AA432" s="139" t="n"/>
      <x:c r="AB432" s="139" t="n"/>
      <x:c r="AC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c r="V433" s="139" t="n"/>
      <x:c r="W433" s="139" t="n"/>
      <x:c r="X433" s="139" t="n"/>
      <x:c r="Y433" s="139" t="n"/>
      <x:c r="Z433" s="139" t="n"/>
      <x:c r="AA433" s="139" t="n"/>
      <x:c r="AB433" s="139" t="n"/>
      <x:c r="AC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c r="V434" s="139" t="n"/>
      <x:c r="W434" s="139" t="n"/>
      <x:c r="X434" s="139" t="n"/>
      <x:c r="Y434" s="139" t="n"/>
      <x:c r="Z434" s="139" t="n"/>
      <x:c r="AA434" s="139" t="n"/>
      <x:c r="AB434" s="139" t="n"/>
      <x:c r="AC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c r="V435" s="139" t="n"/>
      <x:c r="W435" s="139" t="n"/>
      <x:c r="X435" s="139" t="n"/>
      <x:c r="Y435" s="139" t="n"/>
      <x:c r="Z435" s="139" t="n"/>
      <x:c r="AA435" s="139" t="n"/>
      <x:c r="AB435" s="139" t="n"/>
      <x:c r="AC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c r="V436" s="139" t="n"/>
      <x:c r="W436" s="139" t="n"/>
      <x:c r="X436" s="139" t="n"/>
      <x:c r="Y436" s="139" t="n"/>
      <x:c r="Z436" s="139" t="n"/>
      <x:c r="AA436" s="139" t="n"/>
      <x:c r="AB436" s="139" t="n"/>
      <x:c r="AC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c r="V437" s="139" t="n"/>
      <x:c r="W437" s="139" t="n"/>
      <x:c r="X437" s="139" t="n"/>
      <x:c r="Y437" s="139" t="n"/>
      <x:c r="Z437" s="139" t="n"/>
      <x:c r="AA437" s="139" t="n"/>
      <x:c r="AB437" s="139" t="n"/>
      <x:c r="AC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c r="V438" s="139" t="n"/>
      <x:c r="W438" s="139" t="n"/>
      <x:c r="X438" s="139" t="n"/>
      <x:c r="Y438" s="139" t="n"/>
      <x:c r="Z438" s="139" t="n"/>
      <x:c r="AA438" s="139" t="n"/>
      <x:c r="AB438" s="139" t="n"/>
      <x:c r="AC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c r="V439" s="139" t="n"/>
      <x:c r="W439" s="139" t="n"/>
      <x:c r="X439" s="139" t="n"/>
      <x:c r="Y439" s="139" t="n"/>
      <x:c r="Z439" s="139" t="n"/>
      <x:c r="AA439" s="139" t="n"/>
      <x:c r="AB439" s="139" t="n"/>
      <x:c r="AC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c r="V440" s="139" t="n"/>
      <x:c r="W440" s="139" t="n"/>
      <x:c r="X440" s="139" t="n"/>
      <x:c r="Y440" s="139" t="n"/>
      <x:c r="Z440" s="139" t="n"/>
      <x:c r="AA440" s="139" t="n"/>
      <x:c r="AB440" s="139" t="n"/>
      <x:c r="AC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c r="V441" s="139" t="n"/>
      <x:c r="W441" s="139" t="n"/>
      <x:c r="X441" s="139" t="n"/>
      <x:c r="Y441" s="139" t="n"/>
      <x:c r="Z441" s="139" t="n"/>
      <x:c r="AA441" s="139" t="n"/>
      <x:c r="AB441" s="139" t="n"/>
      <x:c r="AC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c r="V442" s="139" t="n"/>
      <x:c r="W442" s="139" t="n"/>
      <x:c r="X442" s="139" t="n"/>
      <x:c r="Y442" s="139" t="n"/>
      <x:c r="Z442" s="139" t="n"/>
      <x:c r="AA442" s="139" t="n"/>
      <x:c r="AB442" s="139" t="n"/>
      <x:c r="AC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c r="V443" s="139" t="n"/>
      <x:c r="W443" s="139" t="n"/>
      <x:c r="X443" s="139" t="n"/>
      <x:c r="Y443" s="139" t="n"/>
      <x:c r="Z443" s="139" t="n"/>
      <x:c r="AA443" s="139" t="n"/>
      <x:c r="AB443" s="139" t="n"/>
      <x:c r="AC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c r="V444" s="139" t="n"/>
      <x:c r="W444" s="139" t="n"/>
      <x:c r="X444" s="139" t="n"/>
      <x:c r="Y444" s="139" t="n"/>
      <x:c r="Z444" s="139" t="n"/>
      <x:c r="AA444" s="139" t="n"/>
      <x:c r="AB444" s="139" t="n"/>
      <x:c r="AC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c r="V445" s="139" t="n"/>
      <x:c r="W445" s="139" t="n"/>
      <x:c r="X445" s="139" t="n"/>
      <x:c r="Y445" s="139" t="n"/>
      <x:c r="Z445" s="139" t="n"/>
      <x:c r="AA445" s="139" t="n"/>
      <x:c r="AB445" s="139" t="n"/>
      <x:c r="AC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c r="V446" s="139" t="n"/>
      <x:c r="W446" s="139" t="n"/>
      <x:c r="X446" s="139" t="n"/>
      <x:c r="Y446" s="139" t="n"/>
      <x:c r="Z446" s="139" t="n"/>
      <x:c r="AA446" s="139" t="n"/>
      <x:c r="AB446" s="139" t="n"/>
      <x:c r="AC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c r="V447" s="139" t="n"/>
      <x:c r="W447" s="139" t="n"/>
      <x:c r="X447" s="139" t="n"/>
      <x:c r="Y447" s="139" t="n"/>
      <x:c r="Z447" s="139" t="n"/>
      <x:c r="AA447" s="139" t="n"/>
      <x:c r="AB447" s="139" t="n"/>
      <x:c r="AC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c r="V448" s="139" t="n"/>
      <x:c r="W448" s="139" t="n"/>
      <x:c r="X448" s="139" t="n"/>
      <x:c r="Y448" s="139" t="n"/>
      <x:c r="Z448" s="139" t="n"/>
      <x:c r="AA448" s="139" t="n"/>
      <x:c r="AB448" s="139" t="n"/>
      <x:c r="AC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c r="V449" s="139" t="n"/>
      <x:c r="W449" s="139" t="n"/>
      <x:c r="X449" s="139" t="n"/>
      <x:c r="Y449" s="139" t="n"/>
      <x:c r="Z449" s="139" t="n"/>
      <x:c r="AA449" s="139" t="n"/>
      <x:c r="AB449" s="139" t="n"/>
      <x:c r="AC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c r="V450" s="139" t="n"/>
      <x:c r="W450" s="139" t="n"/>
      <x:c r="X450" s="139" t="n"/>
      <x:c r="Y450" s="139" t="n"/>
      <x:c r="Z450" s="139" t="n"/>
      <x:c r="AA450" s="139" t="n"/>
      <x:c r="AB450" s="139" t="n"/>
      <x:c r="AC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c r="V451" s="139" t="n"/>
      <x:c r="W451" s="139" t="n"/>
      <x:c r="X451" s="139" t="n"/>
      <x:c r="Y451" s="139" t="n"/>
      <x:c r="Z451" s="139" t="n"/>
      <x:c r="AA451" s="139" t="n"/>
      <x:c r="AB451" s="139" t="n"/>
      <x:c r="AC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c r="V452" s="139" t="n"/>
      <x:c r="W452" s="139" t="n"/>
      <x:c r="X452" s="139" t="n"/>
      <x:c r="Y452" s="139" t="n"/>
      <x:c r="Z452" s="139" t="n"/>
      <x:c r="AA452" s="139" t="n"/>
      <x:c r="AB452" s="139" t="n"/>
      <x:c r="AC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c r="V453" s="139" t="n"/>
      <x:c r="W453" s="139" t="n"/>
      <x:c r="X453" s="139" t="n"/>
      <x:c r="Y453" s="139" t="n"/>
      <x:c r="Z453" s="139" t="n"/>
      <x:c r="AA453" s="139" t="n"/>
      <x:c r="AB453" s="139" t="n"/>
      <x:c r="AC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c r="V454" s="139" t="n"/>
      <x:c r="W454" s="139" t="n"/>
      <x:c r="X454" s="139" t="n"/>
      <x:c r="Y454" s="139" t="n"/>
      <x:c r="Z454" s="139" t="n"/>
      <x:c r="AA454" s="139" t="n"/>
      <x:c r="AB454" s="139" t="n"/>
      <x:c r="AC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c r="V455" s="139" t="n"/>
      <x:c r="W455" s="139" t="n"/>
      <x:c r="X455" s="139" t="n"/>
      <x:c r="Y455" s="139" t="n"/>
      <x:c r="Z455" s="139" t="n"/>
      <x:c r="AA455" s="139" t="n"/>
      <x:c r="AB455" s="139" t="n"/>
      <x:c r="AC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c r="V456" s="139" t="n"/>
      <x:c r="W456" s="139" t="n"/>
      <x:c r="X456" s="139" t="n"/>
      <x:c r="Y456" s="139" t="n"/>
      <x:c r="Z456" s="139" t="n"/>
      <x:c r="AA456" s="139" t="n"/>
      <x:c r="AB456" s="139" t="n"/>
      <x:c r="AC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c r="V457" s="139" t="n"/>
      <x:c r="W457" s="139" t="n"/>
      <x:c r="X457" s="139" t="n"/>
      <x:c r="Y457" s="139" t="n"/>
      <x:c r="Z457" s="139" t="n"/>
      <x:c r="AA457" s="139" t="n"/>
      <x:c r="AB457" s="139" t="n"/>
      <x:c r="AC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c r="V458" s="139" t="n"/>
      <x:c r="W458" s="139" t="n"/>
      <x:c r="X458" s="139" t="n"/>
      <x:c r="Y458" s="139" t="n"/>
      <x:c r="Z458" s="139" t="n"/>
      <x:c r="AA458" s="139" t="n"/>
      <x:c r="AB458" s="139" t="n"/>
      <x:c r="AC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c r="V459" s="139" t="n"/>
      <x:c r="W459" s="139" t="n"/>
      <x:c r="X459" s="139" t="n"/>
      <x:c r="Y459" s="139" t="n"/>
      <x:c r="Z459" s="139" t="n"/>
      <x:c r="AA459" s="139" t="n"/>
      <x:c r="AB459" s="139" t="n"/>
      <x:c r="AC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c r="V460" s="139" t="n"/>
      <x:c r="W460" s="139" t="n"/>
      <x:c r="X460" s="139" t="n"/>
      <x:c r="Y460" s="139" t="n"/>
      <x:c r="Z460" s="139" t="n"/>
      <x:c r="AA460" s="139" t="n"/>
      <x:c r="AB460" s="139" t="n"/>
      <x:c r="AC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c r="V461" s="139" t="n"/>
      <x:c r="W461" s="139" t="n"/>
      <x:c r="X461" s="139" t="n"/>
      <x:c r="Y461" s="139" t="n"/>
      <x:c r="Z461" s="139" t="n"/>
      <x:c r="AA461" s="139" t="n"/>
      <x:c r="AB461" s="139" t="n"/>
      <x:c r="AC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c r="V462" s="139" t="n"/>
      <x:c r="W462" s="139" t="n"/>
      <x:c r="X462" s="139" t="n"/>
      <x:c r="Y462" s="139" t="n"/>
      <x:c r="Z462" s="139" t="n"/>
      <x:c r="AA462" s="139" t="n"/>
      <x:c r="AB462" s="139" t="n"/>
      <x:c r="AC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c r="V463" s="139" t="n"/>
      <x:c r="W463" s="139" t="n"/>
      <x:c r="X463" s="139" t="n"/>
      <x:c r="Y463" s="139" t="n"/>
      <x:c r="Z463" s="139" t="n"/>
      <x:c r="AA463" s="139" t="n"/>
      <x:c r="AB463" s="139" t="n"/>
      <x:c r="AC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c r="V464" s="139" t="n"/>
      <x:c r="W464" s="139" t="n"/>
      <x:c r="X464" s="139" t="n"/>
      <x:c r="Y464" s="139" t="n"/>
      <x:c r="Z464" s="139" t="n"/>
      <x:c r="AA464" s="139" t="n"/>
      <x:c r="AB464" s="139" t="n"/>
      <x:c r="AC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c r="V465" s="139" t="n"/>
      <x:c r="W465" s="139" t="n"/>
      <x:c r="X465" s="139" t="n"/>
      <x:c r="Y465" s="139" t="n"/>
      <x:c r="Z465" s="139" t="n"/>
      <x:c r="AA465" s="139" t="n"/>
      <x:c r="AB465" s="139" t="n"/>
      <x:c r="AC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c r="V466" s="139" t="n"/>
      <x:c r="W466" s="139" t="n"/>
      <x:c r="X466" s="139" t="n"/>
      <x:c r="Y466" s="139" t="n"/>
      <x:c r="Z466" s="139" t="n"/>
      <x:c r="AA466" s="139" t="n"/>
      <x:c r="AB466" s="139" t="n"/>
      <x:c r="AC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c r="V467" s="139" t="n"/>
      <x:c r="W467" s="139" t="n"/>
      <x:c r="X467" s="139" t="n"/>
      <x:c r="Y467" s="139" t="n"/>
      <x:c r="Z467" s="139" t="n"/>
      <x:c r="AA467" s="139" t="n"/>
      <x:c r="AB467" s="139" t="n"/>
      <x:c r="AC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c r="V468" s="139" t="n"/>
      <x:c r="W468" s="139" t="n"/>
      <x:c r="X468" s="139" t="n"/>
      <x:c r="Y468" s="139" t="n"/>
      <x:c r="Z468" s="139" t="n"/>
      <x:c r="AA468" s="139" t="n"/>
      <x:c r="AB468" s="139" t="n"/>
      <x:c r="AC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c r="V469" s="139" t="n"/>
      <x:c r="W469" s="139" t="n"/>
      <x:c r="X469" s="139" t="n"/>
      <x:c r="Y469" s="139" t="n"/>
      <x:c r="Z469" s="139" t="n"/>
      <x:c r="AA469" s="139" t="n"/>
      <x:c r="AB469" s="139" t="n"/>
      <x:c r="AC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c r="V470" s="139" t="n"/>
      <x:c r="W470" s="139" t="n"/>
      <x:c r="X470" s="139" t="n"/>
      <x:c r="Y470" s="139" t="n"/>
      <x:c r="Z470" s="139" t="n"/>
      <x:c r="AA470" s="139" t="n"/>
      <x:c r="AB470" s="139" t="n"/>
      <x:c r="AC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c r="V471" s="139" t="n"/>
      <x:c r="W471" s="139" t="n"/>
      <x:c r="X471" s="139" t="n"/>
      <x:c r="Y471" s="139" t="n"/>
      <x:c r="Z471" s="139" t="n"/>
      <x:c r="AA471" s="139" t="n"/>
      <x:c r="AB471" s="139" t="n"/>
      <x:c r="AC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c r="V472" s="139" t="n"/>
      <x:c r="W472" s="139" t="n"/>
      <x:c r="X472" s="139" t="n"/>
      <x:c r="Y472" s="139" t="n"/>
      <x:c r="Z472" s="139" t="n"/>
      <x:c r="AA472" s="139" t="n"/>
      <x:c r="AB472" s="139" t="n"/>
      <x:c r="AC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c r="V473" s="139" t="n"/>
      <x:c r="W473" s="139" t="n"/>
      <x:c r="X473" s="139" t="n"/>
      <x:c r="Y473" s="139" t="n"/>
      <x:c r="Z473" s="139" t="n"/>
      <x:c r="AA473" s="139" t="n"/>
      <x:c r="AB473" s="139" t="n"/>
      <x:c r="AC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c r="V474" s="139" t="n"/>
      <x:c r="W474" s="139" t="n"/>
      <x:c r="X474" s="139" t="n"/>
      <x:c r="Y474" s="139" t="n"/>
      <x:c r="Z474" s="139" t="n"/>
      <x:c r="AA474" s="139" t="n"/>
      <x:c r="AB474" s="139" t="n"/>
      <x:c r="AC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c r="V475" s="139" t="n"/>
      <x:c r="W475" s="139" t="n"/>
      <x:c r="X475" s="139" t="n"/>
      <x:c r="Y475" s="139" t="n"/>
      <x:c r="Z475" s="139" t="n"/>
      <x:c r="AA475" s="139" t="n"/>
      <x:c r="AB475" s="139" t="n"/>
      <x:c r="AC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c r="V476" s="139" t="n"/>
      <x:c r="W476" s="139" t="n"/>
      <x:c r="X476" s="139" t="n"/>
      <x:c r="Y476" s="139" t="n"/>
      <x:c r="Z476" s="139" t="n"/>
      <x:c r="AA476" s="139" t="n"/>
      <x:c r="AB476" s="139" t="n"/>
      <x:c r="AC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c r="V477" s="139" t="n"/>
      <x:c r="W477" s="139" t="n"/>
      <x:c r="X477" s="139" t="n"/>
      <x:c r="Y477" s="139" t="n"/>
      <x:c r="Z477" s="139" t="n"/>
      <x:c r="AA477" s="139" t="n"/>
      <x:c r="AB477" s="139" t="n"/>
      <x:c r="AC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c r="V478" s="139" t="n"/>
      <x:c r="W478" s="139" t="n"/>
      <x:c r="X478" s="139" t="n"/>
      <x:c r="Y478" s="139" t="n"/>
      <x:c r="Z478" s="139" t="n"/>
      <x:c r="AA478" s="139" t="n"/>
      <x:c r="AB478" s="139" t="n"/>
      <x:c r="AC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c r="V479" s="139" t="n"/>
      <x:c r="W479" s="139" t="n"/>
      <x:c r="X479" s="139" t="n"/>
      <x:c r="Y479" s="139" t="n"/>
      <x:c r="Z479" s="139" t="n"/>
      <x:c r="AA479" s="139" t="n"/>
      <x:c r="AB479" s="139" t="n"/>
      <x:c r="AC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c r="V480" s="139" t="n"/>
      <x:c r="W480" s="139" t="n"/>
      <x:c r="X480" s="139" t="n"/>
      <x:c r="Y480" s="139" t="n"/>
      <x:c r="Z480" s="139" t="n"/>
      <x:c r="AA480" s="139" t="n"/>
      <x:c r="AB480" s="139" t="n"/>
      <x:c r="AC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c r="V481" s="139" t="n"/>
      <x:c r="W481" s="139" t="n"/>
      <x:c r="X481" s="139" t="n"/>
      <x:c r="Y481" s="139" t="n"/>
      <x:c r="Z481" s="139" t="n"/>
      <x:c r="AA481" s="139" t="n"/>
      <x:c r="AB481" s="139" t="n"/>
      <x:c r="AC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c r="V482" s="139" t="n"/>
      <x:c r="W482" s="139" t="n"/>
      <x:c r="X482" s="139" t="n"/>
      <x:c r="Y482" s="139" t="n"/>
      <x:c r="Z482" s="139" t="n"/>
      <x:c r="AA482" s="139" t="n"/>
      <x:c r="AB482" s="139" t="n"/>
      <x:c r="AC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c r="V483" s="139" t="n"/>
      <x:c r="W483" s="139" t="n"/>
      <x:c r="X483" s="139" t="n"/>
      <x:c r="Y483" s="139" t="n"/>
      <x:c r="Z483" s="139" t="n"/>
      <x:c r="AA483" s="139" t="n"/>
      <x:c r="AB483" s="139" t="n"/>
      <x:c r="AC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c r="V484" s="139" t="n"/>
      <x:c r="W484" s="139" t="n"/>
      <x:c r="X484" s="139" t="n"/>
      <x:c r="Y484" s="139" t="n"/>
      <x:c r="Z484" s="139" t="n"/>
      <x:c r="AA484" s="139" t="n"/>
      <x:c r="AB484" s="139" t="n"/>
      <x:c r="AC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c r="V485" s="139" t="n"/>
      <x:c r="W485" s="139" t="n"/>
      <x:c r="X485" s="139" t="n"/>
      <x:c r="Y485" s="139" t="n"/>
      <x:c r="Z485" s="139" t="n"/>
      <x:c r="AA485" s="139" t="n"/>
      <x:c r="AB485" s="139" t="n"/>
      <x:c r="AC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c r="V486" s="139" t="n"/>
      <x:c r="W486" s="139" t="n"/>
      <x:c r="X486" s="139" t="n"/>
      <x:c r="Y486" s="139" t="n"/>
      <x:c r="Z486" s="139" t="n"/>
      <x:c r="AA486" s="139" t="n"/>
      <x:c r="AB486" s="139" t="n"/>
      <x:c r="AC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c r="V487" s="139" t="n"/>
      <x:c r="W487" s="139" t="n"/>
      <x:c r="X487" s="139" t="n"/>
      <x:c r="Y487" s="139" t="n"/>
      <x:c r="Z487" s="139" t="n"/>
      <x:c r="AA487" s="139" t="n"/>
      <x:c r="AB487" s="139" t="n"/>
      <x:c r="AC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c r="V488" s="139" t="n"/>
      <x:c r="W488" s="139" t="n"/>
      <x:c r="X488" s="139" t="n"/>
      <x:c r="Y488" s="139" t="n"/>
      <x:c r="Z488" s="139" t="n"/>
      <x:c r="AA488" s="139" t="n"/>
      <x:c r="AB488" s="139" t="n"/>
      <x:c r="AC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c r="V489" s="139" t="n"/>
      <x:c r="W489" s="139" t="n"/>
      <x:c r="X489" s="139" t="n"/>
      <x:c r="Y489" s="139" t="n"/>
      <x:c r="Z489" s="139" t="n"/>
      <x:c r="AA489" s="139" t="n"/>
      <x:c r="AB489" s="139" t="n"/>
      <x:c r="AC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c r="V490" s="139" t="n"/>
      <x:c r="W490" s="139" t="n"/>
      <x:c r="X490" s="139" t="n"/>
      <x:c r="Y490" s="139" t="n"/>
      <x:c r="Z490" s="139" t="n"/>
      <x:c r="AA490" s="139" t="n"/>
      <x:c r="AB490" s="139" t="n"/>
      <x:c r="AC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c r="V491" s="139" t="n"/>
      <x:c r="W491" s="139" t="n"/>
      <x:c r="X491" s="139" t="n"/>
      <x:c r="Y491" s="139" t="n"/>
      <x:c r="Z491" s="139" t="n"/>
      <x:c r="AA491" s="139" t="n"/>
      <x:c r="AB491" s="139" t="n"/>
      <x:c r="AC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c r="V492" s="139" t="n"/>
      <x:c r="W492" s="139" t="n"/>
      <x:c r="X492" s="139" t="n"/>
      <x:c r="Y492" s="139" t="n"/>
      <x:c r="Z492" s="139" t="n"/>
      <x:c r="AA492" s="139" t="n"/>
      <x:c r="AB492" s="139" t="n"/>
      <x:c r="AC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c r="V493" s="139" t="n"/>
      <x:c r="W493" s="139" t="n"/>
      <x:c r="X493" s="139" t="n"/>
      <x:c r="Y493" s="139" t="n"/>
      <x:c r="Z493" s="139" t="n"/>
      <x:c r="AA493" s="139" t="n"/>
      <x:c r="AB493" s="139" t="n"/>
      <x:c r="AC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c r="V494" s="139" t="n"/>
      <x:c r="W494" s="139" t="n"/>
      <x:c r="X494" s="139" t="n"/>
      <x:c r="Y494" s="139" t="n"/>
      <x:c r="Z494" s="139" t="n"/>
      <x:c r="AA494" s="139" t="n"/>
      <x:c r="AB494" s="139" t="n"/>
      <x:c r="AC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c r="V495" s="139" t="n"/>
      <x:c r="W495" s="139" t="n"/>
      <x:c r="X495" s="139" t="n"/>
      <x:c r="Y495" s="139" t="n"/>
      <x:c r="Z495" s="139" t="n"/>
      <x:c r="AA495" s="139" t="n"/>
      <x:c r="AB495" s="139" t="n"/>
      <x:c r="AC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c r="V496" s="139" t="n"/>
      <x:c r="W496" s="139" t="n"/>
      <x:c r="X496" s="139" t="n"/>
      <x:c r="Y496" s="139" t="n"/>
      <x:c r="Z496" s="139" t="n"/>
      <x:c r="AA496" s="139" t="n"/>
      <x:c r="AB496" s="139" t="n"/>
      <x:c r="AC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c r="V497" s="139" t="n"/>
      <x:c r="W497" s="139" t="n"/>
      <x:c r="X497" s="139" t="n"/>
      <x:c r="Y497" s="139" t="n"/>
      <x:c r="Z497" s="139" t="n"/>
      <x:c r="AA497" s="139" t="n"/>
      <x:c r="AB497" s="139" t="n"/>
      <x:c r="AC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c r="V498" s="139" t="n"/>
      <x:c r="W498" s="139" t="n"/>
      <x:c r="X498" s="139" t="n"/>
      <x:c r="Y498" s="139" t="n"/>
      <x:c r="Z498" s="139" t="n"/>
      <x:c r="AA498" s="139" t="n"/>
      <x:c r="AB498" s="139" t="n"/>
      <x:c r="AC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c r="V499" s="139" t="n"/>
      <x:c r="W499" s="139" t="n"/>
      <x:c r="X499" s="139" t="n"/>
      <x:c r="Y499" s="139" t="n"/>
      <x:c r="Z499" s="139" t="n"/>
      <x:c r="AA499" s="139" t="n"/>
      <x:c r="AB499" s="139" t="n"/>
      <x:c r="AC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c r="V500" s="139" t="n"/>
      <x:c r="W500" s="139" t="n"/>
      <x:c r="X500" s="139" t="n"/>
      <x:c r="Y500" s="139" t="n"/>
      <x:c r="Z500" s="139" t="n"/>
      <x:c r="AA500" s="139" t="n"/>
      <x:c r="AB500" s="139" t="n"/>
      <x:c r="AC500" s="139" t="n"/>
    </x:row>
  </x:sheetData>
  <x:conditionalFormatting sqref="G2:G21">
    <x:cfRule type="colorScale" priority="1">
      <x:colorScale>
        <x:cfvo type="min"/>
        <x:cfvo type="percentile" val="50"/>
        <x:cfvo type="max"/>
        <x:color rgb="FFF4CCCC"/>
        <x:color rgb="FFFFF2CC"/>
        <x:color rgb="FFD9EAD3"/>
      </x:colorScale>
    </x:cfRule>
  </x:conditionalFormatting>
  <x:conditionalFormatting sqref="K2:K21">
    <x:cfRule type="dataBar" priority="2">
      <x:dataBar>
        <x:cfvo type="min"/>
        <x:cfvo type="max"/>
        <x:color rgb="FFA02B93"/>
      </x:dataBar>
    </x:cfRule>
  </x:conditionalFormatting>
  <x:conditionalFormatting sqref="Z2:Z21">
    <x:cfRule type="dataBar" priority="3">
      <x:dataBar>
        <x:cfvo type="min"/>
        <x:cfvo type="max"/>
        <x:color rgb="FFA02B93"/>
      </x:dataBar>
    </x:cfRule>
  </x:conditionalFormatting>
  <x:conditionalFormatting sqref="AB2:AC21">
    <x:cfRule type="dataBar" priority="4">
      <x:dataBar>
        <x:cfvo type="min"/>
        <x:cfvo type="max"/>
        <x:color rgb="FFA02B93"/>
      </x:dataBar>
    </x:cfRule>
  </x:conditionalFormatting>
  <x:pageMargins left="0.7" right="0.7" top="0.75" bottom="0.75" header="0.3" footer="0.3"/>
  <x:tableParts count="1">
    <x:tablePart xmlns:r="http://schemas.openxmlformats.org/officeDocument/2006/relationships" r:id="R5e9ea5e273f544ef"/>
  </x:tableParts>
</x:worksheet>
</file>

<file path=xl/worksheets/sheet7.xml><?xml version="1.0" encoding="utf-8"?>
<x:worksheet xmlns:x="http://schemas.openxmlformats.org/spreadsheetml/2006/main">
  <x:sheetFormatPr baseColWidth="8" defaultRowHeight="15"/>
  <x:cols>
    <x:col min="1" max="1" width="18" style="125" customWidth="1"/>
    <x:col min="2" max="2" width="18" style="125" customWidth="1"/>
    <x:col min="3" max="3" width="14" style="125" customWidth="1"/>
    <x:col min="4" max="4" width="14" style="125" customWidth="1"/>
    <x:col min="5" max="5" width="14" style="125" customWidth="1"/>
    <x:col min="6" max="6" width="14" style="125" customWidth="1"/>
    <x:col min="7" max="7" width="14" style="125" customWidth="1"/>
    <x:col min="8" max="8" width="14" style="125" customWidth="1"/>
    <x:col min="9" max="9" width="14" style="125" customWidth="1"/>
    <x:col min="10" max="10" width="14" style="125" customWidth="1"/>
    <x:col min="11" max="11" width="14" style="125" customWidth="1"/>
    <x:col min="12" max="12" width="14" style="125" customWidth="1"/>
  </x:cols>
  <x:sheetData>
    <x:row r="1">
      <x:c r="A1" s="92" t="inlineStr">
        <x:is>
          <x:t xml:space="preserve">Player 1</x:t>
        </x:is>
      </x:c>
      <x:c r="B1" s="92" t="inlineStr">
        <x:is>
          <x:t xml:space="preserve">Player 2</x:t>
        </x:is>
      </x:c>
      <x:c r="C1" s="92" t="inlineStr">
        <x:is>
          <x:t xml:space="preserve">MP</x:t>
        </x:is>
      </x:c>
      <x:c r="D1" s="92" t="inlineStr">
        <x:is>
          <x:t xml:space="preserve">W</x:t>
        </x:is>
      </x:c>
      <x:c r="E1" s="92" t="inlineStr">
        <x:is>
          <x:t xml:space="preserve">L</x:t>
        </x:is>
      </x:c>
      <x:c r="F1" s="92" t="inlineStr">
        <x:is>
          <x:t xml:space="preserve">Observed Win %</x:t>
        </x:is>
      </x:c>
      <x:c r="G1" s="92" t="inlineStr">
        <x:is>
          <x:t xml:space="preserve">Expected Win %</x:t>
        </x:is>
      </x:c>
      <x:c r="H1" s="92" t="inlineStr">
        <x:is>
          <x:t xml:space="preserve">Chemistry Delta</x:t>
        </x:is>
      </x:c>
      <x:c r="I1" s="92" t="inlineStr">
        <x:is>
          <x:t xml:space="preserve">PF</x:t>
        </x:is>
      </x:c>
      <x:c r="J1" s="92" t="inlineStr">
        <x:is>
          <x:t xml:space="preserve">PA</x:t>
        </x:is>
      </x:c>
      <x:c r="K1" s="92" t="inlineStr">
        <x:is>
          <x:t xml:space="preserve">Point Diff</x:t>
        </x:is>
      </x:c>
      <x:c r="L1" s="92" t="inlineStr">
        <x:is>
          <x:t xml:space="preserve">Point Diff / Match</x:t>
        </x:is>
      </x:c>
    </x:row>
    <x:row r="2">
      <x:c r="A2" s="139" t="inlineStr">
        <x:is>
          <x:t xml:space="preserve">Edy SP</x:t>
        </x:is>
      </x:c>
      <x:c r="B2" s="139" t="inlineStr">
        <x:is>
          <x:t xml:space="preserve">Ricky</x:t>
        </x:is>
      </x:c>
      <x:c r="C2" s="139" t="n">
        <x:v>4</x:v>
      </x:c>
      <x:c r="D2" s="139" t="n">
        <x:v>3</x:v>
      </x:c>
      <x:c r="E2" s="139" t="n">
        <x:v>1</x:v>
      </x:c>
      <x:c r="F2" s="93" t="n">
        <x:v>0.75</x:v>
      </x:c>
      <x:c r="G2" s="93" t="n">
        <x:v>0.5410256410256411</x:v>
      </x:c>
      <x:c r="H2" s="93" t="n">
        <x:v>0.2089743589743589</x:v>
      </x:c>
      <x:c r="I2" s="139" t="n">
        <x:v>18</x:v>
      </x:c>
      <x:c r="J2" s="139" t="n">
        <x:v>12</x:v>
      </x:c>
      <x:c r="K2" s="139" t="n">
        <x:v>6</x:v>
      </x:c>
      <x:c r="L2" s="139" t="n">
        <x:v>1.5</x:v>
      </x:c>
    </x:row>
    <x:row r="3">
      <x:c r="A3" s="139" t="inlineStr">
        <x:is>
          <x:t xml:space="preserve">Edy SP</x:t>
        </x:is>
      </x:c>
      <x:c r="B3" s="139" t="inlineStr">
        <x:is>
          <x:t xml:space="preserve">Ronald</x:t>
        </x:is>
      </x:c>
      <x:c r="C3" s="139" t="n">
        <x:v>3</x:v>
      </x:c>
      <x:c r="D3" s="139" t="n">
        <x:v>2</x:v>
      </x:c>
      <x:c r="E3" s="139" t="n">
        <x:v>1</x:v>
      </x:c>
      <x:c r="F3" s="93" t="n">
        <x:v>0.6666666666666666</x:v>
      </x:c>
      <x:c r="G3" s="93" t="n">
        <x:v>0.5666666666666667</x:v>
      </x:c>
      <x:c r="H3" s="93" t="n">
        <x:v>0.09999999999999998</x:v>
      </x:c>
      <x:c r="I3" s="139" t="n">
        <x:v>12</x:v>
      </x:c>
      <x:c r="J3" s="139" t="n">
        <x:v>6</x:v>
      </x:c>
      <x:c r="K3" s="139" t="n">
        <x:v>6</x:v>
      </x:c>
      <x:c r="L3" s="139" t="n">
        <x:v>2</x:v>
      </x:c>
    </x:row>
    <x:row r="4">
      <x:c r="A4" s="139" t="inlineStr">
        <x:is>
          <x:t xml:space="preserve">Edy SP</x:t>
        </x:is>
      </x:c>
      <x:c r="B4" s="139" t="inlineStr">
        <x:is>
          <x:t xml:space="preserve">Rizky</x:t>
        </x:is>
      </x:c>
      <x:c r="C4" s="139" t="n">
        <x:v>2</x:v>
      </x:c>
      <x:c r="D4" s="139" t="n">
        <x:v>2</x:v>
      </x:c>
      <x:c r="E4" s="139" t="n">
        <x:v>0</x:v>
      </x:c>
      <x:c r="F4" s="93" t="n">
        <x:v>1</x:v>
      </x:c>
      <x:c r="G4" s="93" t="n">
        <x:v>0.5666666666666667</x:v>
      </x:c>
      <x:c r="H4" s="93" t="n">
        <x:v>0.4333333333333333</x:v>
      </x:c>
      <x:c r="I4" s="139" t="n">
        <x:v>12</x:v>
      </x:c>
      <x:c r="J4" s="139" t="n">
        <x:v>8</x:v>
      </x:c>
      <x:c r="K4" s="139" t="n">
        <x:v>4</x:v>
      </x:c>
      <x:c r="L4" s="139" t="n">
        <x:v>2</x:v>
      </x:c>
    </x:row>
    <x:row r="5">
      <x:c r="A5" s="139" t="inlineStr">
        <x:is>
          <x:t xml:space="preserve">Kennard</x:t>
        </x:is>
      </x:c>
      <x:c r="B5" s="139" t="inlineStr">
        <x:is>
          <x:t xml:space="preserve">Michael</x:t>
        </x:is>
      </x:c>
      <x:c r="C5" s="139" t="n">
        <x:v>2</x:v>
      </x:c>
      <x:c r="D5" s="139" t="n">
        <x:v>2</x:v>
      </x:c>
      <x:c r="E5" s="139" t="n">
        <x:v>0</x:v>
      </x:c>
      <x:c r="F5" s="93" t="n">
        <x:v>1</x:v>
      </x:c>
      <x:c r="G5" s="93" t="n">
        <x:v>0.5769230769230769</x:v>
      </x:c>
      <x:c r="H5" s="93" t="n">
        <x:v>0.4230769230769231</x:v>
      </x:c>
      <x:c r="I5" s="139" t="n">
        <x:v>8</x:v>
      </x:c>
      <x:c r="J5" s="139" t="n">
        <x:v>3</x:v>
      </x:c>
      <x:c r="K5" s="139" t="n">
        <x:v>5</x:v>
      </x:c>
      <x:c r="L5" s="139" t="n">
        <x:v>2.5</x:v>
      </x:c>
    </x:row>
    <x:row r="6">
      <x:c r="A6" s="139" t="inlineStr">
        <x:is>
          <x:t xml:space="preserve">Ricky</x:t>
        </x:is>
      </x:c>
      <x:c r="B6" s="139" t="inlineStr">
        <x:is>
          <x:t xml:space="preserve">Rizky</x:t>
        </x:is>
      </x:c>
      <x:c r="C6" s="139" t="n">
        <x:v>2</x:v>
      </x:c>
      <x:c r="D6" s="139" t="n">
        <x:v>2</x:v>
      </x:c>
      <x:c r="E6" s="139" t="n">
        <x:v>0</x:v>
      </x:c>
      <x:c r="F6" s="93" t="n">
        <x:v>1</x:v>
      </x:c>
      <x:c r="G6" s="93" t="n">
        <x:v>0.641025641025641</x:v>
      </x:c>
      <x:c r="H6" s="93" t="n">
        <x:v>0.358974358974359</x:v>
      </x:c>
      <x:c r="I6" s="139" t="n">
        <x:v>13</x:v>
      </x:c>
      <x:c r="J6" s="139" t="n">
        <x:v>7</x:v>
      </x:c>
      <x:c r="K6" s="139" t="n">
        <x:v>6</x:v>
      </x:c>
      <x:c r="L6" s="139" t="n">
        <x:v>3</x:v>
      </x:c>
    </x:row>
    <x:row r="7">
      <x:c r="A7" s="139" t="inlineStr">
        <x:is>
          <x:t xml:space="preserve">Kennard</x:t>
        </x:is>
      </x:c>
      <x:c r="B7" s="139" t="inlineStr">
        <x:is>
          <x:t xml:space="preserve">Ricky</x:t>
        </x:is>
      </x:c>
      <x:c r="C7" s="139" t="n">
        <x:v>2</x:v>
      </x:c>
      <x:c r="D7" s="139" t="n">
        <x:v>2</x:v>
      </x:c>
      <x:c r="E7" s="139" t="n">
        <x:v>0</x:v>
      </x:c>
      <x:c r="F7" s="93" t="n">
        <x:v>1</x:v>
      </x:c>
      <x:c r="G7" s="93" t="n">
        <x:v>0.6538461538461539</x:v>
      </x:c>
      <x:c r="H7" s="93" t="n">
        <x:v>0.3461538461538461</x:v>
      </x:c>
      <x:c r="I7" s="139" t="n">
        <x:v>8</x:v>
      </x:c>
      <x:c r="J7" s="139" t="n">
        <x:v>3</x:v>
      </x:c>
      <x:c r="K7" s="139" t="n">
        <x:v>5</x:v>
      </x:c>
      <x:c r="L7" s="139" t="n">
        <x:v>2.5</x:v>
      </x:c>
    </x:row>
    <x:row r="8">
      <x:c r="A8" s="139" t="inlineStr">
        <x:is>
          <x:t xml:space="preserve">Edy SP</x:t>
        </x:is>
      </x:c>
      <x:c r="B8" s="139" t="inlineStr">
        <x:is>
          <x:t xml:space="preserve">Sandy</x:t>
        </x:is>
      </x:c>
      <x:c r="C8" s="139" t="n">
        <x:v>2</x:v>
      </x:c>
      <x:c r="D8" s="139" t="n">
        <x:v>2</x:v>
      </x:c>
      <x:c r="E8" s="139" t="n">
        <x:v>0</x:v>
      </x:c>
      <x:c r="F8" s="93" t="n">
        <x:v>1</x:v>
      </x:c>
      <x:c r="G8" s="93" t="n">
        <x:v>0.6564102564102564</x:v>
      </x:c>
      <x:c r="H8" s="93" t="n">
        <x:v>0.3435897435897436</x:v>
      </x:c>
      <x:c r="I8" s="139" t="n">
        <x:v>7</x:v>
      </x:c>
      <x:c r="J8" s="139" t="n">
        <x:v>3</x:v>
      </x:c>
      <x:c r="K8" s="139" t="n">
        <x:v>4</x:v>
      </x:c>
      <x:c r="L8" s="139" t="n">
        <x:v>2</x:v>
      </x:c>
    </x:row>
    <x:row r="9">
      <x:c r="A9" s="139" t="inlineStr">
        <x:is>
          <x:t xml:space="preserve">Ricky</x:t>
        </x:is>
      </x:c>
      <x:c r="B9" s="139" t="inlineStr">
        <x:is>
          <x:t xml:space="preserve">Sandy</x:t>
        </x:is>
      </x:c>
      <x:c r="C9" s="139" t="n">
        <x:v>2</x:v>
      </x:c>
      <x:c r="D9" s="139" t="n">
        <x:v>2</x:v>
      </x:c>
      <x:c r="E9" s="139" t="n">
        <x:v>0</x:v>
      </x:c>
      <x:c r="F9" s="93" t="n">
        <x:v>1</x:v>
      </x:c>
      <x:c r="G9" s="93" t="n">
        <x:v>0.7307692307692308</x:v>
      </x:c>
      <x:c r="H9" s="93" t="n">
        <x:v>0.2692307692307692</x:v>
      </x:c>
      <x:c r="I9" s="139" t="n">
        <x:v>10</x:v>
      </x:c>
      <x:c r="J9" s="139" t="n">
        <x:v>0</x:v>
      </x:c>
      <x:c r="K9" s="139" t="n">
        <x:v>10</x:v>
      </x:c>
      <x:c r="L9" s="139" t="n">
        <x:v>5</x:v>
      </x:c>
    </x:row>
    <x:row r="10">
      <x:c r="A10" s="139" t="inlineStr">
        <x:is>
          <x:t xml:space="preserve">Alice</x:t>
        </x:is>
      </x:c>
      <x:c r="B10" s="139" t="inlineStr">
        <x:is>
          <x:t xml:space="preserve">Ronald</x:t>
        </x:is>
      </x:c>
      <x:c r="C10" s="139" t="n">
        <x:v>2</x:v>
      </x:c>
      <x:c r="D10" s="139" t="n">
        <x:v>1</x:v>
      </x:c>
      <x:c r="E10" s="139" t="n">
        <x:v>1</x:v>
      </x:c>
      <x:c r="F10" s="93" t="n">
        <x:v>0.5</x:v>
      </x:c>
      <x:c r="G10" s="93" t="n">
        <x:v>0.369047619047619</x:v>
      </x:c>
      <x:c r="H10" s="93" t="n">
        <x:v>0.130952380952381</x:v>
      </x:c>
      <x:c r="I10" s="139" t="n">
        <x:v>6</x:v>
      </x:c>
      <x:c r="J10" s="139" t="n">
        <x:v>6</x:v>
      </x:c>
      <x:c r="K10" s="139" t="n">
        <x:v>0</x:v>
      </x:c>
      <x:c r="L10" s="139" t="n">
        <x:v>0</x:v>
      </x:c>
    </x:row>
    <x:row r="11">
      <x:c r="A11" s="139" t="inlineStr">
        <x:is>
          <x:t xml:space="preserve">David</x:t>
        </x:is>
      </x:c>
      <x:c r="B11" s="139" t="inlineStr">
        <x:is>
          <x:t xml:space="preserve">Edy SP</x:t>
        </x:is>
      </x:c>
      <x:c r="C11" s="139" t="n">
        <x:v>2</x:v>
      </x:c>
      <x:c r="D11" s="139" t="n">
        <x:v>1</x:v>
      </x:c>
      <x:c r="E11" s="139" t="n">
        <x:v>1</x:v>
      </x:c>
      <x:c r="F11" s="93" t="n">
        <x:v>0.5</x:v>
      </x:c>
      <x:c r="G11" s="93" t="n">
        <x:v>0.4416666666666667</x:v>
      </x:c>
      <x:c r="H11" s="93" t="n">
        <x:v>0.05833333333333335</x:v>
      </x:c>
      <x:c r="I11" s="139" t="n">
        <x:v>4</x:v>
      </x:c>
      <x:c r="J11" s="139" t="n">
        <x:v>8</x:v>
      </x:c>
      <x:c r="K11" s="139" t="n">
        <x:v>-4</x:v>
      </x:c>
      <x:c r="L11" s="139" t="n">
        <x:v>-2</x:v>
      </x:c>
    </x:row>
    <x:row r="12">
      <x:c r="A12" s="139" t="inlineStr">
        <x:is>
          <x:t xml:space="preserve">David</x:t>
        </x:is>
      </x:c>
      <x:c r="B12" s="139" t="inlineStr">
        <x:is>
          <x:t xml:space="preserve">Ricky</x:t>
        </x:is>
      </x:c>
      <x:c r="C12" s="139" t="n">
        <x:v>2</x:v>
      </x:c>
      <x:c r="D12" s="139" t="n">
        <x:v>1</x:v>
      </x:c>
      <x:c r="E12" s="139" t="n">
        <x:v>1</x:v>
      </x:c>
      <x:c r="F12" s="93" t="n">
        <x:v>0.5</x:v>
      </x:c>
      <x:c r="G12" s="93" t="n">
        <x:v>0.5160256410256411</x:v>
      </x:c>
      <x:c r="H12" s="93" t="n">
        <x:v>-0.01602564102564108</x:v>
      </x:c>
      <x:c r="I12" s="139" t="n">
        <x:v>5</x:v>
      </x:c>
      <x:c r="J12" s="139" t="n">
        <x:v>7</x:v>
      </x:c>
      <x:c r="K12" s="139" t="n">
        <x:v>-2</x:v>
      </x:c>
      <x:c r="L12" s="139" t="n">
        <x:v>-1</x:v>
      </x:c>
    </x:row>
    <x:row r="13">
      <x:c r="A13" s="139" t="inlineStr">
        <x:is>
          <x:t xml:space="preserve">Michael</x:t>
        </x:is>
      </x:c>
      <x:c r="B13" s="139" t="inlineStr">
        <x:is>
          <x:t xml:space="preserve">Ricky</x:t>
        </x:is>
      </x:c>
      <x:c r="C13" s="139" t="n">
        <x:v>2</x:v>
      </x:c>
      <x:c r="D13" s="139" t="n">
        <x:v>1</x:v>
      </x:c>
      <x:c r="E13" s="139" t="n">
        <x:v>1</x:v>
      </x:c>
      <x:c r="F13" s="93" t="n">
        <x:v>0.5</x:v>
      </x:c>
      <x:c r="G13" s="93" t="n">
        <x:v>0.5384615384615385</x:v>
      </x:c>
      <x:c r="H13" s="93" t="n">
        <x:v>-0.03846153846153855</x:v>
      </x:c>
      <x:c r="I13" s="139" t="n">
        <x:v>6</x:v>
      </x:c>
      <x:c r="J13" s="139" t="n">
        <x:v>6</x:v>
      </x:c>
      <x:c r="K13" s="139" t="n">
        <x:v>0</x:v>
      </x:c>
      <x:c r="L13" s="139" t="n">
        <x:v>0</x:v>
      </x:c>
    </x:row>
    <x:row r="14">
      <x:c r="A14" s="139" t="inlineStr">
        <x:is>
          <x:t xml:space="preserve">David</x:t>
        </x:is>
      </x:c>
      <x:c r="B14" s="139" t="inlineStr">
        <x:is>
          <x:t xml:space="preserve">Ronald</x:t>
        </x:is>
      </x:c>
      <x:c r="C14" s="139" t="n">
        <x:v>2</x:v>
      </x:c>
      <x:c r="D14" s="139" t="n">
        <x:v>1</x:v>
      </x:c>
      <x:c r="E14" s="139" t="n">
        <x:v>1</x:v>
      </x:c>
      <x:c r="F14" s="93" t="n">
        <x:v>0.5</x:v>
      </x:c>
      <x:c r="G14" s="93" t="n">
        <x:v>0.5416666666666666</x:v>
      </x:c>
      <x:c r="H14" s="93" t="n">
        <x:v>-0.04166666666666663</x:v>
      </x:c>
      <x:c r="I14" s="139" t="n">
        <x:v>6</x:v>
      </x:c>
      <x:c r="J14" s="139" t="n">
        <x:v>6</x:v>
      </x:c>
      <x:c r="K14" s="139" t="n">
        <x:v>0</x:v>
      </x:c>
      <x:c r="L14" s="139" t="n">
        <x:v>0</x:v>
      </x:c>
    </x:row>
    <x:row r="15">
      <x:c r="A15" s="139" t="inlineStr">
        <x:is>
          <x:t xml:space="preserve">Edy SP</x:t>
        </x:is>
      </x:c>
      <x:c r="B15" s="139" t="inlineStr">
        <x:is>
          <x:t xml:space="preserve">Hansen</x:t>
        </x:is>
      </x:c>
      <x:c r="C15" s="139" t="n">
        <x:v>2</x:v>
      </x:c>
      <x:c r="D15" s="139" t="n">
        <x:v>0</x:v>
      </x:c>
      <x:c r="E15" s="139" t="n">
        <x:v>2</x:v>
      </x:c>
      <x:c r="F15" s="93" t="n">
        <x:v>0</x:v>
      </x:c>
      <x:c r="G15" s="93" t="n">
        <x:v>0.2333333333333333</x:v>
      </x:c>
      <x:c r="H15" s="93" t="n">
        <x:v>-0.2333333333333333</x:v>
      </x:c>
      <x:c r="I15" s="139" t="n">
        <x:v>7</x:v>
      </x:c>
      <x:c r="J15" s="139" t="n">
        <x:v>13</x:v>
      </x:c>
      <x:c r="K15" s="139" t="n">
        <x:v>-6</x:v>
      </x:c>
      <x:c r="L15" s="139" t="n">
        <x:v>-3</x:v>
      </x:c>
    </x:row>
    <x:row r="16">
      <x:c r="A16" s="139" t="inlineStr">
        <x:is>
          <x:t xml:space="preserve">Alice</x:t>
        </x:is>
      </x:c>
      <x:c r="B16" s="139" t="inlineStr">
        <x:is>
          <x:t xml:space="preserve">David</x:t>
        </x:is>
      </x:c>
      <x:c r="C16" s="139" t="n">
        <x:v>2</x:v>
      </x:c>
      <x:c r="D16" s="139" t="n">
        <x:v>0</x:v>
      </x:c>
      <x:c r="E16" s="139" t="n">
        <x:v>2</x:v>
      </x:c>
      <x:c r="F16" s="93" t="n">
        <x:v>0</x:v>
      </x:c>
      <x:c r="G16" s="93" t="n">
        <x:v>0.2440476190476191</x:v>
      </x:c>
      <x:c r="H16" s="93" t="n">
        <x:v>-0.2440476190476191</x:v>
      </x:c>
      <x:c r="I16" s="139" t="n">
        <x:v>3</x:v>
      </x:c>
      <x:c r="J16" s="139" t="n">
        <x:v>8</x:v>
      </x:c>
      <x:c r="K16" s="139" t="n">
        <x:v>-5</x:v>
      </x:c>
      <x:c r="L16" s="139" t="n">
        <x:v>-2.5</x:v>
      </x:c>
    </x:row>
    <x:row r="17">
      <x:c r="A17" s="139" t="inlineStr">
        <x:is>
          <x:t xml:space="preserve">Hansen</x:t>
        </x:is>
      </x:c>
      <x:c r="B17" s="139" t="inlineStr">
        <x:is>
          <x:t xml:space="preserve">Ricky</x:t>
        </x:is>
      </x:c>
      <x:c r="C17" s="139" t="n">
        <x:v>2</x:v>
      </x:c>
      <x:c r="D17" s="139" t="n">
        <x:v>0</x:v>
      </x:c>
      <x:c r="E17" s="139" t="n">
        <x:v>2</x:v>
      </x:c>
      <x:c r="F17" s="93" t="n">
        <x:v>0</x:v>
      </x:c>
      <x:c r="G17" s="93" t="n">
        <x:v>0.3076923076923077</x:v>
      </x:c>
      <x:c r="H17" s="93" t="n">
        <x:v>-0.3076923076923077</x:v>
      </x:c>
      <x:c r="I17" s="139" t="n">
        <x:v>8</x:v>
      </x:c>
      <x:c r="J17" s="139" t="n">
        <x:v>12</x:v>
      </x:c>
      <x:c r="K17" s="139" t="n">
        <x:v>-4</x:v>
      </x:c>
      <x:c r="L17" s="139" t="n">
        <x:v>-2</x:v>
      </x:c>
    </x:row>
    <x:row r="18">
      <x:c r="A18" s="139" t="inlineStr">
        <x:is>
          <x:t xml:space="preserve">Hansen</x:t>
        </x:is>
      </x:c>
      <x:c r="B18" s="139" t="inlineStr">
        <x:is>
          <x:t xml:space="preserve">Rizky</x:t>
        </x:is>
      </x:c>
      <x:c r="C18" s="139" t="n">
        <x:v>2</x:v>
      </x:c>
      <x:c r="D18" s="139" t="n">
        <x:v>0</x:v>
      </x:c>
      <x:c r="E18" s="139" t="n">
        <x:v>2</x:v>
      </x:c>
      <x:c r="F18" s="93" t="n">
        <x:v>0</x:v>
      </x:c>
      <x:c r="G18" s="93" t="n">
        <x:v>0.3333333333333333</x:v>
      </x:c>
      <x:c r="H18" s="93" t="n">
        <x:v>-0.3333333333333333</x:v>
      </x:c>
      <x:c r="I18" s="139" t="n">
        <x:v>7</x:v>
      </x:c>
      <x:c r="J18" s="139" t="n">
        <x:v>12</x:v>
      </x:c>
      <x:c r="K18" s="139" t="n">
        <x:v>-5</x:v>
      </x:c>
      <x:c r="L18" s="139" t="n">
        <x:v>-2.5</x:v>
      </x:c>
    </x:row>
    <x:row r="19">
      <x:c r="A19" s="139" t="inlineStr">
        <x:is>
          <x:t xml:space="preserve">Edy SP</x:t>
        </x:is>
      </x:c>
      <x:c r="B19" s="139" t="inlineStr">
        <x:is>
          <x:t xml:space="preserve">Welly</x:t>
        </x:is>
      </x:c>
      <x:c r="C19" s="139" t="n">
        <x:v>2</x:v>
      </x:c>
      <x:c r="D19" s="139" t="n">
        <x:v>0</x:v>
      </x:c>
      <x:c r="E19" s="139" t="n">
        <x:v>2</x:v>
      </x:c>
      <x:c r="F19" s="93" t="n">
        <x:v>0</x:v>
      </x:c>
      <x:c r="G19" s="93" t="n">
        <x:v>0.3333333333333334</x:v>
      </x:c>
      <x:c r="H19" s="93" t="n">
        <x:v>-0.3333333333333334</x:v>
      </x:c>
      <x:c r="I19" s="139" t="n">
        <x:v>5</x:v>
      </x:c>
      <x:c r="J19" s="139" t="n">
        <x:v>9</x:v>
      </x:c>
      <x:c r="K19" s="139" t="n">
        <x:v>-4</x:v>
      </x:c>
      <x:c r="L19" s="139" t="n">
        <x:v>-2</x:v>
      </x:c>
    </x:row>
    <x:row r="20">
      <x:c r="A20" s="139" t="inlineStr">
        <x:is>
          <x:t xml:space="preserve">Edy SP</x:t>
        </x:is>
      </x:c>
      <x:c r="B20" s="139" t="inlineStr">
        <x:is>
          <x:t xml:space="preserve">Michael</x:t>
        </x:is>
      </x:c>
      <x:c r="C20" s="139" t="n">
        <x:v>2</x:v>
      </x:c>
      <x:c r="D20" s="139" t="n">
        <x:v>0</x:v>
      </x:c>
      <x:c r="E20" s="139" t="n">
        <x:v>2</x:v>
      </x:c>
      <x:c r="F20" s="93" t="n">
        <x:v>0</x:v>
      </x:c>
      <x:c r="G20" s="93" t="n">
        <x:v>0.4641025641025641</x:v>
      </x:c>
      <x:c r="H20" s="93" t="n">
        <x:v>-0.4641025641025641</x:v>
      </x:c>
      <x:c r="I20" s="139" t="n">
        <x:v>3</x:v>
      </x:c>
      <x:c r="J20" s="139" t="n">
        <x:v>7</x:v>
      </x:c>
      <x:c r="K20" s="139" t="n">
        <x:v>-4</x:v>
      </x:c>
      <x:c r="L20" s="139" t="n">
        <x:v>-2</x:v>
      </x:c>
    </x:row>
    <x:row r="21">
      <x:c r="A21" s="139" t="inlineStr">
        <x:is>
          <x:t xml:space="preserve">Austin</x:t>
        </x:is>
      </x:c>
      <x:c r="B21" s="139" t="inlineStr">
        <x:is>
          <x:t xml:space="preserve">Edy SP</x:t>
        </x:is>
      </x:c>
      <x:c r="C21" s="139" t="n">
        <x:v>2</x:v>
      </x:c>
      <x:c r="D21" s="139" t="n">
        <x:v>0</x:v>
      </x:c>
      <x:c r="E21" s="139" t="n">
        <x:v>2</x:v>
      </x:c>
      <x:c r="F21" s="93" t="n">
        <x:v>0</x:v>
      </x:c>
      <x:c r="G21" s="93" t="n">
        <x:v>0.5547619047619048</x:v>
      </x:c>
      <x:c r="H21" s="93" t="n">
        <x:v>-0.5547619047619048</x:v>
      </x:c>
      <x:c r="I21" s="139" t="n">
        <x:v>3</x:v>
      </x:c>
      <x:c r="J21" s="139" t="n">
        <x:v>7</x:v>
      </x:c>
      <x:c r="K21" s="139" t="n">
        <x:v>-4</x:v>
      </x:c>
      <x:c r="L21" s="139" t="n">
        <x:v>-2</x:v>
      </x:c>
    </x:row>
    <x:row r="22">
      <x:c r="A22" s="139" t="inlineStr">
        <x:is>
          <x:t xml:space="preserve">Austin</x:t>
        </x:is>
      </x:c>
      <x:c r="B22" s="139" t="inlineStr">
        <x:is>
          <x:t xml:space="preserve">Welly</x:t>
        </x:is>
      </x:c>
      <x:c r="C22" s="139" t="n">
        <x:v>1</x:v>
      </x:c>
      <x:c r="D22" s="139" t="n">
        <x:v>1</x:v>
      </x:c>
      <x:c r="E22" s="139" t="n">
        <x:v>0</x:v>
      </x:c>
      <x:c r="F22" s="93" t="n">
        <x:v>1</x:v>
      </x:c>
      <x:c r="G22" s="93" t="n">
        <x:v>0.4214285714285715</x:v>
      </x:c>
      <x:c r="H22" s="93" t="n">
        <x:v>0.5785714285714285</x:v>
      </x:c>
      <x:c r="I22" s="139" t="n">
        <x:v>4</x:v>
      </x:c>
      <x:c r="J22" s="139" t="n">
        <x:v>1</x:v>
      </x:c>
      <x:c r="K22" s="139" t="n">
        <x:v>3</x:v>
      </x:c>
      <x:c r="L22" s="139" t="n">
        <x:v>3</x:v>
      </x:c>
    </x:row>
    <x:row r="23">
      <x:c r="A23" s="139" t="inlineStr">
        <x:is>
          <x:t xml:space="preserve">Edy SP</x:t>
        </x:is>
      </x:c>
      <x:c r="B23" s="139" t="inlineStr">
        <x:is>
          <x:t xml:space="preserve">Nicholas</x:t>
        </x:is>
      </x:c>
      <x:c r="C23" s="139" t="n">
        <x:v>1</x:v>
      </x:c>
      <x:c r="D23" s="139" t="n">
        <x:v>1</x:v>
      </x:c>
      <x:c r="E23" s="139" t="n">
        <x:v>0</x:v>
      </x:c>
      <x:c r="F23" s="93" t="n">
        <x:v>1</x:v>
      </x:c>
      <x:c r="G23" s="93" t="n">
        <x:v>0.4476190476190476</x:v>
      </x:c>
      <x:c r="H23" s="93" t="n">
        <x:v>0.5523809523809524</x:v>
      </x:c>
      <x:c r="I23" s="139" t="n">
        <x:v>4</x:v>
      </x:c>
      <x:c r="J23" s="139" t="n">
        <x:v>1</x:v>
      </x:c>
      <x:c r="K23" s="139" t="n">
        <x:v>3</x:v>
      </x:c>
      <x:c r="L23" s="139" t="n">
        <x:v>3</x:v>
      </x:c>
    </x:row>
    <x:row r="24">
      <x:c r="A24" s="139" t="inlineStr">
        <x:is>
          <x:t xml:space="preserve">Nico</x:t>
        </x:is>
      </x:c>
      <x:c r="B24" s="139" t="inlineStr">
        <x:is>
          <x:t xml:space="preserve">Ricky</x:t>
        </x:is>
      </x:c>
      <x:c r="C24" s="139" t="n">
        <x:v>1</x:v>
      </x:c>
      <x:c r="D24" s="139" t="n">
        <x:v>1</x:v>
      </x:c>
      <x:c r="E24" s="139" t="n">
        <x:v>0</x:v>
      </x:c>
      <x:c r="F24" s="93" t="n">
        <x:v>1</x:v>
      </x:c>
      <x:c r="G24" s="93" t="n">
        <x:v>0.4743589743589743</x:v>
      </x:c>
      <x:c r="H24" s="93" t="n">
        <x:v>0.5256410256410257</x:v>
      </x:c>
      <x:c r="I24" s="139" t="n">
        <x:v>4</x:v>
      </x:c>
      <x:c r="J24" s="139" t="n">
        <x:v>1</x:v>
      </x:c>
      <x:c r="K24" s="139" t="n">
        <x:v>3</x:v>
      </x:c>
      <x:c r="L24" s="139" t="n">
        <x:v>3</x:v>
      </x:c>
    </x:row>
    <x:row r="25">
      <x:c r="A25" s="139" t="inlineStr">
        <x:is>
          <x:t xml:space="preserve">Austin</x:t>
        </x:is>
      </x:c>
      <x:c r="B25" s="139" t="inlineStr">
        <x:is>
          <x:t xml:space="preserve">Reza</x:t>
        </x:is>
      </x:c>
      <x:c r="C25" s="139" t="n">
        <x:v>1</x:v>
      </x:c>
      <x:c r="D25" s="139" t="n">
        <x:v>1</x:v>
      </x:c>
      <x:c r="E25" s="139" t="n">
        <x:v>0</x:v>
      </x:c>
      <x:c r="F25" s="93" t="n">
        <x:v>1</x:v>
      </x:c>
      <x:c r="G25" s="93" t="n">
        <x:v>0.4880952380952381</x:v>
      </x:c>
      <x:c r="H25" s="93" t="n">
        <x:v>0.5119047619047619</x:v>
      </x:c>
      <x:c r="I25" s="139" t="n">
        <x:v>3</x:v>
      </x:c>
      <x:c r="J25" s="139" t="n">
        <x:v>2</x:v>
      </x:c>
      <x:c r="K25" s="139" t="n">
        <x:v>1</x:v>
      </x:c>
      <x:c r="L25" s="139" t="n">
        <x:v>1</x:v>
      </x:c>
    </x:row>
    <x:row r="26">
      <x:c r="A26" s="139" t="inlineStr">
        <x:is>
          <x:t xml:space="preserve">Austin</x:t>
        </x:is>
      </x:c>
      <x:c r="B26" s="139" t="inlineStr">
        <x:is>
          <x:t xml:space="preserve">Donny</x:t>
        </x:is>
      </x:c>
      <x:c r="C26" s="139" t="n">
        <x:v>1</x:v>
      </x:c>
      <x:c r="D26" s="139" t="n">
        <x:v>1</x:v>
      </x:c>
      <x:c r="E26" s="139" t="n">
        <x:v>0</x:v>
      </x:c>
      <x:c r="F26" s="93" t="n">
        <x:v>1</x:v>
      </x:c>
      <x:c r="G26" s="93" t="n">
        <x:v>0.5032467532467533</x:v>
      </x:c>
      <x:c r="H26" s="93" t="n">
        <x:v>0.4967532467532467</x:v>
      </x:c>
      <x:c r="I26" s="139" t="n">
        <x:v>3</x:v>
      </x:c>
      <x:c r="J26" s="139" t="n">
        <x:v>2</x:v>
      </x:c>
      <x:c r="K26" s="139" t="n">
        <x:v>1</x:v>
      </x:c>
      <x:c r="L26" s="139" t="n">
        <x:v>1</x:v>
      </x:c>
    </x:row>
    <x:row r="27">
      <x:c r="A27" s="139" t="inlineStr">
        <x:is>
          <x:t xml:space="preserve">Alwin</x:t>
        </x:is>
      </x:c>
      <x:c r="B27" s="139" t="inlineStr">
        <x:is>
          <x:t xml:space="preserve">Sandy</x:t>
        </x:is>
      </x:c>
      <x:c r="C27" s="139" t="n">
        <x:v>1</x:v>
      </x:c>
      <x:c r="D27" s="139" t="n">
        <x:v>1</x:v>
      </x:c>
      <x:c r="E27" s="139" t="n">
        <x:v>0</x:v>
      </x:c>
      <x:c r="F27" s="93" t="n">
        <x:v>1</x:v>
      </x:c>
      <x:c r="G27" s="93" t="n">
        <x:v>0.5064102564102564</x:v>
      </x:c>
      <x:c r="H27" s="93" t="n">
        <x:v>0.4935897435897436</x:v>
      </x:c>
      <x:c r="I27" s="139" t="n">
        <x:v>4</x:v>
      </x:c>
      <x:c r="J27" s="139" t="n">
        <x:v>1</x:v>
      </x:c>
      <x:c r="K27" s="139" t="n">
        <x:v>3</x:v>
      </x:c>
      <x:c r="L27" s="139" t="n">
        <x:v>3</x:v>
      </x:c>
    </x:row>
    <x:row r="28">
      <x:c r="A28" s="139" t="inlineStr">
        <x:is>
          <x:t xml:space="preserve">Donny</x:t>
        </x:is>
      </x:c>
      <x:c r="B28" s="139" t="inlineStr">
        <x:is>
          <x:t xml:space="preserve">Jonathan</x:t>
        </x:is>
      </x:c>
      <x:c r="C28" s="139" t="n">
        <x:v>1</x:v>
      </x:c>
      <x:c r="D28" s="139" t="n">
        <x:v>1</x:v>
      </x:c>
      <x:c r="E28" s="139" t="n">
        <x:v>0</x:v>
      </x:c>
      <x:c r="F28" s="93" t="n">
        <x:v>1</x:v>
      </x:c>
      <x:c r="G28" s="93" t="n">
        <x:v>0.5151515151515151</x:v>
      </x:c>
      <x:c r="H28" s="93" t="n">
        <x:v>0.4848484848484849</x:v>
      </x:c>
      <x:c r="I28" s="139" t="n">
        <x:v>3</x:v>
      </x:c>
      <x:c r="J28" s="139" t="n">
        <x:v>2</x:v>
      </x:c>
      <x:c r="K28" s="139" t="n">
        <x:v>1</x:v>
      </x:c>
      <x:c r="L28" s="139" t="n">
        <x:v>1</x:v>
      </x:c>
    </x:row>
    <x:row r="29">
      <x:c r="A29" s="139" t="inlineStr">
        <x:is>
          <x:t xml:space="preserve">Nicholas</x:t>
        </x:is>
      </x:c>
      <x:c r="B29" s="139" t="inlineStr">
        <x:is>
          <x:t xml:space="preserve">Ricky</x:t>
        </x:is>
      </x:c>
      <x:c r="C29" s="139" t="n">
        <x:v>1</x:v>
      </x:c>
      <x:c r="D29" s="139" t="n">
        <x:v>1</x:v>
      </x:c>
      <x:c r="E29" s="139" t="n">
        <x:v>0</x:v>
      </x:c>
      <x:c r="F29" s="93" t="n">
        <x:v>1</x:v>
      </x:c>
      <x:c r="G29" s="93" t="n">
        <x:v>0.521978021978022</x:v>
      </x:c>
      <x:c r="H29" s="93" t="n">
        <x:v>0.478021978021978</x:v>
      </x:c>
      <x:c r="I29" s="139" t="n">
        <x:v>3</x:v>
      </x:c>
      <x:c r="J29" s="139" t="n">
        <x:v>2</x:v>
      </x:c>
      <x:c r="K29" s="139" t="n">
        <x:v>1</x:v>
      </x:c>
      <x:c r="L29" s="139" t="n">
        <x:v>1</x:v>
      </x:c>
    </x:row>
    <x:row r="30">
      <x:c r="A30" s="139" t="inlineStr">
        <x:is>
          <x:t xml:space="preserve">Nico</x:t>
        </x:is>
      </x:c>
      <x:c r="B30" s="139" t="inlineStr">
        <x:is>
          <x:t xml:space="preserve">Rey</x:t>
        </x:is>
      </x:c>
      <x:c r="C30" s="139" t="n">
        <x:v>1</x:v>
      </x:c>
      <x:c r="D30" s="139" t="n">
        <x:v>1</x:v>
      </x:c>
      <x:c r="E30" s="139" t="n">
        <x:v>0</x:v>
      </x:c>
      <x:c r="F30" s="93" t="n">
        <x:v>1</x:v>
      </x:c>
      <x:c r="G30" s="93" t="n">
        <x:v>0.5238095238095238</x:v>
      </x:c>
      <x:c r="H30" s="93" t="n">
        <x:v>0.4761904761904762</x:v>
      </x:c>
      <x:c r="I30" s="139" t="n">
        <x:v>4</x:v>
      </x:c>
      <x:c r="J30" s="139" t="n">
        <x:v>1</x:v>
      </x:c>
      <x:c r="K30" s="139" t="n">
        <x:v>3</x:v>
      </x:c>
      <x:c r="L30" s="139" t="n">
        <x:v>3</x:v>
      </x:c>
    </x:row>
    <x:row r="31">
      <x:c r="A31" s="139" t="inlineStr">
        <x:is>
          <x:t xml:space="preserve">Nicholas</x:t>
        </x:is>
      </x:c>
      <x:c r="B31" s="139" t="inlineStr">
        <x:is>
          <x:t xml:space="preserve">Ronald</x:t>
        </x:is>
      </x:c>
      <x:c r="C31" s="139" t="n">
        <x:v>1</x:v>
      </x:c>
      <x:c r="D31" s="139" t="n">
        <x:v>1</x:v>
      </x:c>
      <x:c r="E31" s="139" t="n">
        <x:v>0</x:v>
      </x:c>
      <x:c r="F31" s="93" t="n">
        <x:v>1</x:v>
      </x:c>
      <x:c r="G31" s="93" t="n">
        <x:v>0.5476190476190476</x:v>
      </x:c>
      <x:c r="H31" s="93" t="n">
        <x:v>0.4523809523809524</x:v>
      </x:c>
      <x:c r="I31" s="139" t="n">
        <x:v>3</x:v>
      </x:c>
      <x:c r="J31" s="139" t="n">
        <x:v>2</x:v>
      </x:c>
      <x:c r="K31" s="139" t="n">
        <x:v>1</x:v>
      </x:c>
      <x:c r="L31" s="139" t="n">
        <x:v>1</x:v>
      </x:c>
    </x:row>
    <x:row r="32">
      <x:c r="A32" s="139" t="inlineStr">
        <x:is>
          <x:t xml:space="preserve">Austin</x:t>
        </x:is>
      </x:c>
      <x:c r="B32" s="139" t="inlineStr">
        <x:is>
          <x:t xml:space="preserve">Michael</x:t>
        </x:is>
      </x:c>
      <x:c r="C32" s="139" t="n">
        <x:v>1</x:v>
      </x:c>
      <x:c r="D32" s="139" t="n">
        <x:v>1</x:v>
      </x:c>
      <x:c r="E32" s="139" t="n">
        <x:v>0</x:v>
      </x:c>
      <x:c r="F32" s="93" t="n">
        <x:v>1</x:v>
      </x:c>
      <x:c r="G32" s="93" t="n">
        <x:v>0.5521978021978022</x:v>
      </x:c>
      <x:c r="H32" s="93" t="n">
        <x:v>0.4478021978021978</x:v>
      </x:c>
      <x:c r="I32" s="139" t="n">
        <x:v>5</x:v>
      </x:c>
      <x:c r="J32" s="139" t="n">
        <x:v>0</x:v>
      </x:c>
      <x:c r="K32" s="139" t="n">
        <x:v>5</x:v>
      </x:c>
      <x:c r="L32" s="139" t="n">
        <x:v>5</x:v>
      </x:c>
    </x:row>
    <x:row r="33">
      <x:c r="A33" s="139" t="inlineStr">
        <x:is>
          <x:t xml:space="preserve">David</x:t>
        </x:is>
      </x:c>
      <x:c r="B33" s="139" t="inlineStr">
        <x:is>
          <x:t xml:space="preserve">Kennard</x:t>
        </x:is>
      </x:c>
      <x:c r="C33" s="139" t="n">
        <x:v>1</x:v>
      </x:c>
      <x:c r="D33" s="139" t="n">
        <x:v>1</x:v>
      </x:c>
      <x:c r="E33" s="139" t="n">
        <x:v>0</x:v>
      </x:c>
      <x:c r="F33" s="93" t="n">
        <x:v>1</x:v>
      </x:c>
      <x:c r="G33" s="93" t="n">
        <x:v>0.5544871794871795</x:v>
      </x:c>
      <x:c r="H33" s="93" t="n">
        <x:v>0.4455128205128205</x:v>
      </x:c>
      <x:c r="I33" s="139" t="n">
        <x:v>4</x:v>
      </x:c>
      <x:c r="J33" s="139" t="n">
        <x:v>3</x:v>
      </x:c>
      <x:c r="K33" s="139" t="n">
        <x:v>1</x:v>
      </x:c>
      <x:c r="L33" s="139" t="n">
        <x:v>1</x:v>
      </x:c>
    </x:row>
    <x:row r="34">
      <x:c r="A34" s="139" t="inlineStr">
        <x:is>
          <x:t xml:space="preserve">Michael</x:t>
        </x:is>
      </x:c>
      <x:c r="B34" s="139" t="inlineStr">
        <x:is>
          <x:t xml:space="preserve">Ronald</x:t>
        </x:is>
      </x:c>
      <x:c r="C34" s="139" t="n">
        <x:v>1</x:v>
      </x:c>
      <x:c r="D34" s="139" t="n">
        <x:v>1</x:v>
      </x:c>
      <x:c r="E34" s="139" t="n">
        <x:v>0</x:v>
      </x:c>
      <x:c r="F34" s="93" t="n">
        <x:v>1</x:v>
      </x:c>
      <x:c r="G34" s="93" t="n">
        <x:v>0.5641025641025641</x:v>
      </x:c>
      <x:c r="H34" s="93" t="n">
        <x:v>0.4358974358974359</x:v>
      </x:c>
      <x:c r="I34" s="139" t="n">
        <x:v>4</x:v>
      </x:c>
      <x:c r="J34" s="139" t="n">
        <x:v>3</x:v>
      </x:c>
      <x:c r="K34" s="139" t="n">
        <x:v>1</x:v>
      </x:c>
      <x:c r="L34" s="139" t="n">
        <x:v>1</x:v>
      </x:c>
    </x:row>
    <x:row r="35">
      <x:c r="A35" s="139" t="inlineStr">
        <x:is>
          <x:t xml:space="preserve">Edy SP</x:t>
        </x:is>
      </x:c>
      <x:c r="B35" s="139" t="inlineStr">
        <x:is>
          <x:t xml:space="preserve">Kennard</x:t>
        </x:is>
      </x:c>
      <x:c r="C35" s="139" t="n">
        <x:v>1</x:v>
      </x:c>
      <x:c r="D35" s="139" t="n">
        <x:v>1</x:v>
      </x:c>
      <x:c r="E35" s="139" t="n">
        <x:v>0</x:v>
      </x:c>
      <x:c r="F35" s="93" t="n">
        <x:v>1</x:v>
      </x:c>
      <x:c r="G35" s="93" t="n">
        <x:v>0.5794871794871794</x:v>
      </x:c>
      <x:c r="H35" s="93" t="n">
        <x:v>0.4205128205128206</x:v>
      </x:c>
      <x:c r="I35" s="139" t="n">
        <x:v>4</x:v>
      </x:c>
      <x:c r="J35" s="139" t="n">
        <x:v>1</x:v>
      </x:c>
      <x:c r="K35" s="139" t="n">
        <x:v>3</x:v>
      </x:c>
      <x:c r="L35" s="139" t="n">
        <x:v>3</x:v>
      </x:c>
    </x:row>
    <x:row r="36">
      <x:c r="A36" s="139" t="inlineStr">
        <x:is>
          <x:t xml:space="preserve">Reza</x:t>
        </x:is>
      </x:c>
      <x:c r="B36" s="139" t="inlineStr">
        <x:is>
          <x:t xml:space="preserve">Sandy</x:t>
        </x:is>
      </x:c>
      <x:c r="C36" s="139" t="n">
        <x:v>1</x:v>
      </x:c>
      <x:c r="D36" s="139" t="n">
        <x:v>1</x:v>
      </x:c>
      <x:c r="E36" s="139" t="n">
        <x:v>0</x:v>
      </x:c>
      <x:c r="F36" s="93" t="n">
        <x:v>1</x:v>
      </x:c>
      <x:c r="G36" s="93" t="n">
        <x:v>0.5897435897435898</x:v>
      </x:c>
      <x:c r="H36" s="93" t="n">
        <x:v>0.4102564102564102</x:v>
      </x:c>
      <x:c r="I36" s="139" t="n">
        <x:v>3</x:v>
      </x:c>
      <x:c r="J36" s="139" t="n">
        <x:v>2</x:v>
      </x:c>
      <x:c r="K36" s="139" t="n">
        <x:v>1</x:v>
      </x:c>
      <x:c r="L36" s="139" t="n">
        <x:v>1</x:v>
      </x:c>
    </x:row>
    <x:row r="37">
      <x:c r="A37" s="139" t="inlineStr">
        <x:is>
          <x:t xml:space="preserve">Edy SP</x:t>
        </x:is>
      </x:c>
      <x:c r="B37" s="139" t="inlineStr">
        <x:is>
          <x:t xml:space="preserve">Rey</x:t>
        </x:is>
      </x:c>
      <x:c r="C37" s="139" t="n">
        <x:v>1</x:v>
      </x:c>
      <x:c r="D37" s="139" t="n">
        <x:v>1</x:v>
      </x:c>
      <x:c r="E37" s="139" t="n">
        <x:v>0</x:v>
      </x:c>
      <x:c r="F37" s="93" t="n">
        <x:v>1</x:v>
      </x:c>
      <x:c r="G37" s="93" t="n">
        <x:v>0.5904761904761905</x:v>
      </x:c>
      <x:c r="H37" s="93" t="n">
        <x:v>0.4095238095238095</x:v>
      </x:c>
      <x:c r="I37" s="139" t="n">
        <x:v>4</x:v>
      </x:c>
      <x:c r="J37" s="139" t="n">
        <x:v>0</x:v>
      </x:c>
      <x:c r="K37" s="139" t="n">
        <x:v>4</x:v>
      </x:c>
      <x:c r="L37" s="139" t="n">
        <x:v>4</x:v>
      </x:c>
    </x:row>
    <x:row r="38">
      <x:c r="A38" s="139" t="inlineStr">
        <x:is>
          <x:t xml:space="preserve">Thohir</x:t>
        </x:is>
      </x:c>
      <x:c r="B38" s="139" t="inlineStr">
        <x:is>
          <x:t xml:space="preserve">Welly</x:t>
        </x:is>
      </x:c>
      <x:c r="C38" s="139" t="n">
        <x:v>1</x:v>
      </x:c>
      <x:c r="D38" s="139" t="n">
        <x:v>1</x:v>
      </x:c>
      <x:c r="E38" s="139" t="n">
        <x:v>0</x:v>
      </x:c>
      <x:c r="F38" s="93" t="n">
        <x:v>1</x:v>
      </x:c>
      <x:c r="G38" s="93" t="n">
        <x:v>0.6</x:v>
      </x:c>
      <x:c r="H38" s="93" t="n">
        <x:v>0.4</x:v>
      </x:c>
      <x:c r="I38" s="139" t="n">
        <x:v>6</x:v>
      </x:c>
      <x:c r="J38" s="139" t="n">
        <x:v>3</x:v>
      </x:c>
      <x:c r="K38" s="139" t="n">
        <x:v>3</x:v>
      </x:c>
      <x:c r="L38" s="139" t="n">
        <x:v>3</x:v>
      </x:c>
    </x:row>
    <x:row r="39">
      <x:c r="A39" s="139" t="inlineStr">
        <x:is>
          <x:t xml:space="preserve">Donny</x:t>
        </x:is>
      </x:c>
      <x:c r="B39" s="139" t="inlineStr">
        <x:is>
          <x:t xml:space="preserve">Sandy</x:t>
        </x:is>
      </x:c>
      <x:c r="C39" s="139" t="n">
        <x:v>1</x:v>
      </x:c>
      <x:c r="D39" s="139" t="n">
        <x:v>1</x:v>
      </x:c>
      <x:c r="E39" s="139" t="n">
        <x:v>0</x:v>
      </x:c>
      <x:c r="F39" s="93" t="n">
        <x:v>1</x:v>
      </x:c>
      <x:c r="G39" s="93" t="n">
        <x:v>0.6048951048951049</x:v>
      </x:c>
      <x:c r="H39" s="93" t="n">
        <x:v>0.3951048951048951</x:v>
      </x:c>
      <x:c r="I39" s="139" t="n">
        <x:v>4</x:v>
      </x:c>
      <x:c r="J39" s="139" t="n">
        <x:v>1</x:v>
      </x:c>
      <x:c r="K39" s="139" t="n">
        <x:v>3</x:v>
      </x:c>
      <x:c r="L39" s="139" t="n">
        <x:v>3</x:v>
      </x:c>
    </x:row>
    <x:row r="40">
      <x:c r="A40" s="139" t="inlineStr">
        <x:is>
          <x:t xml:space="preserve">Austin</x:t>
        </x:is>
      </x:c>
      <x:c r="B40" s="139" t="inlineStr">
        <x:is>
          <x:t xml:space="preserve">Ricky</x:t>
        </x:is>
      </x:c>
      <x:c r="C40" s="139" t="n">
        <x:v>1</x:v>
      </x:c>
      <x:c r="D40" s="139" t="n">
        <x:v>1</x:v>
      </x:c>
      <x:c r="E40" s="139" t="n">
        <x:v>0</x:v>
      </x:c>
      <x:c r="F40" s="93" t="n">
        <x:v>1</x:v>
      </x:c>
      <x:c r="G40" s="93" t="n">
        <x:v>0.6291208791208791</x:v>
      </x:c>
      <x:c r="H40" s="93" t="n">
        <x:v>0.3708791208791209</x:v>
      </x:c>
      <x:c r="I40" s="139" t="n">
        <x:v>5</x:v>
      </x:c>
      <x:c r="J40" s="139" t="n">
        <x:v>0</x:v>
      </x:c>
      <x:c r="K40" s="139" t="n">
        <x:v>5</x:v>
      </x:c>
      <x:c r="L40" s="139" t="n">
        <x:v>5</x:v>
      </x:c>
    </x:row>
    <x:row r="41">
      <x:c r="A41" s="139" t="inlineStr">
        <x:is>
          <x:t xml:space="preserve">David</x:t>
        </x:is>
      </x:c>
      <x:c r="B41" s="139" t="inlineStr">
        <x:is>
          <x:t xml:space="preserve">Sandy</x:t>
        </x:is>
      </x:c>
      <x:c r="C41" s="139" t="n">
        <x:v>1</x:v>
      </x:c>
      <x:c r="D41" s="139" t="n">
        <x:v>1</x:v>
      </x:c>
      <x:c r="E41" s="139" t="n">
        <x:v>0</x:v>
      </x:c>
      <x:c r="F41" s="93" t="n">
        <x:v>1</x:v>
      </x:c>
      <x:c r="G41" s="93" t="n">
        <x:v>0.6314102564102564</x:v>
      </x:c>
      <x:c r="H41" s="93" t="n">
        <x:v>0.3685897435897436</x:v>
      </x:c>
      <x:c r="I41" s="139" t="n">
        <x:v>4</x:v>
      </x:c>
      <x:c r="J41" s="139" t="n">
        <x:v>1</x:v>
      </x:c>
      <x:c r="K41" s="139" t="n">
        <x:v>3</x:v>
      </x:c>
      <x:c r="L41" s="139" t="n">
        <x:v>3</x:v>
      </x:c>
    </x:row>
    <x:row r="42">
      <x:c r="A42" s="139" t="inlineStr">
        <x:is>
          <x:t xml:space="preserve">Jonathan</x:t>
        </x:is>
      </x:c>
      <x:c r="B42" s="139" t="inlineStr">
        <x:is>
          <x:t xml:space="preserve">Ricky</x:t>
        </x:is>
      </x:c>
      <x:c r="C42" s="139" t="n">
        <x:v>1</x:v>
      </x:c>
      <x:c r="D42" s="139" t="n">
        <x:v>1</x:v>
      </x:c>
      <x:c r="E42" s="139" t="n">
        <x:v>0</x:v>
      </x:c>
      <x:c r="F42" s="93" t="n">
        <x:v>1</x:v>
      </x:c>
      <x:c r="G42" s="93" t="n">
        <x:v>0.641025641025641</x:v>
      </x:c>
      <x:c r="H42" s="93" t="n">
        <x:v>0.358974358974359</x:v>
      </x:c>
      <x:c r="I42" s="139" t="n">
        <x:v>3</x:v>
      </x:c>
      <x:c r="J42" s="139" t="n">
        <x:v>2</x:v>
      </x:c>
      <x:c r="K42" s="139" t="n">
        <x:v>1</x:v>
      </x:c>
      <x:c r="L42" s="139" t="n">
        <x:v>1</x:v>
      </x:c>
    </x:row>
    <x:row r="43">
      <x:c r="A43" s="139" t="inlineStr">
        <x:is>
          <x:t xml:space="preserve">Michael</x:t>
        </x:is>
      </x:c>
      <x:c r="B43" s="139" t="inlineStr">
        <x:is>
          <x:t xml:space="preserve">Sandy</x:t>
        </x:is>
      </x:c>
      <x:c r="C43" s="139" t="n">
        <x:v>1</x:v>
      </x:c>
      <x:c r="D43" s="139" t="n">
        <x:v>1</x:v>
      </x:c>
      <x:c r="E43" s="139" t="n">
        <x:v>0</x:v>
      </x:c>
      <x:c r="F43" s="93" t="n">
        <x:v>1</x:v>
      </x:c>
      <x:c r="G43" s="93" t="n">
        <x:v>0.6538461538461539</x:v>
      </x:c>
      <x:c r="H43" s="93" t="n">
        <x:v>0.3461538461538461</x:v>
      </x:c>
      <x:c r="I43" s="139" t="n">
        <x:v>4</x:v>
      </x:c>
      <x:c r="J43" s="139" t="n">
        <x:v>1</x:v>
      </x:c>
      <x:c r="K43" s="139" t="n">
        <x:v>3</x:v>
      </x:c>
      <x:c r="L43" s="139" t="n">
        <x:v>3</x:v>
      </x:c>
    </x:row>
    <x:row r="44">
      <x:c r="A44" s="139" t="inlineStr">
        <x:is>
          <x:t xml:space="preserve">Austin</x:t>
        </x:is>
      </x:c>
      <x:c r="B44" s="139" t="inlineStr">
        <x:is>
          <x:t xml:space="preserve">Jonathan</x:t>
        </x:is>
      </x:c>
      <x:c r="C44" s="139" t="n">
        <x:v>1</x:v>
      </x:c>
      <x:c r="D44" s="139" t="n">
        <x:v>1</x:v>
      </x:c>
      <x:c r="E44" s="139" t="n">
        <x:v>0</x:v>
      </x:c>
      <x:c r="F44" s="93" t="n">
        <x:v>1</x:v>
      </x:c>
      <x:c r="G44" s="93" t="n">
        <x:v>0.6547619047619048</x:v>
      </x:c>
      <x:c r="H44" s="93" t="n">
        <x:v>0.3452380952380952</x:v>
      </x:c>
      <x:c r="I44" s="139" t="n">
        <x:v>5</x:v>
      </x:c>
      <x:c r="J44" s="139" t="n">
        <x:v>0</x:v>
      </x:c>
      <x:c r="K44" s="139" t="n">
        <x:v>5</x:v>
      </x:c>
      <x:c r="L44" s="139" t="n">
        <x:v>5</x:v>
      </x:c>
    </x:row>
    <x:row r="45">
      <x:c r="A45" s="139" t="inlineStr">
        <x:is>
          <x:t xml:space="preserve">Austin</x:t>
        </x:is>
      </x:c>
      <x:c r="B45" s="139" t="inlineStr">
        <x:is>
          <x:t xml:space="preserve">Ronald</x:t>
        </x:is>
      </x:c>
      <x:c r="C45" s="139" t="n">
        <x:v>1</x:v>
      </x:c>
      <x:c r="D45" s="139" t="n">
        <x:v>1</x:v>
      </x:c>
      <x:c r="E45" s="139" t="n">
        <x:v>0</x:v>
      </x:c>
      <x:c r="F45" s="93" t="n">
        <x:v>1</x:v>
      </x:c>
      <x:c r="G45" s="93" t="n">
        <x:v>0.6547619047619048</x:v>
      </x:c>
      <x:c r="H45" s="93" t="n">
        <x:v>0.3452380952380952</x:v>
      </x:c>
      <x:c r="I45" s="139" t="n">
        <x:v>4</x:v>
      </x:c>
      <x:c r="J45" s="139" t="n">
        <x:v>1</x:v>
      </x:c>
      <x:c r="K45" s="139" t="n">
        <x:v>3</x:v>
      </x:c>
      <x:c r="L45" s="139" t="n">
        <x:v>3</x:v>
      </x:c>
    </x:row>
    <x:row r="46">
      <x:c r="A46" s="139" t="inlineStr">
        <x:is>
          <x:t xml:space="preserve">Rey</x:t>
        </x:is>
      </x:c>
      <x:c r="B46" s="139" t="inlineStr">
        <x:is>
          <x:t xml:space="preserve">Ricky</x:t>
        </x:is>
      </x:c>
      <x:c r="C46" s="139" t="n">
        <x:v>1</x:v>
      </x:c>
      <x:c r="D46" s="139" t="n">
        <x:v>1</x:v>
      </x:c>
      <x:c r="E46" s="139" t="n">
        <x:v>0</x:v>
      </x:c>
      <x:c r="F46" s="93" t="n">
        <x:v>1</x:v>
      </x:c>
      <x:c r="G46" s="93" t="n">
        <x:v>0.6648351648351649</x:v>
      </x:c>
      <x:c r="H46" s="93" t="n">
        <x:v>0.3351648351648351</x:v>
      </x:c>
      <x:c r="I46" s="139" t="n">
        <x:v>4</x:v>
      </x:c>
      <x:c r="J46" s="139" t="n">
        <x:v>1</x:v>
      </x:c>
      <x:c r="K46" s="139" t="n">
        <x:v>3</x:v>
      </x:c>
      <x:c r="L46" s="139" t="n">
        <x:v>3</x:v>
      </x:c>
    </x:row>
    <x:row r="47">
      <x:c r="A47" s="139" t="inlineStr">
        <x:is>
          <x:t xml:space="preserve">Jonathan</x:t>
        </x:is>
      </x:c>
      <x:c r="B47" s="139" t="inlineStr">
        <x:is>
          <x:t xml:space="preserve">Ronald</x:t>
        </x:is>
      </x:c>
      <x:c r="C47" s="139" t="n">
        <x:v>1</x:v>
      </x:c>
      <x:c r="D47" s="139" t="n">
        <x:v>1</x:v>
      </x:c>
      <x:c r="E47" s="139" t="n">
        <x:v>0</x:v>
      </x:c>
      <x:c r="F47" s="93" t="n">
        <x:v>1</x:v>
      </x:c>
      <x:c r="G47" s="93" t="n">
        <x:v>0.6666666666666666</x:v>
      </x:c>
      <x:c r="H47" s="93" t="n">
        <x:v>0.3333333333333334</x:v>
      </x:c>
      <x:c r="I47" s="139" t="n">
        <x:v>3</x:v>
      </x:c>
      <x:c r="J47" s="139" t="n">
        <x:v>2</x:v>
      </x:c>
      <x:c r="K47" s="139" t="n">
        <x:v>1</x:v>
      </x:c>
      <x:c r="L47" s="139" t="n">
        <x:v>1</x:v>
      </x:c>
    </x:row>
    <x:row r="48">
      <x:c r="A48" s="139" t="inlineStr">
        <x:is>
          <x:t xml:space="preserve">Austin</x:t>
        </x:is>
      </x:c>
      <x:c r="B48" s="139" t="inlineStr">
        <x:is>
          <x:t xml:space="preserve">Kennard</x:t>
        </x:is>
      </x:c>
      <x:c r="C48" s="139" t="n">
        <x:v>1</x:v>
      </x:c>
      <x:c r="D48" s="139" t="n">
        <x:v>1</x:v>
      </x:c>
      <x:c r="E48" s="139" t="n">
        <x:v>0</x:v>
      </x:c>
      <x:c r="F48" s="93" t="n">
        <x:v>1</x:v>
      </x:c>
      <x:c r="G48" s="93" t="n">
        <x:v>0.6675824175824177</x:v>
      </x:c>
      <x:c r="H48" s="93" t="n">
        <x:v>0.3324175824175823</x:v>
      </x:c>
      <x:c r="I48" s="139" t="n">
        <x:v>4</x:v>
      </x:c>
      <x:c r="J48" s="139" t="n">
        <x:v>1</x:v>
      </x:c>
      <x:c r="K48" s="139" t="n">
        <x:v>3</x:v>
      </x:c>
      <x:c r="L48" s="139" t="n">
        <x:v>3</x:v>
      </x:c>
    </x:row>
    <x:row r="49">
      <x:c r="A49" s="139" t="inlineStr">
        <x:is>
          <x:t xml:space="preserve">Kennard</x:t>
        </x:is>
      </x:c>
      <x:c r="B49" s="139" t="inlineStr">
        <x:is>
          <x:t xml:space="preserve">Ronald</x:t>
        </x:is>
      </x:c>
      <x:c r="C49" s="139" t="n">
        <x:v>1</x:v>
      </x:c>
      <x:c r="D49" s="139" t="n">
        <x:v>1</x:v>
      </x:c>
      <x:c r="E49" s="139" t="n">
        <x:v>0</x:v>
      </x:c>
      <x:c r="F49" s="93" t="n">
        <x:v>1</x:v>
      </x:c>
      <x:c r="G49" s="93" t="n">
        <x:v>0.6794871794871795</x:v>
      </x:c>
      <x:c r="H49" s="93" t="n">
        <x:v>0.3205128205128205</x:v>
      </x:c>
      <x:c r="I49" s="139" t="n">
        <x:v>4</x:v>
      </x:c>
      <x:c r="J49" s="139" t="n">
        <x:v>1</x:v>
      </x:c>
      <x:c r="K49" s="139" t="n">
        <x:v>3</x:v>
      </x:c>
      <x:c r="L49" s="139" t="n">
        <x:v>3</x:v>
      </x:c>
    </x:row>
    <x:row r="50">
      <x:c r="A50" s="139" t="inlineStr">
        <x:is>
          <x:t xml:space="preserve">Donny</x:t>
        </x:is>
      </x:c>
      <x:c r="B50" s="139" t="inlineStr">
        <x:is>
          <x:t xml:space="preserve">Thohir</x:t>
        </x:is>
      </x:c>
      <x:c r="C50" s="139" t="n">
        <x:v>1</x:v>
      </x:c>
      <x:c r="D50" s="139" t="n">
        <x:v>1</x:v>
      </x:c>
      <x:c r="E50" s="139" t="n">
        <x:v>0</x:v>
      </x:c>
      <x:c r="F50" s="93" t="n">
        <x:v>1</x:v>
      </x:c>
      <x:c r="G50" s="93" t="n">
        <x:v>0.6818181818181819</x:v>
      </x:c>
      <x:c r="H50" s="93" t="n">
        <x:v>0.3181818181818181</x:v>
      </x:c>
      <x:c r="I50" s="139" t="n">
        <x:v>6</x:v>
      </x:c>
      <x:c r="J50" s="139" t="n">
        <x:v>4</x:v>
      </x:c>
      <x:c r="K50" s="139" t="n">
        <x:v>2</x:v>
      </x:c>
      <x:c r="L50" s="139" t="n">
        <x:v>2</x:v>
      </x:c>
    </x:row>
    <x:row r="51">
      <x:c r="A51" s="139" t="inlineStr">
        <x:is>
          <x:t xml:space="preserve">Rey</x:t>
        </x:is>
      </x:c>
      <x:c r="B51" s="139" t="inlineStr">
        <x:is>
          <x:t xml:space="preserve">Ronald</x:t>
        </x:is>
      </x:c>
      <x:c r="C51" s="139" t="n">
        <x:v>1</x:v>
      </x:c>
      <x:c r="D51" s="139" t="n">
        <x:v>1</x:v>
      </x:c>
      <x:c r="E51" s="139" t="n">
        <x:v>0</x:v>
      </x:c>
      <x:c r="F51" s="93" t="n">
        <x:v>1</x:v>
      </x:c>
      <x:c r="G51" s="93" t="n">
        <x:v>0.6904761904761905</x:v>
      </x:c>
      <x:c r="H51" s="93" t="n">
        <x:v>0.3095238095238095</x:v>
      </x:c>
      <x:c r="I51" s="139" t="n">
        <x:v>4</x:v>
      </x:c>
      <x:c r="J51" s="139" t="n">
        <x:v>2</x:v>
      </x:c>
      <x:c r="K51" s="139" t="n">
        <x:v>2</x:v>
      </x:c>
      <x:c r="L51" s="139" t="n">
        <x:v>2</x:v>
      </x:c>
    </x:row>
    <x:row r="52">
      <x:c r="A52" s="139" t="inlineStr">
        <x:is>
          <x:t xml:space="preserve">Kennard</x:t>
        </x:is>
      </x:c>
      <x:c r="B52" s="139" t="inlineStr">
        <x:is>
          <x:t xml:space="preserve">Rey</x:t>
        </x:is>
      </x:c>
      <x:c r="C52" s="139" t="n">
        <x:v>1</x:v>
      </x:c>
      <x:c r="D52" s="139" t="n">
        <x:v>1</x:v>
      </x:c>
      <x:c r="E52" s="139" t="n">
        <x:v>0</x:v>
      </x:c>
      <x:c r="F52" s="93" t="n">
        <x:v>1</x:v>
      </x:c>
      <x:c r="G52" s="93" t="n">
        <x:v>0.7032967032967032</x:v>
      </x:c>
      <x:c r="H52" s="93" t="n">
        <x:v>0.2967032967032968</x:v>
      </x:c>
      <x:c r="I52" s="139" t="n">
        <x:v>4</x:v>
      </x:c>
      <x:c r="J52" s="139" t="n">
        <x:v>3</x:v>
      </x:c>
      <x:c r="K52" s="139" t="n">
        <x:v>1</x:v>
      </x:c>
      <x:c r="L52" s="139" t="n">
        <x:v>1</x:v>
      </x:c>
    </x:row>
    <x:row r="53">
      <x:c r="A53" s="139" t="inlineStr">
        <x:is>
          <x:t xml:space="preserve">Edy SP</x:t>
        </x:is>
      </x:c>
      <x:c r="B53" s="139" t="inlineStr">
        <x:is>
          <x:t xml:space="preserve">Thohir</x:t>
        </x:is>
      </x:c>
      <x:c r="C53" s="139" t="n">
        <x:v>1</x:v>
      </x:c>
      <x:c r="D53" s="139" t="n">
        <x:v>1</x:v>
      </x:c>
      <x:c r="E53" s="139" t="n">
        <x:v>0</x:v>
      </x:c>
      <x:c r="F53" s="93" t="n">
        <x:v>1</x:v>
      </x:c>
      <x:c r="G53" s="93" t="n">
        <x:v>0.7333333333333334</x:v>
      </x:c>
      <x:c r="H53" s="93" t="n">
        <x:v>0.2666666666666666</x:v>
      </x:c>
      <x:c r="I53" s="139" t="n">
        <x:v>7</x:v>
      </x:c>
      <x:c r="J53" s="139" t="n">
        <x:v>6</x:v>
      </x:c>
      <x:c r="K53" s="139" t="n">
        <x:v>1</x:v>
      </x:c>
      <x:c r="L53" s="139" t="n">
        <x:v>1</x:v>
      </x:c>
    </x:row>
    <x:row r="54">
      <x:c r="A54" s="139" t="inlineStr">
        <x:is>
          <x:t xml:space="preserve">Austin</x:t>
        </x:is>
      </x:c>
      <x:c r="B54" s="139" t="inlineStr">
        <x:is>
          <x:t xml:space="preserve">Sandy</x:t>
        </x:is>
      </x:c>
      <x:c r="C54" s="139" t="n">
        <x:v>1</x:v>
      </x:c>
      <x:c r="D54" s="139" t="n">
        <x:v>1</x:v>
      </x:c>
      <x:c r="E54" s="139" t="n">
        <x:v>0</x:v>
      </x:c>
      <x:c r="F54" s="93" t="n">
        <x:v>1</x:v>
      </x:c>
      <x:c r="G54" s="93" t="n">
        <x:v>0.7445054945054945</x:v>
      </x:c>
      <x:c r="H54" s="93" t="n">
        <x:v>0.2554945054945055</x:v>
      </x:c>
      <x:c r="I54" s="139" t="n">
        <x:v>4</x:v>
      </x:c>
      <x:c r="J54" s="139" t="n">
        <x:v>1</x:v>
      </x:c>
      <x:c r="K54" s="139" t="n">
        <x:v>3</x:v>
      </x:c>
      <x:c r="L54" s="139" t="n">
        <x:v>3</x:v>
      </x:c>
    </x:row>
    <x:row r="55">
      <x:c r="A55" s="139" t="inlineStr">
        <x:is>
          <x:t xml:space="preserve">Ronald</x:t>
        </x:is>
      </x:c>
      <x:c r="B55" s="139" t="inlineStr">
        <x:is>
          <x:t xml:space="preserve">Sandy</x:t>
        </x:is>
      </x:c>
      <x:c r="C55" s="139" t="n">
        <x:v>1</x:v>
      </x:c>
      <x:c r="D55" s="139" t="n">
        <x:v>1</x:v>
      </x:c>
      <x:c r="E55" s="139" t="n">
        <x:v>0</x:v>
      </x:c>
      <x:c r="F55" s="93" t="n">
        <x:v>1</x:v>
      </x:c>
      <x:c r="G55" s="93" t="n">
        <x:v>0.7564102564102564</x:v>
      </x:c>
      <x:c r="H55" s="93" t="n">
        <x:v>0.2435897435897436</x:v>
      </x:c>
      <x:c r="I55" s="139" t="n">
        <x:v>5</x:v>
      </x:c>
      <x:c r="J55" s="139" t="n">
        <x:v>0</x:v>
      </x:c>
      <x:c r="K55" s="139" t="n">
        <x:v>5</x:v>
      </x:c>
      <x:c r="L55" s="139" t="n">
        <x:v>5</x:v>
      </x:c>
    </x:row>
    <x:row r="56">
      <x:c r="A56" s="139" t="inlineStr">
        <x:is>
          <x:t xml:space="preserve">Ronald</x:t>
        </x:is>
      </x:c>
      <x:c r="B56" s="139" t="inlineStr">
        <x:is>
          <x:t xml:space="preserve">Thohir</x:t>
        </x:is>
      </x:c>
      <x:c r="C56" s="139" t="n">
        <x:v>1</x:v>
      </x:c>
      <x:c r="D56" s="139" t="n">
        <x:v>1</x:v>
      </x:c>
      <x:c r="E56" s="139" t="n">
        <x:v>0</x:v>
      </x:c>
      <x:c r="F56" s="93" t="n">
        <x:v>1</x:v>
      </x:c>
      <x:c r="G56" s="93" t="n">
        <x:v>0.8333333333333333</x:v>
      </x:c>
      <x:c r="H56" s="93" t="n">
        <x:v>0.1666666666666667</x:v>
      </x:c>
      <x:c r="I56" s="139" t="n">
        <x:v>6</x:v>
      </x:c>
      <x:c r="J56" s="139" t="n">
        <x:v>3</x:v>
      </x:c>
      <x:c r="K56" s="139" t="n">
        <x:v>3</x:v>
      </x:c>
      <x:c r="L56" s="139" t="n">
        <x:v>3</x:v>
      </x:c>
    </x:row>
    <x:row r="57">
      <x:c r="A57" s="139" t="inlineStr">
        <x:is>
          <x:t xml:space="preserve">Alice</x:t>
        </x:is>
      </x:c>
      <x:c r="B57" s="139" t="inlineStr">
        <x:is>
          <x:t xml:space="preserve">Nico</x:t>
        </x:is>
      </x:c>
      <x:c r="C57" s="139" t="n">
        <x:v>1</x:v>
      </x:c>
      <x:c r="D57" s="139" t="n">
        <x:v>0</x:v>
      </x:c>
      <x:c r="E57" s="139" t="n">
        <x:v>1</x:v>
      </x:c>
      <x:c r="F57" s="93" t="n">
        <x:v>0</x:v>
      </x:c>
      <x:c r="G57" s="93" t="n">
        <x:v>0.2023809523809524</x:v>
      </x:c>
      <x:c r="H57" s="93" t="n">
        <x:v>-0.2023809523809524</x:v>
      </x:c>
      <x:c r="I57" s="139" t="n">
        <x:v>1</x:v>
      </x:c>
      <x:c r="J57" s="139" t="n">
        <x:v>4</x:v>
      </x:c>
      <x:c r="K57" s="139" t="n">
        <x:v>-3</x:v>
      </x:c>
      <x:c r="L57" s="139" t="n">
        <x:v>-3</x:v>
      </x:c>
    </x:row>
    <x:row r="58">
      <x:c r="A58" s="139" t="inlineStr">
        <x:is>
          <x:t xml:space="preserve">Alice</x:t>
        </x:is>
      </x:c>
      <x:c r="B58" s="139" t="inlineStr">
        <x:is>
          <x:t xml:space="preserve">Donny</x:t>
        </x:is>
      </x:c>
      <x:c r="C58" s="139" t="n">
        <x:v>1</x:v>
      </x:c>
      <x:c r="D58" s="139" t="n">
        <x:v>0</x:v>
      </x:c>
      <x:c r="E58" s="139" t="n">
        <x:v>1</x:v>
      </x:c>
      <x:c r="F58" s="93" t="n">
        <x:v>0</x:v>
      </x:c>
      <x:c r="G58" s="93" t="n">
        <x:v>0.2175324675324675</x:v>
      </x:c>
      <x:c r="H58" s="93" t="n">
        <x:v>-0.2175324675324675</x:v>
      </x:c>
      <x:c r="I58" s="139" t="n">
        <x:v>1</x:v>
      </x:c>
      <x:c r="J58" s="139" t="n">
        <x:v>4</x:v>
      </x:c>
      <x:c r="K58" s="139" t="n">
        <x:v>-3</x:v>
      </x:c>
      <x:c r="L58" s="139" t="n">
        <x:v>-3</x:v>
      </x:c>
    </x:row>
    <x:row r="59">
      <x:c r="A59" s="139" t="inlineStr">
        <x:is>
          <x:t xml:space="preserve">Alice</x:t>
        </x:is>
      </x:c>
      <x:c r="B59" s="139" t="inlineStr">
        <x:is>
          <x:t xml:space="preserve">Nicholas</x:t>
        </x:is>
      </x:c>
      <x:c r="C59" s="139" t="n">
        <x:v>1</x:v>
      </x:c>
      <x:c r="D59" s="139" t="n">
        <x:v>0</x:v>
      </x:c>
      <x:c r="E59" s="139" t="n">
        <x:v>1</x:v>
      </x:c>
      <x:c r="F59" s="93" t="n">
        <x:v>0</x:v>
      </x:c>
      <x:c r="G59" s="93" t="n">
        <x:v>0.25</x:v>
      </x:c>
      <x:c r="H59" s="93" t="n">
        <x:v>-0.25</x:v>
      </x:c>
      <x:c r="I59" s="139" t="n">
        <x:v>1</x:v>
      </x:c>
      <x:c r="J59" s="139" t="n">
        <x:v>4</x:v>
      </x:c>
      <x:c r="K59" s="139" t="n">
        <x:v>-3</x:v>
      </x:c>
      <x:c r="L59" s="139" t="n">
        <x:v>-3</x:v>
      </x:c>
    </x:row>
    <x:row r="60">
      <x:c r="A60" s="139" t="inlineStr">
        <x:is>
          <x:t xml:space="preserve">Alwin</x:t>
        </x:is>
      </x:c>
      <x:c r="B60" s="139" t="inlineStr">
        <x:is>
          <x:t xml:space="preserve">Reza</x:t>
        </x:is>
      </x:c>
      <x:c r="C60" s="139" t="n">
        <x:v>1</x:v>
      </x:c>
      <x:c r="D60" s="139" t="n">
        <x:v>0</x:v>
      </x:c>
      <x:c r="E60" s="139" t="n">
        <x:v>1</x:v>
      </x:c>
      <x:c r="F60" s="93" t="n">
        <x:v>0</x:v>
      </x:c>
      <x:c r="G60" s="93" t="n">
        <x:v>0.25</x:v>
      </x:c>
      <x:c r="H60" s="93" t="n">
        <x:v>-0.25</x:v>
      </x:c>
      <x:c r="I60" s="139" t="n">
        <x:v>1</x:v>
      </x:c>
      <x:c r="J60" s="139" t="n">
        <x:v>4</x:v>
      </x:c>
      <x:c r="K60" s="139" t="n">
        <x:v>-3</x:v>
      </x:c>
      <x:c r="L60" s="139" t="n">
        <x:v>-3</x:v>
      </x:c>
    </x:row>
    <x:row r="61">
      <x:c r="A61" s="139" t="inlineStr">
        <x:is>
          <x:t xml:space="preserve">Alice</x:t>
        </x:is>
      </x:c>
      <x:c r="B61" s="139" t="inlineStr">
        <x:is>
          <x:t xml:space="preserve">Michael</x:t>
        </x:is>
      </x:c>
      <x:c r="C61" s="139" t="n">
        <x:v>1</x:v>
      </x:c>
      <x:c r="D61" s="139" t="n">
        <x:v>0</x:v>
      </x:c>
      <x:c r="E61" s="139" t="n">
        <x:v>1</x:v>
      </x:c>
      <x:c r="F61" s="93" t="n">
        <x:v>0</x:v>
      </x:c>
      <x:c r="G61" s="93" t="n">
        <x:v>0.2664835164835165</x:v>
      </x:c>
      <x:c r="H61" s="93" t="n">
        <x:v>-0.2664835164835165</x:v>
      </x:c>
      <x:c r="I61" s="139" t="n">
        <x:v>1</x:v>
      </x:c>
      <x:c r="J61" s="139" t="n">
        <x:v>4</x:v>
      </x:c>
      <x:c r="K61" s="139" t="n">
        <x:v>-3</x:v>
      </x:c>
      <x:c r="L61" s="139" t="n">
        <x:v>-3</x:v>
      </x:c>
    </x:row>
    <x:row r="62">
      <x:c r="A62" s="139" t="inlineStr">
        <x:is>
          <x:t xml:space="preserve">Reza</x:t>
        </x:is>
      </x:c>
      <x:c r="B62" s="139" t="inlineStr">
        <x:is>
          <x:t xml:space="preserve">Welly</x:t>
        </x:is>
      </x:c>
      <x:c r="C62" s="139" t="n">
        <x:v>1</x:v>
      </x:c>
      <x:c r="D62" s="139" t="n">
        <x:v>0</x:v>
      </x:c>
      <x:c r="E62" s="139" t="n">
        <x:v>1</x:v>
      </x:c>
      <x:c r="F62" s="93" t="n">
        <x:v>0</x:v>
      </x:c>
      <x:c r="G62" s="93" t="n">
        <x:v>0.2666666666666667</x:v>
      </x:c>
      <x:c r="H62" s="93" t="n">
        <x:v>-0.2666666666666667</x:v>
      </x:c>
      <x:c r="I62" s="139" t="n">
        <x:v>1</x:v>
      </x:c>
      <x:c r="J62" s="139" t="n">
        <x:v>4</x:v>
      </x:c>
      <x:c r="K62" s="139" t="n">
        <x:v>-3</x:v>
      </x:c>
      <x:c r="L62" s="139" t="n">
        <x:v>-3</x:v>
      </x:c>
    </x:row>
    <x:row r="63">
      <x:c r="A63" s="139" t="inlineStr">
        <x:is>
          <x:t xml:space="preserve">Alice</x:t>
        </x:is>
      </x:c>
      <x:c r="B63" s="139" t="inlineStr">
        <x:is>
          <x:t xml:space="preserve">Edy SP</x:t>
        </x:is>
      </x:c>
      <x:c r="C63" s="139" t="n">
        <x:v>1</x:v>
      </x:c>
      <x:c r="D63" s="139" t="n">
        <x:v>0</x:v>
      </x:c>
      <x:c r="E63" s="139" t="n">
        <x:v>1</x:v>
      </x:c>
      <x:c r="F63" s="93" t="n">
        <x:v>0</x:v>
      </x:c>
      <x:c r="G63" s="93" t="n">
        <x:v>0.269047619047619</x:v>
      </x:c>
      <x:c r="H63" s="93" t="n">
        <x:v>-0.269047619047619</x:v>
      </x:c>
      <x:c r="I63" s="139" t="n">
        <x:v>2</x:v>
      </x:c>
      <x:c r="J63" s="139" t="n">
        <x:v>3</x:v>
      </x:c>
      <x:c r="K63" s="139" t="n">
        <x:v>-1</x:v>
      </x:c>
      <x:c r="L63" s="139" t="n">
        <x:v>-1</x:v>
      </x:c>
    </x:row>
    <x:row r="64">
      <x:c r="A64" s="139" t="inlineStr">
        <x:is>
          <x:t xml:space="preserve">Donny</x:t>
        </x:is>
      </x:c>
      <x:c r="B64" s="139" t="inlineStr">
        <x:is>
          <x:t xml:space="preserve">Welly</x:t>
        </x:is>
      </x:c>
      <x:c r="C64" s="139" t="n">
        <x:v>1</x:v>
      </x:c>
      <x:c r="D64" s="139" t="n">
        <x:v>0</x:v>
      </x:c>
      <x:c r="E64" s="139" t="n">
        <x:v>1</x:v>
      </x:c>
      <x:c r="F64" s="93" t="n">
        <x:v>0</x:v>
      </x:c>
      <x:c r="G64" s="93" t="n">
        <x:v>0.2818181818181819</x:v>
      </x:c>
      <x:c r="H64" s="93" t="n">
        <x:v>-0.2818181818181819</x:v>
      </x:c>
      <x:c r="I64" s="139" t="n">
        <x:v>2</x:v>
      </x:c>
      <x:c r="J64" s="139" t="n">
        <x:v>6</x:v>
      </x:c>
      <x:c r="K64" s="139" t="n">
        <x:v>-4</x:v>
      </x:c>
      <x:c r="L64" s="139" t="n">
        <x:v>-4</x:v>
      </x:c>
    </x:row>
    <x:row r="65">
      <x:c r="A65" s="139" t="inlineStr">
        <x:is>
          <x:t xml:space="preserve">Alwin</x:t>
        </x:is>
      </x:c>
      <x:c r="B65" s="139" t="inlineStr">
        <x:is>
          <x:t xml:space="preserve">Michael</x:t>
        </x:is>
      </x:c>
      <x:c r="C65" s="139" t="n">
        <x:v>1</x:v>
      </x:c>
      <x:c r="D65" s="139" t="n">
        <x:v>0</x:v>
      </x:c>
      <x:c r="E65" s="139" t="n">
        <x:v>1</x:v>
      </x:c>
      <x:c r="F65" s="93" t="n">
        <x:v>0</x:v>
      </x:c>
      <x:c r="G65" s="93" t="n">
        <x:v>0.3141025641025641</x:v>
      </x:c>
      <x:c r="H65" s="93" t="n">
        <x:v>-0.3141025641025641</x:v>
      </x:c>
      <x:c r="I65" s="139" t="n">
        <x:v>1</x:v>
      </x:c>
      <x:c r="J65" s="139" t="n">
        <x:v>4</x:v>
      </x:c>
      <x:c r="K65" s="139" t="n">
        <x:v>-3</x:v>
      </x:c>
      <x:c r="L65" s="139" t="n">
        <x:v>-3</x:v>
      </x:c>
    </x:row>
    <x:row r="66">
      <x:c r="A66" s="139" t="inlineStr">
        <x:is>
          <x:t xml:space="preserve">Alwin</x:t>
        </x:is>
      </x:c>
      <x:c r="B66" s="139" t="inlineStr">
        <x:is>
          <x:t xml:space="preserve">Edy SP</x:t>
        </x:is>
      </x:c>
      <x:c r="C66" s="139" t="n">
        <x:v>1</x:v>
      </x:c>
      <x:c r="D66" s="139" t="n">
        <x:v>0</x:v>
      </x:c>
      <x:c r="E66" s="139" t="n">
        <x:v>1</x:v>
      </x:c>
      <x:c r="F66" s="93" t="n">
        <x:v>0</x:v>
      </x:c>
      <x:c r="G66" s="93" t="n">
        <x:v>0.3166666666666667</x:v>
      </x:c>
      <x:c r="H66" s="93" t="n">
        <x:v>-0.3166666666666667</x:v>
      </x:c>
      <x:c r="I66" s="139" t="n">
        <x:v>1</x:v>
      </x:c>
      <x:c r="J66" s="139" t="n">
        <x:v>4</x:v>
      </x:c>
      <x:c r="K66" s="139" t="n">
        <x:v>-3</x:v>
      </x:c>
      <x:c r="L66" s="139" t="n">
        <x:v>-3</x:v>
      </x:c>
    </x:row>
    <x:row r="67">
      <x:c r="A67" s="139" t="inlineStr">
        <x:is>
          <x:t xml:space="preserve">Alice</x:t>
        </x:is>
      </x:c>
      <x:c r="B67" s="139" t="inlineStr">
        <x:is>
          <x:t xml:space="preserve">Ricky</x:t>
        </x:is>
      </x:c>
      <x:c r="C67" s="139" t="n">
        <x:v>1</x:v>
      </x:c>
      <x:c r="D67" s="139" t="n">
        <x:v>0</x:v>
      </x:c>
      <x:c r="E67" s="139" t="n">
        <x:v>1</x:v>
      </x:c>
      <x:c r="F67" s="93" t="n">
        <x:v>0</x:v>
      </x:c>
      <x:c r="G67" s="93" t="n">
        <x:v>0.3434065934065934</x:v>
      </x:c>
      <x:c r="H67" s="93" t="n">
        <x:v>-0.3434065934065934</x:v>
      </x:c>
      <x:c r="I67" s="139" t="n">
        <x:v>0</x:v>
      </x:c>
      <x:c r="J67" s="139" t="n">
        <x:v>5</x:v>
      </x:c>
      <x:c r="K67" s="139" t="n">
        <x:v>-5</x:v>
      </x:c>
      <x:c r="L67" s="139" t="n">
        <x:v>-5</x:v>
      </x:c>
    </x:row>
    <x:row r="68">
      <x:c r="A68" s="139" t="inlineStr">
        <x:is>
          <x:t xml:space="preserve">Alice</x:t>
        </x:is>
      </x:c>
      <x:c r="B68" s="139" t="inlineStr">
        <x:is>
          <x:t xml:space="preserve">Austin</x:t>
        </x:is>
      </x:c>
      <x:c r="C68" s="139" t="n">
        <x:v>1</x:v>
      </x:c>
      <x:c r="D68" s="139" t="n">
        <x:v>0</x:v>
      </x:c>
      <x:c r="E68" s="139" t="n">
        <x:v>1</x:v>
      </x:c>
      <x:c r="F68" s="93" t="n">
        <x:v>0</x:v>
      </x:c>
      <x:c r="G68" s="93" t="n">
        <x:v>0.3571428571428572</x:v>
      </x:c>
      <x:c r="H68" s="93" t="n">
        <x:v>-0.3571428571428572</x:v>
      </x:c>
      <x:c r="I68" s="139" t="n">
        <x:v>2</x:v>
      </x:c>
      <x:c r="J68" s="139" t="n">
        <x:v>3</x:v>
      </x:c>
      <x:c r="K68" s="139" t="n">
        <x:v>-1</x:v>
      </x:c>
      <x:c r="L68" s="139" t="n">
        <x:v>-1</x:v>
      </x:c>
    </x:row>
    <x:row r="69">
      <x:c r="A69" s="139" t="inlineStr">
        <x:is>
          <x:t xml:space="preserve">David</x:t>
        </x:is>
      </x:c>
      <x:c r="B69" s="139" t="inlineStr">
        <x:is>
          <x:t xml:space="preserve">Nico</x:t>
        </x:is>
      </x:c>
      <x:c r="C69" s="139" t="n">
        <x:v>1</x:v>
      </x:c>
      <x:c r="D69" s="139" t="n">
        <x:v>0</x:v>
      </x:c>
      <x:c r="E69" s="139" t="n">
        <x:v>1</x:v>
      </x:c>
      <x:c r="F69" s="93" t="n">
        <x:v>0</x:v>
      </x:c>
      <x:c r="G69" s="93" t="n">
        <x:v>0.375</x:v>
      </x:c>
      <x:c r="H69" s="93" t="n">
        <x:v>-0.375</x:v>
      </x:c>
      <x:c r="I69" s="139" t="n">
        <x:v>1</x:v>
      </x:c>
      <x:c r="J69" s="139" t="n">
        <x:v>4</x:v>
      </x:c>
      <x:c r="K69" s="139" t="n">
        <x:v>-3</x:v>
      </x:c>
      <x:c r="L69" s="139" t="n">
        <x:v>-3</x:v>
      </x:c>
    </x:row>
    <x:row r="70">
      <x:c r="A70" s="139" t="inlineStr">
        <x:is>
          <x:t xml:space="preserve">Alice</x:t>
        </x:is>
      </x:c>
      <x:c r="B70" s="139" t="inlineStr">
        <x:is>
          <x:t xml:space="preserve">Kennard</x:t>
        </x:is>
      </x:c>
      <x:c r="C70" s="139" t="n">
        <x:v>1</x:v>
      </x:c>
      <x:c r="D70" s="139" t="n">
        <x:v>0</x:v>
      </x:c>
      <x:c r="E70" s="139" t="n">
        <x:v>1</x:v>
      </x:c>
      <x:c r="F70" s="93" t="n">
        <x:v>0</x:v>
      </x:c>
      <x:c r="G70" s="93" t="n">
        <x:v>0.3818681318681318</x:v>
      </x:c>
      <x:c r="H70" s="93" t="n">
        <x:v>-0.3818681318681318</x:v>
      </x:c>
      <x:c r="I70" s="139" t="n">
        <x:v>1</x:v>
      </x:c>
      <x:c r="J70" s="139" t="n">
        <x:v>4</x:v>
      </x:c>
      <x:c r="K70" s="139" t="n">
        <x:v>-3</x:v>
      </x:c>
      <x:c r="L70" s="139" t="n">
        <x:v>-3</x:v>
      </x:c>
    </x:row>
    <x:row r="71">
      <x:c r="A71" s="139" t="inlineStr">
        <x:is>
          <x:t xml:space="preserve">David</x:t>
        </x:is>
      </x:c>
      <x:c r="B71" s="139" t="inlineStr">
        <x:is>
          <x:t xml:space="preserve">Donny</x:t>
        </x:is>
      </x:c>
      <x:c r="C71" s="139" t="n">
        <x:v>1</x:v>
      </x:c>
      <x:c r="D71" s="139" t="n">
        <x:v>0</x:v>
      </x:c>
      <x:c r="E71" s="139" t="n">
        <x:v>1</x:v>
      </x:c>
      <x:c r="F71" s="93" t="n">
        <x:v>0</x:v>
      </x:c>
      <x:c r="G71" s="93" t="n">
        <x:v>0.3901515151515151</x:v>
      </x:c>
      <x:c r="H71" s="93" t="n">
        <x:v>-0.3901515151515151</x:v>
      </x:c>
      <x:c r="I71" s="139" t="n">
        <x:v>2</x:v>
      </x:c>
      <x:c r="J71" s="139" t="n">
        <x:v>3</x:v>
      </x:c>
      <x:c r="K71" s="139" t="n">
        <x:v>-1</x:v>
      </x:c>
      <x:c r="L71" s="139" t="n">
        <x:v>-1</x:v>
      </x:c>
    </x:row>
    <x:row r="72">
      <x:c r="A72" s="139" t="inlineStr">
        <x:is>
          <x:t xml:space="preserve">Alice</x:t>
        </x:is>
      </x:c>
      <x:c r="B72" s="139" t="inlineStr">
        <x:is>
          <x:t xml:space="preserve">Rey</x:t>
        </x:is>
      </x:c>
      <x:c r="C72" s="139" t="n">
        <x:v>1</x:v>
      </x:c>
      <x:c r="D72" s="139" t="n">
        <x:v>0</x:v>
      </x:c>
      <x:c r="E72" s="139" t="n">
        <x:v>1</x:v>
      </x:c>
      <x:c r="F72" s="93" t="n">
        <x:v>0</x:v>
      </x:c>
      <x:c r="G72" s="93" t="n">
        <x:v>0.3928571428571428</x:v>
      </x:c>
      <x:c r="H72" s="93" t="n">
        <x:v>-0.3928571428571428</x:v>
      </x:c>
      <x:c r="I72" s="139" t="n">
        <x:v>3</x:v>
      </x:c>
      <x:c r="J72" s="139" t="n">
        <x:v>4</x:v>
      </x:c>
      <x:c r="K72" s="139" t="n">
        <x:v>-1</x:v>
      </x:c>
      <x:c r="L72" s="139" t="n">
        <x:v>-1</x:v>
      </x:c>
    </x:row>
    <x:row r="73">
      <x:c r="A73" s="139" t="inlineStr">
        <x:is>
          <x:t xml:space="preserve">Donny</x:t>
        </x:is>
      </x:c>
      <x:c r="B73" s="139" t="inlineStr">
        <x:is>
          <x:t xml:space="preserve">Nicholas</x:t>
        </x:is>
      </x:c>
      <x:c r="C73" s="139" t="n">
        <x:v>1</x:v>
      </x:c>
      <x:c r="D73" s="139" t="n">
        <x:v>0</x:v>
      </x:c>
      <x:c r="E73" s="139" t="n">
        <x:v>1</x:v>
      </x:c>
      <x:c r="F73" s="93" t="n">
        <x:v>0</x:v>
      </x:c>
      <x:c r="G73" s="93" t="n">
        <x:v>0.3961038961038961</x:v>
      </x:c>
      <x:c r="H73" s="93" t="n">
        <x:v>-0.3961038961038961</x:v>
      </x:c>
      <x:c r="I73" s="139" t="n">
        <x:v>2</x:v>
      </x:c>
      <x:c r="J73" s="139" t="n">
        <x:v>3</x:v>
      </x:c>
      <x:c r="K73" s="139" t="n">
        <x:v>-1</x:v>
      </x:c>
      <x:c r="L73" s="139" t="n">
        <x:v>-1</x:v>
      </x:c>
    </x:row>
    <x:row r="74">
      <x:c r="A74" s="139" t="inlineStr">
        <x:is>
          <x:t xml:space="preserve">Michael</x:t>
        </x:is>
      </x:c>
      <x:c r="B74" s="139" t="inlineStr">
        <x:is>
          <x:t xml:space="preserve">Nico</x:t>
        </x:is>
      </x:c>
      <x:c r="C74" s="139" t="n">
        <x:v>1</x:v>
      </x:c>
      <x:c r="D74" s="139" t="n">
        <x:v>0</x:v>
      </x:c>
      <x:c r="E74" s="139" t="n">
        <x:v>1</x:v>
      </x:c>
      <x:c r="F74" s="93" t="n">
        <x:v>0</x:v>
      </x:c>
      <x:c r="G74" s="93" t="n">
        <x:v>0.3974358974358975</x:v>
      </x:c>
      <x:c r="H74" s="93" t="n">
        <x:v>-0.3974358974358975</x:v>
      </x:c>
      <x:c r="I74" s="139" t="n">
        <x:v>0</x:v>
      </x:c>
      <x:c r="J74" s="139" t="n">
        <x:v>4</x:v>
      </x:c>
      <x:c r="K74" s="139" t="n">
        <x:v>-4</x:v>
      </x:c>
      <x:c r="L74" s="139" t="n">
        <x:v>-4</x:v>
      </x:c>
    </x:row>
    <x:row r="75">
      <x:c r="A75" s="139" t="inlineStr">
        <x:is>
          <x:t xml:space="preserve">Edy SP</x:t>
        </x:is>
      </x:c>
      <x:c r="B75" s="139" t="inlineStr">
        <x:is>
          <x:t xml:space="preserve">Nico</x:t>
        </x:is>
      </x:c>
      <x:c r="C75" s="139" t="n">
        <x:v>1</x:v>
      </x:c>
      <x:c r="D75" s="139" t="n">
        <x:v>0</x:v>
      </x:c>
      <x:c r="E75" s="139" t="n">
        <x:v>1</x:v>
      </x:c>
      <x:c r="F75" s="93" t="n">
        <x:v>0</x:v>
      </x:c>
      <x:c r="G75" s="93" t="n">
        <x:v>0.4</x:v>
      </x:c>
      <x:c r="H75" s="93" t="n">
        <x:v>-0.4</x:v>
      </x:c>
      <x:c r="I75" s="139" t="n">
        <x:v>3</x:v>
      </x:c>
      <x:c r="J75" s="139" t="n">
        <x:v>4</x:v>
      </x:c>
      <x:c r="K75" s="139" t="n">
        <x:v>-1</x:v>
      </x:c>
      <x:c r="L75" s="139" t="n">
        <x:v>-1</x:v>
      </x:c>
    </x:row>
    <x:row r="76">
      <x:c r="A76" s="139" t="inlineStr">
        <x:is>
          <x:t xml:space="preserve">Alwin</x:t>
        </x:is>
      </x:c>
      <x:c r="B76" s="139" t="inlineStr">
        <x:is>
          <x:t xml:space="preserve">Austin</x:t>
        </x:is>
      </x:c>
      <x:c r="C76" s="139" t="n">
        <x:v>1</x:v>
      </x:c>
      <x:c r="D76" s="139" t="n">
        <x:v>0</x:v>
      </x:c>
      <x:c r="E76" s="139" t="n">
        <x:v>1</x:v>
      </x:c>
      <x:c r="F76" s="93" t="n">
        <x:v>0</x:v>
      </x:c>
      <x:c r="G76" s="93" t="n">
        <x:v>0.4047619047619048</x:v>
      </x:c>
      <x:c r="H76" s="93" t="n">
        <x:v>-0.4047619047619048</x:v>
      </x:c>
      <x:c r="I76" s="139" t="n">
        <x:v>1</x:v>
      </x:c>
      <x:c r="J76" s="139" t="n">
        <x:v>4</x:v>
      </x:c>
      <x:c r="K76" s="139" t="n">
        <x:v>-3</x:v>
      </x:c>
      <x:c r="L76" s="139" t="n">
        <x:v>-3</x:v>
      </x:c>
    </x:row>
    <x:row r="77">
      <x:c r="A77" s="139" t="inlineStr">
        <x:is>
          <x:t xml:space="preserve">Ricky</x:t>
        </x:is>
      </x:c>
      <x:c r="B77" s="139" t="inlineStr">
        <x:is>
          <x:t xml:space="preserve">Welly</x:t>
        </x:is>
      </x:c>
      <x:c r="C77" s="139" t="n">
        <x:v>1</x:v>
      </x:c>
      <x:c r="D77" s="139" t="n">
        <x:v>0</x:v>
      </x:c>
      <x:c r="E77" s="139" t="n">
        <x:v>1</x:v>
      </x:c>
      <x:c r="F77" s="93" t="n">
        <x:v>0</x:v>
      </x:c>
      <x:c r="G77" s="93" t="n">
        <x:v>0.4076923076923077</x:v>
      </x:c>
      <x:c r="H77" s="93" t="n">
        <x:v>-0.4076923076923077</x:v>
      </x:c>
      <x:c r="I77" s="139" t="n">
        <x:v>1</x:v>
      </x:c>
      <x:c r="J77" s="139" t="n">
        <x:v>4</x:v>
      </x:c>
      <x:c r="K77" s="139" t="n">
        <x:v>-3</x:v>
      </x:c>
      <x:c r="L77" s="139" t="n">
        <x:v>-3</x:v>
      </x:c>
    </x:row>
    <x:row r="78">
      <x:c r="A78" s="139" t="inlineStr">
        <x:is>
          <x:t xml:space="preserve">Donny</x:t>
        </x:is>
      </x:c>
      <x:c r="B78" s="139" t="inlineStr">
        <x:is>
          <x:t xml:space="preserve">Edy SP</x:t>
        </x:is>
      </x:c>
      <x:c r="C78" s="139" t="n">
        <x:v>1</x:v>
      </x:c>
      <x:c r="D78" s="139" t="n">
        <x:v>0</x:v>
      </x:c>
      <x:c r="E78" s="139" t="n">
        <x:v>1</x:v>
      </x:c>
      <x:c r="F78" s="93" t="n">
        <x:v>0</x:v>
      </x:c>
      <x:c r="G78" s="93" t="n">
        <x:v>0.4151515151515152</x:v>
      </x:c>
      <x:c r="H78" s="93" t="n">
        <x:v>-0.4151515151515152</x:v>
      </x:c>
      <x:c r="I78" s="139" t="n">
        <x:v>3</x:v>
      </x:c>
      <x:c r="J78" s="139" t="n">
        <x:v>6</x:v>
      </x:c>
      <x:c r="K78" s="139" t="n">
        <x:v>-3</x:v>
      </x:c>
      <x:c r="L78" s="139" t="n">
        <x:v>-3</x:v>
      </x:c>
    </x:row>
    <x:row r="79">
      <x:c r="A79" s="139" t="inlineStr">
        <x:is>
          <x:t xml:space="preserve">Alwin</x:t>
        </x:is>
      </x:c>
      <x:c r="B79" s="139" t="inlineStr">
        <x:is>
          <x:t xml:space="preserve">Kennard</x:t>
        </x:is>
      </x:c>
      <x:c r="C79" s="139" t="n">
        <x:v>1</x:v>
      </x:c>
      <x:c r="D79" s="139" t="n">
        <x:v>0</x:v>
      </x:c>
      <x:c r="E79" s="139" t="n">
        <x:v>1</x:v>
      </x:c>
      <x:c r="F79" s="93" t="n">
        <x:v>0</x:v>
      </x:c>
      <x:c r="G79" s="93" t="n">
        <x:v>0.4294871794871795</x:v>
      </x:c>
      <x:c r="H79" s="93" t="n">
        <x:v>-0.4294871794871795</x:v>
      </x:c>
      <x:c r="I79" s="139" t="n">
        <x:v>1</x:v>
      </x:c>
      <x:c r="J79" s="139" t="n">
        <x:v>4</x:v>
      </x:c>
      <x:c r="K79" s="139" t="n">
        <x:v>-3</x:v>
      </x:c>
      <x:c r="L79" s="139" t="n">
        <x:v>-3</x:v>
      </x:c>
    </x:row>
    <x:row r="80">
      <x:c r="A80" s="139" t="inlineStr">
        <x:is>
          <x:t xml:space="preserve">Ronald</x:t>
        </x:is>
      </x:c>
      <x:c r="B80" s="139" t="inlineStr">
        <x:is>
          <x:t xml:space="preserve">Welly</x:t>
        </x:is>
      </x:c>
      <x:c r="C80" s="139" t="n">
        <x:v>1</x:v>
      </x:c>
      <x:c r="D80" s="139" t="n">
        <x:v>0</x:v>
      </x:c>
      <x:c r="E80" s="139" t="n">
        <x:v>1</x:v>
      </x:c>
      <x:c r="F80" s="93" t="n">
        <x:v>0</x:v>
      </x:c>
      <x:c r="G80" s="93" t="n">
        <x:v>0.4333333333333333</x:v>
      </x:c>
      <x:c r="H80" s="93" t="n">
        <x:v>-0.4333333333333333</x:v>
      </x:c>
      <x:c r="I80" s="139" t="n">
        <x:v>4</x:v>
      </x:c>
      <x:c r="J80" s="139" t="n">
        <x:v>6</x:v>
      </x:c>
      <x:c r="K80" s="139" t="n">
        <x:v>-2</x:v>
      </x:c>
      <x:c r="L80" s="139" t="n">
        <x:v>-2</x:v>
      </x:c>
    </x:row>
    <x:row r="81">
      <x:c r="A81" s="139" t="inlineStr">
        <x:is>
          <x:t xml:space="preserve">Kennard</x:t>
        </x:is>
      </x:c>
      <x:c r="B81" s="139" t="inlineStr">
        <x:is>
          <x:t xml:space="preserve">Welly</x:t>
        </x:is>
      </x:c>
      <x:c r="C81" s="139" t="n">
        <x:v>1</x:v>
      </x:c>
      <x:c r="D81" s="139" t="n">
        <x:v>0</x:v>
      </x:c>
      <x:c r="E81" s="139" t="n">
        <x:v>1</x:v>
      </x:c>
      <x:c r="F81" s="93" t="n">
        <x:v>0</x:v>
      </x:c>
      <x:c r="G81" s="93" t="n">
        <x:v>0.4461538461538461</x:v>
      </x:c>
      <x:c r="H81" s="93" t="n">
        <x:v>-0.4461538461538461</x:v>
      </x:c>
      <x:c r="I81" s="139" t="n">
        <x:v>0</x:v>
      </x:c>
      <x:c r="J81" s="139" t="n">
        <x:v>5</x:v>
      </x:c>
      <x:c r="K81" s="139" t="n">
        <x:v>-5</x:v>
      </x:c>
      <x:c r="L81" s="139" t="n">
        <x:v>-5</x:v>
      </x:c>
    </x:row>
    <x:row r="82">
      <x:c r="A82" s="139" t="inlineStr">
        <x:is>
          <x:t xml:space="preserve">Alice</x:t>
        </x:is>
      </x:c>
      <x:c r="B82" s="139" t="inlineStr">
        <x:is>
          <x:t xml:space="preserve">Sandy</x:t>
        </x:is>
      </x:c>
      <x:c r="C82" s="139" t="n">
        <x:v>1</x:v>
      </x:c>
      <x:c r="D82" s="139" t="n">
        <x:v>0</x:v>
      </x:c>
      <x:c r="E82" s="139" t="n">
        <x:v>1</x:v>
      </x:c>
      <x:c r="F82" s="93" t="n">
        <x:v>0</x:v>
      </x:c>
      <x:c r="G82" s="93" t="n">
        <x:v>0.4587912087912088</x:v>
      </x:c>
      <x:c r="H82" s="93" t="n">
        <x:v>-0.4587912087912088</x:v>
      </x:c>
      <x:c r="I82" s="139" t="n">
        <x:v>2</x:v>
      </x:c>
      <x:c r="J82" s="139" t="n">
        <x:v>3</x:v>
      </x:c>
      <x:c r="K82" s="139" t="n">
        <x:v>-1</x:v>
      </x:c>
      <x:c r="L82" s="139" t="n">
        <x:v>-1</x:v>
      </x:c>
    </x:row>
    <x:row r="83">
      <x:c r="A83" s="139" t="inlineStr">
        <x:is>
          <x:t xml:space="preserve">Reza</x:t>
        </x:is>
      </x:c>
      <x:c r="B83" s="139" t="inlineStr">
        <x:is>
          <x:t xml:space="preserve">Ricky</x:t>
        </x:is>
      </x:c>
      <x:c r="C83" s="139" t="n">
        <x:v>1</x:v>
      </x:c>
      <x:c r="D83" s="139" t="n">
        <x:v>0</x:v>
      </x:c>
      <x:c r="E83" s="139" t="n">
        <x:v>1</x:v>
      </x:c>
      <x:c r="F83" s="93" t="n">
        <x:v>0</x:v>
      </x:c>
      <x:c r="G83" s="93" t="n">
        <x:v>0.4743589743589743</x:v>
      </x:c>
      <x:c r="H83" s="93" t="n">
        <x:v>-0.4743589743589743</x:v>
      </x:c>
      <x:c r="I83" s="139" t="n">
        <x:v>0</x:v>
      </x:c>
      <x:c r="J83" s="139" t="n">
        <x:v>5</x:v>
      </x:c>
      <x:c r="K83" s="139" t="n">
        <x:v>-5</x:v>
      </x:c>
      <x:c r="L83" s="139" t="n">
        <x:v>-5</x:v>
      </x:c>
    </x:row>
    <x:row r="84">
      <x:c r="A84" s="139" t="inlineStr">
        <x:is>
          <x:t xml:space="preserve">Donny</x:t>
        </x:is>
      </x:c>
      <x:c r="B84" s="139" t="inlineStr">
        <x:is>
          <x:t xml:space="preserve">Ricky</x:t>
        </x:is>
      </x:c>
      <x:c r="C84" s="139" t="n">
        <x:v>1</x:v>
      </x:c>
      <x:c r="D84" s="139" t="n">
        <x:v>0</x:v>
      </x:c>
      <x:c r="E84" s="139" t="n">
        <x:v>1</x:v>
      </x:c>
      <x:c r="F84" s="93" t="n">
        <x:v>0</x:v>
      </x:c>
      <x:c r="G84" s="93" t="n">
        <x:v>0.4895104895104895</x:v>
      </x:c>
      <x:c r="H84" s="93" t="n">
        <x:v>-0.4895104895104895</x:v>
      </x:c>
      <x:c r="I84" s="139" t="n">
        <x:v>2</x:v>
      </x:c>
      <x:c r="J84" s="139" t="n">
        <x:v>3</x:v>
      </x:c>
      <x:c r="K84" s="139" t="n">
        <x:v>-1</x:v>
      </x:c>
      <x:c r="L84" s="139" t="n">
        <x:v>-1</x:v>
      </x:c>
    </x:row>
    <x:row r="85">
      <x:c r="A85" s="139" t="inlineStr">
        <x:is>
          <x:t xml:space="preserve">Kennard</x:t>
        </x:is>
      </x:c>
      <x:c r="B85" s="139" t="inlineStr">
        <x:is>
          <x:t xml:space="preserve">Reza</x:t>
        </x:is>
      </x:c>
      <x:c r="C85" s="139" t="n">
        <x:v>1</x:v>
      </x:c>
      <x:c r="D85" s="139" t="n">
        <x:v>0</x:v>
      </x:c>
      <x:c r="E85" s="139" t="n">
        <x:v>1</x:v>
      </x:c>
      <x:c r="F85" s="93" t="n">
        <x:v>0</x:v>
      </x:c>
      <x:c r="G85" s="93" t="n">
        <x:v>0.5128205128205128</x:v>
      </x:c>
      <x:c r="H85" s="93" t="n">
        <x:v>-0.5128205128205128</x:v>
      </x:c>
      <x:c r="I85" s="139" t="n">
        <x:v>0</x:v>
      </x:c>
      <x:c r="J85" s="139" t="n">
        <x:v>5</x:v>
      </x:c>
      <x:c r="K85" s="139" t="n">
        <x:v>-5</x:v>
      </x:c>
      <x:c r="L85" s="139" t="n">
        <x:v>-5</x:v>
      </x:c>
    </x:row>
    <x:row r="86">
      <x:c r="A86" s="139" t="inlineStr">
        <x:is>
          <x:t xml:space="preserve">Donny</x:t>
        </x:is>
      </x:c>
      <x:c r="B86" s="139" t="inlineStr">
        <x:is>
          <x:t xml:space="preserve">Ronald</x:t>
        </x:is>
      </x:c>
      <x:c r="C86" s="139" t="n">
        <x:v>1</x:v>
      </x:c>
      <x:c r="D86" s="139" t="n">
        <x:v>0</x:v>
      </x:c>
      <x:c r="E86" s="139" t="n">
        <x:v>1</x:v>
      </x:c>
      <x:c r="F86" s="93" t="n">
        <x:v>0</x:v>
      </x:c>
      <x:c r="G86" s="93" t="n">
        <x:v>0.5151515151515151</x:v>
      </x:c>
      <x:c r="H86" s="93" t="n">
        <x:v>-0.5151515151515151</x:v>
      </x:c>
      <x:c r="I86" s="139" t="n">
        <x:v>6</x:v>
      </x:c>
      <x:c r="J86" s="139" t="n">
        <x:v>7</x:v>
      </x:c>
      <x:c r="K86" s="139" t="n">
        <x:v>-1</x:v>
      </x:c>
      <x:c r="L86" s="139" t="n">
        <x:v>-1</x:v>
      </x:c>
    </x:row>
    <x:row r="87">
      <x:c r="A87" s="139" t="inlineStr">
        <x:is>
          <x:t xml:space="preserve">Sandy</x:t>
        </x:is>
      </x:c>
      <x:c r="B87" s="139" t="inlineStr">
        <x:is>
          <x:t xml:space="preserve">Welly</x:t>
        </x:is>
      </x:c>
      <x:c r="C87" s="139" t="n">
        <x:v>1</x:v>
      </x:c>
      <x:c r="D87" s="139" t="n">
        <x:v>0</x:v>
      </x:c>
      <x:c r="E87" s="139" t="n">
        <x:v>1</x:v>
      </x:c>
      <x:c r="F87" s="93" t="n">
        <x:v>0</x:v>
      </x:c>
      <x:c r="G87" s="93" t="n">
        <x:v>0.5230769230769231</x:v>
      </x:c>
      <x:c r="H87" s="93" t="n">
        <x:v>-0.5230769230769231</x:v>
      </x:c>
      <x:c r="I87" s="139" t="n">
        <x:v>2</x:v>
      </x:c>
      <x:c r="J87" s="139" t="n">
        <x:v>3</x:v>
      </x:c>
      <x:c r="K87" s="139" t="n">
        <x:v>-1</x:v>
      </x:c>
      <x:c r="L87" s="139" t="n">
        <x:v>-1</x:v>
      </x:c>
    </x:row>
    <x:row r="88">
      <x:c r="A88" s="139" t="inlineStr">
        <x:is>
          <x:t xml:space="preserve">Austin</x:t>
        </x:is>
      </x:c>
      <x:c r="B88" s="139" t="inlineStr">
        <x:is>
          <x:t xml:space="preserve">Nicholas</x:t>
        </x:is>
      </x:c>
      <x:c r="C88" s="139" t="n">
        <x:v>1</x:v>
      </x:c>
      <x:c r="D88" s="139" t="n">
        <x:v>0</x:v>
      </x:c>
      <x:c r="E88" s="139" t="n">
        <x:v>1</x:v>
      </x:c>
      <x:c r="F88" s="93" t="n">
        <x:v>0</x:v>
      </x:c>
      <x:c r="G88" s="93" t="n">
        <x:v>0.5357142857142857</x:v>
      </x:c>
      <x:c r="H88" s="93" t="n">
        <x:v>-0.5357142857142857</x:v>
      </x:c>
      <x:c r="I88" s="139" t="n">
        <x:v>2</x:v>
      </x:c>
      <x:c r="J88" s="139" t="n">
        <x:v>3</x:v>
      </x:c>
      <x:c r="K88" s="139" t="n">
        <x:v>-1</x:v>
      </x:c>
      <x:c r="L88" s="139" t="n">
        <x:v>-1</x:v>
      </x:c>
    </x:row>
    <x:row r="89">
      <x:c r="A89" s="139" t="inlineStr">
        <x:is>
          <x:t xml:space="preserve">Jonathan</x:t>
        </x:is>
      </x:c>
      <x:c r="B89" s="139" t="inlineStr">
        <x:is>
          <x:t xml:space="preserve">Nicholas</x:t>
        </x:is>
      </x:c>
      <x:c r="C89" s="139" t="n">
        <x:v>1</x:v>
      </x:c>
      <x:c r="D89" s="139" t="n">
        <x:v>0</x:v>
      </x:c>
      <x:c r="E89" s="139" t="n">
        <x:v>1</x:v>
      </x:c>
      <x:c r="F89" s="93" t="n">
        <x:v>0</x:v>
      </x:c>
      <x:c r="G89" s="93" t="n">
        <x:v>0.5476190476190476</x:v>
      </x:c>
      <x:c r="H89" s="93" t="n">
        <x:v>-0.5476190476190476</x:v>
      </x:c>
      <x:c r="I89" s="139" t="n">
        <x:v>1</x:v>
      </x:c>
      <x:c r="J89" s="139" t="n">
        <x:v>4</x:v>
      </x:c>
      <x:c r="K89" s="139" t="n">
        <x:v>-3</x:v>
      </x:c>
      <x:c r="L89" s="139" t="n">
        <x:v>-3</x:v>
      </x:c>
    </x:row>
    <x:row r="90">
      <x:c r="A90" s="139" t="inlineStr">
        <x:is>
          <x:t xml:space="preserve">Edy SP</x:t>
        </x:is>
      </x:c>
      <x:c r="B90" s="139" t="inlineStr">
        <x:is>
          <x:t xml:space="preserve">Jonathan</x:t>
        </x:is>
      </x:c>
      <x:c r="C90" s="139" t="n">
        <x:v>1</x:v>
      </x:c>
      <x:c r="D90" s="139" t="n">
        <x:v>0</x:v>
      </x:c>
      <x:c r="E90" s="139" t="n">
        <x:v>1</x:v>
      </x:c>
      <x:c r="F90" s="93" t="n">
        <x:v>0</x:v>
      </x:c>
      <x:c r="G90" s="93" t="n">
        <x:v>0.5666666666666667</x:v>
      </x:c>
      <x:c r="H90" s="93" t="n">
        <x:v>-0.5666666666666667</x:v>
      </x:c>
      <x:c r="I90" s="139" t="n">
        <x:v>0</x:v>
      </x:c>
      <x:c r="J90" s="139" t="n">
        <x:v>5</x:v>
      </x:c>
      <x:c r="K90" s="139" t="n">
        <x:v>-5</x:v>
      </x:c>
      <x:c r="L90" s="139" t="n">
        <x:v>-5</x:v>
      </x:c>
    </x:row>
    <x:row r="91">
      <x:c r="A91" s="139" t="inlineStr">
        <x:is>
          <x:t xml:space="preserve">Michael</x:t>
        </x:is>
      </x:c>
      <x:c r="B91" s="139" t="inlineStr">
        <x:is>
          <x:t xml:space="preserve">Rey</x:t>
        </x:is>
      </x:c>
      <x:c r="C91" s="139" t="n">
        <x:v>1</x:v>
      </x:c>
      <x:c r="D91" s="139" t="n">
        <x:v>0</x:v>
      </x:c>
      <x:c r="E91" s="139" t="n">
        <x:v>1</x:v>
      </x:c>
      <x:c r="F91" s="93" t="n">
        <x:v>0</x:v>
      </x:c>
      <x:c r="G91" s="93" t="n">
        <x:v>0.5879120879120879</x:v>
      </x:c>
      <x:c r="H91" s="93" t="n">
        <x:v>-0.5879120879120879</x:v>
      </x:c>
      <x:c r="I91" s="139" t="n">
        <x:v>2</x:v>
      </x:c>
      <x:c r="J91" s="139" t="n">
        <x:v>4</x:v>
      </x:c>
      <x:c r="K91" s="139" t="n">
        <x:v>-2</x:v>
      </x:c>
      <x:c r="L91" s="139" t="n">
        <x:v>-2</x:v>
      </x:c>
    </x:row>
    <x:row r="92">
      <x:c r="A92" s="139" t="inlineStr">
        <x:is>
          <x:t xml:space="preserve">Ricky</x:t>
        </x:is>
      </x:c>
      <x:c r="B92" s="139" t="inlineStr">
        <x:is>
          <x:t xml:space="preserve">Ronald</x:t>
        </x:is>
      </x:c>
      <x:c r="C92" s="139" t="n">
        <x:v>1</x:v>
      </x:c>
      <x:c r="D92" s="139" t="n">
        <x:v>0</x:v>
      </x:c>
      <x:c r="E92" s="139" t="n">
        <x:v>1</x:v>
      </x:c>
      <x:c r="F92" s="93" t="n">
        <x:v>0</x:v>
      </x:c>
      <x:c r="G92" s="93" t="n">
        <x:v>0.641025641025641</x:v>
      </x:c>
      <x:c r="H92" s="93" t="n">
        <x:v>-0.641025641025641</x:v>
      </x:c>
      <x:c r="I92" s="139" t="n">
        <x:v>1</x:v>
      </x:c>
      <x:c r="J92" s="139" t="n">
        <x:v>4</x:v>
      </x:c>
      <x:c r="K92" s="139" t="n">
        <x:v>-3</x:v>
      </x:c>
      <x:c r="L92" s="139" t="n">
        <x:v>-3</x:v>
      </x:c>
    </x:row>
    <x:row r="93">
      <x:c r="A93" s="139" t="n"/>
      <x:c r="B93" s="139" t="n"/>
      <x:c r="C93" s="139" t="n"/>
      <x:c r="D93" s="139" t="n"/>
      <x:c r="E93" s="139" t="n"/>
      <x:c r="F93" s="139" t="n"/>
      <x:c r="G93" s="139" t="n"/>
      <x:c r="H93" s="139" t="n"/>
      <x:c r="I93" s="139" t="n"/>
      <x:c r="J93" s="139" t="n"/>
      <x:c r="K93" s="139" t="n"/>
      <x:c r="L93" s="139" t="n"/>
    </x:row>
    <x:row r="94">
      <x:c r="A94" s="139" t="n"/>
      <x:c r="B94" s="139" t="n"/>
      <x:c r="C94" s="139" t="n"/>
      <x:c r="D94" s="139" t="n"/>
      <x:c r="E94" s="139" t="n"/>
      <x:c r="F94" s="139" t="n"/>
      <x:c r="G94" s="139" t="n"/>
      <x:c r="H94" s="139" t="n"/>
      <x:c r="I94" s="139" t="n"/>
      <x:c r="J94" s="139" t="n"/>
      <x:c r="K94" s="139" t="n"/>
      <x:c r="L94" s="139" t="n"/>
    </x:row>
    <x:row r="95">
      <x:c r="A95" s="139" t="n"/>
      <x:c r="B95" s="139" t="n"/>
      <x:c r="C95" s="139" t="n"/>
      <x:c r="D95" s="139" t="n"/>
      <x:c r="E95" s="139" t="n"/>
      <x:c r="F95" s="139" t="n"/>
      <x:c r="G95" s="139" t="n"/>
      <x:c r="H95" s="139" t="n"/>
      <x:c r="I95" s="139" t="n"/>
      <x:c r="J95" s="139" t="n"/>
      <x:c r="K95" s="139" t="n"/>
      <x:c r="L95" s="139" t="n"/>
    </x:row>
    <x:row r="96">
      <x:c r="A96" s="139" t="n"/>
      <x:c r="B96" s="139" t="n"/>
      <x:c r="C96" s="139" t="n"/>
      <x:c r="D96" s="139" t="n"/>
      <x:c r="E96" s="139" t="n"/>
      <x:c r="F96" s="139" t="n"/>
      <x:c r="G96" s="139" t="n"/>
      <x:c r="H96" s="139" t="n"/>
      <x:c r="I96" s="139" t="n"/>
      <x:c r="J96" s="139" t="n"/>
      <x:c r="K96" s="139" t="n"/>
      <x:c r="L96" s="139" t="n"/>
    </x:row>
    <x:row r="97">
      <x:c r="A97" s="139" t="n"/>
      <x:c r="B97" s="139" t="n"/>
      <x:c r="C97" s="139" t="n"/>
      <x:c r="D97" s="139" t="n"/>
      <x:c r="E97" s="139" t="n"/>
      <x:c r="F97" s="139" t="n"/>
      <x:c r="G97" s="139" t="n"/>
      <x:c r="H97" s="139" t="n"/>
      <x:c r="I97" s="139" t="n"/>
      <x:c r="J97" s="139" t="n"/>
      <x:c r="K97" s="139" t="n"/>
      <x:c r="L97" s="139" t="n"/>
    </x:row>
    <x:row r="98">
      <x:c r="A98" s="139" t="n"/>
      <x:c r="B98" s="139" t="n"/>
      <x:c r="C98" s="139" t="n"/>
      <x:c r="D98" s="139" t="n"/>
      <x:c r="E98" s="139" t="n"/>
      <x:c r="F98" s="139" t="n"/>
      <x:c r="G98" s="139" t="n"/>
      <x:c r="H98" s="139" t="n"/>
      <x:c r="I98" s="139" t="n"/>
      <x:c r="J98" s="139" t="n"/>
      <x:c r="K98" s="139" t="n"/>
      <x:c r="L98" s="139" t="n"/>
    </x:row>
    <x:row r="99">
      <x:c r="A99" s="139" t="n"/>
      <x:c r="B99" s="139" t="n"/>
      <x:c r="C99" s="139" t="n"/>
      <x:c r="D99" s="139" t="n"/>
      <x:c r="E99" s="139" t="n"/>
      <x:c r="F99" s="139" t="n"/>
      <x:c r="G99" s="139" t="n"/>
      <x:c r="H99" s="139" t="n"/>
      <x:c r="I99" s="139" t="n"/>
      <x:c r="J99" s="139" t="n"/>
      <x:c r="K99" s="139" t="n"/>
      <x:c r="L99" s="139" t="n"/>
    </x:row>
    <x:row r="100">
      <x:c r="A100" s="139" t="n"/>
      <x:c r="B100" s="139" t="n"/>
      <x:c r="C100" s="139" t="n"/>
      <x:c r="D100" s="139" t="n"/>
      <x:c r="E100" s="139" t="n"/>
      <x:c r="F100" s="139" t="n"/>
      <x:c r="G100" s="139" t="n"/>
      <x:c r="H100" s="139" t="n"/>
      <x:c r="I100" s="139" t="n"/>
      <x:c r="J100" s="139" t="n"/>
      <x:c r="K100" s="139" t="n"/>
      <x:c r="L100" s="139" t="n"/>
    </x:row>
    <x:row r="101">
      <x:c r="A101" s="139" t="n"/>
      <x:c r="B101" s="139" t="n"/>
      <x:c r="C101" s="139" t="n"/>
      <x:c r="D101" s="139" t="n"/>
      <x:c r="E101" s="139" t="n"/>
      <x:c r="F101" s="139" t="n"/>
      <x:c r="G101" s="139" t="n"/>
      <x:c r="H101" s="139" t="n"/>
      <x:c r="I101" s="139" t="n"/>
      <x:c r="J101" s="139" t="n"/>
      <x:c r="K101" s="139" t="n"/>
      <x:c r="L101" s="139" t="n"/>
    </x:row>
    <x:row r="102">
      <x:c r="A102" s="139" t="n"/>
      <x:c r="B102" s="139" t="n"/>
      <x:c r="C102" s="139" t="n"/>
      <x:c r="D102" s="139" t="n"/>
      <x:c r="E102" s="139" t="n"/>
      <x:c r="F102" s="139" t="n"/>
      <x:c r="G102" s="139" t="n"/>
      <x:c r="H102" s="139" t="n"/>
      <x:c r="I102" s="139" t="n"/>
      <x:c r="J102" s="139" t="n"/>
      <x:c r="K102" s="139" t="n"/>
      <x:c r="L102" s="139" t="n"/>
    </x:row>
    <x:row r="103">
      <x:c r="A103" s="139" t="n"/>
      <x:c r="B103" s="139" t="n"/>
      <x:c r="C103" s="139" t="n"/>
      <x:c r="D103" s="139" t="n"/>
      <x:c r="E103" s="139" t="n"/>
      <x:c r="F103" s="139" t="n"/>
      <x:c r="G103" s="139" t="n"/>
      <x:c r="H103" s="139" t="n"/>
      <x:c r="I103" s="139" t="n"/>
      <x:c r="J103" s="139" t="n"/>
      <x:c r="K103" s="139" t="n"/>
      <x:c r="L103" s="139" t="n"/>
    </x:row>
    <x:row r="104">
      <x:c r="A104" s="139" t="n"/>
      <x:c r="B104" s="139" t="n"/>
      <x:c r="C104" s="139" t="n"/>
      <x:c r="D104" s="139" t="n"/>
      <x:c r="E104" s="139" t="n"/>
      <x:c r="F104" s="139" t="n"/>
      <x:c r="G104" s="139" t="n"/>
      <x:c r="H104" s="139" t="n"/>
      <x:c r="I104" s="139" t="n"/>
      <x:c r="J104" s="139" t="n"/>
      <x:c r="K104" s="139" t="n"/>
      <x:c r="L104" s="139" t="n"/>
    </x:row>
    <x:row r="105">
      <x:c r="A105" s="139" t="n"/>
      <x:c r="B105" s="139" t="n"/>
      <x:c r="C105" s="139" t="n"/>
      <x:c r="D105" s="139" t="n"/>
      <x:c r="E105" s="139" t="n"/>
      <x:c r="F105" s="139" t="n"/>
      <x:c r="G105" s="139" t="n"/>
      <x:c r="H105" s="139" t="n"/>
      <x:c r="I105" s="139" t="n"/>
      <x:c r="J105" s="139" t="n"/>
      <x:c r="K105" s="139" t="n"/>
      <x:c r="L105" s="139" t="n"/>
    </x:row>
    <x:row r="106">
      <x:c r="A106" s="139" t="n"/>
      <x:c r="B106" s="139" t="n"/>
      <x:c r="C106" s="139" t="n"/>
      <x:c r="D106" s="139" t="n"/>
      <x:c r="E106" s="139" t="n"/>
      <x:c r="F106" s="139" t="n"/>
      <x:c r="G106" s="139" t="n"/>
      <x:c r="H106" s="139" t="n"/>
      <x:c r="I106" s="139" t="n"/>
      <x:c r="J106" s="139" t="n"/>
      <x:c r="K106" s="139" t="n"/>
      <x:c r="L106" s="139" t="n"/>
    </x:row>
    <x:row r="107">
      <x:c r="A107" s="139" t="n"/>
      <x:c r="B107" s="139" t="n"/>
      <x:c r="C107" s="139" t="n"/>
      <x:c r="D107" s="139" t="n"/>
      <x:c r="E107" s="139" t="n"/>
      <x:c r="F107" s="139" t="n"/>
      <x:c r="G107" s="139" t="n"/>
      <x:c r="H107" s="139" t="n"/>
      <x:c r="I107" s="139" t="n"/>
      <x:c r="J107" s="139" t="n"/>
      <x:c r="K107" s="139" t="n"/>
      <x:c r="L107" s="139" t="n"/>
    </x:row>
    <x:row r="108">
      <x:c r="A108" s="139" t="n"/>
      <x:c r="B108" s="139" t="n"/>
      <x:c r="C108" s="139" t="n"/>
      <x:c r="D108" s="139" t="n"/>
      <x:c r="E108" s="139" t="n"/>
      <x:c r="F108" s="139" t="n"/>
      <x:c r="G108" s="139" t="n"/>
      <x:c r="H108" s="139" t="n"/>
      <x:c r="I108" s="139" t="n"/>
      <x:c r="J108" s="139" t="n"/>
      <x:c r="K108" s="139" t="n"/>
      <x:c r="L108" s="139" t="n"/>
    </x:row>
    <x:row r="109">
      <x:c r="A109" s="139" t="n"/>
      <x:c r="B109" s="139" t="n"/>
      <x:c r="C109" s="139" t="n"/>
      <x:c r="D109" s="139" t="n"/>
      <x:c r="E109" s="139" t="n"/>
      <x:c r="F109" s="139" t="n"/>
      <x:c r="G109" s="139" t="n"/>
      <x:c r="H109" s="139" t="n"/>
      <x:c r="I109" s="139" t="n"/>
      <x:c r="J109" s="139" t="n"/>
      <x:c r="K109" s="139" t="n"/>
      <x:c r="L109" s="139" t="n"/>
    </x:row>
    <x:row r="110">
      <x:c r="A110" s="139" t="n"/>
      <x:c r="B110" s="139" t="n"/>
      <x:c r="C110" s="139" t="n"/>
      <x:c r="D110" s="139" t="n"/>
      <x:c r="E110" s="139" t="n"/>
      <x:c r="F110" s="139" t="n"/>
      <x:c r="G110" s="139" t="n"/>
      <x:c r="H110" s="139" t="n"/>
      <x:c r="I110" s="139" t="n"/>
      <x:c r="J110" s="139" t="n"/>
      <x:c r="K110" s="139" t="n"/>
      <x:c r="L110" s="139" t="n"/>
    </x:row>
    <x:row r="111">
      <x:c r="A111" s="139" t="n"/>
      <x:c r="B111" s="139" t="n"/>
      <x:c r="C111" s="139" t="n"/>
      <x:c r="D111" s="139" t="n"/>
      <x:c r="E111" s="139" t="n"/>
      <x:c r="F111" s="139" t="n"/>
      <x:c r="G111" s="139" t="n"/>
      <x:c r="H111" s="139" t="n"/>
      <x:c r="I111" s="139" t="n"/>
      <x:c r="J111" s="139" t="n"/>
      <x:c r="K111" s="139" t="n"/>
      <x:c r="L111" s="139" t="n"/>
    </x:row>
    <x:row r="112">
      <x:c r="A112" s="139" t="n"/>
      <x:c r="B112" s="139" t="n"/>
      <x:c r="C112" s="139" t="n"/>
      <x:c r="D112" s="139" t="n"/>
      <x:c r="E112" s="139" t="n"/>
      <x:c r="F112" s="139" t="n"/>
      <x:c r="G112" s="139" t="n"/>
      <x:c r="H112" s="139" t="n"/>
      <x:c r="I112" s="139" t="n"/>
      <x:c r="J112" s="139" t="n"/>
      <x:c r="K112" s="139" t="n"/>
      <x:c r="L112" s="139" t="n"/>
    </x:row>
    <x:row r="113">
      <x:c r="A113" s="139" t="n"/>
      <x:c r="B113" s="139" t="n"/>
      <x:c r="C113" s="139" t="n"/>
      <x:c r="D113" s="139" t="n"/>
      <x:c r="E113" s="139" t="n"/>
      <x:c r="F113" s="139" t="n"/>
      <x:c r="G113" s="139" t="n"/>
      <x:c r="H113" s="139" t="n"/>
      <x:c r="I113" s="139" t="n"/>
      <x:c r="J113" s="139" t="n"/>
      <x:c r="K113" s="139" t="n"/>
      <x:c r="L113" s="139" t="n"/>
    </x:row>
    <x:row r="114">
      <x:c r="A114" s="139" t="n"/>
      <x:c r="B114" s="139" t="n"/>
      <x:c r="C114" s="139" t="n"/>
      <x:c r="D114" s="139" t="n"/>
      <x:c r="E114" s="139" t="n"/>
      <x:c r="F114" s="139" t="n"/>
      <x:c r="G114" s="139" t="n"/>
      <x:c r="H114" s="139" t="n"/>
      <x:c r="I114" s="139" t="n"/>
      <x:c r="J114" s="139" t="n"/>
      <x:c r="K114" s="139" t="n"/>
      <x:c r="L114" s="139" t="n"/>
    </x:row>
    <x:row r="115">
      <x:c r="A115" s="139" t="n"/>
      <x:c r="B115" s="139" t="n"/>
      <x:c r="C115" s="139" t="n"/>
      <x:c r="D115" s="139" t="n"/>
      <x:c r="E115" s="139" t="n"/>
      <x:c r="F115" s="139" t="n"/>
      <x:c r="G115" s="139" t="n"/>
      <x:c r="H115" s="139" t="n"/>
      <x:c r="I115" s="139" t="n"/>
      <x:c r="J115" s="139" t="n"/>
      <x:c r="K115" s="139" t="n"/>
      <x:c r="L115" s="139" t="n"/>
    </x:row>
    <x:row r="116">
      <x:c r="A116" s="139" t="n"/>
      <x:c r="B116" s="139" t="n"/>
      <x:c r="C116" s="139" t="n"/>
      <x:c r="D116" s="139" t="n"/>
      <x:c r="E116" s="139" t="n"/>
      <x:c r="F116" s="139" t="n"/>
      <x:c r="G116" s="139" t="n"/>
      <x:c r="H116" s="139" t="n"/>
      <x:c r="I116" s="139" t="n"/>
      <x:c r="J116" s="139" t="n"/>
      <x:c r="K116" s="139" t="n"/>
      <x:c r="L116" s="139" t="n"/>
    </x:row>
    <x:row r="117">
      <x:c r="A117" s="139" t="n"/>
      <x:c r="B117" s="139" t="n"/>
      <x:c r="C117" s="139" t="n"/>
      <x:c r="D117" s="139" t="n"/>
      <x:c r="E117" s="139" t="n"/>
      <x:c r="F117" s="139" t="n"/>
      <x:c r="G117" s="139" t="n"/>
      <x:c r="H117" s="139" t="n"/>
      <x:c r="I117" s="139" t="n"/>
      <x:c r="J117" s="139" t="n"/>
      <x:c r="K117" s="139" t="n"/>
      <x:c r="L117" s="139" t="n"/>
    </x:row>
    <x:row r="118">
      <x:c r="A118" s="139" t="n"/>
      <x:c r="B118" s="139" t="n"/>
      <x:c r="C118" s="139" t="n"/>
      <x:c r="D118" s="139" t="n"/>
      <x:c r="E118" s="139" t="n"/>
      <x:c r="F118" s="139" t="n"/>
      <x:c r="G118" s="139" t="n"/>
      <x:c r="H118" s="139" t="n"/>
      <x:c r="I118" s="139" t="n"/>
      <x:c r="J118" s="139" t="n"/>
      <x:c r="K118" s="139" t="n"/>
      <x:c r="L118" s="139" t="n"/>
    </x:row>
    <x:row r="119">
      <x:c r="A119" s="139" t="n"/>
      <x:c r="B119" s="139" t="n"/>
      <x:c r="C119" s="139" t="n"/>
      <x:c r="D119" s="139" t="n"/>
      <x:c r="E119" s="139" t="n"/>
      <x:c r="F119" s="139" t="n"/>
      <x:c r="G119" s="139" t="n"/>
      <x:c r="H119" s="139" t="n"/>
      <x:c r="I119" s="139" t="n"/>
      <x:c r="J119" s="139" t="n"/>
      <x:c r="K119" s="139" t="n"/>
      <x:c r="L119" s="139" t="n"/>
    </x:row>
    <x:row r="120">
      <x:c r="A120" s="139" t="n"/>
      <x:c r="B120" s="139" t="n"/>
      <x:c r="C120" s="139" t="n"/>
      <x:c r="D120" s="139" t="n"/>
      <x:c r="E120" s="139" t="n"/>
      <x:c r="F120" s="139" t="n"/>
      <x:c r="G120" s="139" t="n"/>
      <x:c r="H120" s="139" t="n"/>
      <x:c r="I120" s="139" t="n"/>
      <x:c r="J120" s="139" t="n"/>
      <x:c r="K120" s="139" t="n"/>
      <x:c r="L120" s="139" t="n"/>
    </x:row>
    <x:row r="121">
      <x:c r="A121" s="139" t="n"/>
      <x:c r="B121" s="139" t="n"/>
      <x:c r="C121" s="139" t="n"/>
      <x:c r="D121" s="139" t="n"/>
      <x:c r="E121" s="139" t="n"/>
      <x:c r="F121" s="139" t="n"/>
      <x:c r="G121" s="139" t="n"/>
      <x:c r="H121" s="139" t="n"/>
      <x:c r="I121" s="139" t="n"/>
      <x:c r="J121" s="139" t="n"/>
      <x:c r="K121" s="139" t="n"/>
      <x:c r="L121" s="139" t="n"/>
    </x:row>
    <x:row r="122">
      <x:c r="A122" s="139" t="n"/>
      <x:c r="B122" s="139" t="n"/>
      <x:c r="C122" s="139" t="n"/>
      <x:c r="D122" s="139" t="n"/>
      <x:c r="E122" s="139" t="n"/>
      <x:c r="F122" s="139" t="n"/>
      <x:c r="G122" s="139" t="n"/>
      <x:c r="H122" s="139" t="n"/>
      <x:c r="I122" s="139" t="n"/>
      <x:c r="J122" s="139" t="n"/>
      <x:c r="K122" s="139" t="n"/>
      <x:c r="L122" s="139" t="n"/>
    </x:row>
    <x:row r="123">
      <x:c r="A123" s="139" t="n"/>
      <x:c r="B123" s="139" t="n"/>
      <x:c r="C123" s="139" t="n"/>
      <x:c r="D123" s="139" t="n"/>
      <x:c r="E123" s="139" t="n"/>
      <x:c r="F123" s="139" t="n"/>
      <x:c r="G123" s="139" t="n"/>
      <x:c r="H123" s="139" t="n"/>
      <x:c r="I123" s="139" t="n"/>
      <x:c r="J123" s="139" t="n"/>
      <x:c r="K123" s="139" t="n"/>
      <x:c r="L123" s="139" t="n"/>
    </x:row>
    <x:row r="124">
      <x:c r="A124" s="139" t="n"/>
      <x:c r="B124" s="139" t="n"/>
      <x:c r="C124" s="139" t="n"/>
      <x:c r="D124" s="139" t="n"/>
      <x:c r="E124" s="139" t="n"/>
      <x:c r="F124" s="139" t="n"/>
      <x:c r="G124" s="139" t="n"/>
      <x:c r="H124" s="139" t="n"/>
      <x:c r="I124" s="139" t="n"/>
      <x:c r="J124" s="139" t="n"/>
      <x:c r="K124" s="139" t="n"/>
      <x:c r="L124" s="139" t="n"/>
    </x:row>
    <x:row r="125">
      <x:c r="A125" s="139" t="n"/>
      <x:c r="B125" s="139" t="n"/>
      <x:c r="C125" s="139" t="n"/>
      <x:c r="D125" s="139" t="n"/>
      <x:c r="E125" s="139" t="n"/>
      <x:c r="F125" s="139" t="n"/>
      <x:c r="G125" s="139" t="n"/>
      <x:c r="H125" s="139" t="n"/>
      <x:c r="I125" s="139" t="n"/>
      <x:c r="J125" s="139" t="n"/>
      <x:c r="K125" s="139" t="n"/>
      <x:c r="L125" s="139" t="n"/>
    </x:row>
    <x:row r="126">
      <x:c r="A126" s="139" t="n"/>
      <x:c r="B126" s="139" t="n"/>
      <x:c r="C126" s="139" t="n"/>
      <x:c r="D126" s="139" t="n"/>
      <x:c r="E126" s="139" t="n"/>
      <x:c r="F126" s="139" t="n"/>
      <x:c r="G126" s="139" t="n"/>
      <x:c r="H126" s="139" t="n"/>
      <x:c r="I126" s="139" t="n"/>
      <x:c r="J126" s="139" t="n"/>
      <x:c r="K126" s="139" t="n"/>
      <x:c r="L126" s="139" t="n"/>
    </x:row>
    <x:row r="127">
      <x:c r="A127" s="139" t="n"/>
      <x:c r="B127" s="139" t="n"/>
      <x:c r="C127" s="139" t="n"/>
      <x:c r="D127" s="139" t="n"/>
      <x:c r="E127" s="139" t="n"/>
      <x:c r="F127" s="139" t="n"/>
      <x:c r="G127" s="139" t="n"/>
      <x:c r="H127" s="139" t="n"/>
      <x:c r="I127" s="139" t="n"/>
      <x:c r="J127" s="139" t="n"/>
      <x:c r="K127" s="139" t="n"/>
      <x:c r="L127" s="139" t="n"/>
    </x:row>
    <x:row r="128">
      <x:c r="A128" s="139" t="n"/>
      <x:c r="B128" s="139" t="n"/>
      <x:c r="C128" s="139" t="n"/>
      <x:c r="D128" s="139" t="n"/>
      <x:c r="E128" s="139" t="n"/>
      <x:c r="F128" s="139" t="n"/>
      <x:c r="G128" s="139" t="n"/>
      <x:c r="H128" s="139" t="n"/>
      <x:c r="I128" s="139" t="n"/>
      <x:c r="J128" s="139" t="n"/>
      <x:c r="K128" s="139" t="n"/>
      <x:c r="L128" s="139" t="n"/>
    </x:row>
    <x:row r="129">
      <x:c r="A129" s="139" t="n"/>
      <x:c r="B129" s="139" t="n"/>
      <x:c r="C129" s="139" t="n"/>
      <x:c r="D129" s="139" t="n"/>
      <x:c r="E129" s="139" t="n"/>
      <x:c r="F129" s="139" t="n"/>
      <x:c r="G129" s="139" t="n"/>
      <x:c r="H129" s="139" t="n"/>
      <x:c r="I129" s="139" t="n"/>
      <x:c r="J129" s="139" t="n"/>
      <x:c r="K129" s="139" t="n"/>
      <x:c r="L129" s="139" t="n"/>
    </x:row>
    <x:row r="130">
      <x:c r="A130" s="139" t="n"/>
      <x:c r="B130" s="139" t="n"/>
      <x:c r="C130" s="139" t="n"/>
      <x:c r="D130" s="139" t="n"/>
      <x:c r="E130" s="139" t="n"/>
      <x:c r="F130" s="139" t="n"/>
      <x:c r="G130" s="139" t="n"/>
      <x:c r="H130" s="139" t="n"/>
      <x:c r="I130" s="139" t="n"/>
      <x:c r="J130" s="139" t="n"/>
      <x:c r="K130" s="139" t="n"/>
      <x:c r="L130" s="139" t="n"/>
    </x:row>
    <x:row r="131">
      <x:c r="A131" s="139" t="n"/>
      <x:c r="B131" s="139" t="n"/>
      <x:c r="C131" s="139" t="n"/>
      <x:c r="D131" s="139" t="n"/>
      <x:c r="E131" s="139" t="n"/>
      <x:c r="F131" s="139" t="n"/>
      <x:c r="G131" s="139" t="n"/>
      <x:c r="H131" s="139" t="n"/>
      <x:c r="I131" s="139" t="n"/>
      <x:c r="J131" s="139" t="n"/>
      <x:c r="K131" s="139" t="n"/>
      <x:c r="L131" s="139" t="n"/>
    </x:row>
    <x:row r="132">
      <x:c r="A132" s="139" t="n"/>
      <x:c r="B132" s="139" t="n"/>
      <x:c r="C132" s="139" t="n"/>
      <x:c r="D132" s="139" t="n"/>
      <x:c r="E132" s="139" t="n"/>
      <x:c r="F132" s="139" t="n"/>
      <x:c r="G132" s="139" t="n"/>
      <x:c r="H132" s="139" t="n"/>
      <x:c r="I132" s="139" t="n"/>
      <x:c r="J132" s="139" t="n"/>
      <x:c r="K132" s="139" t="n"/>
      <x:c r="L132" s="139" t="n"/>
    </x:row>
    <x:row r="133">
      <x:c r="A133" s="139" t="n"/>
      <x:c r="B133" s="139" t="n"/>
      <x:c r="C133" s="139" t="n"/>
      <x:c r="D133" s="139" t="n"/>
      <x:c r="E133" s="139" t="n"/>
      <x:c r="F133" s="139" t="n"/>
      <x:c r="G133" s="139" t="n"/>
      <x:c r="H133" s="139" t="n"/>
      <x:c r="I133" s="139" t="n"/>
      <x:c r="J133" s="139" t="n"/>
      <x:c r="K133" s="139" t="n"/>
      <x:c r="L133" s="139" t="n"/>
    </x:row>
    <x:row r="134">
      <x:c r="A134" s="139" t="n"/>
      <x:c r="B134" s="139" t="n"/>
      <x:c r="C134" s="139" t="n"/>
      <x:c r="D134" s="139" t="n"/>
      <x:c r="E134" s="139" t="n"/>
      <x:c r="F134" s="139" t="n"/>
      <x:c r="G134" s="139" t="n"/>
      <x:c r="H134" s="139" t="n"/>
      <x:c r="I134" s="139" t="n"/>
      <x:c r="J134" s="139" t="n"/>
      <x:c r="K134" s="139" t="n"/>
      <x:c r="L134" s="139" t="n"/>
    </x:row>
    <x:row r="135">
      <x:c r="A135" s="139" t="n"/>
      <x:c r="B135" s="139" t="n"/>
      <x:c r="C135" s="139" t="n"/>
      <x:c r="D135" s="139" t="n"/>
      <x:c r="E135" s="139" t="n"/>
      <x:c r="F135" s="139" t="n"/>
      <x:c r="G135" s="139" t="n"/>
      <x:c r="H135" s="139" t="n"/>
      <x:c r="I135" s="139" t="n"/>
      <x:c r="J135" s="139" t="n"/>
      <x:c r="K135" s="139" t="n"/>
      <x:c r="L135" s="139" t="n"/>
    </x:row>
    <x:row r="136">
      <x:c r="A136" s="139" t="n"/>
      <x:c r="B136" s="139" t="n"/>
      <x:c r="C136" s="139" t="n"/>
      <x:c r="D136" s="139" t="n"/>
      <x:c r="E136" s="139" t="n"/>
      <x:c r="F136" s="139" t="n"/>
      <x:c r="G136" s="139" t="n"/>
      <x:c r="H136" s="139" t="n"/>
      <x:c r="I136" s="139" t="n"/>
      <x:c r="J136" s="139" t="n"/>
      <x:c r="K136" s="139" t="n"/>
      <x:c r="L136" s="139" t="n"/>
    </x:row>
    <x:row r="137">
      <x:c r="A137" s="139" t="n"/>
      <x:c r="B137" s="139" t="n"/>
      <x:c r="C137" s="139" t="n"/>
      <x:c r="D137" s="139" t="n"/>
      <x:c r="E137" s="139" t="n"/>
      <x:c r="F137" s="139" t="n"/>
      <x:c r="G137" s="139" t="n"/>
      <x:c r="H137" s="139" t="n"/>
      <x:c r="I137" s="139" t="n"/>
      <x:c r="J137" s="139" t="n"/>
      <x:c r="K137" s="139" t="n"/>
      <x:c r="L137" s="139" t="n"/>
    </x:row>
    <x:row r="138">
      <x:c r="A138" s="139" t="n"/>
      <x:c r="B138" s="139" t="n"/>
      <x:c r="C138" s="139" t="n"/>
      <x:c r="D138" s="139" t="n"/>
      <x:c r="E138" s="139" t="n"/>
      <x:c r="F138" s="139" t="n"/>
      <x:c r="G138" s="139" t="n"/>
      <x:c r="H138" s="139" t="n"/>
      <x:c r="I138" s="139" t="n"/>
      <x:c r="J138" s="139" t="n"/>
      <x:c r="K138" s="139" t="n"/>
      <x:c r="L138" s="139" t="n"/>
    </x:row>
    <x:row r="139">
      <x:c r="A139" s="139" t="n"/>
      <x:c r="B139" s="139" t="n"/>
      <x:c r="C139" s="139" t="n"/>
      <x:c r="D139" s="139" t="n"/>
      <x:c r="E139" s="139" t="n"/>
      <x:c r="F139" s="139" t="n"/>
      <x:c r="G139" s="139" t="n"/>
      <x:c r="H139" s="139" t="n"/>
      <x:c r="I139" s="139" t="n"/>
      <x:c r="J139" s="139" t="n"/>
      <x:c r="K139" s="139" t="n"/>
      <x:c r="L139" s="139" t="n"/>
    </x:row>
    <x:row r="140">
      <x:c r="A140" s="139" t="n"/>
      <x:c r="B140" s="139" t="n"/>
      <x:c r="C140" s="139" t="n"/>
      <x:c r="D140" s="139" t="n"/>
      <x:c r="E140" s="139" t="n"/>
      <x:c r="F140" s="139" t="n"/>
      <x:c r="G140" s="139" t="n"/>
      <x:c r="H140" s="139" t="n"/>
      <x:c r="I140" s="139" t="n"/>
      <x:c r="J140" s="139" t="n"/>
      <x:c r="K140" s="139" t="n"/>
      <x:c r="L140" s="139" t="n"/>
    </x:row>
    <x:row r="141">
      <x:c r="A141" s="139" t="n"/>
      <x:c r="B141" s="139" t="n"/>
      <x:c r="C141" s="139" t="n"/>
      <x:c r="D141" s="139" t="n"/>
      <x:c r="E141" s="139" t="n"/>
      <x:c r="F141" s="139" t="n"/>
      <x:c r="G141" s="139" t="n"/>
      <x:c r="H141" s="139" t="n"/>
      <x:c r="I141" s="139" t="n"/>
      <x:c r="J141" s="139" t="n"/>
      <x:c r="K141" s="139" t="n"/>
      <x:c r="L141" s="139" t="n"/>
    </x:row>
    <x:row r="142">
      <x:c r="A142" s="139" t="n"/>
      <x:c r="B142" s="139" t="n"/>
      <x:c r="C142" s="139" t="n"/>
      <x:c r="D142" s="139" t="n"/>
      <x:c r="E142" s="139" t="n"/>
      <x:c r="F142" s="139" t="n"/>
      <x:c r="G142" s="139" t="n"/>
      <x:c r="H142" s="139" t="n"/>
      <x:c r="I142" s="139" t="n"/>
      <x:c r="J142" s="139" t="n"/>
      <x:c r="K142" s="139" t="n"/>
      <x:c r="L142" s="139" t="n"/>
    </x:row>
    <x:row r="143">
      <x:c r="A143" s="139" t="n"/>
      <x:c r="B143" s="139" t="n"/>
      <x:c r="C143" s="139" t="n"/>
      <x:c r="D143" s="139" t="n"/>
      <x:c r="E143" s="139" t="n"/>
      <x:c r="F143" s="139" t="n"/>
      <x:c r="G143" s="139" t="n"/>
      <x:c r="H143" s="139" t="n"/>
      <x:c r="I143" s="139" t="n"/>
      <x:c r="J143" s="139" t="n"/>
      <x:c r="K143" s="139" t="n"/>
      <x:c r="L143" s="139" t="n"/>
    </x:row>
    <x:row r="144">
      <x:c r="A144" s="139" t="n"/>
      <x:c r="B144" s="139" t="n"/>
      <x:c r="C144" s="139" t="n"/>
      <x:c r="D144" s="139" t="n"/>
      <x:c r="E144" s="139" t="n"/>
      <x:c r="F144" s="139" t="n"/>
      <x:c r="G144" s="139" t="n"/>
      <x:c r="H144" s="139" t="n"/>
      <x:c r="I144" s="139" t="n"/>
      <x:c r="J144" s="139" t="n"/>
      <x:c r="K144" s="139" t="n"/>
      <x:c r="L144" s="139" t="n"/>
    </x:row>
    <x:row r="145">
      <x:c r="A145" s="139" t="n"/>
      <x:c r="B145" s="139" t="n"/>
      <x:c r="C145" s="139" t="n"/>
      <x:c r="D145" s="139" t="n"/>
      <x:c r="E145" s="139" t="n"/>
      <x:c r="F145" s="139" t="n"/>
      <x:c r="G145" s="139" t="n"/>
      <x:c r="H145" s="139" t="n"/>
      <x:c r="I145" s="139" t="n"/>
      <x:c r="J145" s="139" t="n"/>
      <x:c r="K145" s="139" t="n"/>
      <x:c r="L145" s="139" t="n"/>
    </x:row>
    <x:row r="146">
      <x:c r="A146" s="139" t="n"/>
      <x:c r="B146" s="139" t="n"/>
      <x:c r="C146" s="139" t="n"/>
      <x:c r="D146" s="139" t="n"/>
      <x:c r="E146" s="139" t="n"/>
      <x:c r="F146" s="139" t="n"/>
      <x:c r="G146" s="139" t="n"/>
      <x:c r="H146" s="139" t="n"/>
      <x:c r="I146" s="139" t="n"/>
      <x:c r="J146" s="139" t="n"/>
      <x:c r="K146" s="139" t="n"/>
      <x:c r="L146" s="139" t="n"/>
    </x:row>
    <x:row r="147">
      <x:c r="A147" s="139" t="n"/>
      <x:c r="B147" s="139" t="n"/>
      <x:c r="C147" s="139" t="n"/>
      <x:c r="D147" s="139" t="n"/>
      <x:c r="E147" s="139" t="n"/>
      <x:c r="F147" s="139" t="n"/>
      <x:c r="G147" s="139" t="n"/>
      <x:c r="H147" s="139" t="n"/>
      <x:c r="I147" s="139" t="n"/>
      <x:c r="J147" s="139" t="n"/>
      <x:c r="K147" s="139" t="n"/>
      <x:c r="L147" s="139" t="n"/>
    </x:row>
    <x:row r="148">
      <x:c r="A148" s="139" t="n"/>
      <x:c r="B148" s="139" t="n"/>
      <x:c r="C148" s="139" t="n"/>
      <x:c r="D148" s="139" t="n"/>
      <x:c r="E148" s="139" t="n"/>
      <x:c r="F148" s="139" t="n"/>
      <x:c r="G148" s="139" t="n"/>
      <x:c r="H148" s="139" t="n"/>
      <x:c r="I148" s="139" t="n"/>
      <x:c r="J148" s="139" t="n"/>
      <x:c r="K148" s="139" t="n"/>
      <x:c r="L148" s="139" t="n"/>
    </x:row>
    <x:row r="149">
      <x:c r="A149" s="139" t="n"/>
      <x:c r="B149" s="139" t="n"/>
      <x:c r="C149" s="139" t="n"/>
      <x:c r="D149" s="139" t="n"/>
      <x:c r="E149" s="139" t="n"/>
      <x:c r="F149" s="139" t="n"/>
      <x:c r="G149" s="139" t="n"/>
      <x:c r="H149" s="139" t="n"/>
      <x:c r="I149" s="139" t="n"/>
      <x:c r="J149" s="139" t="n"/>
      <x:c r="K149" s="139" t="n"/>
      <x:c r="L149" s="139" t="n"/>
    </x:row>
    <x:row r="150">
      <x:c r="A150" s="139" t="n"/>
      <x:c r="B150" s="139" t="n"/>
      <x:c r="C150" s="139" t="n"/>
      <x:c r="D150" s="139" t="n"/>
      <x:c r="E150" s="139" t="n"/>
      <x:c r="F150" s="139" t="n"/>
      <x:c r="G150" s="139" t="n"/>
      <x:c r="H150" s="139" t="n"/>
      <x:c r="I150" s="139" t="n"/>
      <x:c r="J150" s="139" t="n"/>
      <x:c r="K150" s="139" t="n"/>
      <x:c r="L150" s="139" t="n"/>
    </x:row>
    <x:row r="151">
      <x:c r="A151" s="139" t="n"/>
      <x:c r="B151" s="139" t="n"/>
      <x:c r="C151" s="139" t="n"/>
      <x:c r="D151" s="139" t="n"/>
      <x:c r="E151" s="139" t="n"/>
      <x:c r="F151" s="139" t="n"/>
      <x:c r="G151" s="139" t="n"/>
      <x:c r="H151" s="139" t="n"/>
      <x:c r="I151" s="139" t="n"/>
      <x:c r="J151" s="139" t="n"/>
      <x:c r="K151" s="139" t="n"/>
      <x:c r="L151" s="139" t="n"/>
    </x:row>
    <x:row r="152">
      <x:c r="A152" s="139" t="n"/>
      <x:c r="B152" s="139" t="n"/>
      <x:c r="C152" s="139" t="n"/>
      <x:c r="D152" s="139" t="n"/>
      <x:c r="E152" s="139" t="n"/>
      <x:c r="F152" s="139" t="n"/>
      <x:c r="G152" s="139" t="n"/>
      <x:c r="H152" s="139" t="n"/>
      <x:c r="I152" s="139" t="n"/>
      <x:c r="J152" s="139" t="n"/>
      <x:c r="K152" s="139" t="n"/>
      <x:c r="L152" s="139" t="n"/>
    </x:row>
    <x:row r="153">
      <x:c r="A153" s="139" t="n"/>
      <x:c r="B153" s="139" t="n"/>
      <x:c r="C153" s="139" t="n"/>
      <x:c r="D153" s="139" t="n"/>
      <x:c r="E153" s="139" t="n"/>
      <x:c r="F153" s="139" t="n"/>
      <x:c r="G153" s="139" t="n"/>
      <x:c r="H153" s="139" t="n"/>
      <x:c r="I153" s="139" t="n"/>
      <x:c r="J153" s="139" t="n"/>
      <x:c r="K153" s="139" t="n"/>
      <x:c r="L153" s="139" t="n"/>
    </x:row>
    <x:row r="154">
      <x:c r="A154" s="139" t="n"/>
      <x:c r="B154" s="139" t="n"/>
      <x:c r="C154" s="139" t="n"/>
      <x:c r="D154" s="139" t="n"/>
      <x:c r="E154" s="139" t="n"/>
      <x:c r="F154" s="139" t="n"/>
      <x:c r="G154" s="139" t="n"/>
      <x:c r="H154" s="139" t="n"/>
      <x:c r="I154" s="139" t="n"/>
      <x:c r="J154" s="139" t="n"/>
      <x:c r="K154" s="139" t="n"/>
      <x:c r="L154" s="139" t="n"/>
    </x:row>
    <x:row r="155">
      <x:c r="A155" s="139" t="n"/>
      <x:c r="B155" s="139" t="n"/>
      <x:c r="C155" s="139" t="n"/>
      <x:c r="D155" s="139" t="n"/>
      <x:c r="E155" s="139" t="n"/>
      <x:c r="F155" s="139" t="n"/>
      <x:c r="G155" s="139" t="n"/>
      <x:c r="H155" s="139" t="n"/>
      <x:c r="I155" s="139" t="n"/>
      <x:c r="J155" s="139" t="n"/>
      <x:c r="K155" s="139" t="n"/>
      <x:c r="L155" s="139" t="n"/>
    </x:row>
    <x:row r="156">
      <x:c r="A156" s="139" t="n"/>
      <x:c r="B156" s="139" t="n"/>
      <x:c r="C156" s="139" t="n"/>
      <x:c r="D156" s="139" t="n"/>
      <x:c r="E156" s="139" t="n"/>
      <x:c r="F156" s="139" t="n"/>
      <x:c r="G156" s="139" t="n"/>
      <x:c r="H156" s="139" t="n"/>
      <x:c r="I156" s="139" t="n"/>
      <x:c r="J156" s="139" t="n"/>
      <x:c r="K156" s="139" t="n"/>
      <x:c r="L156" s="139" t="n"/>
    </x:row>
    <x:row r="157">
      <x:c r="A157" s="139" t="n"/>
      <x:c r="B157" s="139" t="n"/>
      <x:c r="C157" s="139" t="n"/>
      <x:c r="D157" s="139" t="n"/>
      <x:c r="E157" s="139" t="n"/>
      <x:c r="F157" s="139" t="n"/>
      <x:c r="G157" s="139" t="n"/>
      <x:c r="H157" s="139" t="n"/>
      <x:c r="I157" s="139" t="n"/>
      <x:c r="J157" s="139" t="n"/>
      <x:c r="K157" s="139" t="n"/>
      <x:c r="L157" s="139" t="n"/>
    </x:row>
    <x:row r="158">
      <x:c r="A158" s="139" t="n"/>
      <x:c r="B158" s="139" t="n"/>
      <x:c r="C158" s="139" t="n"/>
      <x:c r="D158" s="139" t="n"/>
      <x:c r="E158" s="139" t="n"/>
      <x:c r="F158" s="139" t="n"/>
      <x:c r="G158" s="139" t="n"/>
      <x:c r="H158" s="139" t="n"/>
      <x:c r="I158" s="139" t="n"/>
      <x:c r="J158" s="139" t="n"/>
      <x:c r="K158" s="139" t="n"/>
      <x:c r="L158" s="139" t="n"/>
    </x:row>
    <x:row r="159">
      <x:c r="A159" s="139" t="n"/>
      <x:c r="B159" s="139" t="n"/>
      <x:c r="C159" s="139" t="n"/>
      <x:c r="D159" s="139" t="n"/>
      <x:c r="E159" s="139" t="n"/>
      <x:c r="F159" s="139" t="n"/>
      <x:c r="G159" s="139" t="n"/>
      <x:c r="H159" s="139" t="n"/>
      <x:c r="I159" s="139" t="n"/>
      <x:c r="J159" s="139" t="n"/>
      <x:c r="K159" s="139" t="n"/>
      <x:c r="L159" s="139" t="n"/>
    </x:row>
    <x:row r="160">
      <x:c r="A160" s="139" t="n"/>
      <x:c r="B160" s="139" t="n"/>
      <x:c r="C160" s="139" t="n"/>
      <x:c r="D160" s="139" t="n"/>
      <x:c r="E160" s="139" t="n"/>
      <x:c r="F160" s="139" t="n"/>
      <x:c r="G160" s="139" t="n"/>
      <x:c r="H160" s="139" t="n"/>
      <x:c r="I160" s="139" t="n"/>
      <x:c r="J160" s="139" t="n"/>
      <x:c r="K160" s="139" t="n"/>
      <x:c r="L160" s="139" t="n"/>
    </x:row>
    <x:row r="161">
      <x:c r="A161" s="139" t="n"/>
      <x:c r="B161" s="139" t="n"/>
      <x:c r="C161" s="139" t="n"/>
      <x:c r="D161" s="139" t="n"/>
      <x:c r="E161" s="139" t="n"/>
      <x:c r="F161" s="139" t="n"/>
      <x:c r="G161" s="139" t="n"/>
      <x:c r="H161" s="139" t="n"/>
      <x:c r="I161" s="139" t="n"/>
      <x:c r="J161" s="139" t="n"/>
      <x:c r="K161" s="139" t="n"/>
      <x:c r="L161" s="139" t="n"/>
    </x:row>
    <x:row r="162">
      <x:c r="A162" s="139" t="n"/>
      <x:c r="B162" s="139" t="n"/>
      <x:c r="C162" s="139" t="n"/>
      <x:c r="D162" s="139" t="n"/>
      <x:c r="E162" s="139" t="n"/>
      <x:c r="F162" s="139" t="n"/>
      <x:c r="G162" s="139" t="n"/>
      <x:c r="H162" s="139" t="n"/>
      <x:c r="I162" s="139" t="n"/>
      <x:c r="J162" s="139" t="n"/>
      <x:c r="K162" s="139" t="n"/>
      <x:c r="L162" s="139" t="n"/>
    </x:row>
    <x:row r="163">
      <x:c r="A163" s="139" t="n"/>
      <x:c r="B163" s="139" t="n"/>
      <x:c r="C163" s="139" t="n"/>
      <x:c r="D163" s="139" t="n"/>
      <x:c r="E163" s="139" t="n"/>
      <x:c r="F163" s="139" t="n"/>
      <x:c r="G163" s="139" t="n"/>
      <x:c r="H163" s="139" t="n"/>
      <x:c r="I163" s="139" t="n"/>
      <x:c r="J163" s="139" t="n"/>
      <x:c r="K163" s="139" t="n"/>
      <x:c r="L163" s="139" t="n"/>
    </x:row>
    <x:row r="164">
      <x:c r="A164" s="139" t="n"/>
      <x:c r="B164" s="139" t="n"/>
      <x:c r="C164" s="139" t="n"/>
      <x:c r="D164" s="139" t="n"/>
      <x:c r="E164" s="139" t="n"/>
      <x:c r="F164" s="139" t="n"/>
      <x:c r="G164" s="139" t="n"/>
      <x:c r="H164" s="139" t="n"/>
      <x:c r="I164" s="139" t="n"/>
      <x:c r="J164" s="139" t="n"/>
      <x:c r="K164" s="139" t="n"/>
      <x:c r="L164" s="139" t="n"/>
    </x:row>
    <x:row r="165">
      <x:c r="A165" s="139" t="n"/>
      <x:c r="B165" s="139" t="n"/>
      <x:c r="C165" s="139" t="n"/>
      <x:c r="D165" s="139" t="n"/>
      <x:c r="E165" s="139" t="n"/>
      <x:c r="F165" s="139" t="n"/>
      <x:c r="G165" s="139" t="n"/>
      <x:c r="H165" s="139" t="n"/>
      <x:c r="I165" s="139" t="n"/>
      <x:c r="J165" s="139" t="n"/>
      <x:c r="K165" s="139" t="n"/>
      <x:c r="L165" s="139" t="n"/>
    </x:row>
    <x:row r="166">
      <x:c r="A166" s="139" t="n"/>
      <x:c r="B166" s="139" t="n"/>
      <x:c r="C166" s="139" t="n"/>
      <x:c r="D166" s="139" t="n"/>
      <x:c r="E166" s="139" t="n"/>
      <x:c r="F166" s="139" t="n"/>
      <x:c r="G166" s="139" t="n"/>
      <x:c r="H166" s="139" t="n"/>
      <x:c r="I166" s="139" t="n"/>
      <x:c r="J166" s="139" t="n"/>
      <x:c r="K166" s="139" t="n"/>
      <x:c r="L166" s="139" t="n"/>
    </x:row>
    <x:row r="167">
      <x:c r="A167" s="139" t="n"/>
      <x:c r="B167" s="139" t="n"/>
      <x:c r="C167" s="139" t="n"/>
      <x:c r="D167" s="139" t="n"/>
      <x:c r="E167" s="139" t="n"/>
      <x:c r="F167" s="139" t="n"/>
      <x:c r="G167" s="139" t="n"/>
      <x:c r="H167" s="139" t="n"/>
      <x:c r="I167" s="139" t="n"/>
      <x:c r="J167" s="139" t="n"/>
      <x:c r="K167" s="139" t="n"/>
      <x:c r="L167" s="139" t="n"/>
    </x:row>
    <x:row r="168">
      <x:c r="A168" s="139" t="n"/>
      <x:c r="B168" s="139" t="n"/>
      <x:c r="C168" s="139" t="n"/>
      <x:c r="D168" s="139" t="n"/>
      <x:c r="E168" s="139" t="n"/>
      <x:c r="F168" s="139" t="n"/>
      <x:c r="G168" s="139" t="n"/>
      <x:c r="H168" s="139" t="n"/>
      <x:c r="I168" s="139" t="n"/>
      <x:c r="J168" s="139" t="n"/>
      <x:c r="K168" s="139" t="n"/>
      <x:c r="L168" s="139" t="n"/>
    </x:row>
    <x:row r="169">
      <x:c r="A169" s="139" t="n"/>
      <x:c r="B169" s="139" t="n"/>
      <x:c r="C169" s="139" t="n"/>
      <x:c r="D169" s="139" t="n"/>
      <x:c r="E169" s="139" t="n"/>
      <x:c r="F169" s="139" t="n"/>
      <x:c r="G169" s="139" t="n"/>
      <x:c r="H169" s="139" t="n"/>
      <x:c r="I169" s="139" t="n"/>
      <x:c r="J169" s="139" t="n"/>
      <x:c r="K169" s="139" t="n"/>
      <x:c r="L169" s="139" t="n"/>
    </x:row>
    <x:row r="170">
      <x:c r="A170" s="139" t="n"/>
      <x:c r="B170" s="139" t="n"/>
      <x:c r="C170" s="139" t="n"/>
      <x:c r="D170" s="139" t="n"/>
      <x:c r="E170" s="139" t="n"/>
      <x:c r="F170" s="139" t="n"/>
      <x:c r="G170" s="139" t="n"/>
      <x:c r="H170" s="139" t="n"/>
      <x:c r="I170" s="139" t="n"/>
      <x:c r="J170" s="139" t="n"/>
      <x:c r="K170" s="139" t="n"/>
      <x:c r="L170" s="139" t="n"/>
    </x:row>
    <x:row r="171">
      <x:c r="A171" s="139" t="n"/>
      <x:c r="B171" s="139" t="n"/>
      <x:c r="C171" s="139" t="n"/>
      <x:c r="D171" s="139" t="n"/>
      <x:c r="E171" s="139" t="n"/>
      <x:c r="F171" s="139" t="n"/>
      <x:c r="G171" s="139" t="n"/>
      <x:c r="H171" s="139" t="n"/>
      <x:c r="I171" s="139" t="n"/>
      <x:c r="J171" s="139" t="n"/>
      <x:c r="K171" s="139" t="n"/>
      <x:c r="L171" s="139" t="n"/>
    </x:row>
    <x:row r="172">
      <x:c r="A172" s="139" t="n"/>
      <x:c r="B172" s="139" t="n"/>
      <x:c r="C172" s="139" t="n"/>
      <x:c r="D172" s="139" t="n"/>
      <x:c r="E172" s="139" t="n"/>
      <x:c r="F172" s="139" t="n"/>
      <x:c r="G172" s="139" t="n"/>
      <x:c r="H172" s="139" t="n"/>
      <x:c r="I172" s="139" t="n"/>
      <x:c r="J172" s="139" t="n"/>
      <x:c r="K172" s="139" t="n"/>
      <x:c r="L172" s="139" t="n"/>
    </x:row>
    <x:row r="173">
      <x:c r="A173" s="139" t="n"/>
      <x:c r="B173" s="139" t="n"/>
      <x:c r="C173" s="139" t="n"/>
      <x:c r="D173" s="139" t="n"/>
      <x:c r="E173" s="139" t="n"/>
      <x:c r="F173" s="139" t="n"/>
      <x:c r="G173" s="139" t="n"/>
      <x:c r="H173" s="139" t="n"/>
      <x:c r="I173" s="139" t="n"/>
      <x:c r="J173" s="139" t="n"/>
      <x:c r="K173" s="139" t="n"/>
      <x:c r="L173" s="139" t="n"/>
    </x:row>
    <x:row r="174">
      <x:c r="A174" s="139" t="n"/>
      <x:c r="B174" s="139" t="n"/>
      <x:c r="C174" s="139" t="n"/>
      <x:c r="D174" s="139" t="n"/>
      <x:c r="E174" s="139" t="n"/>
      <x:c r="F174" s="139" t="n"/>
      <x:c r="G174" s="139" t="n"/>
      <x:c r="H174" s="139" t="n"/>
      <x:c r="I174" s="139" t="n"/>
      <x:c r="J174" s="139" t="n"/>
      <x:c r="K174" s="139" t="n"/>
      <x:c r="L174" s="139" t="n"/>
    </x:row>
    <x:row r="175">
      <x:c r="A175" s="139" t="n"/>
      <x:c r="B175" s="139" t="n"/>
      <x:c r="C175" s="139" t="n"/>
      <x:c r="D175" s="139" t="n"/>
      <x:c r="E175" s="139" t="n"/>
      <x:c r="F175" s="139" t="n"/>
      <x:c r="G175" s="139" t="n"/>
      <x:c r="H175" s="139" t="n"/>
      <x:c r="I175" s="139" t="n"/>
      <x:c r="J175" s="139" t="n"/>
      <x:c r="K175" s="139" t="n"/>
      <x:c r="L175" s="139" t="n"/>
    </x:row>
    <x:row r="176">
      <x:c r="A176" s="139" t="n"/>
      <x:c r="B176" s="139" t="n"/>
      <x:c r="C176" s="139" t="n"/>
      <x:c r="D176" s="139" t="n"/>
      <x:c r="E176" s="139" t="n"/>
      <x:c r="F176" s="139" t="n"/>
      <x:c r="G176" s="139" t="n"/>
      <x:c r="H176" s="139" t="n"/>
      <x:c r="I176" s="139" t="n"/>
      <x:c r="J176" s="139" t="n"/>
      <x:c r="K176" s="139" t="n"/>
      <x:c r="L176" s="139" t="n"/>
    </x:row>
    <x:row r="177">
      <x:c r="A177" s="139" t="n"/>
      <x:c r="B177" s="139" t="n"/>
      <x:c r="C177" s="139" t="n"/>
      <x:c r="D177" s="139" t="n"/>
      <x:c r="E177" s="139" t="n"/>
      <x:c r="F177" s="139" t="n"/>
      <x:c r="G177" s="139" t="n"/>
      <x:c r="H177" s="139" t="n"/>
      <x:c r="I177" s="139" t="n"/>
      <x:c r="J177" s="139" t="n"/>
      <x:c r="K177" s="139" t="n"/>
      <x:c r="L177" s="139" t="n"/>
    </x:row>
    <x:row r="178">
      <x:c r="A178" s="139" t="n"/>
      <x:c r="B178" s="139" t="n"/>
      <x:c r="C178" s="139" t="n"/>
      <x:c r="D178" s="139" t="n"/>
      <x:c r="E178" s="139" t="n"/>
      <x:c r="F178" s="139" t="n"/>
      <x:c r="G178" s="139" t="n"/>
      <x:c r="H178" s="139" t="n"/>
      <x:c r="I178" s="139" t="n"/>
      <x:c r="J178" s="139" t="n"/>
      <x:c r="K178" s="139" t="n"/>
      <x:c r="L178" s="139" t="n"/>
    </x:row>
    <x:row r="179">
      <x:c r="A179" s="139" t="n"/>
      <x:c r="B179" s="139" t="n"/>
      <x:c r="C179" s="139" t="n"/>
      <x:c r="D179" s="139" t="n"/>
      <x:c r="E179" s="139" t="n"/>
      <x:c r="F179" s="139" t="n"/>
      <x:c r="G179" s="139" t="n"/>
      <x:c r="H179" s="139" t="n"/>
      <x:c r="I179" s="139" t="n"/>
      <x:c r="J179" s="139" t="n"/>
      <x:c r="K179" s="139" t="n"/>
      <x:c r="L179" s="139" t="n"/>
    </x:row>
    <x:row r="180">
      <x:c r="A180" s="139" t="n"/>
      <x:c r="B180" s="139" t="n"/>
      <x:c r="C180" s="139" t="n"/>
      <x:c r="D180" s="139" t="n"/>
      <x:c r="E180" s="139" t="n"/>
      <x:c r="F180" s="139" t="n"/>
      <x:c r="G180" s="139" t="n"/>
      <x:c r="H180" s="139" t="n"/>
      <x:c r="I180" s="139" t="n"/>
      <x:c r="J180" s="139" t="n"/>
      <x:c r="K180" s="139" t="n"/>
      <x:c r="L180" s="139" t="n"/>
    </x:row>
    <x:row r="181">
      <x:c r="A181" s="139" t="n"/>
      <x:c r="B181" s="139" t="n"/>
      <x:c r="C181" s="139" t="n"/>
      <x:c r="D181" s="139" t="n"/>
      <x:c r="E181" s="139" t="n"/>
      <x:c r="F181" s="139" t="n"/>
      <x:c r="G181" s="139" t="n"/>
      <x:c r="H181" s="139" t="n"/>
      <x:c r="I181" s="139" t="n"/>
      <x:c r="J181" s="139" t="n"/>
      <x:c r="K181" s="139" t="n"/>
      <x:c r="L181" s="139" t="n"/>
    </x:row>
    <x:row r="182">
      <x:c r="A182" s="139" t="n"/>
      <x:c r="B182" s="139" t="n"/>
      <x:c r="C182" s="139" t="n"/>
      <x:c r="D182" s="139" t="n"/>
      <x:c r="E182" s="139" t="n"/>
      <x:c r="F182" s="139" t="n"/>
      <x:c r="G182" s="139" t="n"/>
      <x:c r="H182" s="139" t="n"/>
      <x:c r="I182" s="139" t="n"/>
      <x:c r="J182" s="139" t="n"/>
      <x:c r="K182" s="139" t="n"/>
      <x:c r="L182" s="139" t="n"/>
    </x:row>
    <x:row r="183">
      <x:c r="A183" s="139" t="n"/>
      <x:c r="B183" s="139" t="n"/>
      <x:c r="C183" s="139" t="n"/>
      <x:c r="D183" s="139" t="n"/>
      <x:c r="E183" s="139" t="n"/>
      <x:c r="F183" s="139" t="n"/>
      <x:c r="G183" s="139" t="n"/>
      <x:c r="H183" s="139" t="n"/>
      <x:c r="I183" s="139" t="n"/>
      <x:c r="J183" s="139" t="n"/>
      <x:c r="K183" s="139" t="n"/>
      <x:c r="L183" s="139" t="n"/>
    </x:row>
    <x:row r="184">
      <x:c r="A184" s="139" t="n"/>
      <x:c r="B184" s="139" t="n"/>
      <x:c r="C184" s="139" t="n"/>
      <x:c r="D184" s="139" t="n"/>
      <x:c r="E184" s="139" t="n"/>
      <x:c r="F184" s="139" t="n"/>
      <x:c r="G184" s="139" t="n"/>
      <x:c r="H184" s="139" t="n"/>
      <x:c r="I184" s="139" t="n"/>
      <x:c r="J184" s="139" t="n"/>
      <x:c r="K184" s="139" t="n"/>
      <x:c r="L184" s="139" t="n"/>
    </x:row>
    <x:row r="185">
      <x:c r="A185" s="139" t="n"/>
      <x:c r="B185" s="139" t="n"/>
      <x:c r="C185" s="139" t="n"/>
      <x:c r="D185" s="139" t="n"/>
      <x:c r="E185" s="139" t="n"/>
      <x:c r="F185" s="139" t="n"/>
      <x:c r="G185" s="139" t="n"/>
      <x:c r="H185" s="139" t="n"/>
      <x:c r="I185" s="139" t="n"/>
      <x:c r="J185" s="139" t="n"/>
      <x:c r="K185" s="139" t="n"/>
      <x:c r="L185" s="139" t="n"/>
    </x:row>
    <x:row r="186">
      <x:c r="A186" s="139" t="n"/>
      <x:c r="B186" s="139" t="n"/>
      <x:c r="C186" s="139" t="n"/>
      <x:c r="D186" s="139" t="n"/>
      <x:c r="E186" s="139" t="n"/>
      <x:c r="F186" s="139" t="n"/>
      <x:c r="G186" s="139" t="n"/>
      <x:c r="H186" s="139" t="n"/>
      <x:c r="I186" s="139" t="n"/>
      <x:c r="J186" s="139" t="n"/>
      <x:c r="K186" s="139" t="n"/>
      <x:c r="L186" s="139" t="n"/>
    </x:row>
    <x:row r="187">
      <x:c r="A187" s="139" t="n"/>
      <x:c r="B187" s="139" t="n"/>
      <x:c r="C187" s="139" t="n"/>
      <x:c r="D187" s="139" t="n"/>
      <x:c r="E187" s="139" t="n"/>
      <x:c r="F187" s="139" t="n"/>
      <x:c r="G187" s="139" t="n"/>
      <x:c r="H187" s="139" t="n"/>
      <x:c r="I187" s="139" t="n"/>
      <x:c r="J187" s="139" t="n"/>
      <x:c r="K187" s="139" t="n"/>
      <x:c r="L187" s="139" t="n"/>
    </x:row>
    <x:row r="188">
      <x:c r="A188" s="139" t="n"/>
      <x:c r="B188" s="139" t="n"/>
      <x:c r="C188" s="139" t="n"/>
      <x:c r="D188" s="139" t="n"/>
      <x:c r="E188" s="139" t="n"/>
      <x:c r="F188" s="139" t="n"/>
      <x:c r="G188" s="139" t="n"/>
      <x:c r="H188" s="139" t="n"/>
      <x:c r="I188" s="139" t="n"/>
      <x:c r="J188" s="139" t="n"/>
      <x:c r="K188" s="139" t="n"/>
      <x:c r="L188" s="139" t="n"/>
    </x:row>
    <x:row r="189">
      <x:c r="A189" s="139" t="n"/>
      <x:c r="B189" s="139" t="n"/>
      <x:c r="C189" s="139" t="n"/>
      <x:c r="D189" s="139" t="n"/>
      <x:c r="E189" s="139" t="n"/>
      <x:c r="F189" s="139" t="n"/>
      <x:c r="G189" s="139" t="n"/>
      <x:c r="H189" s="139" t="n"/>
      <x:c r="I189" s="139" t="n"/>
      <x:c r="J189" s="139" t="n"/>
      <x:c r="K189" s="139" t="n"/>
      <x:c r="L189" s="139" t="n"/>
    </x:row>
    <x:row r="190">
      <x:c r="A190" s="139" t="n"/>
      <x:c r="B190" s="139" t="n"/>
      <x:c r="C190" s="139" t="n"/>
      <x:c r="D190" s="139" t="n"/>
      <x:c r="E190" s="139" t="n"/>
      <x:c r="F190" s="139" t="n"/>
      <x:c r="G190" s="139" t="n"/>
      <x:c r="H190" s="139" t="n"/>
      <x:c r="I190" s="139" t="n"/>
      <x:c r="J190" s="139" t="n"/>
      <x:c r="K190" s="139" t="n"/>
      <x:c r="L190" s="139" t="n"/>
    </x:row>
    <x:row r="191">
      <x:c r="A191" s="139" t="n"/>
      <x:c r="B191" s="139" t="n"/>
      <x:c r="C191" s="139" t="n"/>
      <x:c r="D191" s="139" t="n"/>
      <x:c r="E191" s="139" t="n"/>
      <x:c r="F191" s="139" t="n"/>
      <x:c r="G191" s="139" t="n"/>
      <x:c r="H191" s="139" t="n"/>
      <x:c r="I191" s="139" t="n"/>
      <x:c r="J191" s="139" t="n"/>
      <x:c r="K191" s="139" t="n"/>
      <x:c r="L191" s="139" t="n"/>
    </x:row>
    <x:row r="192">
      <x:c r="A192" s="139" t="n"/>
      <x:c r="B192" s="139" t="n"/>
      <x:c r="C192" s="139" t="n"/>
      <x:c r="D192" s="139" t="n"/>
      <x:c r="E192" s="139" t="n"/>
      <x:c r="F192" s="139" t="n"/>
      <x:c r="G192" s="139" t="n"/>
      <x:c r="H192" s="139" t="n"/>
      <x:c r="I192" s="139" t="n"/>
      <x:c r="J192" s="139" t="n"/>
      <x:c r="K192" s="139" t="n"/>
      <x:c r="L192" s="139" t="n"/>
    </x:row>
    <x:row r="193">
      <x:c r="A193" s="139" t="n"/>
      <x:c r="B193" s="139" t="n"/>
      <x:c r="C193" s="139" t="n"/>
      <x:c r="D193" s="139" t="n"/>
      <x:c r="E193" s="139" t="n"/>
      <x:c r="F193" s="139" t="n"/>
      <x:c r="G193" s="139" t="n"/>
      <x:c r="H193" s="139" t="n"/>
      <x:c r="I193" s="139" t="n"/>
      <x:c r="J193" s="139" t="n"/>
      <x:c r="K193" s="139" t="n"/>
      <x:c r="L193" s="139" t="n"/>
    </x:row>
    <x:row r="194">
      <x:c r="A194" s="139" t="n"/>
      <x:c r="B194" s="139" t="n"/>
      <x:c r="C194" s="139" t="n"/>
      <x:c r="D194" s="139" t="n"/>
      <x:c r="E194" s="139" t="n"/>
      <x:c r="F194" s="139" t="n"/>
      <x:c r="G194" s="139" t="n"/>
      <x:c r="H194" s="139" t="n"/>
      <x:c r="I194" s="139" t="n"/>
      <x:c r="J194" s="139" t="n"/>
      <x:c r="K194" s="139" t="n"/>
      <x:c r="L194" s="139" t="n"/>
    </x:row>
    <x:row r="195">
      <x:c r="A195" s="139" t="n"/>
      <x:c r="B195" s="139" t="n"/>
      <x:c r="C195" s="139" t="n"/>
      <x:c r="D195" s="139" t="n"/>
      <x:c r="E195" s="139" t="n"/>
      <x:c r="F195" s="139" t="n"/>
      <x:c r="G195" s="139" t="n"/>
      <x:c r="H195" s="139" t="n"/>
      <x:c r="I195" s="139" t="n"/>
      <x:c r="J195" s="139" t="n"/>
      <x:c r="K195" s="139" t="n"/>
      <x:c r="L195" s="139" t="n"/>
    </x:row>
    <x:row r="196">
      <x:c r="A196" s="139" t="n"/>
      <x:c r="B196" s="139" t="n"/>
      <x:c r="C196" s="139" t="n"/>
      <x:c r="D196" s="139" t="n"/>
      <x:c r="E196" s="139" t="n"/>
      <x:c r="F196" s="139" t="n"/>
      <x:c r="G196" s="139" t="n"/>
      <x:c r="H196" s="139" t="n"/>
      <x:c r="I196" s="139" t="n"/>
      <x:c r="J196" s="139" t="n"/>
      <x:c r="K196" s="139" t="n"/>
      <x:c r="L196" s="139" t="n"/>
    </x:row>
    <x:row r="197">
      <x:c r="A197" s="139" t="n"/>
      <x:c r="B197" s="139" t="n"/>
      <x:c r="C197" s="139" t="n"/>
      <x:c r="D197" s="139" t="n"/>
      <x:c r="E197" s="139" t="n"/>
      <x:c r="F197" s="139" t="n"/>
      <x:c r="G197" s="139" t="n"/>
      <x:c r="H197" s="139" t="n"/>
      <x:c r="I197" s="139" t="n"/>
      <x:c r="J197" s="139" t="n"/>
      <x:c r="K197" s="139" t="n"/>
      <x:c r="L197" s="139" t="n"/>
    </x:row>
    <x:row r="198">
      <x:c r="A198" s="139" t="n"/>
      <x:c r="B198" s="139" t="n"/>
      <x:c r="C198" s="139" t="n"/>
      <x:c r="D198" s="139" t="n"/>
      <x:c r="E198" s="139" t="n"/>
      <x:c r="F198" s="139" t="n"/>
      <x:c r="G198" s="139" t="n"/>
      <x:c r="H198" s="139" t="n"/>
      <x:c r="I198" s="139" t="n"/>
      <x:c r="J198" s="139" t="n"/>
      <x:c r="K198" s="139" t="n"/>
      <x:c r="L198" s="139" t="n"/>
    </x:row>
    <x:row r="199">
      <x:c r="A199" s="139" t="n"/>
      <x:c r="B199" s="139" t="n"/>
      <x:c r="C199" s="139" t="n"/>
      <x:c r="D199" s="139" t="n"/>
      <x:c r="E199" s="139" t="n"/>
      <x:c r="F199" s="139" t="n"/>
      <x:c r="G199" s="139" t="n"/>
      <x:c r="H199" s="139" t="n"/>
      <x:c r="I199" s="139" t="n"/>
      <x:c r="J199" s="139" t="n"/>
      <x:c r="K199" s="139" t="n"/>
      <x:c r="L199" s="139" t="n"/>
    </x:row>
    <x:row r="200">
      <x:c r="A200" s="139" t="n"/>
      <x:c r="B200" s="139" t="n"/>
      <x:c r="C200" s="139" t="n"/>
      <x:c r="D200" s="139" t="n"/>
      <x:c r="E200" s="139" t="n"/>
      <x:c r="F200" s="139" t="n"/>
      <x:c r="G200" s="139" t="n"/>
      <x:c r="H200" s="139" t="n"/>
      <x:c r="I200" s="139" t="n"/>
      <x:c r="J200" s="139" t="n"/>
      <x:c r="K200" s="139" t="n"/>
      <x:c r="L200" s="139" t="n"/>
    </x:row>
    <x:row r="201">
      <x:c r="A201" s="139" t="n"/>
      <x:c r="B201" s="139" t="n"/>
      <x:c r="C201" s="139" t="n"/>
      <x:c r="D201" s="139" t="n"/>
      <x:c r="E201" s="139" t="n"/>
      <x:c r="F201" s="139" t="n"/>
      <x:c r="G201" s="139" t="n"/>
      <x:c r="H201" s="139" t="n"/>
      <x:c r="I201" s="139" t="n"/>
      <x:c r="J201" s="139" t="n"/>
      <x:c r="K201" s="139" t="n"/>
      <x:c r="L201" s="139" t="n"/>
    </x:row>
    <x:row r="202">
      <x:c r="A202" s="139" t="n"/>
      <x:c r="B202" s="139" t="n"/>
      <x:c r="C202" s="139" t="n"/>
      <x:c r="D202" s="139" t="n"/>
      <x:c r="E202" s="139" t="n"/>
      <x:c r="F202" s="139" t="n"/>
      <x:c r="G202" s="139" t="n"/>
      <x:c r="H202" s="139" t="n"/>
      <x:c r="I202" s="139" t="n"/>
      <x:c r="J202" s="139" t="n"/>
      <x:c r="K202" s="139" t="n"/>
      <x:c r="L202" s="139" t="n"/>
    </x:row>
    <x:row r="203">
      <x:c r="A203" s="139" t="n"/>
      <x:c r="B203" s="139" t="n"/>
      <x:c r="C203" s="139" t="n"/>
      <x:c r="D203" s="139" t="n"/>
      <x:c r="E203" s="139" t="n"/>
      <x:c r="F203" s="139" t="n"/>
      <x:c r="G203" s="139" t="n"/>
      <x:c r="H203" s="139" t="n"/>
      <x:c r="I203" s="139" t="n"/>
      <x:c r="J203" s="139" t="n"/>
      <x:c r="K203" s="139" t="n"/>
      <x:c r="L203" s="139" t="n"/>
    </x:row>
    <x:row r="204">
      <x:c r="A204" s="139" t="n"/>
      <x:c r="B204" s="139" t="n"/>
      <x:c r="C204" s="139" t="n"/>
      <x:c r="D204" s="139" t="n"/>
      <x:c r="E204" s="139" t="n"/>
      <x:c r="F204" s="139" t="n"/>
      <x:c r="G204" s="139" t="n"/>
      <x:c r="H204" s="139" t="n"/>
      <x:c r="I204" s="139" t="n"/>
      <x:c r="J204" s="139" t="n"/>
      <x:c r="K204" s="139" t="n"/>
      <x:c r="L204" s="139" t="n"/>
    </x:row>
    <x:row r="205">
      <x:c r="A205" s="139" t="n"/>
      <x:c r="B205" s="139" t="n"/>
      <x:c r="C205" s="139" t="n"/>
      <x:c r="D205" s="139" t="n"/>
      <x:c r="E205" s="139" t="n"/>
      <x:c r="F205" s="139" t="n"/>
      <x:c r="G205" s="139" t="n"/>
      <x:c r="H205" s="139" t="n"/>
      <x:c r="I205" s="139" t="n"/>
      <x:c r="J205" s="139" t="n"/>
      <x:c r="K205" s="139" t="n"/>
      <x:c r="L205" s="139" t="n"/>
    </x:row>
    <x:row r="206">
      <x:c r="A206" s="139" t="n"/>
      <x:c r="B206" s="139" t="n"/>
      <x:c r="C206" s="139" t="n"/>
      <x:c r="D206" s="139" t="n"/>
      <x:c r="E206" s="139" t="n"/>
      <x:c r="F206" s="139" t="n"/>
      <x:c r="G206" s="139" t="n"/>
      <x:c r="H206" s="139" t="n"/>
      <x:c r="I206" s="139" t="n"/>
      <x:c r="J206" s="139" t="n"/>
      <x:c r="K206" s="139" t="n"/>
      <x:c r="L206" s="139" t="n"/>
    </x:row>
    <x:row r="207">
      <x:c r="A207" s="139" t="n"/>
      <x:c r="B207" s="139" t="n"/>
      <x:c r="C207" s="139" t="n"/>
      <x:c r="D207" s="139" t="n"/>
      <x:c r="E207" s="139" t="n"/>
      <x:c r="F207" s="139" t="n"/>
      <x:c r="G207" s="139" t="n"/>
      <x:c r="H207" s="139" t="n"/>
      <x:c r="I207" s="139" t="n"/>
      <x:c r="J207" s="139" t="n"/>
      <x:c r="K207" s="139" t="n"/>
      <x:c r="L207" s="139" t="n"/>
    </x:row>
    <x:row r="208">
      <x:c r="A208" s="139" t="n"/>
      <x:c r="B208" s="139" t="n"/>
      <x:c r="C208" s="139" t="n"/>
      <x:c r="D208" s="139" t="n"/>
      <x:c r="E208" s="139" t="n"/>
      <x:c r="F208" s="139" t="n"/>
      <x:c r="G208" s="139" t="n"/>
      <x:c r="H208" s="139" t="n"/>
      <x:c r="I208" s="139" t="n"/>
      <x:c r="J208" s="139" t="n"/>
      <x:c r="K208" s="139" t="n"/>
      <x:c r="L208" s="139" t="n"/>
    </x:row>
    <x:row r="209">
      <x:c r="A209" s="139" t="n"/>
      <x:c r="B209" s="139" t="n"/>
      <x:c r="C209" s="139" t="n"/>
      <x:c r="D209" s="139" t="n"/>
      <x:c r="E209" s="139" t="n"/>
      <x:c r="F209" s="139" t="n"/>
      <x:c r="G209" s="139" t="n"/>
      <x:c r="H209" s="139" t="n"/>
      <x:c r="I209" s="139" t="n"/>
      <x:c r="J209" s="139" t="n"/>
      <x:c r="K209" s="139" t="n"/>
      <x:c r="L209" s="139" t="n"/>
    </x:row>
    <x:row r="210">
      <x:c r="A210" s="139" t="n"/>
      <x:c r="B210" s="139" t="n"/>
      <x:c r="C210" s="139" t="n"/>
      <x:c r="D210" s="139" t="n"/>
      <x:c r="E210" s="139" t="n"/>
      <x:c r="F210" s="139" t="n"/>
      <x:c r="G210" s="139" t="n"/>
      <x:c r="H210" s="139" t="n"/>
      <x:c r="I210" s="139" t="n"/>
      <x:c r="J210" s="139" t="n"/>
      <x:c r="K210" s="139" t="n"/>
      <x:c r="L210" s="139" t="n"/>
    </x:row>
    <x:row r="211">
      <x:c r="A211" s="139" t="n"/>
      <x:c r="B211" s="139" t="n"/>
      <x:c r="C211" s="139" t="n"/>
      <x:c r="D211" s="139" t="n"/>
      <x:c r="E211" s="139" t="n"/>
      <x:c r="F211" s="139" t="n"/>
      <x:c r="G211" s="139" t="n"/>
      <x:c r="H211" s="139" t="n"/>
      <x:c r="I211" s="139" t="n"/>
      <x:c r="J211" s="139" t="n"/>
      <x:c r="K211" s="139" t="n"/>
      <x:c r="L211" s="139" t="n"/>
    </x:row>
    <x:row r="212">
      <x:c r="A212" s="139" t="n"/>
      <x:c r="B212" s="139" t="n"/>
      <x:c r="C212" s="139" t="n"/>
      <x:c r="D212" s="139" t="n"/>
      <x:c r="E212" s="139" t="n"/>
      <x:c r="F212" s="139" t="n"/>
      <x:c r="G212" s="139" t="n"/>
      <x:c r="H212" s="139" t="n"/>
      <x:c r="I212" s="139" t="n"/>
      <x:c r="J212" s="139" t="n"/>
      <x:c r="K212" s="139" t="n"/>
      <x:c r="L212" s="139" t="n"/>
    </x:row>
    <x:row r="213">
      <x:c r="A213" s="139" t="n"/>
      <x:c r="B213" s="139" t="n"/>
      <x:c r="C213" s="139" t="n"/>
      <x:c r="D213" s="139" t="n"/>
      <x:c r="E213" s="139" t="n"/>
      <x:c r="F213" s="139" t="n"/>
      <x:c r="G213" s="139" t="n"/>
      <x:c r="H213" s="139" t="n"/>
      <x:c r="I213" s="139" t="n"/>
      <x:c r="J213" s="139" t="n"/>
      <x:c r="K213" s="139" t="n"/>
      <x:c r="L213" s="139" t="n"/>
    </x:row>
    <x:row r="214">
      <x:c r="A214" s="139" t="n"/>
      <x:c r="B214" s="139" t="n"/>
      <x:c r="C214" s="139" t="n"/>
      <x:c r="D214" s="139" t="n"/>
      <x:c r="E214" s="139" t="n"/>
      <x:c r="F214" s="139" t="n"/>
      <x:c r="G214" s="139" t="n"/>
      <x:c r="H214" s="139" t="n"/>
      <x:c r="I214" s="139" t="n"/>
      <x:c r="J214" s="139" t="n"/>
      <x:c r="K214" s="139" t="n"/>
      <x:c r="L214" s="139" t="n"/>
    </x:row>
    <x:row r="215">
      <x:c r="A215" s="139" t="n"/>
      <x:c r="B215" s="139" t="n"/>
      <x:c r="C215" s="139" t="n"/>
      <x:c r="D215" s="139" t="n"/>
      <x:c r="E215" s="139" t="n"/>
      <x:c r="F215" s="139" t="n"/>
      <x:c r="G215" s="139" t="n"/>
      <x:c r="H215" s="139" t="n"/>
      <x:c r="I215" s="139" t="n"/>
      <x:c r="J215" s="139" t="n"/>
      <x:c r="K215" s="139" t="n"/>
      <x:c r="L215" s="139" t="n"/>
    </x:row>
    <x:row r="216">
      <x:c r="A216" s="139" t="n"/>
      <x:c r="B216" s="139" t="n"/>
      <x:c r="C216" s="139" t="n"/>
      <x:c r="D216" s="139" t="n"/>
      <x:c r="E216" s="139" t="n"/>
      <x:c r="F216" s="139" t="n"/>
      <x:c r="G216" s="139" t="n"/>
      <x:c r="H216" s="139" t="n"/>
      <x:c r="I216" s="139" t="n"/>
      <x:c r="J216" s="139" t="n"/>
      <x:c r="K216" s="139" t="n"/>
      <x:c r="L216" s="139" t="n"/>
    </x:row>
    <x:row r="217">
      <x:c r="A217" s="139" t="n"/>
      <x:c r="B217" s="139" t="n"/>
      <x:c r="C217" s="139" t="n"/>
      <x:c r="D217" s="139" t="n"/>
      <x:c r="E217" s="139" t="n"/>
      <x:c r="F217" s="139" t="n"/>
      <x:c r="G217" s="139" t="n"/>
      <x:c r="H217" s="139" t="n"/>
      <x:c r="I217" s="139" t="n"/>
      <x:c r="J217" s="139" t="n"/>
      <x:c r="K217" s="139" t="n"/>
      <x:c r="L217" s="139" t="n"/>
    </x:row>
    <x:row r="218">
      <x:c r="A218" s="139" t="n"/>
      <x:c r="B218" s="139" t="n"/>
      <x:c r="C218" s="139" t="n"/>
      <x:c r="D218" s="139" t="n"/>
      <x:c r="E218" s="139" t="n"/>
      <x:c r="F218" s="139" t="n"/>
      <x:c r="G218" s="139" t="n"/>
      <x:c r="H218" s="139" t="n"/>
      <x:c r="I218" s="139" t="n"/>
      <x:c r="J218" s="139" t="n"/>
      <x:c r="K218" s="139" t="n"/>
      <x:c r="L218" s="139" t="n"/>
    </x:row>
    <x:row r="219">
      <x:c r="A219" s="139" t="n"/>
      <x:c r="B219" s="139" t="n"/>
      <x:c r="C219" s="139" t="n"/>
      <x:c r="D219" s="139" t="n"/>
      <x:c r="E219" s="139" t="n"/>
      <x:c r="F219" s="139" t="n"/>
      <x:c r="G219" s="139" t="n"/>
      <x:c r="H219" s="139" t="n"/>
      <x:c r="I219" s="139" t="n"/>
      <x:c r="J219" s="139" t="n"/>
      <x:c r="K219" s="139" t="n"/>
      <x:c r="L219" s="139" t="n"/>
    </x:row>
    <x:row r="220">
      <x:c r="A220" s="139" t="n"/>
      <x:c r="B220" s="139" t="n"/>
      <x:c r="C220" s="139" t="n"/>
      <x:c r="D220" s="139" t="n"/>
      <x:c r="E220" s="139" t="n"/>
      <x:c r="F220" s="139" t="n"/>
      <x:c r="G220" s="139" t="n"/>
      <x:c r="H220" s="139" t="n"/>
      <x:c r="I220" s="139" t="n"/>
      <x:c r="J220" s="139" t="n"/>
      <x:c r="K220" s="139" t="n"/>
      <x:c r="L220" s="139" t="n"/>
    </x:row>
    <x:row r="221">
      <x:c r="A221" s="139" t="n"/>
      <x:c r="B221" s="139" t="n"/>
      <x:c r="C221" s="139" t="n"/>
      <x:c r="D221" s="139" t="n"/>
      <x:c r="E221" s="139" t="n"/>
      <x:c r="F221" s="139" t="n"/>
      <x:c r="G221" s="139" t="n"/>
      <x:c r="H221" s="139" t="n"/>
      <x:c r="I221" s="139" t="n"/>
      <x:c r="J221" s="139" t="n"/>
      <x:c r="K221" s="139" t="n"/>
      <x:c r="L221" s="139" t="n"/>
    </x:row>
    <x:row r="222">
      <x:c r="A222" s="139" t="n"/>
      <x:c r="B222" s="139" t="n"/>
      <x:c r="C222" s="139" t="n"/>
      <x:c r="D222" s="139" t="n"/>
      <x:c r="E222" s="139" t="n"/>
      <x:c r="F222" s="139" t="n"/>
      <x:c r="G222" s="139" t="n"/>
      <x:c r="H222" s="139" t="n"/>
      <x:c r="I222" s="139" t="n"/>
      <x:c r="J222" s="139" t="n"/>
      <x:c r="K222" s="139" t="n"/>
      <x:c r="L222" s="139" t="n"/>
    </x:row>
    <x:row r="223">
      <x:c r="A223" s="139" t="n"/>
      <x:c r="B223" s="139" t="n"/>
      <x:c r="C223" s="139" t="n"/>
      <x:c r="D223" s="139" t="n"/>
      <x:c r="E223" s="139" t="n"/>
      <x:c r="F223" s="139" t="n"/>
      <x:c r="G223" s="139" t="n"/>
      <x:c r="H223" s="139" t="n"/>
      <x:c r="I223" s="139" t="n"/>
      <x:c r="J223" s="139" t="n"/>
      <x:c r="K223" s="139" t="n"/>
      <x:c r="L223" s="139" t="n"/>
    </x:row>
    <x:row r="224">
      <x:c r="A224" s="139" t="n"/>
      <x:c r="B224" s="139" t="n"/>
      <x:c r="C224" s="139" t="n"/>
      <x:c r="D224" s="139" t="n"/>
      <x:c r="E224" s="139" t="n"/>
      <x:c r="F224" s="139" t="n"/>
      <x:c r="G224" s="139" t="n"/>
      <x:c r="H224" s="139" t="n"/>
      <x:c r="I224" s="139" t="n"/>
      <x:c r="J224" s="139" t="n"/>
      <x:c r="K224" s="139" t="n"/>
      <x:c r="L224" s="139" t="n"/>
    </x:row>
    <x:row r="225">
      <x:c r="A225" s="139" t="n"/>
      <x:c r="B225" s="139" t="n"/>
      <x:c r="C225" s="139" t="n"/>
      <x:c r="D225" s="139" t="n"/>
      <x:c r="E225" s="139" t="n"/>
      <x:c r="F225" s="139" t="n"/>
      <x:c r="G225" s="139" t="n"/>
      <x:c r="H225" s="139" t="n"/>
      <x:c r="I225" s="139" t="n"/>
      <x:c r="J225" s="139" t="n"/>
      <x:c r="K225" s="139" t="n"/>
      <x:c r="L225" s="139" t="n"/>
    </x:row>
    <x:row r="226">
      <x:c r="A226" s="139" t="n"/>
      <x:c r="B226" s="139" t="n"/>
      <x:c r="C226" s="139" t="n"/>
      <x:c r="D226" s="139" t="n"/>
      <x:c r="E226" s="139" t="n"/>
      <x:c r="F226" s="139" t="n"/>
      <x:c r="G226" s="139" t="n"/>
      <x:c r="H226" s="139" t="n"/>
      <x:c r="I226" s="139" t="n"/>
      <x:c r="J226" s="139" t="n"/>
      <x:c r="K226" s="139" t="n"/>
      <x:c r="L226" s="139" t="n"/>
    </x:row>
    <x:row r="227">
      <x:c r="A227" s="139" t="n"/>
      <x:c r="B227" s="139" t="n"/>
      <x:c r="C227" s="139" t="n"/>
      <x:c r="D227" s="139" t="n"/>
      <x:c r="E227" s="139" t="n"/>
      <x:c r="F227" s="139" t="n"/>
      <x:c r="G227" s="139" t="n"/>
      <x:c r="H227" s="139" t="n"/>
      <x:c r="I227" s="139" t="n"/>
      <x:c r="J227" s="139" t="n"/>
      <x:c r="K227" s="139" t="n"/>
      <x:c r="L227" s="139" t="n"/>
    </x:row>
    <x:row r="228">
      <x:c r="A228" s="139" t="n"/>
      <x:c r="B228" s="139" t="n"/>
      <x:c r="C228" s="139" t="n"/>
      <x:c r="D228" s="139" t="n"/>
      <x:c r="E228" s="139" t="n"/>
      <x:c r="F228" s="139" t="n"/>
      <x:c r="G228" s="139" t="n"/>
      <x:c r="H228" s="139" t="n"/>
      <x:c r="I228" s="139" t="n"/>
      <x:c r="J228" s="139" t="n"/>
      <x:c r="K228" s="139" t="n"/>
      <x:c r="L228" s="139" t="n"/>
    </x:row>
    <x:row r="229">
      <x:c r="A229" s="139" t="n"/>
      <x:c r="B229" s="139" t="n"/>
      <x:c r="C229" s="139" t="n"/>
      <x:c r="D229" s="139" t="n"/>
      <x:c r="E229" s="139" t="n"/>
      <x:c r="F229" s="139" t="n"/>
      <x:c r="G229" s="139" t="n"/>
      <x:c r="H229" s="139" t="n"/>
      <x:c r="I229" s="139" t="n"/>
      <x:c r="J229" s="139" t="n"/>
      <x:c r="K229" s="139" t="n"/>
      <x:c r="L229" s="139" t="n"/>
    </x:row>
    <x:row r="230">
      <x:c r="A230" s="139" t="n"/>
      <x:c r="B230" s="139" t="n"/>
      <x:c r="C230" s="139" t="n"/>
      <x:c r="D230" s="139" t="n"/>
      <x:c r="E230" s="139" t="n"/>
      <x:c r="F230" s="139" t="n"/>
      <x:c r="G230" s="139" t="n"/>
      <x:c r="H230" s="139" t="n"/>
      <x:c r="I230" s="139" t="n"/>
      <x:c r="J230" s="139" t="n"/>
      <x:c r="K230" s="139" t="n"/>
      <x:c r="L230" s="139" t="n"/>
    </x:row>
    <x:row r="231">
      <x:c r="A231" s="139" t="n"/>
      <x:c r="B231" s="139" t="n"/>
      <x:c r="C231" s="139" t="n"/>
      <x:c r="D231" s="139" t="n"/>
      <x:c r="E231" s="139" t="n"/>
      <x:c r="F231" s="139" t="n"/>
      <x:c r="G231" s="139" t="n"/>
      <x:c r="H231" s="139" t="n"/>
      <x:c r="I231" s="139" t="n"/>
      <x:c r="J231" s="139" t="n"/>
      <x:c r="K231" s="139" t="n"/>
      <x:c r="L231" s="139" t="n"/>
    </x:row>
    <x:row r="232">
      <x:c r="A232" s="139" t="n"/>
      <x:c r="B232" s="139" t="n"/>
      <x:c r="C232" s="139" t="n"/>
      <x:c r="D232" s="139" t="n"/>
      <x:c r="E232" s="139" t="n"/>
      <x:c r="F232" s="139" t="n"/>
      <x:c r="G232" s="139" t="n"/>
      <x:c r="H232" s="139" t="n"/>
      <x:c r="I232" s="139" t="n"/>
      <x:c r="J232" s="139" t="n"/>
      <x:c r="K232" s="139" t="n"/>
      <x:c r="L232" s="139" t="n"/>
    </x:row>
    <x:row r="233">
      <x:c r="A233" s="139" t="n"/>
      <x:c r="B233" s="139" t="n"/>
      <x:c r="C233" s="139" t="n"/>
      <x:c r="D233" s="139" t="n"/>
      <x:c r="E233" s="139" t="n"/>
      <x:c r="F233" s="139" t="n"/>
      <x:c r="G233" s="139" t="n"/>
      <x:c r="H233" s="139" t="n"/>
      <x:c r="I233" s="139" t="n"/>
      <x:c r="J233" s="139" t="n"/>
      <x:c r="K233" s="139" t="n"/>
      <x:c r="L233" s="139" t="n"/>
    </x:row>
    <x:row r="234">
      <x:c r="A234" s="139" t="n"/>
      <x:c r="B234" s="139" t="n"/>
      <x:c r="C234" s="139" t="n"/>
      <x:c r="D234" s="139" t="n"/>
      <x:c r="E234" s="139" t="n"/>
      <x:c r="F234" s="139" t="n"/>
      <x:c r="G234" s="139" t="n"/>
      <x:c r="H234" s="139" t="n"/>
      <x:c r="I234" s="139" t="n"/>
      <x:c r="J234" s="139" t="n"/>
      <x:c r="K234" s="139" t="n"/>
      <x:c r="L234" s="139" t="n"/>
    </x:row>
    <x:row r="235">
      <x:c r="A235" s="139" t="n"/>
      <x:c r="B235" s="139" t="n"/>
      <x:c r="C235" s="139" t="n"/>
      <x:c r="D235" s="139" t="n"/>
      <x:c r="E235" s="139" t="n"/>
      <x:c r="F235" s="139" t="n"/>
      <x:c r="G235" s="139" t="n"/>
      <x:c r="H235" s="139" t="n"/>
      <x:c r="I235" s="139" t="n"/>
      <x:c r="J235" s="139" t="n"/>
      <x:c r="K235" s="139" t="n"/>
      <x:c r="L235" s="139" t="n"/>
    </x:row>
    <x:row r="236">
      <x:c r="A236" s="139" t="n"/>
      <x:c r="B236" s="139" t="n"/>
      <x:c r="C236" s="139" t="n"/>
      <x:c r="D236" s="139" t="n"/>
      <x:c r="E236" s="139" t="n"/>
      <x:c r="F236" s="139" t="n"/>
      <x:c r="G236" s="139" t="n"/>
      <x:c r="H236" s="139" t="n"/>
      <x:c r="I236" s="139" t="n"/>
      <x:c r="J236" s="139" t="n"/>
      <x:c r="K236" s="139" t="n"/>
      <x:c r="L236" s="139" t="n"/>
    </x:row>
    <x:row r="237">
      <x:c r="A237" s="139" t="n"/>
      <x:c r="B237" s="139" t="n"/>
      <x:c r="C237" s="139" t="n"/>
      <x:c r="D237" s="139" t="n"/>
      <x:c r="E237" s="139" t="n"/>
      <x:c r="F237" s="139" t="n"/>
      <x:c r="G237" s="139" t="n"/>
      <x:c r="H237" s="139" t="n"/>
      <x:c r="I237" s="139" t="n"/>
      <x:c r="J237" s="139" t="n"/>
      <x:c r="K237" s="139" t="n"/>
      <x:c r="L237" s="139" t="n"/>
    </x:row>
    <x:row r="238">
      <x:c r="A238" s="139" t="n"/>
      <x:c r="B238" s="139" t="n"/>
      <x:c r="C238" s="139" t="n"/>
      <x:c r="D238" s="139" t="n"/>
      <x:c r="E238" s="139" t="n"/>
      <x:c r="F238" s="139" t="n"/>
      <x:c r="G238" s="139" t="n"/>
      <x:c r="H238" s="139" t="n"/>
      <x:c r="I238" s="139" t="n"/>
      <x:c r="J238" s="139" t="n"/>
      <x:c r="K238" s="139" t="n"/>
      <x:c r="L238" s="139" t="n"/>
    </x:row>
    <x:row r="239">
      <x:c r="A239" s="139" t="n"/>
      <x:c r="B239" s="139" t="n"/>
      <x:c r="C239" s="139" t="n"/>
      <x:c r="D239" s="139" t="n"/>
      <x:c r="E239" s="139" t="n"/>
      <x:c r="F239" s="139" t="n"/>
      <x:c r="G239" s="139" t="n"/>
      <x:c r="H239" s="139" t="n"/>
      <x:c r="I239" s="139" t="n"/>
      <x:c r="J239" s="139" t="n"/>
      <x:c r="K239" s="139" t="n"/>
      <x:c r="L239" s="139" t="n"/>
    </x:row>
    <x:row r="240">
      <x:c r="A240" s="139" t="n"/>
      <x:c r="B240" s="139" t="n"/>
      <x:c r="C240" s="139" t="n"/>
      <x:c r="D240" s="139" t="n"/>
      <x:c r="E240" s="139" t="n"/>
      <x:c r="F240" s="139" t="n"/>
      <x:c r="G240" s="139" t="n"/>
      <x:c r="H240" s="139" t="n"/>
      <x:c r="I240" s="139" t="n"/>
      <x:c r="J240" s="139" t="n"/>
      <x:c r="K240" s="139" t="n"/>
      <x:c r="L240" s="139" t="n"/>
    </x:row>
    <x:row r="241">
      <x:c r="A241" s="139" t="n"/>
      <x:c r="B241" s="139" t="n"/>
      <x:c r="C241" s="139" t="n"/>
      <x:c r="D241" s="139" t="n"/>
      <x:c r="E241" s="139" t="n"/>
      <x:c r="F241" s="139" t="n"/>
      <x:c r="G241" s="139" t="n"/>
      <x:c r="H241" s="139" t="n"/>
      <x:c r="I241" s="139" t="n"/>
      <x:c r="J241" s="139" t="n"/>
      <x:c r="K241" s="139" t="n"/>
      <x:c r="L241" s="139" t="n"/>
    </x:row>
    <x:row r="242">
      <x:c r="A242" s="139" t="n"/>
      <x:c r="B242" s="139" t="n"/>
      <x:c r="C242" s="139" t="n"/>
      <x:c r="D242" s="139" t="n"/>
      <x:c r="E242" s="139" t="n"/>
      <x:c r="F242" s="139" t="n"/>
      <x:c r="G242" s="139" t="n"/>
      <x:c r="H242" s="139" t="n"/>
      <x:c r="I242" s="139" t="n"/>
      <x:c r="J242" s="139" t="n"/>
      <x:c r="K242" s="139" t="n"/>
      <x:c r="L242" s="139" t="n"/>
    </x:row>
    <x:row r="243">
      <x:c r="A243" s="139" t="n"/>
      <x:c r="B243" s="139" t="n"/>
      <x:c r="C243" s="139" t="n"/>
      <x:c r="D243" s="139" t="n"/>
      <x:c r="E243" s="139" t="n"/>
      <x:c r="F243" s="139" t="n"/>
      <x:c r="G243" s="139" t="n"/>
      <x:c r="H243" s="139" t="n"/>
      <x:c r="I243" s="139" t="n"/>
      <x:c r="J243" s="139" t="n"/>
      <x:c r="K243" s="139" t="n"/>
      <x:c r="L243" s="139" t="n"/>
    </x:row>
    <x:row r="244">
      <x:c r="A244" s="139" t="n"/>
      <x:c r="B244" s="139" t="n"/>
      <x:c r="C244" s="139" t="n"/>
      <x:c r="D244" s="139" t="n"/>
      <x:c r="E244" s="139" t="n"/>
      <x:c r="F244" s="139" t="n"/>
      <x:c r="G244" s="139" t="n"/>
      <x:c r="H244" s="139" t="n"/>
      <x:c r="I244" s="139" t="n"/>
      <x:c r="J244" s="139" t="n"/>
      <x:c r="K244" s="139" t="n"/>
      <x:c r="L244" s="139" t="n"/>
    </x:row>
    <x:row r="245">
      <x:c r="A245" s="139" t="n"/>
      <x:c r="B245" s="139" t="n"/>
      <x:c r="C245" s="139" t="n"/>
      <x:c r="D245" s="139" t="n"/>
      <x:c r="E245" s="139" t="n"/>
      <x:c r="F245" s="139" t="n"/>
      <x:c r="G245" s="139" t="n"/>
      <x:c r="H245" s="139" t="n"/>
      <x:c r="I245" s="139" t="n"/>
      <x:c r="J245" s="139" t="n"/>
      <x:c r="K245" s="139" t="n"/>
      <x:c r="L245" s="139" t="n"/>
    </x:row>
    <x:row r="246">
      <x:c r="A246" s="139" t="n"/>
      <x:c r="B246" s="139" t="n"/>
      <x:c r="C246" s="139" t="n"/>
      <x:c r="D246" s="139" t="n"/>
      <x:c r="E246" s="139" t="n"/>
      <x:c r="F246" s="139" t="n"/>
      <x:c r="G246" s="139" t="n"/>
      <x:c r="H246" s="139" t="n"/>
      <x:c r="I246" s="139" t="n"/>
      <x:c r="J246" s="139" t="n"/>
      <x:c r="K246" s="139" t="n"/>
      <x:c r="L246" s="139" t="n"/>
    </x:row>
    <x:row r="247">
      <x:c r="A247" s="139" t="n"/>
      <x:c r="B247" s="139" t="n"/>
      <x:c r="C247" s="139" t="n"/>
      <x:c r="D247" s="139" t="n"/>
      <x:c r="E247" s="139" t="n"/>
      <x:c r="F247" s="139" t="n"/>
      <x:c r="G247" s="139" t="n"/>
      <x:c r="H247" s="139" t="n"/>
      <x:c r="I247" s="139" t="n"/>
      <x:c r="J247" s="139" t="n"/>
      <x:c r="K247" s="139" t="n"/>
      <x:c r="L247" s="139" t="n"/>
    </x:row>
    <x:row r="248">
      <x:c r="A248" s="139" t="n"/>
      <x:c r="B248" s="139" t="n"/>
      <x:c r="C248" s="139" t="n"/>
      <x:c r="D248" s="139" t="n"/>
      <x:c r="E248" s="139" t="n"/>
      <x:c r="F248" s="139" t="n"/>
      <x:c r="G248" s="139" t="n"/>
      <x:c r="H248" s="139" t="n"/>
      <x:c r="I248" s="139" t="n"/>
      <x:c r="J248" s="139" t="n"/>
      <x:c r="K248" s="139" t="n"/>
      <x:c r="L248" s="139" t="n"/>
    </x:row>
    <x:row r="249">
      <x:c r="A249" s="139" t="n"/>
      <x:c r="B249" s="139" t="n"/>
      <x:c r="C249" s="139" t="n"/>
      <x:c r="D249" s="139" t="n"/>
      <x:c r="E249" s="139" t="n"/>
      <x:c r="F249" s="139" t="n"/>
      <x:c r="G249" s="139" t="n"/>
      <x:c r="H249" s="139" t="n"/>
      <x:c r="I249" s="139" t="n"/>
      <x:c r="J249" s="139" t="n"/>
      <x:c r="K249" s="139" t="n"/>
      <x:c r="L249" s="139" t="n"/>
    </x:row>
    <x:row r="250">
      <x:c r="A250" s="139" t="n"/>
      <x:c r="B250" s="139" t="n"/>
      <x:c r="C250" s="139" t="n"/>
      <x:c r="D250" s="139" t="n"/>
      <x:c r="E250" s="139" t="n"/>
      <x:c r="F250" s="139" t="n"/>
      <x:c r="G250" s="139" t="n"/>
      <x:c r="H250" s="139" t="n"/>
      <x:c r="I250" s="139" t="n"/>
      <x:c r="J250" s="139" t="n"/>
      <x:c r="K250" s="139" t="n"/>
      <x:c r="L250" s="139" t="n"/>
    </x:row>
    <x:row r="251">
      <x:c r="A251" s="139" t="n"/>
      <x:c r="B251" s="139" t="n"/>
      <x:c r="C251" s="139" t="n"/>
      <x:c r="D251" s="139" t="n"/>
      <x:c r="E251" s="139" t="n"/>
      <x:c r="F251" s="139" t="n"/>
      <x:c r="G251" s="139" t="n"/>
      <x:c r="H251" s="139" t="n"/>
      <x:c r="I251" s="139" t="n"/>
      <x:c r="J251" s="139" t="n"/>
      <x:c r="K251" s="139" t="n"/>
      <x:c r="L251" s="139" t="n"/>
    </x:row>
    <x:row r="252">
      <x:c r="A252" s="139" t="n"/>
      <x:c r="B252" s="139" t="n"/>
      <x:c r="C252" s="139" t="n"/>
      <x:c r="D252" s="139" t="n"/>
      <x:c r="E252" s="139" t="n"/>
      <x:c r="F252" s="139" t="n"/>
      <x:c r="G252" s="139" t="n"/>
      <x:c r="H252" s="139" t="n"/>
      <x:c r="I252" s="139" t="n"/>
      <x:c r="J252" s="139" t="n"/>
      <x:c r="K252" s="139" t="n"/>
      <x:c r="L252" s="139" t="n"/>
    </x:row>
    <x:row r="253">
      <x:c r="A253" s="139" t="n"/>
      <x:c r="B253" s="139" t="n"/>
      <x:c r="C253" s="139" t="n"/>
      <x:c r="D253" s="139" t="n"/>
      <x:c r="E253" s="139" t="n"/>
      <x:c r="F253" s="139" t="n"/>
      <x:c r="G253" s="139" t="n"/>
      <x:c r="H253" s="139" t="n"/>
      <x:c r="I253" s="139" t="n"/>
      <x:c r="J253" s="139" t="n"/>
      <x:c r="K253" s="139" t="n"/>
      <x:c r="L253" s="139" t="n"/>
    </x:row>
    <x:row r="254">
      <x:c r="A254" s="139" t="n"/>
      <x:c r="B254" s="139" t="n"/>
      <x:c r="C254" s="139" t="n"/>
      <x:c r="D254" s="139" t="n"/>
      <x:c r="E254" s="139" t="n"/>
      <x:c r="F254" s="139" t="n"/>
      <x:c r="G254" s="139" t="n"/>
      <x:c r="H254" s="139" t="n"/>
      <x:c r="I254" s="139" t="n"/>
      <x:c r="J254" s="139" t="n"/>
      <x:c r="K254" s="139" t="n"/>
      <x:c r="L254" s="139" t="n"/>
    </x:row>
    <x:row r="255">
      <x:c r="A255" s="139" t="n"/>
      <x:c r="B255" s="139" t="n"/>
      <x:c r="C255" s="139" t="n"/>
      <x:c r="D255" s="139" t="n"/>
      <x:c r="E255" s="139" t="n"/>
      <x:c r="F255" s="139" t="n"/>
      <x:c r="G255" s="139" t="n"/>
      <x:c r="H255" s="139" t="n"/>
      <x:c r="I255" s="139" t="n"/>
      <x:c r="J255" s="139" t="n"/>
      <x:c r="K255" s="139" t="n"/>
      <x:c r="L255" s="139" t="n"/>
    </x:row>
    <x:row r="256">
      <x:c r="A256" s="139" t="n"/>
      <x:c r="B256" s="139" t="n"/>
      <x:c r="C256" s="139" t="n"/>
      <x:c r="D256" s="139" t="n"/>
      <x:c r="E256" s="139" t="n"/>
      <x:c r="F256" s="139" t="n"/>
      <x:c r="G256" s="139" t="n"/>
      <x:c r="H256" s="139" t="n"/>
      <x:c r="I256" s="139" t="n"/>
      <x:c r="J256" s="139" t="n"/>
      <x:c r="K256" s="139" t="n"/>
      <x:c r="L256" s="139" t="n"/>
    </x:row>
    <x:row r="257">
      <x:c r="A257" s="139" t="n"/>
      <x:c r="B257" s="139" t="n"/>
      <x:c r="C257" s="139" t="n"/>
      <x:c r="D257" s="139" t="n"/>
      <x:c r="E257" s="139" t="n"/>
      <x:c r="F257" s="139" t="n"/>
      <x:c r="G257" s="139" t="n"/>
      <x:c r="H257" s="139" t="n"/>
      <x:c r="I257" s="139" t="n"/>
      <x:c r="J257" s="139" t="n"/>
      <x:c r="K257" s="139" t="n"/>
      <x:c r="L257" s="139" t="n"/>
    </x:row>
    <x:row r="258">
      <x:c r="A258" s="139" t="n"/>
      <x:c r="B258" s="139" t="n"/>
      <x:c r="C258" s="139" t="n"/>
      <x:c r="D258" s="139" t="n"/>
      <x:c r="E258" s="139" t="n"/>
      <x:c r="F258" s="139" t="n"/>
      <x:c r="G258" s="139" t="n"/>
      <x:c r="H258" s="139" t="n"/>
      <x:c r="I258" s="139" t="n"/>
      <x:c r="J258" s="139" t="n"/>
      <x:c r="K258" s="139" t="n"/>
      <x:c r="L258" s="139" t="n"/>
    </x:row>
    <x:row r="259">
      <x:c r="A259" s="139" t="n"/>
      <x:c r="B259" s="139" t="n"/>
      <x:c r="C259" s="139" t="n"/>
      <x:c r="D259" s="139" t="n"/>
      <x:c r="E259" s="139" t="n"/>
      <x:c r="F259" s="139" t="n"/>
      <x:c r="G259" s="139" t="n"/>
      <x:c r="H259" s="139" t="n"/>
      <x:c r="I259" s="139" t="n"/>
      <x:c r="J259" s="139" t="n"/>
      <x:c r="K259" s="139" t="n"/>
      <x:c r="L259" s="139" t="n"/>
    </x:row>
    <x:row r="260">
      <x:c r="A260" s="139" t="n"/>
      <x:c r="B260" s="139" t="n"/>
      <x:c r="C260" s="139" t="n"/>
      <x:c r="D260" s="139" t="n"/>
      <x:c r="E260" s="139" t="n"/>
      <x:c r="F260" s="139" t="n"/>
      <x:c r="G260" s="139" t="n"/>
      <x:c r="H260" s="139" t="n"/>
      <x:c r="I260" s="139" t="n"/>
      <x:c r="J260" s="139" t="n"/>
      <x:c r="K260" s="139" t="n"/>
      <x:c r="L260" s="139" t="n"/>
    </x:row>
    <x:row r="261">
      <x:c r="A261" s="139" t="n"/>
      <x:c r="B261" s="139" t="n"/>
      <x:c r="C261" s="139" t="n"/>
      <x:c r="D261" s="139" t="n"/>
      <x:c r="E261" s="139" t="n"/>
      <x:c r="F261" s="139" t="n"/>
      <x:c r="G261" s="139" t="n"/>
      <x:c r="H261" s="139" t="n"/>
      <x:c r="I261" s="139" t="n"/>
      <x:c r="J261" s="139" t="n"/>
      <x:c r="K261" s="139" t="n"/>
      <x:c r="L261" s="139" t="n"/>
    </x:row>
    <x:row r="262">
      <x:c r="A262" s="139" t="n"/>
      <x:c r="B262" s="139" t="n"/>
      <x:c r="C262" s="139" t="n"/>
      <x:c r="D262" s="139" t="n"/>
      <x:c r="E262" s="139" t="n"/>
      <x:c r="F262" s="139" t="n"/>
      <x:c r="G262" s="139" t="n"/>
      <x:c r="H262" s="139" t="n"/>
      <x:c r="I262" s="139" t="n"/>
      <x:c r="J262" s="139" t="n"/>
      <x:c r="K262" s="139" t="n"/>
      <x:c r="L262" s="139" t="n"/>
    </x:row>
    <x:row r="263">
      <x:c r="A263" s="139" t="n"/>
      <x:c r="B263" s="139" t="n"/>
      <x:c r="C263" s="139" t="n"/>
      <x:c r="D263" s="139" t="n"/>
      <x:c r="E263" s="139" t="n"/>
      <x:c r="F263" s="139" t="n"/>
      <x:c r="G263" s="139" t="n"/>
      <x:c r="H263" s="139" t="n"/>
      <x:c r="I263" s="139" t="n"/>
      <x:c r="J263" s="139" t="n"/>
      <x:c r="K263" s="139" t="n"/>
      <x:c r="L263" s="139" t="n"/>
    </x:row>
    <x:row r="264">
      <x:c r="A264" s="139" t="n"/>
      <x:c r="B264" s="139" t="n"/>
      <x:c r="C264" s="139" t="n"/>
      <x:c r="D264" s="139" t="n"/>
      <x:c r="E264" s="139" t="n"/>
      <x:c r="F264" s="139" t="n"/>
      <x:c r="G264" s="139" t="n"/>
      <x:c r="H264" s="139" t="n"/>
      <x:c r="I264" s="139" t="n"/>
      <x:c r="J264" s="139" t="n"/>
      <x:c r="K264" s="139" t="n"/>
      <x:c r="L264" s="139" t="n"/>
    </x:row>
    <x:row r="265">
      <x:c r="A265" s="139" t="n"/>
      <x:c r="B265" s="139" t="n"/>
      <x:c r="C265" s="139" t="n"/>
      <x:c r="D265" s="139" t="n"/>
      <x:c r="E265" s="139" t="n"/>
      <x:c r="F265" s="139" t="n"/>
      <x:c r="G265" s="139" t="n"/>
      <x:c r="H265" s="139" t="n"/>
      <x:c r="I265" s="139" t="n"/>
      <x:c r="J265" s="139" t="n"/>
      <x:c r="K265" s="139" t="n"/>
      <x:c r="L265" s="139" t="n"/>
    </x:row>
    <x:row r="266">
      <x:c r="A266" s="139" t="n"/>
      <x:c r="B266" s="139" t="n"/>
      <x:c r="C266" s="139" t="n"/>
      <x:c r="D266" s="139" t="n"/>
      <x:c r="E266" s="139" t="n"/>
      <x:c r="F266" s="139" t="n"/>
      <x:c r="G266" s="139" t="n"/>
      <x:c r="H266" s="139" t="n"/>
      <x:c r="I266" s="139" t="n"/>
      <x:c r="J266" s="139" t="n"/>
      <x:c r="K266" s="139" t="n"/>
      <x:c r="L266" s="139" t="n"/>
    </x:row>
    <x:row r="267">
      <x:c r="A267" s="139" t="n"/>
      <x:c r="B267" s="139" t="n"/>
      <x:c r="C267" s="139" t="n"/>
      <x:c r="D267" s="139" t="n"/>
      <x:c r="E267" s="139" t="n"/>
      <x:c r="F267" s="139" t="n"/>
      <x:c r="G267" s="139" t="n"/>
      <x:c r="H267" s="139" t="n"/>
      <x:c r="I267" s="139" t="n"/>
      <x:c r="J267" s="139" t="n"/>
      <x:c r="K267" s="139" t="n"/>
      <x:c r="L267" s="139" t="n"/>
    </x:row>
    <x:row r="268">
      <x:c r="A268" s="139" t="n"/>
      <x:c r="B268" s="139" t="n"/>
      <x:c r="C268" s="139" t="n"/>
      <x:c r="D268" s="139" t="n"/>
      <x:c r="E268" s="139" t="n"/>
      <x:c r="F268" s="139" t="n"/>
      <x:c r="G268" s="139" t="n"/>
      <x:c r="H268" s="139" t="n"/>
      <x:c r="I268" s="139" t="n"/>
      <x:c r="J268" s="139" t="n"/>
      <x:c r="K268" s="139" t="n"/>
      <x:c r="L268" s="139" t="n"/>
    </x:row>
    <x:row r="269">
      <x:c r="A269" s="139" t="n"/>
      <x:c r="B269" s="139" t="n"/>
      <x:c r="C269" s="139" t="n"/>
      <x:c r="D269" s="139" t="n"/>
      <x:c r="E269" s="139" t="n"/>
      <x:c r="F269" s="139" t="n"/>
      <x:c r="G269" s="139" t="n"/>
      <x:c r="H269" s="139" t="n"/>
      <x:c r="I269" s="139" t="n"/>
      <x:c r="J269" s="139" t="n"/>
      <x:c r="K269" s="139" t="n"/>
      <x:c r="L269" s="139" t="n"/>
    </x:row>
    <x:row r="270">
      <x:c r="A270" s="139" t="n"/>
      <x:c r="B270" s="139" t="n"/>
      <x:c r="C270" s="139" t="n"/>
      <x:c r="D270" s="139" t="n"/>
      <x:c r="E270" s="139" t="n"/>
      <x:c r="F270" s="139" t="n"/>
      <x:c r="G270" s="139" t="n"/>
      <x:c r="H270" s="139" t="n"/>
      <x:c r="I270" s="139" t="n"/>
      <x:c r="J270" s="139" t="n"/>
      <x:c r="K270" s="139" t="n"/>
      <x:c r="L270" s="139" t="n"/>
    </x:row>
    <x:row r="271">
      <x:c r="A271" s="139" t="n"/>
      <x:c r="B271" s="139" t="n"/>
      <x:c r="C271" s="139" t="n"/>
      <x:c r="D271" s="139" t="n"/>
      <x:c r="E271" s="139" t="n"/>
      <x:c r="F271" s="139" t="n"/>
      <x:c r="G271" s="139" t="n"/>
      <x:c r="H271" s="139" t="n"/>
      <x:c r="I271" s="139" t="n"/>
      <x:c r="J271" s="139" t="n"/>
      <x:c r="K271" s="139" t="n"/>
      <x:c r="L271" s="139" t="n"/>
    </x:row>
    <x:row r="272">
      <x:c r="A272" s="139" t="n"/>
      <x:c r="B272" s="139" t="n"/>
      <x:c r="C272" s="139" t="n"/>
      <x:c r="D272" s="139" t="n"/>
      <x:c r="E272" s="139" t="n"/>
      <x:c r="F272" s="139" t="n"/>
      <x:c r="G272" s="139" t="n"/>
      <x:c r="H272" s="139" t="n"/>
      <x:c r="I272" s="139" t="n"/>
      <x:c r="J272" s="139" t="n"/>
      <x:c r="K272" s="139" t="n"/>
      <x:c r="L272" s="139" t="n"/>
    </x:row>
    <x:row r="273">
      <x:c r="A273" s="139" t="n"/>
      <x:c r="B273" s="139" t="n"/>
      <x:c r="C273" s="139" t="n"/>
      <x:c r="D273" s="139" t="n"/>
      <x:c r="E273" s="139" t="n"/>
      <x:c r="F273" s="139" t="n"/>
      <x:c r="G273" s="139" t="n"/>
      <x:c r="H273" s="139" t="n"/>
      <x:c r="I273" s="139" t="n"/>
      <x:c r="J273" s="139" t="n"/>
      <x:c r="K273" s="139" t="n"/>
      <x:c r="L273" s="139" t="n"/>
    </x:row>
    <x:row r="274">
      <x:c r="A274" s="139" t="n"/>
      <x:c r="B274" s="139" t="n"/>
      <x:c r="C274" s="139" t="n"/>
      <x:c r="D274" s="139" t="n"/>
      <x:c r="E274" s="139" t="n"/>
      <x:c r="F274" s="139" t="n"/>
      <x:c r="G274" s="139" t="n"/>
      <x:c r="H274" s="139" t="n"/>
      <x:c r="I274" s="139" t="n"/>
      <x:c r="J274" s="139" t="n"/>
      <x:c r="K274" s="139" t="n"/>
      <x:c r="L274" s="139" t="n"/>
    </x:row>
    <x:row r="275">
      <x:c r="A275" s="139" t="n"/>
      <x:c r="B275" s="139" t="n"/>
      <x:c r="C275" s="139" t="n"/>
      <x:c r="D275" s="139" t="n"/>
      <x:c r="E275" s="139" t="n"/>
      <x:c r="F275" s="139" t="n"/>
      <x:c r="G275" s="139" t="n"/>
      <x:c r="H275" s="139" t="n"/>
      <x:c r="I275" s="139" t="n"/>
      <x:c r="J275" s="139" t="n"/>
      <x:c r="K275" s="139" t="n"/>
      <x:c r="L275" s="139" t="n"/>
    </x:row>
    <x:row r="276">
      <x:c r="A276" s="139" t="n"/>
      <x:c r="B276" s="139" t="n"/>
      <x:c r="C276" s="139" t="n"/>
      <x:c r="D276" s="139" t="n"/>
      <x:c r="E276" s="139" t="n"/>
      <x:c r="F276" s="139" t="n"/>
      <x:c r="G276" s="139" t="n"/>
      <x:c r="H276" s="139" t="n"/>
      <x:c r="I276" s="139" t="n"/>
      <x:c r="J276" s="139" t="n"/>
      <x:c r="K276" s="139" t="n"/>
      <x:c r="L276" s="139" t="n"/>
    </x:row>
    <x:row r="277">
      <x:c r="A277" s="139" t="n"/>
      <x:c r="B277" s="139" t="n"/>
      <x:c r="C277" s="139" t="n"/>
      <x:c r="D277" s="139" t="n"/>
      <x:c r="E277" s="139" t="n"/>
      <x:c r="F277" s="139" t="n"/>
      <x:c r="G277" s="139" t="n"/>
      <x:c r="H277" s="139" t="n"/>
      <x:c r="I277" s="139" t="n"/>
      <x:c r="J277" s="139" t="n"/>
      <x:c r="K277" s="139" t="n"/>
      <x:c r="L277" s="139" t="n"/>
    </x:row>
    <x:row r="278">
      <x:c r="A278" s="139" t="n"/>
      <x:c r="B278" s="139" t="n"/>
      <x:c r="C278" s="139" t="n"/>
      <x:c r="D278" s="139" t="n"/>
      <x:c r="E278" s="139" t="n"/>
      <x:c r="F278" s="139" t="n"/>
      <x:c r="G278" s="139" t="n"/>
      <x:c r="H278" s="139" t="n"/>
      <x:c r="I278" s="139" t="n"/>
      <x:c r="J278" s="139" t="n"/>
      <x:c r="K278" s="139" t="n"/>
      <x:c r="L278" s="139" t="n"/>
    </x:row>
    <x:row r="279">
      <x:c r="A279" s="139" t="n"/>
      <x:c r="B279" s="139" t="n"/>
      <x:c r="C279" s="139" t="n"/>
      <x:c r="D279" s="139" t="n"/>
      <x:c r="E279" s="139" t="n"/>
      <x:c r="F279" s="139" t="n"/>
      <x:c r="G279" s="139" t="n"/>
      <x:c r="H279" s="139" t="n"/>
      <x:c r="I279" s="139" t="n"/>
      <x:c r="J279" s="139" t="n"/>
      <x:c r="K279" s="139" t="n"/>
      <x:c r="L279" s="139" t="n"/>
    </x:row>
    <x:row r="280">
      <x:c r="A280" s="139" t="n"/>
      <x:c r="B280" s="139" t="n"/>
      <x:c r="C280" s="139" t="n"/>
      <x:c r="D280" s="139" t="n"/>
      <x:c r="E280" s="139" t="n"/>
      <x:c r="F280" s="139" t="n"/>
      <x:c r="G280" s="139" t="n"/>
      <x:c r="H280" s="139" t="n"/>
      <x:c r="I280" s="139" t="n"/>
      <x:c r="J280" s="139" t="n"/>
      <x:c r="K280" s="139" t="n"/>
      <x:c r="L280" s="139" t="n"/>
    </x:row>
    <x:row r="281">
      <x:c r="A281" s="139" t="n"/>
      <x:c r="B281" s="139" t="n"/>
      <x:c r="C281" s="139" t="n"/>
      <x:c r="D281" s="139" t="n"/>
      <x:c r="E281" s="139" t="n"/>
      <x:c r="F281" s="139" t="n"/>
      <x:c r="G281" s="139" t="n"/>
      <x:c r="H281" s="139" t="n"/>
      <x:c r="I281" s="139" t="n"/>
      <x:c r="J281" s="139" t="n"/>
      <x:c r="K281" s="139" t="n"/>
      <x:c r="L281" s="139" t="n"/>
    </x:row>
    <x:row r="282">
      <x:c r="A282" s="139" t="n"/>
      <x:c r="B282" s="139" t="n"/>
      <x:c r="C282" s="139" t="n"/>
      <x:c r="D282" s="139" t="n"/>
      <x:c r="E282" s="139" t="n"/>
      <x:c r="F282" s="139" t="n"/>
      <x:c r="G282" s="139" t="n"/>
      <x:c r="H282" s="139" t="n"/>
      <x:c r="I282" s="139" t="n"/>
      <x:c r="J282" s="139" t="n"/>
      <x:c r="K282" s="139" t="n"/>
      <x:c r="L282" s="139" t="n"/>
    </x:row>
    <x:row r="283">
      <x:c r="A283" s="139" t="n"/>
      <x:c r="B283" s="139" t="n"/>
      <x:c r="C283" s="139" t="n"/>
      <x:c r="D283" s="139" t="n"/>
      <x:c r="E283" s="139" t="n"/>
      <x:c r="F283" s="139" t="n"/>
      <x:c r="G283" s="139" t="n"/>
      <x:c r="H283" s="139" t="n"/>
      <x:c r="I283" s="139" t="n"/>
      <x:c r="J283" s="139" t="n"/>
      <x:c r="K283" s="139" t="n"/>
      <x:c r="L283" s="139" t="n"/>
    </x:row>
    <x:row r="284">
      <x:c r="A284" s="139" t="n"/>
      <x:c r="B284" s="139" t="n"/>
      <x:c r="C284" s="139" t="n"/>
      <x:c r="D284" s="139" t="n"/>
      <x:c r="E284" s="139" t="n"/>
      <x:c r="F284" s="139" t="n"/>
      <x:c r="G284" s="139" t="n"/>
      <x:c r="H284" s="139" t="n"/>
      <x:c r="I284" s="139" t="n"/>
      <x:c r="J284" s="139" t="n"/>
      <x:c r="K284" s="139" t="n"/>
      <x:c r="L284" s="139" t="n"/>
    </x:row>
    <x:row r="285">
      <x:c r="A285" s="139" t="n"/>
      <x:c r="B285" s="139" t="n"/>
      <x:c r="C285" s="139" t="n"/>
      <x:c r="D285" s="139" t="n"/>
      <x:c r="E285" s="139" t="n"/>
      <x:c r="F285" s="139" t="n"/>
      <x:c r="G285" s="139" t="n"/>
      <x:c r="H285" s="139" t="n"/>
      <x:c r="I285" s="139" t="n"/>
      <x:c r="J285" s="139" t="n"/>
      <x:c r="K285" s="139" t="n"/>
      <x:c r="L285" s="139" t="n"/>
    </x:row>
    <x:row r="286">
      <x:c r="A286" s="139" t="n"/>
      <x:c r="B286" s="139" t="n"/>
      <x:c r="C286" s="139" t="n"/>
      <x:c r="D286" s="139" t="n"/>
      <x:c r="E286" s="139" t="n"/>
      <x:c r="F286" s="139" t="n"/>
      <x:c r="G286" s="139" t="n"/>
      <x:c r="H286" s="139" t="n"/>
      <x:c r="I286" s="139" t="n"/>
      <x:c r="J286" s="139" t="n"/>
      <x:c r="K286" s="139" t="n"/>
      <x:c r="L286" s="139" t="n"/>
    </x:row>
    <x:row r="287">
      <x:c r="A287" s="139" t="n"/>
      <x:c r="B287" s="139" t="n"/>
      <x:c r="C287" s="139" t="n"/>
      <x:c r="D287" s="139" t="n"/>
      <x:c r="E287" s="139" t="n"/>
      <x:c r="F287" s="139" t="n"/>
      <x:c r="G287" s="139" t="n"/>
      <x:c r="H287" s="139" t="n"/>
      <x:c r="I287" s="139" t="n"/>
      <x:c r="J287" s="139" t="n"/>
      <x:c r="K287" s="139" t="n"/>
      <x:c r="L287" s="139" t="n"/>
    </x:row>
    <x:row r="288">
      <x:c r="A288" s="139" t="n"/>
      <x:c r="B288" s="139" t="n"/>
      <x:c r="C288" s="139" t="n"/>
      <x:c r="D288" s="139" t="n"/>
      <x:c r="E288" s="139" t="n"/>
      <x:c r="F288" s="139" t="n"/>
      <x:c r="G288" s="139" t="n"/>
      <x:c r="H288" s="139" t="n"/>
      <x:c r="I288" s="139" t="n"/>
      <x:c r="J288" s="139" t="n"/>
      <x:c r="K288" s="139" t="n"/>
      <x:c r="L288" s="139" t="n"/>
    </x:row>
    <x:row r="289">
      <x:c r="A289" s="139" t="n"/>
      <x:c r="B289" s="139" t="n"/>
      <x:c r="C289" s="139" t="n"/>
      <x:c r="D289" s="139" t="n"/>
      <x:c r="E289" s="139" t="n"/>
      <x:c r="F289" s="139" t="n"/>
      <x:c r="G289" s="139" t="n"/>
      <x:c r="H289" s="139" t="n"/>
      <x:c r="I289" s="139" t="n"/>
      <x:c r="J289" s="139" t="n"/>
      <x:c r="K289" s="139" t="n"/>
      <x:c r="L289" s="139" t="n"/>
    </x:row>
    <x:row r="290">
      <x:c r="A290" s="139" t="n"/>
      <x:c r="B290" s="139" t="n"/>
      <x:c r="C290" s="139" t="n"/>
      <x:c r="D290" s="139" t="n"/>
      <x:c r="E290" s="139" t="n"/>
      <x:c r="F290" s="139" t="n"/>
      <x:c r="G290" s="139" t="n"/>
      <x:c r="H290" s="139" t="n"/>
      <x:c r="I290" s="139" t="n"/>
      <x:c r="J290" s="139" t="n"/>
      <x:c r="K290" s="139" t="n"/>
      <x:c r="L290" s="139" t="n"/>
    </x:row>
    <x:row r="291">
      <x:c r="A291" s="139" t="n"/>
      <x:c r="B291" s="139" t="n"/>
      <x:c r="C291" s="139" t="n"/>
      <x:c r="D291" s="139" t="n"/>
      <x:c r="E291" s="139" t="n"/>
      <x:c r="F291" s="139" t="n"/>
      <x:c r="G291" s="139" t="n"/>
      <x:c r="H291" s="139" t="n"/>
      <x:c r="I291" s="139" t="n"/>
      <x:c r="J291" s="139" t="n"/>
      <x:c r="K291" s="139" t="n"/>
      <x:c r="L291" s="139" t="n"/>
    </x:row>
    <x:row r="292">
      <x:c r="A292" s="139" t="n"/>
      <x:c r="B292" s="139" t="n"/>
      <x:c r="C292" s="139" t="n"/>
      <x:c r="D292" s="139" t="n"/>
      <x:c r="E292" s="139" t="n"/>
      <x:c r="F292" s="139" t="n"/>
      <x:c r="G292" s="139" t="n"/>
      <x:c r="H292" s="139" t="n"/>
      <x:c r="I292" s="139" t="n"/>
      <x:c r="J292" s="139" t="n"/>
      <x:c r="K292" s="139" t="n"/>
      <x:c r="L292" s="139" t="n"/>
    </x:row>
    <x:row r="293">
      <x:c r="A293" s="139" t="n"/>
      <x:c r="B293" s="139" t="n"/>
      <x:c r="C293" s="139" t="n"/>
      <x:c r="D293" s="139" t="n"/>
      <x:c r="E293" s="139" t="n"/>
      <x:c r="F293" s="139" t="n"/>
      <x:c r="G293" s="139" t="n"/>
      <x:c r="H293" s="139" t="n"/>
      <x:c r="I293" s="139" t="n"/>
      <x:c r="J293" s="139" t="n"/>
      <x:c r="K293" s="139" t="n"/>
      <x:c r="L293" s="139" t="n"/>
    </x:row>
    <x:row r="294">
      <x:c r="A294" s="139" t="n"/>
      <x:c r="B294" s="139" t="n"/>
      <x:c r="C294" s="139" t="n"/>
      <x:c r="D294" s="139" t="n"/>
      <x:c r="E294" s="139" t="n"/>
      <x:c r="F294" s="139" t="n"/>
      <x:c r="G294" s="139" t="n"/>
      <x:c r="H294" s="139" t="n"/>
      <x:c r="I294" s="139" t="n"/>
      <x:c r="J294" s="139" t="n"/>
      <x:c r="K294" s="139" t="n"/>
      <x:c r="L294" s="139" t="n"/>
    </x:row>
    <x:row r="295">
      <x:c r="A295" s="139" t="n"/>
      <x:c r="B295" s="139" t="n"/>
      <x:c r="C295" s="139" t="n"/>
      <x:c r="D295" s="139" t="n"/>
      <x:c r="E295" s="139" t="n"/>
      <x:c r="F295" s="139" t="n"/>
      <x:c r="G295" s="139" t="n"/>
      <x:c r="H295" s="139" t="n"/>
      <x:c r="I295" s="139" t="n"/>
      <x:c r="J295" s="139" t="n"/>
      <x:c r="K295" s="139" t="n"/>
      <x:c r="L295" s="139" t="n"/>
    </x:row>
    <x:row r="296">
      <x:c r="A296" s="139" t="n"/>
      <x:c r="B296" s="139" t="n"/>
      <x:c r="C296" s="139" t="n"/>
      <x:c r="D296" s="139" t="n"/>
      <x:c r="E296" s="139" t="n"/>
      <x:c r="F296" s="139" t="n"/>
      <x:c r="G296" s="139" t="n"/>
      <x:c r="H296" s="139" t="n"/>
      <x:c r="I296" s="139" t="n"/>
      <x:c r="J296" s="139" t="n"/>
      <x:c r="K296" s="139" t="n"/>
      <x:c r="L296" s="139" t="n"/>
    </x:row>
    <x:row r="297">
      <x:c r="A297" s="139" t="n"/>
      <x:c r="B297" s="139" t="n"/>
      <x:c r="C297" s="139" t="n"/>
      <x:c r="D297" s="139" t="n"/>
      <x:c r="E297" s="139" t="n"/>
      <x:c r="F297" s="139" t="n"/>
      <x:c r="G297" s="139" t="n"/>
      <x:c r="H297" s="139" t="n"/>
      <x:c r="I297" s="139" t="n"/>
      <x:c r="J297" s="139" t="n"/>
      <x:c r="K297" s="139" t="n"/>
      <x:c r="L297" s="139" t="n"/>
    </x:row>
    <x:row r="298">
      <x:c r="A298" s="139" t="n"/>
      <x:c r="B298" s="139" t="n"/>
      <x:c r="C298" s="139" t="n"/>
      <x:c r="D298" s="139" t="n"/>
      <x:c r="E298" s="139" t="n"/>
      <x:c r="F298" s="139" t="n"/>
      <x:c r="G298" s="139" t="n"/>
      <x:c r="H298" s="139" t="n"/>
      <x:c r="I298" s="139" t="n"/>
      <x:c r="J298" s="139" t="n"/>
      <x:c r="K298" s="139" t="n"/>
      <x:c r="L298" s="139" t="n"/>
    </x:row>
    <x:row r="299">
      <x:c r="A299" s="139" t="n"/>
      <x:c r="B299" s="139" t="n"/>
      <x:c r="C299" s="139" t="n"/>
      <x:c r="D299" s="139" t="n"/>
      <x:c r="E299" s="139" t="n"/>
      <x:c r="F299" s="139" t="n"/>
      <x:c r="G299" s="139" t="n"/>
      <x:c r="H299" s="139" t="n"/>
      <x:c r="I299" s="139" t="n"/>
      <x:c r="J299" s="139" t="n"/>
      <x:c r="K299" s="139" t="n"/>
      <x:c r="L299" s="139" t="n"/>
    </x:row>
    <x:row r="300">
      <x:c r="A300" s="139" t="n"/>
      <x:c r="B300" s="139" t="n"/>
      <x:c r="C300" s="139" t="n"/>
      <x:c r="D300" s="139" t="n"/>
      <x:c r="E300" s="139" t="n"/>
      <x:c r="F300" s="139" t="n"/>
      <x:c r="G300" s="139" t="n"/>
      <x:c r="H300" s="139" t="n"/>
      <x:c r="I300" s="139" t="n"/>
      <x:c r="J300" s="139" t="n"/>
      <x:c r="K300" s="139" t="n"/>
      <x:c r="L300" s="139" t="n"/>
    </x:row>
    <x:row r="301">
      <x:c r="A301" s="139" t="n"/>
      <x:c r="B301" s="139" t="n"/>
      <x:c r="C301" s="139" t="n"/>
      <x:c r="D301" s="139" t="n"/>
      <x:c r="E301" s="139" t="n"/>
      <x:c r="F301" s="139" t="n"/>
      <x:c r="G301" s="139" t="n"/>
      <x:c r="H301" s="139" t="n"/>
      <x:c r="I301" s="139" t="n"/>
      <x:c r="J301" s="139" t="n"/>
      <x:c r="K301" s="139" t="n"/>
      <x:c r="L301" s="139" t="n"/>
    </x:row>
    <x:row r="302">
      <x:c r="A302" s="139" t="n"/>
      <x:c r="B302" s="139" t="n"/>
      <x:c r="C302" s="139" t="n"/>
      <x:c r="D302" s="139" t="n"/>
      <x:c r="E302" s="139" t="n"/>
      <x:c r="F302" s="139" t="n"/>
      <x:c r="G302" s="139" t="n"/>
      <x:c r="H302" s="139" t="n"/>
      <x:c r="I302" s="139" t="n"/>
      <x:c r="J302" s="139" t="n"/>
      <x:c r="K302" s="139" t="n"/>
      <x:c r="L302" s="139" t="n"/>
    </x:row>
    <x:row r="303">
      <x:c r="A303" s="139" t="n"/>
      <x:c r="B303" s="139" t="n"/>
      <x:c r="C303" s="139" t="n"/>
      <x:c r="D303" s="139" t="n"/>
      <x:c r="E303" s="139" t="n"/>
      <x:c r="F303" s="139" t="n"/>
      <x:c r="G303" s="139" t="n"/>
      <x:c r="H303" s="139" t="n"/>
      <x:c r="I303" s="139" t="n"/>
      <x:c r="J303" s="139" t="n"/>
      <x:c r="K303" s="139" t="n"/>
      <x:c r="L303" s="139" t="n"/>
    </x:row>
    <x:row r="304">
      <x:c r="A304" s="139" t="n"/>
      <x:c r="B304" s="139" t="n"/>
      <x:c r="C304" s="139" t="n"/>
      <x:c r="D304" s="139" t="n"/>
      <x:c r="E304" s="139" t="n"/>
      <x:c r="F304" s="139" t="n"/>
      <x:c r="G304" s="139" t="n"/>
      <x:c r="H304" s="139" t="n"/>
      <x:c r="I304" s="139" t="n"/>
      <x:c r="J304" s="139" t="n"/>
      <x:c r="K304" s="139" t="n"/>
      <x:c r="L304" s="139" t="n"/>
    </x:row>
    <x:row r="305">
      <x:c r="A305" s="139" t="n"/>
      <x:c r="B305" s="139" t="n"/>
      <x:c r="C305" s="139" t="n"/>
      <x:c r="D305" s="139" t="n"/>
      <x:c r="E305" s="139" t="n"/>
      <x:c r="F305" s="139" t="n"/>
      <x:c r="G305" s="139" t="n"/>
      <x:c r="H305" s="139" t="n"/>
      <x:c r="I305" s="139" t="n"/>
      <x:c r="J305" s="139" t="n"/>
      <x:c r="K305" s="139" t="n"/>
      <x:c r="L305" s="139" t="n"/>
    </x:row>
    <x:row r="306">
      <x:c r="A306" s="139" t="n"/>
      <x:c r="B306" s="139" t="n"/>
      <x:c r="C306" s="139" t="n"/>
      <x:c r="D306" s="139" t="n"/>
      <x:c r="E306" s="139" t="n"/>
      <x:c r="F306" s="139" t="n"/>
      <x:c r="G306" s="139" t="n"/>
      <x:c r="H306" s="139" t="n"/>
      <x:c r="I306" s="139" t="n"/>
      <x:c r="J306" s="139" t="n"/>
      <x:c r="K306" s="139" t="n"/>
      <x:c r="L306" s="139" t="n"/>
    </x:row>
    <x:row r="307">
      <x:c r="A307" s="139" t="n"/>
      <x:c r="B307" s="139" t="n"/>
      <x:c r="C307" s="139" t="n"/>
      <x:c r="D307" s="139" t="n"/>
      <x:c r="E307" s="139" t="n"/>
      <x:c r="F307" s="139" t="n"/>
      <x:c r="G307" s="139" t="n"/>
      <x:c r="H307" s="139" t="n"/>
      <x:c r="I307" s="139" t="n"/>
      <x:c r="J307" s="139" t="n"/>
      <x:c r="K307" s="139" t="n"/>
      <x:c r="L307" s="139" t="n"/>
    </x:row>
    <x:row r="308">
      <x:c r="A308" s="139" t="n"/>
      <x:c r="B308" s="139" t="n"/>
      <x:c r="C308" s="139" t="n"/>
      <x:c r="D308" s="139" t="n"/>
      <x:c r="E308" s="139" t="n"/>
      <x:c r="F308" s="139" t="n"/>
      <x:c r="G308" s="139" t="n"/>
      <x:c r="H308" s="139" t="n"/>
      <x:c r="I308" s="139" t="n"/>
      <x:c r="J308" s="139" t="n"/>
      <x:c r="K308" s="139" t="n"/>
      <x:c r="L308" s="139" t="n"/>
    </x:row>
    <x:row r="309">
      <x:c r="A309" s="139" t="n"/>
      <x:c r="B309" s="139" t="n"/>
      <x:c r="C309" s="139" t="n"/>
      <x:c r="D309" s="139" t="n"/>
      <x:c r="E309" s="139" t="n"/>
      <x:c r="F309" s="139" t="n"/>
      <x:c r="G309" s="139" t="n"/>
      <x:c r="H309" s="139" t="n"/>
      <x:c r="I309" s="139" t="n"/>
      <x:c r="J309" s="139" t="n"/>
      <x:c r="K309" s="139" t="n"/>
      <x:c r="L309" s="139" t="n"/>
    </x:row>
    <x:row r="310">
      <x:c r="A310" s="139" t="n"/>
      <x:c r="B310" s="139" t="n"/>
      <x:c r="C310" s="139" t="n"/>
      <x:c r="D310" s="139" t="n"/>
      <x:c r="E310" s="139" t="n"/>
      <x:c r="F310" s="139" t="n"/>
      <x:c r="G310" s="139" t="n"/>
      <x:c r="H310" s="139" t="n"/>
      <x:c r="I310" s="139" t="n"/>
      <x:c r="J310" s="139" t="n"/>
      <x:c r="K310" s="139" t="n"/>
      <x:c r="L310" s="139" t="n"/>
    </x:row>
    <x:row r="311">
      <x:c r="A311" s="139" t="n"/>
      <x:c r="B311" s="139" t="n"/>
      <x:c r="C311" s="139" t="n"/>
      <x:c r="D311" s="139" t="n"/>
      <x:c r="E311" s="139" t="n"/>
      <x:c r="F311" s="139" t="n"/>
      <x:c r="G311" s="139" t="n"/>
      <x:c r="H311" s="139" t="n"/>
      <x:c r="I311" s="139" t="n"/>
      <x:c r="J311" s="139" t="n"/>
      <x:c r="K311" s="139" t="n"/>
      <x:c r="L311" s="139" t="n"/>
    </x:row>
    <x:row r="312">
      <x:c r="A312" s="139" t="n"/>
      <x:c r="B312" s="139" t="n"/>
      <x:c r="C312" s="139" t="n"/>
      <x:c r="D312" s="139" t="n"/>
      <x:c r="E312" s="139" t="n"/>
      <x:c r="F312" s="139" t="n"/>
      <x:c r="G312" s="139" t="n"/>
      <x:c r="H312" s="139" t="n"/>
      <x:c r="I312" s="139" t="n"/>
      <x:c r="J312" s="139" t="n"/>
      <x:c r="K312" s="139" t="n"/>
      <x:c r="L312" s="139" t="n"/>
    </x:row>
    <x:row r="313">
      <x:c r="A313" s="139" t="n"/>
      <x:c r="B313" s="139" t="n"/>
      <x:c r="C313" s="139" t="n"/>
      <x:c r="D313" s="139" t="n"/>
      <x:c r="E313" s="139" t="n"/>
      <x:c r="F313" s="139" t="n"/>
      <x:c r="G313" s="139" t="n"/>
      <x:c r="H313" s="139" t="n"/>
      <x:c r="I313" s="139" t="n"/>
      <x:c r="J313" s="139" t="n"/>
      <x:c r="K313" s="139" t="n"/>
      <x:c r="L313" s="139" t="n"/>
    </x:row>
    <x:row r="314">
      <x:c r="A314" s="139" t="n"/>
      <x:c r="B314" s="139" t="n"/>
      <x:c r="C314" s="139" t="n"/>
      <x:c r="D314" s="139" t="n"/>
      <x:c r="E314" s="139" t="n"/>
      <x:c r="F314" s="139" t="n"/>
      <x:c r="G314" s="139" t="n"/>
      <x:c r="H314" s="139" t="n"/>
      <x:c r="I314" s="139" t="n"/>
      <x:c r="J314" s="139" t="n"/>
      <x:c r="K314" s="139" t="n"/>
      <x:c r="L314" s="139" t="n"/>
    </x:row>
    <x:row r="315">
      <x:c r="A315" s="139" t="n"/>
      <x:c r="B315" s="139" t="n"/>
      <x:c r="C315" s="139" t="n"/>
      <x:c r="D315" s="139" t="n"/>
      <x:c r="E315" s="139" t="n"/>
      <x:c r="F315" s="139" t="n"/>
      <x:c r="G315" s="139" t="n"/>
      <x:c r="H315" s="139" t="n"/>
      <x:c r="I315" s="139" t="n"/>
      <x:c r="J315" s="139" t="n"/>
      <x:c r="K315" s="139" t="n"/>
      <x:c r="L315" s="139" t="n"/>
    </x:row>
    <x:row r="316">
      <x:c r="A316" s="139" t="n"/>
      <x:c r="B316" s="139" t="n"/>
      <x:c r="C316" s="139" t="n"/>
      <x:c r="D316" s="139" t="n"/>
      <x:c r="E316" s="139" t="n"/>
      <x:c r="F316" s="139" t="n"/>
      <x:c r="G316" s="139" t="n"/>
      <x:c r="H316" s="139" t="n"/>
      <x:c r="I316" s="139" t="n"/>
      <x:c r="J316" s="139" t="n"/>
      <x:c r="K316" s="139" t="n"/>
      <x:c r="L316" s="139" t="n"/>
    </x:row>
    <x:row r="317">
      <x:c r="A317" s="139" t="n"/>
      <x:c r="B317" s="139" t="n"/>
      <x:c r="C317" s="139" t="n"/>
      <x:c r="D317" s="139" t="n"/>
      <x:c r="E317" s="139" t="n"/>
      <x:c r="F317" s="139" t="n"/>
      <x:c r="G317" s="139" t="n"/>
      <x:c r="H317" s="139" t="n"/>
      <x:c r="I317" s="139" t="n"/>
      <x:c r="J317" s="139" t="n"/>
      <x:c r="K317" s="139" t="n"/>
      <x:c r="L317" s="139" t="n"/>
    </x:row>
    <x:row r="318">
      <x:c r="A318" s="139" t="n"/>
      <x:c r="B318" s="139" t="n"/>
      <x:c r="C318" s="139" t="n"/>
      <x:c r="D318" s="139" t="n"/>
      <x:c r="E318" s="139" t="n"/>
      <x:c r="F318" s="139" t="n"/>
      <x:c r="G318" s="139" t="n"/>
      <x:c r="H318" s="139" t="n"/>
      <x:c r="I318" s="139" t="n"/>
      <x:c r="J318" s="139" t="n"/>
      <x:c r="K318" s="139" t="n"/>
      <x:c r="L318" s="139" t="n"/>
    </x:row>
    <x:row r="319">
      <x:c r="A319" s="139" t="n"/>
      <x:c r="B319" s="139" t="n"/>
      <x:c r="C319" s="139" t="n"/>
      <x:c r="D319" s="139" t="n"/>
      <x:c r="E319" s="139" t="n"/>
      <x:c r="F319" s="139" t="n"/>
      <x:c r="G319" s="139" t="n"/>
      <x:c r="H319" s="139" t="n"/>
      <x:c r="I319" s="139" t="n"/>
      <x:c r="J319" s="139" t="n"/>
      <x:c r="K319" s="139" t="n"/>
      <x:c r="L319" s="139" t="n"/>
    </x:row>
    <x:row r="320">
      <x:c r="A320" s="139" t="n"/>
      <x:c r="B320" s="139" t="n"/>
      <x:c r="C320" s="139" t="n"/>
      <x:c r="D320" s="139" t="n"/>
      <x:c r="E320" s="139" t="n"/>
      <x:c r="F320" s="139" t="n"/>
      <x:c r="G320" s="139" t="n"/>
      <x:c r="H320" s="139" t="n"/>
      <x:c r="I320" s="139" t="n"/>
      <x:c r="J320" s="139" t="n"/>
      <x:c r="K320" s="139" t="n"/>
      <x:c r="L320" s="139" t="n"/>
    </x:row>
    <x:row r="321">
      <x:c r="A321" s="139" t="n"/>
      <x:c r="B321" s="139" t="n"/>
      <x:c r="C321" s="139" t="n"/>
      <x:c r="D321" s="139" t="n"/>
      <x:c r="E321" s="139" t="n"/>
      <x:c r="F321" s="139" t="n"/>
      <x:c r="G321" s="139" t="n"/>
      <x:c r="H321" s="139" t="n"/>
      <x:c r="I321" s="139" t="n"/>
      <x:c r="J321" s="139" t="n"/>
      <x:c r="K321" s="139" t="n"/>
      <x:c r="L321" s="139" t="n"/>
    </x:row>
    <x:row r="322">
      <x:c r="A322" s="139" t="n"/>
      <x:c r="B322" s="139" t="n"/>
      <x:c r="C322" s="139" t="n"/>
      <x:c r="D322" s="139" t="n"/>
      <x:c r="E322" s="139" t="n"/>
      <x:c r="F322" s="139" t="n"/>
      <x:c r="G322" s="139" t="n"/>
      <x:c r="H322" s="139" t="n"/>
      <x:c r="I322" s="139" t="n"/>
      <x:c r="J322" s="139" t="n"/>
      <x:c r="K322" s="139" t="n"/>
      <x:c r="L322" s="139" t="n"/>
    </x:row>
    <x:row r="323">
      <x:c r="A323" s="139" t="n"/>
      <x:c r="B323" s="139" t="n"/>
      <x:c r="C323" s="139" t="n"/>
      <x:c r="D323" s="139" t="n"/>
      <x:c r="E323" s="139" t="n"/>
      <x:c r="F323" s="139" t="n"/>
      <x:c r="G323" s="139" t="n"/>
      <x:c r="H323" s="139" t="n"/>
      <x:c r="I323" s="139" t="n"/>
      <x:c r="J323" s="139" t="n"/>
      <x:c r="K323" s="139" t="n"/>
      <x:c r="L323" s="139" t="n"/>
    </x:row>
    <x:row r="324">
      <x:c r="A324" s="139" t="n"/>
      <x:c r="B324" s="139" t="n"/>
      <x:c r="C324" s="139" t="n"/>
      <x:c r="D324" s="139" t="n"/>
      <x:c r="E324" s="139" t="n"/>
      <x:c r="F324" s="139" t="n"/>
      <x:c r="G324" s="139" t="n"/>
      <x:c r="H324" s="139" t="n"/>
      <x:c r="I324" s="139" t="n"/>
      <x:c r="J324" s="139" t="n"/>
      <x:c r="K324" s="139" t="n"/>
      <x:c r="L324" s="139" t="n"/>
    </x:row>
    <x:row r="325">
      <x:c r="A325" s="139" t="n"/>
      <x:c r="B325" s="139" t="n"/>
      <x:c r="C325" s="139" t="n"/>
      <x:c r="D325" s="139" t="n"/>
      <x:c r="E325" s="139" t="n"/>
      <x:c r="F325" s="139" t="n"/>
      <x:c r="G325" s="139" t="n"/>
      <x:c r="H325" s="139" t="n"/>
      <x:c r="I325" s="139" t="n"/>
      <x:c r="J325" s="139" t="n"/>
      <x:c r="K325" s="139" t="n"/>
      <x:c r="L325" s="139" t="n"/>
    </x:row>
    <x:row r="326">
      <x:c r="A326" s="139" t="n"/>
      <x:c r="B326" s="139" t="n"/>
      <x:c r="C326" s="139" t="n"/>
      <x:c r="D326" s="139" t="n"/>
      <x:c r="E326" s="139" t="n"/>
      <x:c r="F326" s="139" t="n"/>
      <x:c r="G326" s="139" t="n"/>
      <x:c r="H326" s="139" t="n"/>
      <x:c r="I326" s="139" t="n"/>
      <x:c r="J326" s="139" t="n"/>
      <x:c r="K326" s="139" t="n"/>
      <x:c r="L326" s="139" t="n"/>
    </x:row>
    <x:row r="327">
      <x:c r="A327" s="139" t="n"/>
      <x:c r="B327" s="139" t="n"/>
      <x:c r="C327" s="139" t="n"/>
      <x:c r="D327" s="139" t="n"/>
      <x:c r="E327" s="139" t="n"/>
      <x:c r="F327" s="139" t="n"/>
      <x:c r="G327" s="139" t="n"/>
      <x:c r="H327" s="139" t="n"/>
      <x:c r="I327" s="139" t="n"/>
      <x:c r="J327" s="139" t="n"/>
      <x:c r="K327" s="139" t="n"/>
      <x:c r="L327" s="139" t="n"/>
    </x:row>
    <x:row r="328">
      <x:c r="A328" s="139" t="n"/>
      <x:c r="B328" s="139" t="n"/>
      <x:c r="C328" s="139" t="n"/>
      <x:c r="D328" s="139" t="n"/>
      <x:c r="E328" s="139" t="n"/>
      <x:c r="F328" s="139" t="n"/>
      <x:c r="G328" s="139" t="n"/>
      <x:c r="H328" s="139" t="n"/>
      <x:c r="I328" s="139" t="n"/>
      <x:c r="J328" s="139" t="n"/>
      <x:c r="K328" s="139" t="n"/>
      <x:c r="L328" s="139" t="n"/>
    </x:row>
    <x:row r="329">
      <x:c r="A329" s="139" t="n"/>
      <x:c r="B329" s="139" t="n"/>
      <x:c r="C329" s="139" t="n"/>
      <x:c r="D329" s="139" t="n"/>
      <x:c r="E329" s="139" t="n"/>
      <x:c r="F329" s="139" t="n"/>
      <x:c r="G329" s="139" t="n"/>
      <x:c r="H329" s="139" t="n"/>
      <x:c r="I329" s="139" t="n"/>
      <x:c r="J329" s="139" t="n"/>
      <x:c r="K329" s="139" t="n"/>
      <x:c r="L329" s="139" t="n"/>
    </x:row>
    <x:row r="330">
      <x:c r="A330" s="139" t="n"/>
      <x:c r="B330" s="139" t="n"/>
      <x:c r="C330" s="139" t="n"/>
      <x:c r="D330" s="139" t="n"/>
      <x:c r="E330" s="139" t="n"/>
      <x:c r="F330" s="139" t="n"/>
      <x:c r="G330" s="139" t="n"/>
      <x:c r="H330" s="139" t="n"/>
      <x:c r="I330" s="139" t="n"/>
      <x:c r="J330" s="139" t="n"/>
      <x:c r="K330" s="139" t="n"/>
      <x:c r="L330" s="139" t="n"/>
    </x:row>
    <x:row r="331">
      <x:c r="A331" s="139" t="n"/>
      <x:c r="B331" s="139" t="n"/>
      <x:c r="C331" s="139" t="n"/>
      <x:c r="D331" s="139" t="n"/>
      <x:c r="E331" s="139" t="n"/>
      <x:c r="F331" s="139" t="n"/>
      <x:c r="G331" s="139" t="n"/>
      <x:c r="H331" s="139" t="n"/>
      <x:c r="I331" s="139" t="n"/>
      <x:c r="J331" s="139" t="n"/>
      <x:c r="K331" s="139" t="n"/>
      <x:c r="L331" s="139" t="n"/>
    </x:row>
    <x:row r="332">
      <x:c r="A332" s="139" t="n"/>
      <x:c r="B332" s="139" t="n"/>
      <x:c r="C332" s="139" t="n"/>
      <x:c r="D332" s="139" t="n"/>
      <x:c r="E332" s="139" t="n"/>
      <x:c r="F332" s="139" t="n"/>
      <x:c r="G332" s="139" t="n"/>
      <x:c r="H332" s="139" t="n"/>
      <x:c r="I332" s="139" t="n"/>
      <x:c r="J332" s="139" t="n"/>
      <x:c r="K332" s="139" t="n"/>
      <x:c r="L332" s="139" t="n"/>
    </x:row>
    <x:row r="333">
      <x:c r="A333" s="139" t="n"/>
      <x:c r="B333" s="139" t="n"/>
      <x:c r="C333" s="139" t="n"/>
      <x:c r="D333" s="139" t="n"/>
      <x:c r="E333" s="139" t="n"/>
      <x:c r="F333" s="139" t="n"/>
      <x:c r="G333" s="139" t="n"/>
      <x:c r="H333" s="139" t="n"/>
      <x:c r="I333" s="139" t="n"/>
      <x:c r="J333" s="139" t="n"/>
      <x:c r="K333" s="139" t="n"/>
      <x:c r="L333" s="139" t="n"/>
    </x:row>
    <x:row r="334">
      <x:c r="A334" s="139" t="n"/>
      <x:c r="B334" s="139" t="n"/>
      <x:c r="C334" s="139" t="n"/>
      <x:c r="D334" s="139" t="n"/>
      <x:c r="E334" s="139" t="n"/>
      <x:c r="F334" s="139" t="n"/>
      <x:c r="G334" s="139" t="n"/>
      <x:c r="H334" s="139" t="n"/>
      <x:c r="I334" s="139" t="n"/>
      <x:c r="J334" s="139" t="n"/>
      <x:c r="K334" s="139" t="n"/>
      <x:c r="L334" s="139" t="n"/>
    </x:row>
    <x:row r="335">
      <x:c r="A335" s="139" t="n"/>
      <x:c r="B335" s="139" t="n"/>
      <x:c r="C335" s="139" t="n"/>
      <x:c r="D335" s="139" t="n"/>
      <x:c r="E335" s="139" t="n"/>
      <x:c r="F335" s="139" t="n"/>
      <x:c r="G335" s="139" t="n"/>
      <x:c r="H335" s="139" t="n"/>
      <x:c r="I335" s="139" t="n"/>
      <x:c r="J335" s="139" t="n"/>
      <x:c r="K335" s="139" t="n"/>
      <x:c r="L335" s="139" t="n"/>
    </x:row>
    <x:row r="336">
      <x:c r="A336" s="139" t="n"/>
      <x:c r="B336" s="139" t="n"/>
      <x:c r="C336" s="139" t="n"/>
      <x:c r="D336" s="139" t="n"/>
      <x:c r="E336" s="139" t="n"/>
      <x:c r="F336" s="139" t="n"/>
      <x:c r="G336" s="139" t="n"/>
      <x:c r="H336" s="139" t="n"/>
      <x:c r="I336" s="139" t="n"/>
      <x:c r="J336" s="139" t="n"/>
      <x:c r="K336" s="139" t="n"/>
      <x:c r="L336" s="139" t="n"/>
    </x:row>
    <x:row r="337">
      <x:c r="A337" s="139" t="n"/>
      <x:c r="B337" s="139" t="n"/>
      <x:c r="C337" s="139" t="n"/>
      <x:c r="D337" s="139" t="n"/>
      <x:c r="E337" s="139" t="n"/>
      <x:c r="F337" s="139" t="n"/>
      <x:c r="G337" s="139" t="n"/>
      <x:c r="H337" s="139" t="n"/>
      <x:c r="I337" s="139" t="n"/>
      <x:c r="J337" s="139" t="n"/>
      <x:c r="K337" s="139" t="n"/>
      <x:c r="L337" s="139" t="n"/>
    </x:row>
    <x:row r="338">
      <x:c r="A338" s="139" t="n"/>
      <x:c r="B338" s="139" t="n"/>
      <x:c r="C338" s="139" t="n"/>
      <x:c r="D338" s="139" t="n"/>
      <x:c r="E338" s="139" t="n"/>
      <x:c r="F338" s="139" t="n"/>
      <x:c r="G338" s="139" t="n"/>
      <x:c r="H338" s="139" t="n"/>
      <x:c r="I338" s="139" t="n"/>
      <x:c r="J338" s="139" t="n"/>
      <x:c r="K338" s="139" t="n"/>
      <x:c r="L338" s="139" t="n"/>
    </x:row>
    <x:row r="339">
      <x:c r="A339" s="139" t="n"/>
      <x:c r="B339" s="139" t="n"/>
      <x:c r="C339" s="139" t="n"/>
      <x:c r="D339" s="139" t="n"/>
      <x:c r="E339" s="139" t="n"/>
      <x:c r="F339" s="139" t="n"/>
      <x:c r="G339" s="139" t="n"/>
      <x:c r="H339" s="139" t="n"/>
      <x:c r="I339" s="139" t="n"/>
      <x:c r="J339" s="139" t="n"/>
      <x:c r="K339" s="139" t="n"/>
      <x:c r="L339" s="139" t="n"/>
    </x:row>
    <x:row r="340">
      <x:c r="A340" s="139" t="n"/>
      <x:c r="B340" s="139" t="n"/>
      <x:c r="C340" s="139" t="n"/>
      <x:c r="D340" s="139" t="n"/>
      <x:c r="E340" s="139" t="n"/>
      <x:c r="F340" s="139" t="n"/>
      <x:c r="G340" s="139" t="n"/>
      <x:c r="H340" s="139" t="n"/>
      <x:c r="I340" s="139" t="n"/>
      <x:c r="J340" s="139" t="n"/>
      <x:c r="K340" s="139" t="n"/>
      <x:c r="L340" s="139" t="n"/>
    </x:row>
    <x:row r="341">
      <x:c r="A341" s="139" t="n"/>
      <x:c r="B341" s="139" t="n"/>
      <x:c r="C341" s="139" t="n"/>
      <x:c r="D341" s="139" t="n"/>
      <x:c r="E341" s="139" t="n"/>
      <x:c r="F341" s="139" t="n"/>
      <x:c r="G341" s="139" t="n"/>
      <x:c r="H341" s="139" t="n"/>
      <x:c r="I341" s="139" t="n"/>
      <x:c r="J341" s="139" t="n"/>
      <x:c r="K341" s="139" t="n"/>
      <x:c r="L341" s="139" t="n"/>
    </x:row>
    <x:row r="342">
      <x:c r="A342" s="139" t="n"/>
      <x:c r="B342" s="139" t="n"/>
      <x:c r="C342" s="139" t="n"/>
      <x:c r="D342" s="139" t="n"/>
      <x:c r="E342" s="139" t="n"/>
      <x:c r="F342" s="139" t="n"/>
      <x:c r="G342" s="139" t="n"/>
      <x:c r="H342" s="139" t="n"/>
      <x:c r="I342" s="139" t="n"/>
      <x:c r="J342" s="139" t="n"/>
      <x:c r="K342" s="139" t="n"/>
      <x:c r="L342" s="139" t="n"/>
    </x:row>
    <x:row r="343">
      <x:c r="A343" s="139" t="n"/>
      <x:c r="B343" s="139" t="n"/>
      <x:c r="C343" s="139" t="n"/>
      <x:c r="D343" s="139" t="n"/>
      <x:c r="E343" s="139" t="n"/>
      <x:c r="F343" s="139" t="n"/>
      <x:c r="G343" s="139" t="n"/>
      <x:c r="H343" s="139" t="n"/>
      <x:c r="I343" s="139" t="n"/>
      <x:c r="J343" s="139" t="n"/>
      <x:c r="K343" s="139" t="n"/>
      <x:c r="L343" s="139" t="n"/>
    </x:row>
    <x:row r="344">
      <x:c r="A344" s="139" t="n"/>
      <x:c r="B344" s="139" t="n"/>
      <x:c r="C344" s="139" t="n"/>
      <x:c r="D344" s="139" t="n"/>
      <x:c r="E344" s="139" t="n"/>
      <x:c r="F344" s="139" t="n"/>
      <x:c r="G344" s="139" t="n"/>
      <x:c r="H344" s="139" t="n"/>
      <x:c r="I344" s="139" t="n"/>
      <x:c r="J344" s="139" t="n"/>
      <x:c r="K344" s="139" t="n"/>
      <x:c r="L344" s="139" t="n"/>
    </x:row>
    <x:row r="345">
      <x:c r="A345" s="139" t="n"/>
      <x:c r="B345" s="139" t="n"/>
      <x:c r="C345" s="139" t="n"/>
      <x:c r="D345" s="139" t="n"/>
      <x:c r="E345" s="139" t="n"/>
      <x:c r="F345" s="139" t="n"/>
      <x:c r="G345" s="139" t="n"/>
      <x:c r="H345" s="139" t="n"/>
      <x:c r="I345" s="139" t="n"/>
      <x:c r="J345" s="139" t="n"/>
      <x:c r="K345" s="139" t="n"/>
      <x:c r="L345" s="139" t="n"/>
    </x:row>
    <x:row r="346">
      <x:c r="A346" s="139" t="n"/>
      <x:c r="B346" s="139" t="n"/>
      <x:c r="C346" s="139" t="n"/>
      <x:c r="D346" s="139" t="n"/>
      <x:c r="E346" s="139" t="n"/>
      <x:c r="F346" s="139" t="n"/>
      <x:c r="G346" s="139" t="n"/>
      <x:c r="H346" s="139" t="n"/>
      <x:c r="I346" s="139" t="n"/>
      <x:c r="J346" s="139" t="n"/>
      <x:c r="K346" s="139" t="n"/>
      <x:c r="L346" s="139" t="n"/>
    </x:row>
    <x:row r="347">
      <x:c r="A347" s="139" t="n"/>
      <x:c r="B347" s="139" t="n"/>
      <x:c r="C347" s="139" t="n"/>
      <x:c r="D347" s="139" t="n"/>
      <x:c r="E347" s="139" t="n"/>
      <x:c r="F347" s="139" t="n"/>
      <x:c r="G347" s="139" t="n"/>
      <x:c r="H347" s="139" t="n"/>
      <x:c r="I347" s="139" t="n"/>
      <x:c r="J347" s="139" t="n"/>
      <x:c r="K347" s="139" t="n"/>
      <x:c r="L347" s="139" t="n"/>
    </x:row>
    <x:row r="348">
      <x:c r="A348" s="139" t="n"/>
      <x:c r="B348" s="139" t="n"/>
      <x:c r="C348" s="139" t="n"/>
      <x:c r="D348" s="139" t="n"/>
      <x:c r="E348" s="139" t="n"/>
      <x:c r="F348" s="139" t="n"/>
      <x:c r="G348" s="139" t="n"/>
      <x:c r="H348" s="139" t="n"/>
      <x:c r="I348" s="139" t="n"/>
      <x:c r="J348" s="139" t="n"/>
      <x:c r="K348" s="139" t="n"/>
      <x:c r="L348" s="139" t="n"/>
    </x:row>
    <x:row r="349">
      <x:c r="A349" s="139" t="n"/>
      <x:c r="B349" s="139" t="n"/>
      <x:c r="C349" s="139" t="n"/>
      <x:c r="D349" s="139" t="n"/>
      <x:c r="E349" s="139" t="n"/>
      <x:c r="F349" s="139" t="n"/>
      <x:c r="G349" s="139" t="n"/>
      <x:c r="H349" s="139" t="n"/>
      <x:c r="I349" s="139" t="n"/>
      <x:c r="J349" s="139" t="n"/>
      <x:c r="K349" s="139" t="n"/>
      <x:c r="L349" s="139" t="n"/>
    </x:row>
    <x:row r="350">
      <x:c r="A350" s="139" t="n"/>
      <x:c r="B350" s="139" t="n"/>
      <x:c r="C350" s="139" t="n"/>
      <x:c r="D350" s="139" t="n"/>
      <x:c r="E350" s="139" t="n"/>
      <x:c r="F350" s="139" t="n"/>
      <x:c r="G350" s="139" t="n"/>
      <x:c r="H350" s="139" t="n"/>
      <x:c r="I350" s="139" t="n"/>
      <x:c r="J350" s="139" t="n"/>
      <x:c r="K350" s="139" t="n"/>
      <x:c r="L350" s="139" t="n"/>
    </x:row>
    <x:row r="351">
      <x:c r="A351" s="139" t="n"/>
      <x:c r="B351" s="139" t="n"/>
      <x:c r="C351" s="139" t="n"/>
      <x:c r="D351" s="139" t="n"/>
      <x:c r="E351" s="139" t="n"/>
      <x:c r="F351" s="139" t="n"/>
      <x:c r="G351" s="139" t="n"/>
      <x:c r="H351" s="139" t="n"/>
      <x:c r="I351" s="139" t="n"/>
      <x:c r="J351" s="139" t="n"/>
      <x:c r="K351" s="139" t="n"/>
      <x:c r="L351" s="139" t="n"/>
    </x:row>
    <x:row r="352">
      <x:c r="A352" s="139" t="n"/>
      <x:c r="B352" s="139" t="n"/>
      <x:c r="C352" s="139" t="n"/>
      <x:c r="D352" s="139" t="n"/>
      <x:c r="E352" s="139" t="n"/>
      <x:c r="F352" s="139" t="n"/>
      <x:c r="G352" s="139" t="n"/>
      <x:c r="H352" s="139" t="n"/>
      <x:c r="I352" s="139" t="n"/>
      <x:c r="J352" s="139" t="n"/>
      <x:c r="K352" s="139" t="n"/>
      <x:c r="L352" s="139" t="n"/>
    </x:row>
    <x:row r="353">
      <x:c r="A353" s="139" t="n"/>
      <x:c r="B353" s="139" t="n"/>
      <x:c r="C353" s="139" t="n"/>
      <x:c r="D353" s="139" t="n"/>
      <x:c r="E353" s="139" t="n"/>
      <x:c r="F353" s="139" t="n"/>
      <x:c r="G353" s="139" t="n"/>
      <x:c r="H353" s="139" t="n"/>
      <x:c r="I353" s="139" t="n"/>
      <x:c r="J353" s="139" t="n"/>
      <x:c r="K353" s="139" t="n"/>
      <x:c r="L353" s="139" t="n"/>
    </x:row>
    <x:row r="354">
      <x:c r="A354" s="139" t="n"/>
      <x:c r="B354" s="139" t="n"/>
      <x:c r="C354" s="139" t="n"/>
      <x:c r="D354" s="139" t="n"/>
      <x:c r="E354" s="139" t="n"/>
      <x:c r="F354" s="139" t="n"/>
      <x:c r="G354" s="139" t="n"/>
      <x:c r="H354" s="139" t="n"/>
      <x:c r="I354" s="139" t="n"/>
      <x:c r="J354" s="139" t="n"/>
      <x:c r="K354" s="139" t="n"/>
      <x:c r="L354" s="139" t="n"/>
    </x:row>
    <x:row r="355">
      <x:c r="A355" s="139" t="n"/>
      <x:c r="B355" s="139" t="n"/>
      <x:c r="C355" s="139" t="n"/>
      <x:c r="D355" s="139" t="n"/>
      <x:c r="E355" s="139" t="n"/>
      <x:c r="F355" s="139" t="n"/>
      <x:c r="G355" s="139" t="n"/>
      <x:c r="H355" s="139" t="n"/>
      <x:c r="I355" s="139" t="n"/>
      <x:c r="J355" s="139" t="n"/>
      <x:c r="K355" s="139" t="n"/>
      <x:c r="L355" s="139" t="n"/>
    </x:row>
    <x:row r="356">
      <x:c r="A356" s="139" t="n"/>
      <x:c r="B356" s="139" t="n"/>
      <x:c r="C356" s="139" t="n"/>
      <x:c r="D356" s="139" t="n"/>
      <x:c r="E356" s="139" t="n"/>
      <x:c r="F356" s="139" t="n"/>
      <x:c r="G356" s="139" t="n"/>
      <x:c r="H356" s="139" t="n"/>
      <x:c r="I356" s="139" t="n"/>
      <x:c r="J356" s="139" t="n"/>
      <x:c r="K356" s="139" t="n"/>
      <x:c r="L356" s="139" t="n"/>
    </x:row>
    <x:row r="357">
      <x:c r="A357" s="139" t="n"/>
      <x:c r="B357" s="139" t="n"/>
      <x:c r="C357" s="139" t="n"/>
      <x:c r="D357" s="139" t="n"/>
      <x:c r="E357" s="139" t="n"/>
      <x:c r="F357" s="139" t="n"/>
      <x:c r="G357" s="139" t="n"/>
      <x:c r="H357" s="139" t="n"/>
      <x:c r="I357" s="139" t="n"/>
      <x:c r="J357" s="139" t="n"/>
      <x:c r="K357" s="139" t="n"/>
      <x:c r="L357" s="139" t="n"/>
    </x:row>
    <x:row r="358">
      <x:c r="A358" s="139" t="n"/>
      <x:c r="B358" s="139" t="n"/>
      <x:c r="C358" s="139" t="n"/>
      <x:c r="D358" s="139" t="n"/>
      <x:c r="E358" s="139" t="n"/>
      <x:c r="F358" s="139" t="n"/>
      <x:c r="G358" s="139" t="n"/>
      <x:c r="H358" s="139" t="n"/>
      <x:c r="I358" s="139" t="n"/>
      <x:c r="J358" s="139" t="n"/>
      <x:c r="K358" s="139" t="n"/>
      <x:c r="L358" s="139" t="n"/>
    </x:row>
    <x:row r="359">
      <x:c r="A359" s="139" t="n"/>
      <x:c r="B359" s="139" t="n"/>
      <x:c r="C359" s="139" t="n"/>
      <x:c r="D359" s="139" t="n"/>
      <x:c r="E359" s="139" t="n"/>
      <x:c r="F359" s="139" t="n"/>
      <x:c r="G359" s="139" t="n"/>
      <x:c r="H359" s="139" t="n"/>
      <x:c r="I359" s="139" t="n"/>
      <x:c r="J359" s="139" t="n"/>
      <x:c r="K359" s="139" t="n"/>
      <x:c r="L359" s="139" t="n"/>
    </x:row>
    <x:row r="360">
      <x:c r="A360" s="139" t="n"/>
      <x:c r="B360" s="139" t="n"/>
      <x:c r="C360" s="139" t="n"/>
      <x:c r="D360" s="139" t="n"/>
      <x:c r="E360" s="139" t="n"/>
      <x:c r="F360" s="139" t="n"/>
      <x:c r="G360" s="139" t="n"/>
      <x:c r="H360" s="139" t="n"/>
      <x:c r="I360" s="139" t="n"/>
      <x:c r="J360" s="139" t="n"/>
      <x:c r="K360" s="139" t="n"/>
      <x:c r="L360" s="139" t="n"/>
    </x:row>
    <x:row r="361">
      <x:c r="A361" s="139" t="n"/>
      <x:c r="B361" s="139" t="n"/>
      <x:c r="C361" s="139" t="n"/>
      <x:c r="D361" s="139" t="n"/>
      <x:c r="E361" s="139" t="n"/>
      <x:c r="F361" s="139" t="n"/>
      <x:c r="G361" s="139" t="n"/>
      <x:c r="H361" s="139" t="n"/>
      <x:c r="I361" s="139" t="n"/>
      <x:c r="J361" s="139" t="n"/>
      <x:c r="K361" s="139" t="n"/>
      <x:c r="L361" s="139" t="n"/>
    </x:row>
    <x:row r="362">
      <x:c r="A362" s="139" t="n"/>
      <x:c r="B362" s="139" t="n"/>
      <x:c r="C362" s="139" t="n"/>
      <x:c r="D362" s="139" t="n"/>
      <x:c r="E362" s="139" t="n"/>
      <x:c r="F362" s="139" t="n"/>
      <x:c r="G362" s="139" t="n"/>
      <x:c r="H362" s="139" t="n"/>
      <x:c r="I362" s="139" t="n"/>
      <x:c r="J362" s="139" t="n"/>
      <x:c r="K362" s="139" t="n"/>
      <x:c r="L362" s="139" t="n"/>
    </x:row>
    <x:row r="363">
      <x:c r="A363" s="139" t="n"/>
      <x:c r="B363" s="139" t="n"/>
      <x:c r="C363" s="139" t="n"/>
      <x:c r="D363" s="139" t="n"/>
      <x:c r="E363" s="139" t="n"/>
      <x:c r="F363" s="139" t="n"/>
      <x:c r="G363" s="139" t="n"/>
      <x:c r="H363" s="139" t="n"/>
      <x:c r="I363" s="139" t="n"/>
      <x:c r="J363" s="139" t="n"/>
      <x:c r="K363" s="139" t="n"/>
      <x:c r="L363" s="139" t="n"/>
    </x:row>
    <x:row r="364">
      <x:c r="A364" s="139" t="n"/>
      <x:c r="B364" s="139" t="n"/>
      <x:c r="C364" s="139" t="n"/>
      <x:c r="D364" s="139" t="n"/>
      <x:c r="E364" s="139" t="n"/>
      <x:c r="F364" s="139" t="n"/>
      <x:c r="G364" s="139" t="n"/>
      <x:c r="H364" s="139" t="n"/>
      <x:c r="I364" s="139" t="n"/>
      <x:c r="J364" s="139" t="n"/>
      <x:c r="K364" s="139" t="n"/>
      <x:c r="L364" s="139" t="n"/>
    </x:row>
    <x:row r="365">
      <x:c r="A365" s="139" t="n"/>
      <x:c r="B365" s="139" t="n"/>
      <x:c r="C365" s="139" t="n"/>
      <x:c r="D365" s="139" t="n"/>
      <x:c r="E365" s="139" t="n"/>
      <x:c r="F365" s="139" t="n"/>
      <x:c r="G365" s="139" t="n"/>
      <x:c r="H365" s="139" t="n"/>
      <x:c r="I365" s="139" t="n"/>
      <x:c r="J365" s="139" t="n"/>
      <x:c r="K365" s="139" t="n"/>
      <x:c r="L365" s="139" t="n"/>
    </x:row>
    <x:row r="366">
      <x:c r="A366" s="139" t="n"/>
      <x:c r="B366" s="139" t="n"/>
      <x:c r="C366" s="139" t="n"/>
      <x:c r="D366" s="139" t="n"/>
      <x:c r="E366" s="139" t="n"/>
      <x:c r="F366" s="139" t="n"/>
      <x:c r="G366" s="139" t="n"/>
      <x:c r="H366" s="139" t="n"/>
      <x:c r="I366" s="139" t="n"/>
      <x:c r="J366" s="139" t="n"/>
      <x:c r="K366" s="139" t="n"/>
      <x:c r="L366" s="139" t="n"/>
    </x:row>
    <x:row r="367">
      <x:c r="A367" s="139" t="n"/>
      <x:c r="B367" s="139" t="n"/>
      <x:c r="C367" s="139" t="n"/>
      <x:c r="D367" s="139" t="n"/>
      <x:c r="E367" s="139" t="n"/>
      <x:c r="F367" s="139" t="n"/>
      <x:c r="G367" s="139" t="n"/>
      <x:c r="H367" s="139" t="n"/>
      <x:c r="I367" s="139" t="n"/>
      <x:c r="J367" s="139" t="n"/>
      <x:c r="K367" s="139" t="n"/>
      <x:c r="L367" s="139" t="n"/>
    </x:row>
    <x:row r="368">
      <x:c r="A368" s="139" t="n"/>
      <x:c r="B368" s="139" t="n"/>
      <x:c r="C368" s="139" t="n"/>
      <x:c r="D368" s="139" t="n"/>
      <x:c r="E368" s="139" t="n"/>
      <x:c r="F368" s="139" t="n"/>
      <x:c r="G368" s="139" t="n"/>
      <x:c r="H368" s="139" t="n"/>
      <x:c r="I368" s="139" t="n"/>
      <x:c r="J368" s="139" t="n"/>
      <x:c r="K368" s="139" t="n"/>
      <x:c r="L368" s="139" t="n"/>
    </x:row>
    <x:row r="369">
      <x:c r="A369" s="139" t="n"/>
      <x:c r="B369" s="139" t="n"/>
      <x:c r="C369" s="139" t="n"/>
      <x:c r="D369" s="139" t="n"/>
      <x:c r="E369" s="139" t="n"/>
      <x:c r="F369" s="139" t="n"/>
      <x:c r="G369" s="139" t="n"/>
      <x:c r="H369" s="139" t="n"/>
      <x:c r="I369" s="139" t="n"/>
      <x:c r="J369" s="139" t="n"/>
      <x:c r="K369" s="139" t="n"/>
      <x:c r="L369" s="139" t="n"/>
    </x:row>
    <x:row r="370">
      <x:c r="A370" s="139" t="n"/>
      <x:c r="B370" s="139" t="n"/>
      <x:c r="C370" s="139" t="n"/>
      <x:c r="D370" s="139" t="n"/>
      <x:c r="E370" s="139" t="n"/>
      <x:c r="F370" s="139" t="n"/>
      <x:c r="G370" s="139" t="n"/>
      <x:c r="H370" s="139" t="n"/>
      <x:c r="I370" s="139" t="n"/>
      <x:c r="J370" s="139" t="n"/>
      <x:c r="K370" s="139" t="n"/>
      <x:c r="L370" s="139" t="n"/>
    </x:row>
    <x:row r="371">
      <x:c r="A371" s="139" t="n"/>
      <x:c r="B371" s="139" t="n"/>
      <x:c r="C371" s="139" t="n"/>
      <x:c r="D371" s="139" t="n"/>
      <x:c r="E371" s="139" t="n"/>
      <x:c r="F371" s="139" t="n"/>
      <x:c r="G371" s="139" t="n"/>
      <x:c r="H371" s="139" t="n"/>
      <x:c r="I371" s="139" t="n"/>
      <x:c r="J371" s="139" t="n"/>
      <x:c r="K371" s="139" t="n"/>
      <x:c r="L371" s="139" t="n"/>
    </x:row>
    <x:row r="372">
      <x:c r="A372" s="139" t="n"/>
      <x:c r="B372" s="139" t="n"/>
      <x:c r="C372" s="139" t="n"/>
      <x:c r="D372" s="139" t="n"/>
      <x:c r="E372" s="139" t="n"/>
      <x:c r="F372" s="139" t="n"/>
      <x:c r="G372" s="139" t="n"/>
      <x:c r="H372" s="139" t="n"/>
      <x:c r="I372" s="139" t="n"/>
      <x:c r="J372" s="139" t="n"/>
      <x:c r="K372" s="139" t="n"/>
      <x:c r="L372" s="139" t="n"/>
    </x:row>
    <x:row r="373">
      <x:c r="A373" s="139" t="n"/>
      <x:c r="B373" s="139" t="n"/>
      <x:c r="C373" s="139" t="n"/>
      <x:c r="D373" s="139" t="n"/>
      <x:c r="E373" s="139" t="n"/>
      <x:c r="F373" s="139" t="n"/>
      <x:c r="G373" s="139" t="n"/>
      <x:c r="H373" s="139" t="n"/>
      <x:c r="I373" s="139" t="n"/>
      <x:c r="J373" s="139" t="n"/>
      <x:c r="K373" s="139" t="n"/>
      <x:c r="L373" s="139" t="n"/>
    </x:row>
    <x:row r="374">
      <x:c r="A374" s="139" t="n"/>
      <x:c r="B374" s="139" t="n"/>
      <x:c r="C374" s="139" t="n"/>
      <x:c r="D374" s="139" t="n"/>
      <x:c r="E374" s="139" t="n"/>
      <x:c r="F374" s="139" t="n"/>
      <x:c r="G374" s="139" t="n"/>
      <x:c r="H374" s="139" t="n"/>
      <x:c r="I374" s="139" t="n"/>
      <x:c r="J374" s="139" t="n"/>
      <x:c r="K374" s="139" t="n"/>
      <x:c r="L374" s="139" t="n"/>
    </x:row>
    <x:row r="375">
      <x:c r="A375" s="139" t="n"/>
      <x:c r="B375" s="139" t="n"/>
      <x:c r="C375" s="139" t="n"/>
      <x:c r="D375" s="139" t="n"/>
      <x:c r="E375" s="139" t="n"/>
      <x:c r="F375" s="139" t="n"/>
      <x:c r="G375" s="139" t="n"/>
      <x:c r="H375" s="139" t="n"/>
      <x:c r="I375" s="139" t="n"/>
      <x:c r="J375" s="139" t="n"/>
      <x:c r="K375" s="139" t="n"/>
      <x:c r="L375" s="139" t="n"/>
    </x:row>
    <x:row r="376">
      <x:c r="A376" s="139" t="n"/>
      <x:c r="B376" s="139" t="n"/>
      <x:c r="C376" s="139" t="n"/>
      <x:c r="D376" s="139" t="n"/>
      <x:c r="E376" s="139" t="n"/>
      <x:c r="F376" s="139" t="n"/>
      <x:c r="G376" s="139" t="n"/>
      <x:c r="H376" s="139" t="n"/>
      <x:c r="I376" s="139" t="n"/>
      <x:c r="J376" s="139" t="n"/>
      <x:c r="K376" s="139" t="n"/>
      <x:c r="L376" s="139" t="n"/>
    </x:row>
    <x:row r="377">
      <x:c r="A377" s="139" t="n"/>
      <x:c r="B377" s="139" t="n"/>
      <x:c r="C377" s="139" t="n"/>
      <x:c r="D377" s="139" t="n"/>
      <x:c r="E377" s="139" t="n"/>
      <x:c r="F377" s="139" t="n"/>
      <x:c r="G377" s="139" t="n"/>
      <x:c r="H377" s="139" t="n"/>
      <x:c r="I377" s="139" t="n"/>
      <x:c r="J377" s="139" t="n"/>
      <x:c r="K377" s="139" t="n"/>
      <x:c r="L377" s="139" t="n"/>
    </x:row>
    <x:row r="378">
      <x:c r="A378" s="139" t="n"/>
      <x:c r="B378" s="139" t="n"/>
      <x:c r="C378" s="139" t="n"/>
      <x:c r="D378" s="139" t="n"/>
      <x:c r="E378" s="139" t="n"/>
      <x:c r="F378" s="139" t="n"/>
      <x:c r="G378" s="139" t="n"/>
      <x:c r="H378" s="139" t="n"/>
      <x:c r="I378" s="139" t="n"/>
      <x:c r="J378" s="139" t="n"/>
      <x:c r="K378" s="139" t="n"/>
      <x:c r="L378" s="139" t="n"/>
    </x:row>
    <x:row r="379">
      <x:c r="A379" s="139" t="n"/>
      <x:c r="B379" s="139" t="n"/>
      <x:c r="C379" s="139" t="n"/>
      <x:c r="D379" s="139" t="n"/>
      <x:c r="E379" s="139" t="n"/>
      <x:c r="F379" s="139" t="n"/>
      <x:c r="G379" s="139" t="n"/>
      <x:c r="H379" s="139" t="n"/>
      <x:c r="I379" s="139" t="n"/>
      <x:c r="J379" s="139" t="n"/>
      <x:c r="K379" s="139" t="n"/>
      <x:c r="L379" s="139" t="n"/>
    </x:row>
    <x:row r="380">
      <x:c r="A380" s="139" t="n"/>
      <x:c r="B380" s="139" t="n"/>
      <x:c r="C380" s="139" t="n"/>
      <x:c r="D380" s="139" t="n"/>
      <x:c r="E380" s="139" t="n"/>
      <x:c r="F380" s="139" t="n"/>
      <x:c r="G380" s="139" t="n"/>
      <x:c r="H380" s="139" t="n"/>
      <x:c r="I380" s="139" t="n"/>
      <x:c r="J380" s="139" t="n"/>
      <x:c r="K380" s="139" t="n"/>
      <x:c r="L380" s="139" t="n"/>
    </x:row>
    <x:row r="381">
      <x:c r="A381" s="139" t="n"/>
      <x:c r="B381" s="139" t="n"/>
      <x:c r="C381" s="139" t="n"/>
      <x:c r="D381" s="139" t="n"/>
      <x:c r="E381" s="139" t="n"/>
      <x:c r="F381" s="139" t="n"/>
      <x:c r="G381" s="139" t="n"/>
      <x:c r="H381" s="139" t="n"/>
      <x:c r="I381" s="139" t="n"/>
      <x:c r="J381" s="139" t="n"/>
      <x:c r="K381" s="139" t="n"/>
      <x:c r="L381" s="139" t="n"/>
    </x:row>
    <x:row r="382">
      <x:c r="A382" s="139" t="n"/>
      <x:c r="B382" s="139" t="n"/>
      <x:c r="C382" s="139" t="n"/>
      <x:c r="D382" s="139" t="n"/>
      <x:c r="E382" s="139" t="n"/>
      <x:c r="F382" s="139" t="n"/>
      <x:c r="G382" s="139" t="n"/>
      <x:c r="H382" s="139" t="n"/>
      <x:c r="I382" s="139" t="n"/>
      <x:c r="J382" s="139" t="n"/>
      <x:c r="K382" s="139" t="n"/>
      <x:c r="L382" s="139" t="n"/>
    </x:row>
    <x:row r="383">
      <x:c r="A383" s="139" t="n"/>
      <x:c r="B383" s="139" t="n"/>
      <x:c r="C383" s="139" t="n"/>
      <x:c r="D383" s="139" t="n"/>
      <x:c r="E383" s="139" t="n"/>
      <x:c r="F383" s="139" t="n"/>
      <x:c r="G383" s="139" t="n"/>
      <x:c r="H383" s="139" t="n"/>
      <x:c r="I383" s="139" t="n"/>
      <x:c r="J383" s="139" t="n"/>
      <x:c r="K383" s="139" t="n"/>
      <x:c r="L383" s="139" t="n"/>
    </x:row>
    <x:row r="384">
      <x:c r="A384" s="139" t="n"/>
      <x:c r="B384" s="139" t="n"/>
      <x:c r="C384" s="139" t="n"/>
      <x:c r="D384" s="139" t="n"/>
      <x:c r="E384" s="139" t="n"/>
      <x:c r="F384" s="139" t="n"/>
      <x:c r="G384" s="139" t="n"/>
      <x:c r="H384" s="139" t="n"/>
      <x:c r="I384" s="139" t="n"/>
      <x:c r="J384" s="139" t="n"/>
      <x:c r="K384" s="139" t="n"/>
      <x:c r="L384" s="139" t="n"/>
    </x:row>
    <x:row r="385">
      <x:c r="A385" s="139" t="n"/>
      <x:c r="B385" s="139" t="n"/>
      <x:c r="C385" s="139" t="n"/>
      <x:c r="D385" s="139" t="n"/>
      <x:c r="E385" s="139" t="n"/>
      <x:c r="F385" s="139" t="n"/>
      <x:c r="G385" s="139" t="n"/>
      <x:c r="H385" s="139" t="n"/>
      <x:c r="I385" s="139" t="n"/>
      <x:c r="J385" s="139" t="n"/>
      <x:c r="K385" s="139" t="n"/>
      <x:c r="L385" s="139" t="n"/>
    </x:row>
    <x:row r="386">
      <x:c r="A386" s="139" t="n"/>
      <x:c r="B386" s="139" t="n"/>
      <x:c r="C386" s="139" t="n"/>
      <x:c r="D386" s="139" t="n"/>
      <x:c r="E386" s="139" t="n"/>
      <x:c r="F386" s="139" t="n"/>
      <x:c r="G386" s="139" t="n"/>
      <x:c r="H386" s="139" t="n"/>
      <x:c r="I386" s="139" t="n"/>
      <x:c r="J386" s="139" t="n"/>
      <x:c r="K386" s="139" t="n"/>
      <x:c r="L386" s="139" t="n"/>
    </x:row>
    <x:row r="387">
      <x:c r="A387" s="139" t="n"/>
      <x:c r="B387" s="139" t="n"/>
      <x:c r="C387" s="139" t="n"/>
      <x:c r="D387" s="139" t="n"/>
      <x:c r="E387" s="139" t="n"/>
      <x:c r="F387" s="139" t="n"/>
      <x:c r="G387" s="139" t="n"/>
      <x:c r="H387" s="139" t="n"/>
      <x:c r="I387" s="139" t="n"/>
      <x:c r="J387" s="139" t="n"/>
      <x:c r="K387" s="139" t="n"/>
      <x:c r="L387" s="139" t="n"/>
    </x:row>
    <x:row r="388">
      <x:c r="A388" s="139" t="n"/>
      <x:c r="B388" s="139" t="n"/>
      <x:c r="C388" s="139" t="n"/>
      <x:c r="D388" s="139" t="n"/>
      <x:c r="E388" s="139" t="n"/>
      <x:c r="F388" s="139" t="n"/>
      <x:c r="G388" s="139" t="n"/>
      <x:c r="H388" s="139" t="n"/>
      <x:c r="I388" s="139" t="n"/>
      <x:c r="J388" s="139" t="n"/>
      <x:c r="K388" s="139" t="n"/>
      <x:c r="L388" s="139" t="n"/>
    </x:row>
    <x:row r="389">
      <x:c r="A389" s="139" t="n"/>
      <x:c r="B389" s="139" t="n"/>
      <x:c r="C389" s="139" t="n"/>
      <x:c r="D389" s="139" t="n"/>
      <x:c r="E389" s="139" t="n"/>
      <x:c r="F389" s="139" t="n"/>
      <x:c r="G389" s="139" t="n"/>
      <x:c r="H389" s="139" t="n"/>
      <x:c r="I389" s="139" t="n"/>
      <x:c r="J389" s="139" t="n"/>
      <x:c r="K389" s="139" t="n"/>
      <x:c r="L389" s="139" t="n"/>
    </x:row>
    <x:row r="390">
      <x:c r="A390" s="139" t="n"/>
      <x:c r="B390" s="139" t="n"/>
      <x:c r="C390" s="139" t="n"/>
      <x:c r="D390" s="139" t="n"/>
      <x:c r="E390" s="139" t="n"/>
      <x:c r="F390" s="139" t="n"/>
      <x:c r="G390" s="139" t="n"/>
      <x:c r="H390" s="139" t="n"/>
      <x:c r="I390" s="139" t="n"/>
      <x:c r="J390" s="139" t="n"/>
      <x:c r="K390" s="139" t="n"/>
      <x:c r="L390" s="139" t="n"/>
    </x:row>
    <x:row r="391">
      <x:c r="A391" s="139" t="n"/>
      <x:c r="B391" s="139" t="n"/>
      <x:c r="C391" s="139" t="n"/>
      <x:c r="D391" s="139" t="n"/>
      <x:c r="E391" s="139" t="n"/>
      <x:c r="F391" s="139" t="n"/>
      <x:c r="G391" s="139" t="n"/>
      <x:c r="H391" s="139" t="n"/>
      <x:c r="I391" s="139" t="n"/>
      <x:c r="J391" s="139" t="n"/>
      <x:c r="K391" s="139" t="n"/>
      <x:c r="L391" s="139" t="n"/>
    </x:row>
    <x:row r="392">
      <x:c r="A392" s="139" t="n"/>
      <x:c r="B392" s="139" t="n"/>
      <x:c r="C392" s="139" t="n"/>
      <x:c r="D392" s="139" t="n"/>
      <x:c r="E392" s="139" t="n"/>
      <x:c r="F392" s="139" t="n"/>
      <x:c r="G392" s="139" t="n"/>
      <x:c r="H392" s="139" t="n"/>
      <x:c r="I392" s="139" t="n"/>
      <x:c r="J392" s="139" t="n"/>
      <x:c r="K392" s="139" t="n"/>
      <x:c r="L392" s="139" t="n"/>
    </x:row>
    <x:row r="393">
      <x:c r="A393" s="139" t="n"/>
      <x:c r="B393" s="139" t="n"/>
      <x:c r="C393" s="139" t="n"/>
      <x:c r="D393" s="139" t="n"/>
      <x:c r="E393" s="139" t="n"/>
      <x:c r="F393" s="139" t="n"/>
      <x:c r="G393" s="139" t="n"/>
      <x:c r="H393" s="139" t="n"/>
      <x:c r="I393" s="139" t="n"/>
      <x:c r="J393" s="139" t="n"/>
      <x:c r="K393" s="139" t="n"/>
      <x:c r="L393" s="139" t="n"/>
    </x:row>
    <x:row r="394">
      <x:c r="A394" s="139" t="n"/>
      <x:c r="B394" s="139" t="n"/>
      <x:c r="C394" s="139" t="n"/>
      <x:c r="D394" s="139" t="n"/>
      <x:c r="E394" s="139" t="n"/>
      <x:c r="F394" s="139" t="n"/>
      <x:c r="G394" s="139" t="n"/>
      <x:c r="H394" s="139" t="n"/>
      <x:c r="I394" s="139" t="n"/>
      <x:c r="J394" s="139" t="n"/>
      <x:c r="K394" s="139" t="n"/>
      <x:c r="L394" s="139" t="n"/>
    </x:row>
    <x:row r="395">
      <x:c r="A395" s="139" t="n"/>
      <x:c r="B395" s="139" t="n"/>
      <x:c r="C395" s="139" t="n"/>
      <x:c r="D395" s="139" t="n"/>
      <x:c r="E395" s="139" t="n"/>
      <x:c r="F395" s="139" t="n"/>
      <x:c r="G395" s="139" t="n"/>
      <x:c r="H395" s="139" t="n"/>
      <x:c r="I395" s="139" t="n"/>
      <x:c r="J395" s="139" t="n"/>
      <x:c r="K395" s="139" t="n"/>
      <x:c r="L395" s="139" t="n"/>
    </x:row>
    <x:row r="396">
      <x:c r="A396" s="139" t="n"/>
      <x:c r="B396" s="139" t="n"/>
      <x:c r="C396" s="139" t="n"/>
      <x:c r="D396" s="139" t="n"/>
      <x:c r="E396" s="139" t="n"/>
      <x:c r="F396" s="139" t="n"/>
      <x:c r="G396" s="139" t="n"/>
      <x:c r="H396" s="139" t="n"/>
      <x:c r="I396" s="139" t="n"/>
      <x:c r="J396" s="139" t="n"/>
      <x:c r="K396" s="139" t="n"/>
      <x:c r="L396" s="139" t="n"/>
    </x:row>
    <x:row r="397">
      <x:c r="A397" s="139" t="n"/>
      <x:c r="B397" s="139" t="n"/>
      <x:c r="C397" s="139" t="n"/>
      <x:c r="D397" s="139" t="n"/>
      <x:c r="E397" s="139" t="n"/>
      <x:c r="F397" s="139" t="n"/>
      <x:c r="G397" s="139" t="n"/>
      <x:c r="H397" s="139" t="n"/>
      <x:c r="I397" s="139" t="n"/>
      <x:c r="J397" s="139" t="n"/>
      <x:c r="K397" s="139" t="n"/>
      <x:c r="L397" s="139" t="n"/>
    </x:row>
    <x:row r="398">
      <x:c r="A398" s="139" t="n"/>
      <x:c r="B398" s="139" t="n"/>
      <x:c r="C398" s="139" t="n"/>
      <x:c r="D398" s="139" t="n"/>
      <x:c r="E398" s="139" t="n"/>
      <x:c r="F398" s="139" t="n"/>
      <x:c r="G398" s="139" t="n"/>
      <x:c r="H398" s="139" t="n"/>
      <x:c r="I398" s="139" t="n"/>
      <x:c r="J398" s="139" t="n"/>
      <x:c r="K398" s="139" t="n"/>
      <x:c r="L398" s="139" t="n"/>
    </x:row>
    <x:row r="399">
      <x:c r="A399" s="139" t="n"/>
      <x:c r="B399" s="139" t="n"/>
      <x:c r="C399" s="139" t="n"/>
      <x:c r="D399" s="139" t="n"/>
      <x:c r="E399" s="139" t="n"/>
      <x:c r="F399" s="139" t="n"/>
      <x:c r="G399" s="139" t="n"/>
      <x:c r="H399" s="139" t="n"/>
      <x:c r="I399" s="139" t="n"/>
      <x:c r="J399" s="139" t="n"/>
      <x:c r="K399" s="139" t="n"/>
      <x:c r="L399" s="139" t="n"/>
    </x:row>
    <x:row r="400">
      <x:c r="A400" s="139" t="n"/>
      <x:c r="B400" s="139" t="n"/>
      <x:c r="C400" s="139" t="n"/>
      <x:c r="D400" s="139" t="n"/>
      <x:c r="E400" s="139" t="n"/>
      <x:c r="F400" s="139" t="n"/>
      <x:c r="G400" s="139" t="n"/>
      <x:c r="H400" s="139" t="n"/>
      <x:c r="I400" s="139" t="n"/>
      <x:c r="J400" s="139" t="n"/>
      <x:c r="K400" s="139" t="n"/>
      <x:c r="L400" s="139" t="n"/>
    </x:row>
    <x:row r="401">
      <x:c r="A401" s="139" t="n"/>
      <x:c r="B401" s="139" t="n"/>
      <x:c r="C401" s="139" t="n"/>
      <x:c r="D401" s="139" t="n"/>
      <x:c r="E401" s="139" t="n"/>
      <x:c r="F401" s="139" t="n"/>
      <x:c r="G401" s="139" t="n"/>
      <x:c r="H401" s="139" t="n"/>
      <x:c r="I401" s="139" t="n"/>
      <x:c r="J401" s="139" t="n"/>
      <x:c r="K401" s="139" t="n"/>
      <x:c r="L401" s="139" t="n"/>
    </x:row>
    <x:row r="402">
      <x:c r="A402" s="139" t="n"/>
      <x:c r="B402" s="139" t="n"/>
      <x:c r="C402" s="139" t="n"/>
      <x:c r="D402" s="139" t="n"/>
      <x:c r="E402" s="139" t="n"/>
      <x:c r="F402" s="139" t="n"/>
      <x:c r="G402" s="139" t="n"/>
      <x:c r="H402" s="139" t="n"/>
      <x:c r="I402" s="139" t="n"/>
      <x:c r="J402" s="139" t="n"/>
      <x:c r="K402" s="139" t="n"/>
      <x:c r="L402" s="139" t="n"/>
    </x:row>
    <x:row r="403">
      <x:c r="A403" s="139" t="n"/>
      <x:c r="B403" s="139" t="n"/>
      <x:c r="C403" s="139" t="n"/>
      <x:c r="D403" s="139" t="n"/>
      <x:c r="E403" s="139" t="n"/>
      <x:c r="F403" s="139" t="n"/>
      <x:c r="G403" s="139" t="n"/>
      <x:c r="H403" s="139" t="n"/>
      <x:c r="I403" s="139" t="n"/>
      <x:c r="J403" s="139" t="n"/>
      <x:c r="K403" s="139" t="n"/>
      <x:c r="L403" s="139" t="n"/>
    </x:row>
    <x:row r="404">
      <x:c r="A404" s="139" t="n"/>
      <x:c r="B404" s="139" t="n"/>
      <x:c r="C404" s="139" t="n"/>
      <x:c r="D404" s="139" t="n"/>
      <x:c r="E404" s="139" t="n"/>
      <x:c r="F404" s="139" t="n"/>
      <x:c r="G404" s="139" t="n"/>
      <x:c r="H404" s="139" t="n"/>
      <x:c r="I404" s="139" t="n"/>
      <x:c r="J404" s="139" t="n"/>
      <x:c r="K404" s="139" t="n"/>
      <x:c r="L404" s="139" t="n"/>
    </x:row>
    <x:row r="405">
      <x:c r="A405" s="139" t="n"/>
      <x:c r="B405" s="139" t="n"/>
      <x:c r="C405" s="139" t="n"/>
      <x:c r="D405" s="139" t="n"/>
      <x:c r="E405" s="139" t="n"/>
      <x:c r="F405" s="139" t="n"/>
      <x:c r="G405" s="139" t="n"/>
      <x:c r="H405" s="139" t="n"/>
      <x:c r="I405" s="139" t="n"/>
      <x:c r="J405" s="139" t="n"/>
      <x:c r="K405" s="139" t="n"/>
      <x:c r="L405" s="139" t="n"/>
    </x:row>
    <x:row r="406">
      <x:c r="A406" s="139" t="n"/>
      <x:c r="B406" s="139" t="n"/>
      <x:c r="C406" s="139" t="n"/>
      <x:c r="D406" s="139" t="n"/>
      <x:c r="E406" s="139" t="n"/>
      <x:c r="F406" s="139" t="n"/>
      <x:c r="G406" s="139" t="n"/>
      <x:c r="H406" s="139" t="n"/>
      <x:c r="I406" s="139" t="n"/>
      <x:c r="J406" s="139" t="n"/>
      <x:c r="K406" s="139" t="n"/>
      <x:c r="L406" s="139" t="n"/>
    </x:row>
    <x:row r="407">
      <x:c r="A407" s="139" t="n"/>
      <x:c r="B407" s="139" t="n"/>
      <x:c r="C407" s="139" t="n"/>
      <x:c r="D407" s="139" t="n"/>
      <x:c r="E407" s="139" t="n"/>
      <x:c r="F407" s="139" t="n"/>
      <x:c r="G407" s="139" t="n"/>
      <x:c r="H407" s="139" t="n"/>
      <x:c r="I407" s="139" t="n"/>
      <x:c r="J407" s="139" t="n"/>
      <x:c r="K407" s="139" t="n"/>
      <x:c r="L407" s="139" t="n"/>
    </x:row>
    <x:row r="408">
      <x:c r="A408" s="139" t="n"/>
      <x:c r="B408" s="139" t="n"/>
      <x:c r="C408" s="139" t="n"/>
      <x:c r="D408" s="139" t="n"/>
      <x:c r="E408" s="139" t="n"/>
      <x:c r="F408" s="139" t="n"/>
      <x:c r="G408" s="139" t="n"/>
      <x:c r="H408" s="139" t="n"/>
      <x:c r="I408" s="139" t="n"/>
      <x:c r="J408" s="139" t="n"/>
      <x:c r="K408" s="139" t="n"/>
      <x:c r="L408" s="139" t="n"/>
    </x:row>
    <x:row r="409">
      <x:c r="A409" s="139" t="n"/>
      <x:c r="B409" s="139" t="n"/>
      <x:c r="C409" s="139" t="n"/>
      <x:c r="D409" s="139" t="n"/>
      <x:c r="E409" s="139" t="n"/>
      <x:c r="F409" s="139" t="n"/>
      <x:c r="G409" s="139" t="n"/>
      <x:c r="H409" s="139" t="n"/>
      <x:c r="I409" s="139" t="n"/>
      <x:c r="J409" s="139" t="n"/>
      <x:c r="K409" s="139" t="n"/>
      <x:c r="L409" s="139" t="n"/>
    </x:row>
    <x:row r="410">
      <x:c r="A410" s="139" t="n"/>
      <x:c r="B410" s="139" t="n"/>
      <x:c r="C410" s="139" t="n"/>
      <x:c r="D410" s="139" t="n"/>
      <x:c r="E410" s="139" t="n"/>
      <x:c r="F410" s="139" t="n"/>
      <x:c r="G410" s="139" t="n"/>
      <x:c r="H410" s="139" t="n"/>
      <x:c r="I410" s="139" t="n"/>
      <x:c r="J410" s="139" t="n"/>
      <x:c r="K410" s="139" t="n"/>
      <x:c r="L410" s="139" t="n"/>
    </x:row>
    <x:row r="411">
      <x:c r="A411" s="139" t="n"/>
      <x:c r="B411" s="139" t="n"/>
      <x:c r="C411" s="139" t="n"/>
      <x:c r="D411" s="139" t="n"/>
      <x:c r="E411" s="139" t="n"/>
      <x:c r="F411" s="139" t="n"/>
      <x:c r="G411" s="139" t="n"/>
      <x:c r="H411" s="139" t="n"/>
      <x:c r="I411" s="139" t="n"/>
      <x:c r="J411" s="139" t="n"/>
      <x:c r="K411" s="139" t="n"/>
      <x:c r="L411" s="139" t="n"/>
    </x:row>
    <x:row r="412">
      <x:c r="A412" s="139" t="n"/>
      <x:c r="B412" s="139" t="n"/>
      <x:c r="C412" s="139" t="n"/>
      <x:c r="D412" s="139" t="n"/>
      <x:c r="E412" s="139" t="n"/>
      <x:c r="F412" s="139" t="n"/>
      <x:c r="G412" s="139" t="n"/>
      <x:c r="H412" s="139" t="n"/>
      <x:c r="I412" s="139" t="n"/>
      <x:c r="J412" s="139" t="n"/>
      <x:c r="K412" s="139" t="n"/>
      <x:c r="L412" s="139" t="n"/>
    </x:row>
    <x:row r="413">
      <x:c r="A413" s="139" t="n"/>
      <x:c r="B413" s="139" t="n"/>
      <x:c r="C413" s="139" t="n"/>
      <x:c r="D413" s="139" t="n"/>
      <x:c r="E413" s="139" t="n"/>
      <x:c r="F413" s="139" t="n"/>
      <x:c r="G413" s="139" t="n"/>
      <x:c r="H413" s="139" t="n"/>
      <x:c r="I413" s="139" t="n"/>
      <x:c r="J413" s="139" t="n"/>
      <x:c r="K413" s="139" t="n"/>
      <x:c r="L413" s="139" t="n"/>
    </x:row>
    <x:row r="414">
      <x:c r="A414" s="139" t="n"/>
      <x:c r="B414" s="139" t="n"/>
      <x:c r="C414" s="139" t="n"/>
      <x:c r="D414" s="139" t="n"/>
      <x:c r="E414" s="139" t="n"/>
      <x:c r="F414" s="139" t="n"/>
      <x:c r="G414" s="139" t="n"/>
      <x:c r="H414" s="139" t="n"/>
      <x:c r="I414" s="139" t="n"/>
      <x:c r="J414" s="139" t="n"/>
      <x:c r="K414" s="139" t="n"/>
      <x:c r="L414" s="139" t="n"/>
    </x:row>
    <x:row r="415">
      <x:c r="A415" s="139" t="n"/>
      <x:c r="B415" s="139" t="n"/>
      <x:c r="C415" s="139" t="n"/>
      <x:c r="D415" s="139" t="n"/>
      <x:c r="E415" s="139" t="n"/>
      <x:c r="F415" s="139" t="n"/>
      <x:c r="G415" s="139" t="n"/>
      <x:c r="H415" s="139" t="n"/>
      <x:c r="I415" s="139" t="n"/>
      <x:c r="J415" s="139" t="n"/>
      <x:c r="K415" s="139" t="n"/>
      <x:c r="L415" s="139" t="n"/>
    </x:row>
    <x:row r="416">
      <x:c r="A416" s="139" t="n"/>
      <x:c r="B416" s="139" t="n"/>
      <x:c r="C416" s="139" t="n"/>
      <x:c r="D416" s="139" t="n"/>
      <x:c r="E416" s="139" t="n"/>
      <x:c r="F416" s="139" t="n"/>
      <x:c r="G416" s="139" t="n"/>
      <x:c r="H416" s="139" t="n"/>
      <x:c r="I416" s="139" t="n"/>
      <x:c r="J416" s="139" t="n"/>
      <x:c r="K416" s="139" t="n"/>
      <x:c r="L416" s="139" t="n"/>
    </x:row>
    <x:row r="417">
      <x:c r="A417" s="139" t="n"/>
      <x:c r="B417" s="139" t="n"/>
      <x:c r="C417" s="139" t="n"/>
      <x:c r="D417" s="139" t="n"/>
      <x:c r="E417" s="139" t="n"/>
      <x:c r="F417" s="139" t="n"/>
      <x:c r="G417" s="139" t="n"/>
      <x:c r="H417" s="139" t="n"/>
      <x:c r="I417" s="139" t="n"/>
      <x:c r="J417" s="139" t="n"/>
      <x:c r="K417" s="139" t="n"/>
      <x:c r="L417" s="139" t="n"/>
    </x:row>
    <x:row r="418">
      <x:c r="A418" s="139" t="n"/>
      <x:c r="B418" s="139" t="n"/>
      <x:c r="C418" s="139" t="n"/>
      <x:c r="D418" s="139" t="n"/>
      <x:c r="E418" s="139" t="n"/>
      <x:c r="F418" s="139" t="n"/>
      <x:c r="G418" s="139" t="n"/>
      <x:c r="H418" s="139" t="n"/>
      <x:c r="I418" s="139" t="n"/>
      <x:c r="J418" s="139" t="n"/>
      <x:c r="K418" s="139" t="n"/>
      <x:c r="L418" s="139" t="n"/>
    </x:row>
    <x:row r="419">
      <x:c r="A419" s="139" t="n"/>
      <x:c r="B419" s="139" t="n"/>
      <x:c r="C419" s="139" t="n"/>
      <x:c r="D419" s="139" t="n"/>
      <x:c r="E419" s="139" t="n"/>
      <x:c r="F419" s="139" t="n"/>
      <x:c r="G419" s="139" t="n"/>
      <x:c r="H419" s="139" t="n"/>
      <x:c r="I419" s="139" t="n"/>
      <x:c r="J419" s="139" t="n"/>
      <x:c r="K419" s="139" t="n"/>
      <x:c r="L419" s="139" t="n"/>
    </x:row>
    <x:row r="420">
      <x:c r="A420" s="139" t="n"/>
      <x:c r="B420" s="139" t="n"/>
      <x:c r="C420" s="139" t="n"/>
      <x:c r="D420" s="139" t="n"/>
      <x:c r="E420" s="139" t="n"/>
      <x:c r="F420" s="139" t="n"/>
      <x:c r="G420" s="139" t="n"/>
      <x:c r="H420" s="139" t="n"/>
      <x:c r="I420" s="139" t="n"/>
      <x:c r="J420" s="139" t="n"/>
      <x:c r="K420" s="139" t="n"/>
      <x:c r="L420" s="139" t="n"/>
    </x:row>
    <x:row r="421">
      <x:c r="A421" s="139" t="n"/>
      <x:c r="B421" s="139" t="n"/>
      <x:c r="C421" s="139" t="n"/>
      <x:c r="D421" s="139" t="n"/>
      <x:c r="E421" s="139" t="n"/>
      <x:c r="F421" s="139" t="n"/>
      <x:c r="G421" s="139" t="n"/>
      <x:c r="H421" s="139" t="n"/>
      <x:c r="I421" s="139" t="n"/>
      <x:c r="J421" s="139" t="n"/>
      <x:c r="K421" s="139" t="n"/>
      <x:c r="L421" s="139" t="n"/>
    </x:row>
    <x:row r="422">
      <x:c r="A422" s="139" t="n"/>
      <x:c r="B422" s="139" t="n"/>
      <x:c r="C422" s="139" t="n"/>
      <x:c r="D422" s="139" t="n"/>
      <x:c r="E422" s="139" t="n"/>
      <x:c r="F422" s="139" t="n"/>
      <x:c r="G422" s="139" t="n"/>
      <x:c r="H422" s="139" t="n"/>
      <x:c r="I422" s="139" t="n"/>
      <x:c r="J422" s="139" t="n"/>
      <x:c r="K422" s="139" t="n"/>
      <x:c r="L422" s="139" t="n"/>
    </x:row>
    <x:row r="423">
      <x:c r="A423" s="139" t="n"/>
      <x:c r="B423" s="139" t="n"/>
      <x:c r="C423" s="139" t="n"/>
      <x:c r="D423" s="139" t="n"/>
      <x:c r="E423" s="139" t="n"/>
      <x:c r="F423" s="139" t="n"/>
      <x:c r="G423" s="139" t="n"/>
      <x:c r="H423" s="139" t="n"/>
      <x:c r="I423" s="139" t="n"/>
      <x:c r="J423" s="139" t="n"/>
      <x:c r="K423" s="139" t="n"/>
      <x:c r="L423" s="139" t="n"/>
    </x:row>
    <x:row r="424">
      <x:c r="A424" s="139" t="n"/>
      <x:c r="B424" s="139" t="n"/>
      <x:c r="C424" s="139" t="n"/>
      <x:c r="D424" s="139" t="n"/>
      <x:c r="E424" s="139" t="n"/>
      <x:c r="F424" s="139" t="n"/>
      <x:c r="G424" s="139" t="n"/>
      <x:c r="H424" s="139" t="n"/>
      <x:c r="I424" s="139" t="n"/>
      <x:c r="J424" s="139" t="n"/>
      <x:c r="K424" s="139" t="n"/>
      <x:c r="L424" s="139" t="n"/>
    </x:row>
    <x:row r="425">
      <x:c r="A425" s="139" t="n"/>
      <x:c r="B425" s="139" t="n"/>
      <x:c r="C425" s="139" t="n"/>
      <x:c r="D425" s="139" t="n"/>
      <x:c r="E425" s="139" t="n"/>
      <x:c r="F425" s="139" t="n"/>
      <x:c r="G425" s="139" t="n"/>
      <x:c r="H425" s="139" t="n"/>
      <x:c r="I425" s="139" t="n"/>
      <x:c r="J425" s="139" t="n"/>
      <x:c r="K425" s="139" t="n"/>
      <x:c r="L425" s="139" t="n"/>
    </x:row>
    <x:row r="426">
      <x:c r="A426" s="139" t="n"/>
      <x:c r="B426" s="139" t="n"/>
      <x:c r="C426" s="139" t="n"/>
      <x:c r="D426" s="139" t="n"/>
      <x:c r="E426" s="139" t="n"/>
      <x:c r="F426" s="139" t="n"/>
      <x:c r="G426" s="139" t="n"/>
      <x:c r="H426" s="139" t="n"/>
      <x:c r="I426" s="139" t="n"/>
      <x:c r="J426" s="139" t="n"/>
      <x:c r="K426" s="139" t="n"/>
      <x:c r="L426" s="139" t="n"/>
    </x:row>
    <x:row r="427">
      <x:c r="A427" s="139" t="n"/>
      <x:c r="B427" s="139" t="n"/>
      <x:c r="C427" s="139" t="n"/>
      <x:c r="D427" s="139" t="n"/>
      <x:c r="E427" s="139" t="n"/>
      <x:c r="F427" s="139" t="n"/>
      <x:c r="G427" s="139" t="n"/>
      <x:c r="H427" s="139" t="n"/>
      <x:c r="I427" s="139" t="n"/>
      <x:c r="J427" s="139" t="n"/>
      <x:c r="K427" s="139" t="n"/>
      <x:c r="L427" s="139" t="n"/>
    </x:row>
    <x:row r="428">
      <x:c r="A428" s="139" t="n"/>
      <x:c r="B428" s="139" t="n"/>
      <x:c r="C428" s="139" t="n"/>
      <x:c r="D428" s="139" t="n"/>
      <x:c r="E428" s="139" t="n"/>
      <x:c r="F428" s="139" t="n"/>
      <x:c r="G428" s="139" t="n"/>
      <x:c r="H428" s="139" t="n"/>
      <x:c r="I428" s="139" t="n"/>
      <x:c r="J428" s="139" t="n"/>
      <x:c r="K428" s="139" t="n"/>
      <x:c r="L428" s="139" t="n"/>
    </x:row>
    <x:row r="429">
      <x:c r="A429" s="139" t="n"/>
      <x:c r="B429" s="139" t="n"/>
      <x:c r="C429" s="139" t="n"/>
      <x:c r="D429" s="139" t="n"/>
      <x:c r="E429" s="139" t="n"/>
      <x:c r="F429" s="139" t="n"/>
      <x:c r="G429" s="139" t="n"/>
      <x:c r="H429" s="139" t="n"/>
      <x:c r="I429" s="139" t="n"/>
      <x:c r="J429" s="139" t="n"/>
      <x:c r="K429" s="139" t="n"/>
      <x:c r="L429" s="139" t="n"/>
    </x:row>
    <x:row r="430">
      <x:c r="A430" s="139" t="n"/>
      <x:c r="B430" s="139" t="n"/>
      <x:c r="C430" s="139" t="n"/>
      <x:c r="D430" s="139" t="n"/>
      <x:c r="E430" s="139" t="n"/>
      <x:c r="F430" s="139" t="n"/>
      <x:c r="G430" s="139" t="n"/>
      <x:c r="H430" s="139" t="n"/>
      <x:c r="I430" s="139" t="n"/>
      <x:c r="J430" s="139" t="n"/>
      <x:c r="K430" s="139" t="n"/>
      <x:c r="L430" s="139" t="n"/>
    </x:row>
    <x:row r="431">
      <x:c r="A431" s="139" t="n"/>
      <x:c r="B431" s="139" t="n"/>
      <x:c r="C431" s="139" t="n"/>
      <x:c r="D431" s="139" t="n"/>
      <x:c r="E431" s="139" t="n"/>
      <x:c r="F431" s="139" t="n"/>
      <x:c r="G431" s="139" t="n"/>
      <x:c r="H431" s="139" t="n"/>
      <x:c r="I431" s="139" t="n"/>
      <x:c r="J431" s="139" t="n"/>
      <x:c r="K431" s="139" t="n"/>
      <x:c r="L431" s="139" t="n"/>
    </x:row>
    <x:row r="432">
      <x:c r="A432" s="139" t="n"/>
      <x:c r="B432" s="139" t="n"/>
      <x:c r="C432" s="139" t="n"/>
      <x:c r="D432" s="139" t="n"/>
      <x:c r="E432" s="139" t="n"/>
      <x:c r="F432" s="139" t="n"/>
      <x:c r="G432" s="139" t="n"/>
      <x:c r="H432" s="139" t="n"/>
      <x:c r="I432" s="139" t="n"/>
      <x:c r="J432" s="139" t="n"/>
      <x:c r="K432" s="139" t="n"/>
      <x:c r="L432" s="139" t="n"/>
    </x:row>
    <x:row r="433">
      <x:c r="A433" s="139" t="n"/>
      <x:c r="B433" s="139" t="n"/>
      <x:c r="C433" s="139" t="n"/>
      <x:c r="D433" s="139" t="n"/>
      <x:c r="E433" s="139" t="n"/>
      <x:c r="F433" s="139" t="n"/>
      <x:c r="G433" s="139" t="n"/>
      <x:c r="H433" s="139" t="n"/>
      <x:c r="I433" s="139" t="n"/>
      <x:c r="J433" s="139" t="n"/>
      <x:c r="K433" s="139" t="n"/>
      <x:c r="L433" s="139" t="n"/>
    </x:row>
    <x:row r="434">
      <x:c r="A434" s="139" t="n"/>
      <x:c r="B434" s="139" t="n"/>
      <x:c r="C434" s="139" t="n"/>
      <x:c r="D434" s="139" t="n"/>
      <x:c r="E434" s="139" t="n"/>
      <x:c r="F434" s="139" t="n"/>
      <x:c r="G434" s="139" t="n"/>
      <x:c r="H434" s="139" t="n"/>
      <x:c r="I434" s="139" t="n"/>
      <x:c r="J434" s="139" t="n"/>
      <x:c r="K434" s="139" t="n"/>
      <x:c r="L434" s="139" t="n"/>
    </x:row>
    <x:row r="435">
      <x:c r="A435" s="139" t="n"/>
      <x:c r="B435" s="139" t="n"/>
      <x:c r="C435" s="139" t="n"/>
      <x:c r="D435" s="139" t="n"/>
      <x:c r="E435" s="139" t="n"/>
      <x:c r="F435" s="139" t="n"/>
      <x:c r="G435" s="139" t="n"/>
      <x:c r="H435" s="139" t="n"/>
      <x:c r="I435" s="139" t="n"/>
      <x:c r="J435" s="139" t="n"/>
      <x:c r="K435" s="139" t="n"/>
      <x:c r="L435" s="139" t="n"/>
    </x:row>
    <x:row r="436">
      <x:c r="A436" s="139" t="n"/>
      <x:c r="B436" s="139" t="n"/>
      <x:c r="C436" s="139" t="n"/>
      <x:c r="D436" s="139" t="n"/>
      <x:c r="E436" s="139" t="n"/>
      <x:c r="F436" s="139" t="n"/>
      <x:c r="G436" s="139" t="n"/>
      <x:c r="H436" s="139" t="n"/>
      <x:c r="I436" s="139" t="n"/>
      <x:c r="J436" s="139" t="n"/>
      <x:c r="K436" s="139" t="n"/>
      <x:c r="L436" s="139" t="n"/>
    </x:row>
    <x:row r="437">
      <x:c r="A437" s="139" t="n"/>
      <x:c r="B437" s="139" t="n"/>
      <x:c r="C437" s="139" t="n"/>
      <x:c r="D437" s="139" t="n"/>
      <x:c r="E437" s="139" t="n"/>
      <x:c r="F437" s="139" t="n"/>
      <x:c r="G437" s="139" t="n"/>
      <x:c r="H437" s="139" t="n"/>
      <x:c r="I437" s="139" t="n"/>
      <x:c r="J437" s="139" t="n"/>
      <x:c r="K437" s="139" t="n"/>
      <x:c r="L437" s="139" t="n"/>
    </x:row>
    <x:row r="438">
      <x:c r="A438" s="139" t="n"/>
      <x:c r="B438" s="139" t="n"/>
      <x:c r="C438" s="139" t="n"/>
      <x:c r="D438" s="139" t="n"/>
      <x:c r="E438" s="139" t="n"/>
      <x:c r="F438" s="139" t="n"/>
      <x:c r="G438" s="139" t="n"/>
      <x:c r="H438" s="139" t="n"/>
      <x:c r="I438" s="139" t="n"/>
      <x:c r="J438" s="139" t="n"/>
      <x:c r="K438" s="139" t="n"/>
      <x:c r="L438" s="139" t="n"/>
    </x:row>
    <x:row r="439">
      <x:c r="A439" s="139" t="n"/>
      <x:c r="B439" s="139" t="n"/>
      <x:c r="C439" s="139" t="n"/>
      <x:c r="D439" s="139" t="n"/>
      <x:c r="E439" s="139" t="n"/>
      <x:c r="F439" s="139" t="n"/>
      <x:c r="G439" s="139" t="n"/>
      <x:c r="H439" s="139" t="n"/>
      <x:c r="I439" s="139" t="n"/>
      <x:c r="J439" s="139" t="n"/>
      <x:c r="K439" s="139" t="n"/>
      <x:c r="L439" s="139" t="n"/>
    </x:row>
    <x:row r="440">
      <x:c r="A440" s="139" t="n"/>
      <x:c r="B440" s="139" t="n"/>
      <x:c r="C440" s="139" t="n"/>
      <x:c r="D440" s="139" t="n"/>
      <x:c r="E440" s="139" t="n"/>
      <x:c r="F440" s="139" t="n"/>
      <x:c r="G440" s="139" t="n"/>
      <x:c r="H440" s="139" t="n"/>
      <x:c r="I440" s="139" t="n"/>
      <x:c r="J440" s="139" t="n"/>
      <x:c r="K440" s="139" t="n"/>
      <x:c r="L440" s="139" t="n"/>
    </x:row>
    <x:row r="441">
      <x:c r="A441" s="139" t="n"/>
      <x:c r="B441" s="139" t="n"/>
      <x:c r="C441" s="139" t="n"/>
      <x:c r="D441" s="139" t="n"/>
      <x:c r="E441" s="139" t="n"/>
      <x:c r="F441" s="139" t="n"/>
      <x:c r="G441" s="139" t="n"/>
      <x:c r="H441" s="139" t="n"/>
      <x:c r="I441" s="139" t="n"/>
      <x:c r="J441" s="139" t="n"/>
      <x:c r="K441" s="139" t="n"/>
      <x:c r="L441" s="139" t="n"/>
    </x:row>
    <x:row r="442">
      <x:c r="A442" s="139" t="n"/>
      <x:c r="B442" s="139" t="n"/>
      <x:c r="C442" s="139" t="n"/>
      <x:c r="D442" s="139" t="n"/>
      <x:c r="E442" s="139" t="n"/>
      <x:c r="F442" s="139" t="n"/>
      <x:c r="G442" s="139" t="n"/>
      <x:c r="H442" s="139" t="n"/>
      <x:c r="I442" s="139" t="n"/>
      <x:c r="J442" s="139" t="n"/>
      <x:c r="K442" s="139" t="n"/>
      <x:c r="L442" s="139" t="n"/>
    </x:row>
    <x:row r="443">
      <x:c r="A443" s="139" t="n"/>
      <x:c r="B443" s="139" t="n"/>
      <x:c r="C443" s="139" t="n"/>
      <x:c r="D443" s="139" t="n"/>
      <x:c r="E443" s="139" t="n"/>
      <x:c r="F443" s="139" t="n"/>
      <x:c r="G443" s="139" t="n"/>
      <x:c r="H443" s="139" t="n"/>
      <x:c r="I443" s="139" t="n"/>
      <x:c r="J443" s="139" t="n"/>
      <x:c r="K443" s="139" t="n"/>
      <x:c r="L443" s="139" t="n"/>
    </x:row>
    <x:row r="444">
      <x:c r="A444" s="139" t="n"/>
      <x:c r="B444" s="139" t="n"/>
      <x:c r="C444" s="139" t="n"/>
      <x:c r="D444" s="139" t="n"/>
      <x:c r="E444" s="139" t="n"/>
      <x:c r="F444" s="139" t="n"/>
      <x:c r="G444" s="139" t="n"/>
      <x:c r="H444" s="139" t="n"/>
      <x:c r="I444" s="139" t="n"/>
      <x:c r="J444" s="139" t="n"/>
      <x:c r="K444" s="139" t="n"/>
      <x:c r="L444" s="139" t="n"/>
    </x:row>
    <x:row r="445">
      <x:c r="A445" s="139" t="n"/>
      <x:c r="B445" s="139" t="n"/>
      <x:c r="C445" s="139" t="n"/>
      <x:c r="D445" s="139" t="n"/>
      <x:c r="E445" s="139" t="n"/>
      <x:c r="F445" s="139" t="n"/>
      <x:c r="G445" s="139" t="n"/>
      <x:c r="H445" s="139" t="n"/>
      <x:c r="I445" s="139" t="n"/>
      <x:c r="J445" s="139" t="n"/>
      <x:c r="K445" s="139" t="n"/>
      <x:c r="L445" s="139" t="n"/>
    </x:row>
    <x:row r="446">
      <x:c r="A446" s="139" t="n"/>
      <x:c r="B446" s="139" t="n"/>
      <x:c r="C446" s="139" t="n"/>
      <x:c r="D446" s="139" t="n"/>
      <x:c r="E446" s="139" t="n"/>
      <x:c r="F446" s="139" t="n"/>
      <x:c r="G446" s="139" t="n"/>
      <x:c r="H446" s="139" t="n"/>
      <x:c r="I446" s="139" t="n"/>
      <x:c r="J446" s="139" t="n"/>
      <x:c r="K446" s="139" t="n"/>
      <x:c r="L446" s="139" t="n"/>
    </x:row>
    <x:row r="447">
      <x:c r="A447" s="139" t="n"/>
      <x:c r="B447" s="139" t="n"/>
      <x:c r="C447" s="139" t="n"/>
      <x:c r="D447" s="139" t="n"/>
      <x:c r="E447" s="139" t="n"/>
      <x:c r="F447" s="139" t="n"/>
      <x:c r="G447" s="139" t="n"/>
      <x:c r="H447" s="139" t="n"/>
      <x:c r="I447" s="139" t="n"/>
      <x:c r="J447" s="139" t="n"/>
      <x:c r="K447" s="139" t="n"/>
      <x:c r="L447" s="139" t="n"/>
    </x:row>
    <x:row r="448">
      <x:c r="A448" s="139" t="n"/>
      <x:c r="B448" s="139" t="n"/>
      <x:c r="C448" s="139" t="n"/>
      <x:c r="D448" s="139" t="n"/>
      <x:c r="E448" s="139" t="n"/>
      <x:c r="F448" s="139" t="n"/>
      <x:c r="G448" s="139" t="n"/>
      <x:c r="H448" s="139" t="n"/>
      <x:c r="I448" s="139" t="n"/>
      <x:c r="J448" s="139" t="n"/>
      <x:c r="K448" s="139" t="n"/>
      <x:c r="L448" s="139" t="n"/>
    </x:row>
    <x:row r="449">
      <x:c r="A449" s="139" t="n"/>
      <x:c r="B449" s="139" t="n"/>
      <x:c r="C449" s="139" t="n"/>
      <x:c r="D449" s="139" t="n"/>
      <x:c r="E449" s="139" t="n"/>
      <x:c r="F449" s="139" t="n"/>
      <x:c r="G449" s="139" t="n"/>
      <x:c r="H449" s="139" t="n"/>
      <x:c r="I449" s="139" t="n"/>
      <x:c r="J449" s="139" t="n"/>
      <x:c r="K449" s="139" t="n"/>
      <x:c r="L449" s="139" t="n"/>
    </x:row>
    <x:row r="450">
      <x:c r="A450" s="139" t="n"/>
      <x:c r="B450" s="139" t="n"/>
      <x:c r="C450" s="139" t="n"/>
      <x:c r="D450" s="139" t="n"/>
      <x:c r="E450" s="139" t="n"/>
      <x:c r="F450" s="139" t="n"/>
      <x:c r="G450" s="139" t="n"/>
      <x:c r="H450" s="139" t="n"/>
      <x:c r="I450" s="139" t="n"/>
      <x:c r="J450" s="139" t="n"/>
      <x:c r="K450" s="139" t="n"/>
      <x:c r="L450" s="139" t="n"/>
    </x:row>
    <x:row r="451">
      <x:c r="A451" s="139" t="n"/>
      <x:c r="B451" s="139" t="n"/>
      <x:c r="C451" s="139" t="n"/>
      <x:c r="D451" s="139" t="n"/>
      <x:c r="E451" s="139" t="n"/>
      <x:c r="F451" s="139" t="n"/>
      <x:c r="G451" s="139" t="n"/>
      <x:c r="H451" s="139" t="n"/>
      <x:c r="I451" s="139" t="n"/>
      <x:c r="J451" s="139" t="n"/>
      <x:c r="K451" s="139" t="n"/>
      <x:c r="L451" s="139" t="n"/>
    </x:row>
    <x:row r="452">
      <x:c r="A452" s="139" t="n"/>
      <x:c r="B452" s="139" t="n"/>
      <x:c r="C452" s="139" t="n"/>
      <x:c r="D452" s="139" t="n"/>
      <x:c r="E452" s="139" t="n"/>
      <x:c r="F452" s="139" t="n"/>
      <x:c r="G452" s="139" t="n"/>
      <x:c r="H452" s="139" t="n"/>
      <x:c r="I452" s="139" t="n"/>
      <x:c r="J452" s="139" t="n"/>
      <x:c r="K452" s="139" t="n"/>
      <x:c r="L452" s="139" t="n"/>
    </x:row>
    <x:row r="453">
      <x:c r="A453" s="139" t="n"/>
      <x:c r="B453" s="139" t="n"/>
      <x:c r="C453" s="139" t="n"/>
      <x:c r="D453" s="139" t="n"/>
      <x:c r="E453" s="139" t="n"/>
      <x:c r="F453" s="139" t="n"/>
      <x:c r="G453" s="139" t="n"/>
      <x:c r="H453" s="139" t="n"/>
      <x:c r="I453" s="139" t="n"/>
      <x:c r="J453" s="139" t="n"/>
      <x:c r="K453" s="139" t="n"/>
      <x:c r="L453" s="139" t="n"/>
    </x:row>
    <x:row r="454">
      <x:c r="A454" s="139" t="n"/>
      <x:c r="B454" s="139" t="n"/>
      <x:c r="C454" s="139" t="n"/>
      <x:c r="D454" s="139" t="n"/>
      <x:c r="E454" s="139" t="n"/>
      <x:c r="F454" s="139" t="n"/>
      <x:c r="G454" s="139" t="n"/>
      <x:c r="H454" s="139" t="n"/>
      <x:c r="I454" s="139" t="n"/>
      <x:c r="J454" s="139" t="n"/>
      <x:c r="K454" s="139" t="n"/>
      <x:c r="L454" s="139" t="n"/>
    </x:row>
    <x:row r="455">
      <x:c r="A455" s="139" t="n"/>
      <x:c r="B455" s="139" t="n"/>
      <x:c r="C455" s="139" t="n"/>
      <x:c r="D455" s="139" t="n"/>
      <x:c r="E455" s="139" t="n"/>
      <x:c r="F455" s="139" t="n"/>
      <x:c r="G455" s="139" t="n"/>
      <x:c r="H455" s="139" t="n"/>
      <x:c r="I455" s="139" t="n"/>
      <x:c r="J455" s="139" t="n"/>
      <x:c r="K455" s="139" t="n"/>
      <x:c r="L455" s="139" t="n"/>
    </x:row>
    <x:row r="456">
      <x:c r="A456" s="139" t="n"/>
      <x:c r="B456" s="139" t="n"/>
      <x:c r="C456" s="139" t="n"/>
      <x:c r="D456" s="139" t="n"/>
      <x:c r="E456" s="139" t="n"/>
      <x:c r="F456" s="139" t="n"/>
      <x:c r="G456" s="139" t="n"/>
      <x:c r="H456" s="139" t="n"/>
      <x:c r="I456" s="139" t="n"/>
      <x:c r="J456" s="139" t="n"/>
      <x:c r="K456" s="139" t="n"/>
      <x:c r="L456" s="139" t="n"/>
    </x:row>
    <x:row r="457">
      <x:c r="A457" s="139" t="n"/>
      <x:c r="B457" s="139" t="n"/>
      <x:c r="C457" s="139" t="n"/>
      <x:c r="D457" s="139" t="n"/>
      <x:c r="E457" s="139" t="n"/>
      <x:c r="F457" s="139" t="n"/>
      <x:c r="G457" s="139" t="n"/>
      <x:c r="H457" s="139" t="n"/>
      <x:c r="I457" s="139" t="n"/>
      <x:c r="J457" s="139" t="n"/>
      <x:c r="K457" s="139" t="n"/>
      <x:c r="L457" s="139" t="n"/>
    </x:row>
    <x:row r="458">
      <x:c r="A458" s="139" t="n"/>
      <x:c r="B458" s="139" t="n"/>
      <x:c r="C458" s="139" t="n"/>
      <x:c r="D458" s="139" t="n"/>
      <x:c r="E458" s="139" t="n"/>
      <x:c r="F458" s="139" t="n"/>
      <x:c r="G458" s="139" t="n"/>
      <x:c r="H458" s="139" t="n"/>
      <x:c r="I458" s="139" t="n"/>
      <x:c r="J458" s="139" t="n"/>
      <x:c r="K458" s="139" t="n"/>
      <x:c r="L458" s="139" t="n"/>
    </x:row>
    <x:row r="459">
      <x:c r="A459" s="139" t="n"/>
      <x:c r="B459" s="139" t="n"/>
      <x:c r="C459" s="139" t="n"/>
      <x:c r="D459" s="139" t="n"/>
      <x:c r="E459" s="139" t="n"/>
      <x:c r="F459" s="139" t="n"/>
      <x:c r="G459" s="139" t="n"/>
      <x:c r="H459" s="139" t="n"/>
      <x:c r="I459" s="139" t="n"/>
      <x:c r="J459" s="139" t="n"/>
      <x:c r="K459" s="139" t="n"/>
      <x:c r="L459" s="139" t="n"/>
    </x:row>
    <x:row r="460">
      <x:c r="A460" s="139" t="n"/>
      <x:c r="B460" s="139" t="n"/>
      <x:c r="C460" s="139" t="n"/>
      <x:c r="D460" s="139" t="n"/>
      <x:c r="E460" s="139" t="n"/>
      <x:c r="F460" s="139" t="n"/>
      <x:c r="G460" s="139" t="n"/>
      <x:c r="H460" s="139" t="n"/>
      <x:c r="I460" s="139" t="n"/>
      <x:c r="J460" s="139" t="n"/>
      <x:c r="K460" s="139" t="n"/>
      <x:c r="L460" s="139" t="n"/>
    </x:row>
    <x:row r="461">
      <x:c r="A461" s="139" t="n"/>
      <x:c r="B461" s="139" t="n"/>
      <x:c r="C461" s="139" t="n"/>
      <x:c r="D461" s="139" t="n"/>
      <x:c r="E461" s="139" t="n"/>
      <x:c r="F461" s="139" t="n"/>
      <x:c r="G461" s="139" t="n"/>
      <x:c r="H461" s="139" t="n"/>
      <x:c r="I461" s="139" t="n"/>
      <x:c r="J461" s="139" t="n"/>
      <x:c r="K461" s="139" t="n"/>
      <x:c r="L461" s="139" t="n"/>
    </x:row>
    <x:row r="462">
      <x:c r="A462" s="139" t="n"/>
      <x:c r="B462" s="139" t="n"/>
      <x:c r="C462" s="139" t="n"/>
      <x:c r="D462" s="139" t="n"/>
      <x:c r="E462" s="139" t="n"/>
      <x:c r="F462" s="139" t="n"/>
      <x:c r="G462" s="139" t="n"/>
      <x:c r="H462" s="139" t="n"/>
      <x:c r="I462" s="139" t="n"/>
      <x:c r="J462" s="139" t="n"/>
      <x:c r="K462" s="139" t="n"/>
      <x:c r="L462" s="139" t="n"/>
    </x:row>
    <x:row r="463">
      <x:c r="A463" s="139" t="n"/>
      <x:c r="B463" s="139" t="n"/>
      <x:c r="C463" s="139" t="n"/>
      <x:c r="D463" s="139" t="n"/>
      <x:c r="E463" s="139" t="n"/>
      <x:c r="F463" s="139" t="n"/>
      <x:c r="G463" s="139" t="n"/>
      <x:c r="H463" s="139" t="n"/>
      <x:c r="I463" s="139" t="n"/>
      <x:c r="J463" s="139" t="n"/>
      <x:c r="K463" s="139" t="n"/>
      <x:c r="L463" s="139" t="n"/>
    </x:row>
    <x:row r="464">
      <x:c r="A464" s="139" t="n"/>
      <x:c r="B464" s="139" t="n"/>
      <x:c r="C464" s="139" t="n"/>
      <x:c r="D464" s="139" t="n"/>
      <x:c r="E464" s="139" t="n"/>
      <x:c r="F464" s="139" t="n"/>
      <x:c r="G464" s="139" t="n"/>
      <x:c r="H464" s="139" t="n"/>
      <x:c r="I464" s="139" t="n"/>
      <x:c r="J464" s="139" t="n"/>
      <x:c r="K464" s="139" t="n"/>
      <x:c r="L464" s="139" t="n"/>
    </x:row>
    <x:row r="465">
      <x:c r="A465" s="139" t="n"/>
      <x:c r="B465" s="139" t="n"/>
      <x:c r="C465" s="139" t="n"/>
      <x:c r="D465" s="139" t="n"/>
      <x:c r="E465" s="139" t="n"/>
      <x:c r="F465" s="139" t="n"/>
      <x:c r="G465" s="139" t="n"/>
      <x:c r="H465" s="139" t="n"/>
      <x:c r="I465" s="139" t="n"/>
      <x:c r="J465" s="139" t="n"/>
      <x:c r="K465" s="139" t="n"/>
      <x:c r="L465" s="139" t="n"/>
    </x:row>
    <x:row r="466">
      <x:c r="A466" s="139" t="n"/>
      <x:c r="B466" s="139" t="n"/>
      <x:c r="C466" s="139" t="n"/>
      <x:c r="D466" s="139" t="n"/>
      <x:c r="E466" s="139" t="n"/>
      <x:c r="F466" s="139" t="n"/>
      <x:c r="G466" s="139" t="n"/>
      <x:c r="H466" s="139" t="n"/>
      <x:c r="I466" s="139" t="n"/>
      <x:c r="J466" s="139" t="n"/>
      <x:c r="K466" s="139" t="n"/>
      <x:c r="L466" s="139" t="n"/>
    </x:row>
    <x:row r="467">
      <x:c r="A467" s="139" t="n"/>
      <x:c r="B467" s="139" t="n"/>
      <x:c r="C467" s="139" t="n"/>
      <x:c r="D467" s="139" t="n"/>
      <x:c r="E467" s="139" t="n"/>
      <x:c r="F467" s="139" t="n"/>
      <x:c r="G467" s="139" t="n"/>
      <x:c r="H467" s="139" t="n"/>
      <x:c r="I467" s="139" t="n"/>
      <x:c r="J467" s="139" t="n"/>
      <x:c r="K467" s="139" t="n"/>
      <x:c r="L467" s="139" t="n"/>
    </x:row>
    <x:row r="468">
      <x:c r="A468" s="139" t="n"/>
      <x:c r="B468" s="139" t="n"/>
      <x:c r="C468" s="139" t="n"/>
      <x:c r="D468" s="139" t="n"/>
      <x:c r="E468" s="139" t="n"/>
      <x:c r="F468" s="139" t="n"/>
      <x:c r="G468" s="139" t="n"/>
      <x:c r="H468" s="139" t="n"/>
      <x:c r="I468" s="139" t="n"/>
      <x:c r="J468" s="139" t="n"/>
      <x:c r="K468" s="139" t="n"/>
      <x:c r="L468" s="139" t="n"/>
    </x:row>
    <x:row r="469">
      <x:c r="A469" s="139" t="n"/>
      <x:c r="B469" s="139" t="n"/>
      <x:c r="C469" s="139" t="n"/>
      <x:c r="D469" s="139" t="n"/>
      <x:c r="E469" s="139" t="n"/>
      <x:c r="F469" s="139" t="n"/>
      <x:c r="G469" s="139" t="n"/>
      <x:c r="H469" s="139" t="n"/>
      <x:c r="I469" s="139" t="n"/>
      <x:c r="J469" s="139" t="n"/>
      <x:c r="K469" s="139" t="n"/>
      <x:c r="L469" s="139" t="n"/>
    </x:row>
    <x:row r="470">
      <x:c r="A470" s="139" t="n"/>
      <x:c r="B470" s="139" t="n"/>
      <x:c r="C470" s="139" t="n"/>
      <x:c r="D470" s="139" t="n"/>
      <x:c r="E470" s="139" t="n"/>
      <x:c r="F470" s="139" t="n"/>
      <x:c r="G470" s="139" t="n"/>
      <x:c r="H470" s="139" t="n"/>
      <x:c r="I470" s="139" t="n"/>
      <x:c r="J470" s="139" t="n"/>
      <x:c r="K470" s="139" t="n"/>
      <x:c r="L470" s="139" t="n"/>
    </x:row>
    <x:row r="471">
      <x:c r="A471" s="139" t="n"/>
      <x:c r="B471" s="139" t="n"/>
      <x:c r="C471" s="139" t="n"/>
      <x:c r="D471" s="139" t="n"/>
      <x:c r="E471" s="139" t="n"/>
      <x:c r="F471" s="139" t="n"/>
      <x:c r="G471" s="139" t="n"/>
      <x:c r="H471" s="139" t="n"/>
      <x:c r="I471" s="139" t="n"/>
      <x:c r="J471" s="139" t="n"/>
      <x:c r="K471" s="139" t="n"/>
      <x:c r="L471" s="139" t="n"/>
    </x:row>
    <x:row r="472">
      <x:c r="A472" s="139" t="n"/>
      <x:c r="B472" s="139" t="n"/>
      <x:c r="C472" s="139" t="n"/>
      <x:c r="D472" s="139" t="n"/>
      <x:c r="E472" s="139" t="n"/>
      <x:c r="F472" s="139" t="n"/>
      <x:c r="G472" s="139" t="n"/>
      <x:c r="H472" s="139" t="n"/>
      <x:c r="I472" s="139" t="n"/>
      <x:c r="J472" s="139" t="n"/>
      <x:c r="K472" s="139" t="n"/>
      <x:c r="L472" s="139" t="n"/>
    </x:row>
    <x:row r="473">
      <x:c r="A473" s="139" t="n"/>
      <x:c r="B473" s="139" t="n"/>
      <x:c r="C473" s="139" t="n"/>
      <x:c r="D473" s="139" t="n"/>
      <x:c r="E473" s="139" t="n"/>
      <x:c r="F473" s="139" t="n"/>
      <x:c r="G473" s="139" t="n"/>
      <x:c r="H473" s="139" t="n"/>
      <x:c r="I473" s="139" t="n"/>
      <x:c r="J473" s="139" t="n"/>
      <x:c r="K473" s="139" t="n"/>
      <x:c r="L473" s="139" t="n"/>
    </x:row>
    <x:row r="474">
      <x:c r="A474" s="139" t="n"/>
      <x:c r="B474" s="139" t="n"/>
      <x:c r="C474" s="139" t="n"/>
      <x:c r="D474" s="139" t="n"/>
      <x:c r="E474" s="139" t="n"/>
      <x:c r="F474" s="139" t="n"/>
      <x:c r="G474" s="139" t="n"/>
      <x:c r="H474" s="139" t="n"/>
      <x:c r="I474" s="139" t="n"/>
      <x:c r="J474" s="139" t="n"/>
      <x:c r="K474" s="139" t="n"/>
      <x:c r="L474" s="139" t="n"/>
    </x:row>
    <x:row r="475">
      <x:c r="A475" s="139" t="n"/>
      <x:c r="B475" s="139" t="n"/>
      <x:c r="C475" s="139" t="n"/>
      <x:c r="D475" s="139" t="n"/>
      <x:c r="E475" s="139" t="n"/>
      <x:c r="F475" s="139" t="n"/>
      <x:c r="G475" s="139" t="n"/>
      <x:c r="H475" s="139" t="n"/>
      <x:c r="I475" s="139" t="n"/>
      <x:c r="J475" s="139" t="n"/>
      <x:c r="K475" s="139" t="n"/>
      <x:c r="L475" s="139" t="n"/>
    </x:row>
    <x:row r="476">
      <x:c r="A476" s="139" t="n"/>
      <x:c r="B476" s="139" t="n"/>
      <x:c r="C476" s="139" t="n"/>
      <x:c r="D476" s="139" t="n"/>
      <x:c r="E476" s="139" t="n"/>
      <x:c r="F476" s="139" t="n"/>
      <x:c r="G476" s="139" t="n"/>
      <x:c r="H476" s="139" t="n"/>
      <x:c r="I476" s="139" t="n"/>
      <x:c r="J476" s="139" t="n"/>
      <x:c r="K476" s="139" t="n"/>
      <x:c r="L476" s="139" t="n"/>
    </x:row>
    <x:row r="477">
      <x:c r="A477" s="139" t="n"/>
      <x:c r="B477" s="139" t="n"/>
      <x:c r="C477" s="139" t="n"/>
      <x:c r="D477" s="139" t="n"/>
      <x:c r="E477" s="139" t="n"/>
      <x:c r="F477" s="139" t="n"/>
      <x:c r="G477" s="139" t="n"/>
      <x:c r="H477" s="139" t="n"/>
      <x:c r="I477" s="139" t="n"/>
      <x:c r="J477" s="139" t="n"/>
      <x:c r="K477" s="139" t="n"/>
      <x:c r="L477" s="139" t="n"/>
    </x:row>
    <x:row r="478">
      <x:c r="A478" s="139" t="n"/>
      <x:c r="B478" s="139" t="n"/>
      <x:c r="C478" s="139" t="n"/>
      <x:c r="D478" s="139" t="n"/>
      <x:c r="E478" s="139" t="n"/>
      <x:c r="F478" s="139" t="n"/>
      <x:c r="G478" s="139" t="n"/>
      <x:c r="H478" s="139" t="n"/>
      <x:c r="I478" s="139" t="n"/>
      <x:c r="J478" s="139" t="n"/>
      <x:c r="K478" s="139" t="n"/>
      <x:c r="L478" s="139" t="n"/>
    </x:row>
    <x:row r="479">
      <x:c r="A479" s="139" t="n"/>
      <x:c r="B479" s="139" t="n"/>
      <x:c r="C479" s="139" t="n"/>
      <x:c r="D479" s="139" t="n"/>
      <x:c r="E479" s="139" t="n"/>
      <x:c r="F479" s="139" t="n"/>
      <x:c r="G479" s="139" t="n"/>
      <x:c r="H479" s="139" t="n"/>
      <x:c r="I479" s="139" t="n"/>
      <x:c r="J479" s="139" t="n"/>
      <x:c r="K479" s="139" t="n"/>
      <x:c r="L479" s="139" t="n"/>
    </x:row>
    <x:row r="480">
      <x:c r="A480" s="139" t="n"/>
      <x:c r="B480" s="139" t="n"/>
      <x:c r="C480" s="139" t="n"/>
      <x:c r="D480" s="139" t="n"/>
      <x:c r="E480" s="139" t="n"/>
      <x:c r="F480" s="139" t="n"/>
      <x:c r="G480" s="139" t="n"/>
      <x:c r="H480" s="139" t="n"/>
      <x:c r="I480" s="139" t="n"/>
      <x:c r="J480" s="139" t="n"/>
      <x:c r="K480" s="139" t="n"/>
      <x:c r="L480" s="139" t="n"/>
    </x:row>
    <x:row r="481">
      <x:c r="A481" s="139" t="n"/>
      <x:c r="B481" s="139" t="n"/>
      <x:c r="C481" s="139" t="n"/>
      <x:c r="D481" s="139" t="n"/>
      <x:c r="E481" s="139" t="n"/>
      <x:c r="F481" s="139" t="n"/>
      <x:c r="G481" s="139" t="n"/>
      <x:c r="H481" s="139" t="n"/>
      <x:c r="I481" s="139" t="n"/>
      <x:c r="J481" s="139" t="n"/>
      <x:c r="K481" s="139" t="n"/>
      <x:c r="L481" s="139" t="n"/>
    </x:row>
    <x:row r="482">
      <x:c r="A482" s="139" t="n"/>
      <x:c r="B482" s="139" t="n"/>
      <x:c r="C482" s="139" t="n"/>
      <x:c r="D482" s="139" t="n"/>
      <x:c r="E482" s="139" t="n"/>
      <x:c r="F482" s="139" t="n"/>
      <x:c r="G482" s="139" t="n"/>
      <x:c r="H482" s="139" t="n"/>
      <x:c r="I482" s="139" t="n"/>
      <x:c r="J482" s="139" t="n"/>
      <x:c r="K482" s="139" t="n"/>
      <x:c r="L482" s="139" t="n"/>
    </x:row>
    <x:row r="483">
      <x:c r="A483" s="139" t="n"/>
      <x:c r="B483" s="139" t="n"/>
      <x:c r="C483" s="139" t="n"/>
      <x:c r="D483" s="139" t="n"/>
      <x:c r="E483" s="139" t="n"/>
      <x:c r="F483" s="139" t="n"/>
      <x:c r="G483" s="139" t="n"/>
      <x:c r="H483" s="139" t="n"/>
      <x:c r="I483" s="139" t="n"/>
      <x:c r="J483" s="139" t="n"/>
      <x:c r="K483" s="139" t="n"/>
      <x:c r="L483" s="139" t="n"/>
    </x:row>
    <x:row r="484">
      <x:c r="A484" s="139" t="n"/>
      <x:c r="B484" s="139" t="n"/>
      <x:c r="C484" s="139" t="n"/>
      <x:c r="D484" s="139" t="n"/>
      <x:c r="E484" s="139" t="n"/>
      <x:c r="F484" s="139" t="n"/>
      <x:c r="G484" s="139" t="n"/>
      <x:c r="H484" s="139" t="n"/>
      <x:c r="I484" s="139" t="n"/>
      <x:c r="J484" s="139" t="n"/>
      <x:c r="K484" s="139" t="n"/>
      <x:c r="L484" s="139" t="n"/>
    </x:row>
    <x:row r="485">
      <x:c r="A485" s="139" t="n"/>
      <x:c r="B485" s="139" t="n"/>
      <x:c r="C485" s="139" t="n"/>
      <x:c r="D485" s="139" t="n"/>
      <x:c r="E485" s="139" t="n"/>
      <x:c r="F485" s="139" t="n"/>
      <x:c r="G485" s="139" t="n"/>
      <x:c r="H485" s="139" t="n"/>
      <x:c r="I485" s="139" t="n"/>
      <x:c r="J485" s="139" t="n"/>
      <x:c r="K485" s="139" t="n"/>
      <x:c r="L485" s="139" t="n"/>
    </x:row>
    <x:row r="486">
      <x:c r="A486" s="139" t="n"/>
      <x:c r="B486" s="139" t="n"/>
      <x:c r="C486" s="139" t="n"/>
      <x:c r="D486" s="139" t="n"/>
      <x:c r="E486" s="139" t="n"/>
      <x:c r="F486" s="139" t="n"/>
      <x:c r="G486" s="139" t="n"/>
      <x:c r="H486" s="139" t="n"/>
      <x:c r="I486" s="139" t="n"/>
      <x:c r="J486" s="139" t="n"/>
      <x:c r="K486" s="139" t="n"/>
      <x:c r="L486" s="139" t="n"/>
    </x:row>
    <x:row r="487">
      <x:c r="A487" s="139" t="n"/>
      <x:c r="B487" s="139" t="n"/>
      <x:c r="C487" s="139" t="n"/>
      <x:c r="D487" s="139" t="n"/>
      <x:c r="E487" s="139" t="n"/>
      <x:c r="F487" s="139" t="n"/>
      <x:c r="G487" s="139" t="n"/>
      <x:c r="H487" s="139" t="n"/>
      <x:c r="I487" s="139" t="n"/>
      <x:c r="J487" s="139" t="n"/>
      <x:c r="K487" s="139" t="n"/>
      <x:c r="L487" s="139" t="n"/>
    </x:row>
    <x:row r="488">
      <x:c r="A488" s="139" t="n"/>
      <x:c r="B488" s="139" t="n"/>
      <x:c r="C488" s="139" t="n"/>
      <x:c r="D488" s="139" t="n"/>
      <x:c r="E488" s="139" t="n"/>
      <x:c r="F488" s="139" t="n"/>
      <x:c r="G488" s="139" t="n"/>
      <x:c r="H488" s="139" t="n"/>
      <x:c r="I488" s="139" t="n"/>
      <x:c r="J488" s="139" t="n"/>
      <x:c r="K488" s="139" t="n"/>
      <x:c r="L488" s="139" t="n"/>
    </x:row>
    <x:row r="489">
      <x:c r="A489" s="139" t="n"/>
      <x:c r="B489" s="139" t="n"/>
      <x:c r="C489" s="139" t="n"/>
      <x:c r="D489" s="139" t="n"/>
      <x:c r="E489" s="139" t="n"/>
      <x:c r="F489" s="139" t="n"/>
      <x:c r="G489" s="139" t="n"/>
      <x:c r="H489" s="139" t="n"/>
      <x:c r="I489" s="139" t="n"/>
      <x:c r="J489" s="139" t="n"/>
      <x:c r="K489" s="139" t="n"/>
      <x:c r="L489" s="139" t="n"/>
    </x:row>
    <x:row r="490">
      <x:c r="A490" s="139" t="n"/>
      <x:c r="B490" s="139" t="n"/>
      <x:c r="C490" s="139" t="n"/>
      <x:c r="D490" s="139" t="n"/>
      <x:c r="E490" s="139" t="n"/>
      <x:c r="F490" s="139" t="n"/>
      <x:c r="G490" s="139" t="n"/>
      <x:c r="H490" s="139" t="n"/>
      <x:c r="I490" s="139" t="n"/>
      <x:c r="J490" s="139" t="n"/>
      <x:c r="K490" s="139" t="n"/>
      <x:c r="L490" s="139" t="n"/>
    </x:row>
    <x:row r="491">
      <x:c r="A491" s="139" t="n"/>
      <x:c r="B491" s="139" t="n"/>
      <x:c r="C491" s="139" t="n"/>
      <x:c r="D491" s="139" t="n"/>
      <x:c r="E491" s="139" t="n"/>
      <x:c r="F491" s="139" t="n"/>
      <x:c r="G491" s="139" t="n"/>
      <x:c r="H491" s="139" t="n"/>
      <x:c r="I491" s="139" t="n"/>
      <x:c r="J491" s="139" t="n"/>
      <x:c r="K491" s="139" t="n"/>
      <x:c r="L491" s="139" t="n"/>
    </x:row>
    <x:row r="492">
      <x:c r="A492" s="139" t="n"/>
      <x:c r="B492" s="139" t="n"/>
      <x:c r="C492" s="139" t="n"/>
      <x:c r="D492" s="139" t="n"/>
      <x:c r="E492" s="139" t="n"/>
      <x:c r="F492" s="139" t="n"/>
      <x:c r="G492" s="139" t="n"/>
      <x:c r="H492" s="139" t="n"/>
      <x:c r="I492" s="139" t="n"/>
      <x:c r="J492" s="139" t="n"/>
      <x:c r="K492" s="139" t="n"/>
      <x:c r="L492" s="139" t="n"/>
    </x:row>
    <x:row r="493">
      <x:c r="A493" s="139" t="n"/>
      <x:c r="B493" s="139" t="n"/>
      <x:c r="C493" s="139" t="n"/>
      <x:c r="D493" s="139" t="n"/>
      <x:c r="E493" s="139" t="n"/>
      <x:c r="F493" s="139" t="n"/>
      <x:c r="G493" s="139" t="n"/>
      <x:c r="H493" s="139" t="n"/>
      <x:c r="I493" s="139" t="n"/>
      <x:c r="J493" s="139" t="n"/>
      <x:c r="K493" s="139" t="n"/>
      <x:c r="L493" s="139" t="n"/>
    </x:row>
    <x:row r="494">
      <x:c r="A494" s="139" t="n"/>
      <x:c r="B494" s="139" t="n"/>
      <x:c r="C494" s="139" t="n"/>
      <x:c r="D494" s="139" t="n"/>
      <x:c r="E494" s="139" t="n"/>
      <x:c r="F494" s="139" t="n"/>
      <x:c r="G494" s="139" t="n"/>
      <x:c r="H494" s="139" t="n"/>
      <x:c r="I494" s="139" t="n"/>
      <x:c r="J494" s="139" t="n"/>
      <x:c r="K494" s="139" t="n"/>
      <x:c r="L494" s="139" t="n"/>
    </x:row>
    <x:row r="495">
      <x:c r="A495" s="139" t="n"/>
      <x:c r="B495" s="139" t="n"/>
      <x:c r="C495" s="139" t="n"/>
      <x:c r="D495" s="139" t="n"/>
      <x:c r="E495" s="139" t="n"/>
      <x:c r="F495" s="139" t="n"/>
      <x:c r="G495" s="139" t="n"/>
      <x:c r="H495" s="139" t="n"/>
      <x:c r="I495" s="139" t="n"/>
      <x:c r="J495" s="139" t="n"/>
      <x:c r="K495" s="139" t="n"/>
      <x:c r="L495" s="139" t="n"/>
    </x:row>
    <x:row r="496">
      <x:c r="A496" s="139" t="n"/>
      <x:c r="B496" s="139" t="n"/>
      <x:c r="C496" s="139" t="n"/>
      <x:c r="D496" s="139" t="n"/>
      <x:c r="E496" s="139" t="n"/>
      <x:c r="F496" s="139" t="n"/>
      <x:c r="G496" s="139" t="n"/>
      <x:c r="H496" s="139" t="n"/>
      <x:c r="I496" s="139" t="n"/>
      <x:c r="J496" s="139" t="n"/>
      <x:c r="K496" s="139" t="n"/>
      <x:c r="L496" s="139" t="n"/>
    </x:row>
    <x:row r="497">
      <x:c r="A497" s="139" t="n"/>
      <x:c r="B497" s="139" t="n"/>
      <x:c r="C497" s="139" t="n"/>
      <x:c r="D497" s="139" t="n"/>
      <x:c r="E497" s="139" t="n"/>
      <x:c r="F497" s="139" t="n"/>
      <x:c r="G497" s="139" t="n"/>
      <x:c r="H497" s="139" t="n"/>
      <x:c r="I497" s="139" t="n"/>
      <x:c r="J497" s="139" t="n"/>
      <x:c r="K497" s="139" t="n"/>
      <x:c r="L497" s="139" t="n"/>
    </x:row>
    <x:row r="498">
      <x:c r="A498" s="139" t="n"/>
      <x:c r="B498" s="139" t="n"/>
      <x:c r="C498" s="139" t="n"/>
      <x:c r="D498" s="139" t="n"/>
      <x:c r="E498" s="139" t="n"/>
      <x:c r="F498" s="139" t="n"/>
      <x:c r="G498" s="139" t="n"/>
      <x:c r="H498" s="139" t="n"/>
      <x:c r="I498" s="139" t="n"/>
      <x:c r="J498" s="139" t="n"/>
      <x:c r="K498" s="139" t="n"/>
      <x:c r="L498" s="139" t="n"/>
    </x:row>
    <x:row r="499">
      <x:c r="A499" s="139" t="n"/>
      <x:c r="B499" s="139" t="n"/>
      <x:c r="C499" s="139" t="n"/>
      <x:c r="D499" s="139" t="n"/>
      <x:c r="E499" s="139" t="n"/>
      <x:c r="F499" s="139" t="n"/>
      <x:c r="G499" s="139" t="n"/>
      <x:c r="H499" s="139" t="n"/>
      <x:c r="I499" s="139" t="n"/>
      <x:c r="J499" s="139" t="n"/>
      <x:c r="K499" s="139" t="n"/>
      <x:c r="L499" s="139" t="n"/>
    </x:row>
    <x:row r="500">
      <x:c r="A500" s="139" t="n"/>
      <x:c r="B500" s="139" t="n"/>
      <x:c r="C500" s="139" t="n"/>
      <x:c r="D500" s="139" t="n"/>
      <x:c r="E500" s="139" t="n"/>
      <x:c r="F500" s="139" t="n"/>
      <x:c r="G500" s="139" t="n"/>
      <x:c r="H500" s="139" t="n"/>
      <x:c r="I500" s="139" t="n"/>
      <x:c r="J500" s="139" t="n"/>
      <x:c r="K500" s="139" t="n"/>
      <x:c r="L500" s="139" t="n"/>
    </x:row>
  </x:sheetData>
  <x:conditionalFormatting sqref="H2:H9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508b5a781b9a4f44"/>
  </x:tableParts>
</x:worksheet>
</file>

<file path=xl/worksheets/sheet8.xml><?xml version="1.0" encoding="utf-8"?>
<x:worksheet xmlns:x="http://schemas.openxmlformats.org/spreadsheetml/2006/main">
  <x:sheetFormatPr baseColWidth="8" defaultRowHeight="15"/>
  <x:cols>
    <x:col min="1" max="1" width="18" style="125" customWidth="1"/>
    <x:col min="2" max="2" width="18" style="125" customWidth="1"/>
    <x:col min="3" max="3" width="15" style="125" customWidth="1"/>
    <x:col min="4" max="4" width="15" style="125" customWidth="1"/>
    <x:col min="5" max="5" width="15" style="125" customWidth="1"/>
    <x:col min="6" max="6" width="15" style="125" customWidth="1"/>
    <x:col min="7" max="7" width="15" style="125" customWidth="1"/>
    <x:col min="8" max="8" width="15" style="125" customWidth="1"/>
    <x:col min="9" max="9" width="15" style="125" customWidth="1"/>
  </x:cols>
  <x:sheetData>
    <x:row r="1">
      <x:c r="A1" s="92" t="inlineStr">
        <x:is>
          <x:t xml:space="preserve">Player</x:t>
        </x:is>
      </x:c>
      <x:c r="B1" s="92" t="inlineStr">
        <x:is>
          <x:t xml:space="preserve">Opponent</x:t>
        </x:is>
      </x:c>
      <x:c r="C1" s="92" t="inlineStr">
        <x:is>
          <x:t xml:space="preserve">MP</x:t>
        </x:is>
      </x:c>
      <x:c r="D1" s="92" t="inlineStr">
        <x:is>
          <x:t xml:space="preserve">W</x:t>
        </x:is>
      </x:c>
      <x:c r="E1" s="92" t="inlineStr">
        <x:is>
          <x:t xml:space="preserve">L</x:t>
        </x:is>
      </x:c>
      <x:c r="F1" s="92" t="inlineStr">
        <x:is>
          <x:t xml:space="preserve">Win % vs Opponent</x:t>
        </x:is>
      </x:c>
      <x:c r="G1" s="92" t="inlineStr">
        <x:is>
          <x:t xml:space="preserve">Opponent Overall Win %</x:t>
        </x:is>
      </x:c>
      <x:c r="H1" s="92" t="inlineStr">
        <x:is>
          <x:t xml:space="preserve">Point Diff</x:t>
        </x:is>
      </x:c>
      <x:c r="I1" s="92" t="inlineStr">
        <x:is>
          <x:t xml:space="preserve">Point Diff / Match</x:t>
        </x:is>
      </x:c>
    </x:row>
    <x:row r="2">
      <x:c r="A2" s="139" t="inlineStr">
        <x:is>
          <x:t xml:space="preserve">Alice</x:t>
        </x:is>
      </x:c>
      <x:c r="B2" s="139" t="inlineStr">
        <x:is>
          <x:t xml:space="preserve">Ronald</x:t>
        </x:is>
      </x:c>
      <x:c r="C2" s="139" t="n">
        <x:v>4</x:v>
      </x:c>
      <x:c r="D2" s="139" t="n">
        <x:v>0</x:v>
      </x:c>
      <x:c r="E2" s="139" t="n">
        <x:v>4</x:v>
      </x:c>
      <x:c r="F2" s="93" t="n">
        <x:v>0</x:v>
      </x:c>
      <x:c r="G2" s="93" t="n">
        <x:v>0.6666666666666666</x:v>
      </x:c>
      <x:c r="H2" s="139" t="n">
        <x:v>-6</x:v>
      </x:c>
      <x:c r="I2" s="139" t="n">
        <x:v>-1.5</x:v>
      </x:c>
    </x:row>
    <x:row r="3">
      <x:c r="A3" s="139" t="inlineStr">
        <x:is>
          <x:t xml:space="preserve">Alice</x:t>
        </x:is>
      </x:c>
      <x:c r="B3" s="139" t="inlineStr">
        <x:is>
          <x:t xml:space="preserve">Ricky</x:t>
        </x:is>
      </x:c>
      <x:c r="C3" s="139" t="n">
        <x:v>4</x:v>
      </x:c>
      <x:c r="D3" s="139" t="n">
        <x:v>1</x:v>
      </x:c>
      <x:c r="E3" s="139" t="n">
        <x:v>3</x:v>
      </x:c>
      <x:c r="F3" s="93" t="n">
        <x:v>0.25</x:v>
      </x:c>
      <x:c r="G3" s="93" t="n">
        <x:v>0.6153846153846154</x:v>
      </x:c>
      <x:c r="H3" s="139" t="n">
        <x:v>-6</x:v>
      </x:c>
      <x:c r="I3" s="139" t="n">
        <x:v>-1.5</x:v>
      </x:c>
    </x:row>
    <x:row r="4">
      <x:c r="A4" s="139" t="inlineStr">
        <x:is>
          <x:t xml:space="preserve">Alice</x:t>
        </x:is>
      </x:c>
      <x:c r="B4" s="139" t="inlineStr">
        <x:is>
          <x:t xml:space="preserve">Edy SP</x:t>
        </x:is>
      </x:c>
      <x:c r="C4" s="139" t="n">
        <x:v>3</x:v>
      </x:c>
      <x:c r="D4" s="139" t="n">
        <x:v>0</x:v>
      </x:c>
      <x:c r="E4" s="139" t="n">
        <x:v>3</x:v>
      </x:c>
      <x:c r="F4" s="93" t="n">
        <x:v>0</x:v>
      </x:c>
      <x:c r="G4" s="93" t="n">
        <x:v>0.4666666666666667</x:v>
      </x:c>
      <x:c r="H4" s="139" t="n">
        <x:v>-9</x:v>
      </x:c>
      <x:c r="I4" s="139" t="n">
        <x:v>-3</x:v>
      </x:c>
    </x:row>
    <x:row r="5">
      <x:c r="A5" s="139" t="inlineStr">
        <x:is>
          <x:t xml:space="preserve">Alice</x:t>
        </x:is>
      </x:c>
      <x:c r="B5" s="139" t="inlineStr">
        <x:is>
          <x:t xml:space="preserve">David</x:t>
        </x:is>
      </x:c>
      <x:c r="C5" s="139" t="n">
        <x:v>3</x:v>
      </x:c>
      <x:c r="D5" s="139" t="n">
        <x:v>0</x:v>
      </x:c>
      <x:c r="E5" s="139" t="n">
        <x:v>3</x:v>
      </x:c>
      <x:c r="F5" s="93" t="n">
        <x:v>0</x:v>
      </x:c>
      <x:c r="G5" s="93" t="n">
        <x:v>0.4166666666666667</x:v>
      </x:c>
      <x:c r="H5" s="139" t="n">
        <x:v>-5</x:v>
      </x:c>
      <x:c r="I5" s="139" t="n">
        <x:v>-1.666666666666667</x:v>
      </x:c>
    </x:row>
    <x:row r="6">
      <x:c r="A6" s="139" t="inlineStr">
        <x:is>
          <x:t xml:space="preserve">Alice</x:t>
        </x:is>
      </x:c>
      <x:c r="B6" s="139" t="inlineStr">
        <x:is>
          <x:t xml:space="preserve">Jonathan</x:t>
        </x:is>
      </x:c>
      <x:c r="C6" s="139" t="n">
        <x:v>2</x:v>
      </x:c>
      <x:c r="D6" s="139" t="n">
        <x:v>0</x:v>
      </x:c>
      <x:c r="E6" s="139" t="n">
        <x:v>2</x:v>
      </x:c>
      <x:c r="F6" s="93" t="n">
        <x:v>0</x:v>
      </x:c>
      <x:c r="G6" s="93" t="n">
        <x:v>0.6666666666666666</x:v>
      </x:c>
      <x:c r="H6" s="139" t="n">
        <x:v>-6</x:v>
      </x:c>
      <x:c r="I6" s="139" t="n">
        <x:v>-3</x:v>
      </x:c>
    </x:row>
    <x:row r="7">
      <x:c r="A7" s="139" t="inlineStr">
        <x:is>
          <x:t xml:space="preserve">Alice</x:t>
        </x:is>
      </x:c>
      <x:c r="B7" s="139" t="inlineStr">
        <x:is>
          <x:t xml:space="preserve">Austin</x:t>
        </x:is>
      </x:c>
      <x:c r="C7" s="139" t="n">
        <x:v>2</x:v>
      </x:c>
      <x:c r="D7" s="139" t="n">
        <x:v>0</x:v>
      </x:c>
      <x:c r="E7" s="139" t="n">
        <x:v>2</x:v>
      </x:c>
      <x:c r="F7" s="93" t="n">
        <x:v>0</x:v>
      </x:c>
      <x:c r="G7" s="93" t="n">
        <x:v>0.6428571428571429</x:v>
      </x:c>
      <x:c r="H7" s="139" t="n">
        <x:v>-6</x:v>
      </x:c>
      <x:c r="I7" s="139" t="n">
        <x:v>-3</x:v>
      </x:c>
    </x:row>
    <x:row r="8">
      <x:c r="A8" s="139" t="inlineStr">
        <x:is>
          <x:t xml:space="preserve">Alice</x:t>
        </x:is>
      </x:c>
      <x:c r="B8" s="139" t="inlineStr">
        <x:is>
          <x:t xml:space="preserve">Michael</x:t>
        </x:is>
      </x:c>
      <x:c r="C8" s="139" t="n">
        <x:v>2</x:v>
      </x:c>
      <x:c r="D8" s="139" t="n">
        <x:v>0</x:v>
      </x:c>
      <x:c r="E8" s="139" t="n">
        <x:v>2</x:v>
      </x:c>
      <x:c r="F8" s="93" t="n">
        <x:v>0</x:v>
      </x:c>
      <x:c r="G8" s="93" t="n">
        <x:v>0.4615384615384616</x:v>
      </x:c>
      <x:c r="H8" s="139" t="n">
        <x:v>-3</x:v>
      </x:c>
      <x:c r="I8" s="139" t="n">
        <x:v>-1.5</x:v>
      </x:c>
    </x:row>
    <x:row r="9">
      <x:c r="A9" s="139" t="inlineStr">
        <x:is>
          <x:t xml:space="preserve">Alice</x:t>
        </x:is>
      </x:c>
      <x:c r="B9" s="139" t="inlineStr">
        <x:is>
          <x:t xml:space="preserve">Donny</x:t>
        </x:is>
      </x:c>
      <x:c r="C9" s="139" t="n">
        <x:v>2</x:v>
      </x:c>
      <x:c r="D9" s="139" t="n">
        <x:v>1</x:v>
      </x:c>
      <x:c r="E9" s="139" t="n">
        <x:v>1</x:v>
      </x:c>
      <x:c r="F9" s="93" t="n">
        <x:v>0.5</x:v>
      </x:c>
      <x:c r="G9" s="93" t="n">
        <x:v>0.3636363636363636</x:v>
      </x:c>
      <x:c r="H9" s="139" t="n">
        <x:v>0</x:v>
      </x:c>
      <x:c r="I9" s="139" t="n">
        <x:v>0</x:v>
      </x:c>
    </x:row>
    <x:row r="10">
      <x:c r="A10" s="139" t="inlineStr">
        <x:is>
          <x:t xml:space="preserve">Alice</x:t>
        </x:is>
      </x:c>
      <x:c r="B10" s="139" t="inlineStr">
        <x:is>
          <x:t xml:space="preserve">Nico</x:t>
        </x:is>
      </x:c>
      <x:c r="C10" s="139" t="n">
        <x:v>2</x:v>
      </x:c>
      <x:c r="D10" s="139" t="n">
        <x:v>0</x:v>
      </x:c>
      <x:c r="E10" s="139" t="n">
        <x:v>2</x:v>
      </x:c>
      <x:c r="F10" s="93" t="n">
        <x:v>0</x:v>
      </x:c>
      <x:c r="G10" s="93" t="n">
        <x:v>0.3333333333333333</x:v>
      </x:c>
      <x:c r="H10" s="139" t="n">
        <x:v>-6</x:v>
      </x:c>
      <x:c r="I10" s="139" t="n">
        <x:v>-3</x:v>
      </x:c>
    </x:row>
    <x:row r="11">
      <x:c r="A11" s="139" t="inlineStr">
        <x:is>
          <x:t xml:space="preserve">Alice</x:t>
        </x:is>
      </x:c>
      <x:c r="B11" s="139" t="inlineStr">
        <x:is>
          <x:t xml:space="preserve">Sandy</x:t>
        </x:is>
      </x:c>
      <x:c r="C11" s="139" t="n">
        <x:v>1</x:v>
      </x:c>
      <x:c r="D11" s="139" t="n">
        <x:v>0</x:v>
      </x:c>
      <x:c r="E11" s="139" t="n">
        <x:v>1</x:v>
      </x:c>
      <x:c r="F11" s="93" t="n">
        <x:v>0</x:v>
      </x:c>
      <x:c r="G11" s="93" t="n">
        <x:v>0.8461538461538461</x:v>
      </x:c>
      <x:c r="H11" s="139" t="n">
        <x:v>-3</x:v>
      </x:c>
      <x:c r="I11" s="139" t="n">
        <x:v>-3</x:v>
      </x:c>
    </x:row>
    <x:row r="12">
      <x:c r="A12" s="139" t="inlineStr">
        <x:is>
          <x:t xml:space="preserve">Alice</x:t>
        </x:is>
      </x:c>
      <x:c r="B12" s="139" t="inlineStr">
        <x:is>
          <x:t xml:space="preserve">Rey</x:t>
        </x:is>
      </x:c>
      <x:c r="C12" s="139" t="n">
        <x:v>1</x:v>
      </x:c>
      <x:c r="D12" s="139" t="n">
        <x:v>0</x:v>
      </x:c>
      <x:c r="E12" s="139" t="n">
        <x:v>1</x:v>
      </x:c>
      <x:c r="F12" s="93" t="n">
        <x:v>0</x:v>
      </x:c>
      <x:c r="G12" s="93" t="n">
        <x:v>0.7142857142857143</x:v>
      </x:c>
      <x:c r="H12" s="139" t="n">
        <x:v>-3</x:v>
      </x:c>
      <x:c r="I12" s="139" t="n">
        <x:v>-3</x:v>
      </x:c>
    </x:row>
    <x:row r="13">
      <x:c r="A13" s="139" t="inlineStr">
        <x:is>
          <x:t xml:space="preserve">Alice</x:t>
        </x:is>
      </x:c>
      <x:c r="B13" s="139" t="inlineStr">
        <x:is>
          <x:t xml:space="preserve">Kennard</x:t>
        </x:is>
      </x:c>
      <x:c r="C13" s="139" t="n">
        <x:v>1</x:v>
      </x:c>
      <x:c r="D13" s="139" t="n">
        <x:v>0</x:v>
      </x:c>
      <x:c r="E13" s="139" t="n">
        <x:v>1</x:v>
      </x:c>
      <x:c r="F13" s="93" t="n">
        <x:v>0</x:v>
      </x:c>
      <x:c r="G13" s="93" t="n">
        <x:v>0.6923076923076923</x:v>
      </x:c>
      <x:c r="H13" s="139" t="n">
        <x:v>-2</x:v>
      </x:c>
      <x:c r="I13" s="139" t="n">
        <x:v>-2</x:v>
      </x:c>
    </x:row>
    <x:row r="14">
      <x:c r="A14" s="139" t="inlineStr">
        <x:is>
          <x:t xml:space="preserve">Alice</x:t>
        </x:is>
      </x:c>
      <x:c r="B14" s="139" t="inlineStr">
        <x:is>
          <x:t xml:space="preserve">Nicholas</x:t>
        </x:is>
      </x:c>
      <x:c r="C14" s="139" t="n">
        <x:v>1</x:v>
      </x:c>
      <x:c r="D14" s="139" t="n">
        <x:v>0</x:v>
      </x:c>
      <x:c r="E14" s="139" t="n">
        <x:v>1</x:v>
      </x:c>
      <x:c r="F14" s="93" t="n">
        <x:v>0</x:v>
      </x:c>
      <x:c r="G14" s="93" t="n">
        <x:v>0.4285714285714285</x:v>
      </x:c>
      <x:c r="H14" s="139" t="n">
        <x:v>-3</x:v>
      </x:c>
      <x:c r="I14" s="139" t="n">
        <x:v>-3</x:v>
      </x:c>
    </x:row>
    <x:row r="15">
      <x:c r="A15" s="139" t="inlineStr">
        <x:is>
          <x:t xml:space="preserve">Alwin</x:t>
        </x:is>
      </x:c>
      <x:c r="B15" s="139" t="inlineStr">
        <x:is>
          <x:t xml:space="preserve">Sandy</x:t>
        </x:is>
      </x:c>
      <x:c r="C15" s="139" t="n">
        <x:v>2</x:v>
      </x:c>
      <x:c r="D15" s="139" t="n">
        <x:v>0</x:v>
      </x:c>
      <x:c r="E15" s="139" t="n">
        <x:v>2</x:v>
      </x:c>
      <x:c r="F15" s="93" t="n">
        <x:v>0</x:v>
      </x:c>
      <x:c r="G15" s="93" t="n">
        <x:v>0.8461538461538461</x:v>
      </x:c>
      <x:c r="H15" s="139" t="n">
        <x:v>-6</x:v>
      </x:c>
      <x:c r="I15" s="139" t="n">
        <x:v>-3</x:v>
      </x:c>
    </x:row>
    <x:row r="16">
      <x:c r="A16" s="139" t="inlineStr">
        <x:is>
          <x:t xml:space="preserve">Alwin</x:t>
        </x:is>
      </x:c>
      <x:c r="B16" s="139" t="inlineStr">
        <x:is>
          <x:t xml:space="preserve">Kennard</x:t>
        </x:is>
      </x:c>
      <x:c r="C16" s="139" t="n">
        <x:v>2</x:v>
      </x:c>
      <x:c r="D16" s="139" t="n">
        <x:v>0</x:v>
      </x:c>
      <x:c r="E16" s="139" t="n">
        <x:v>2</x:v>
      </x:c>
      <x:c r="F16" s="93" t="n">
        <x:v>0</x:v>
      </x:c>
      <x:c r="G16" s="93" t="n">
        <x:v>0.6923076923076923</x:v>
      </x:c>
      <x:c r="H16" s="139" t="n">
        <x:v>-6</x:v>
      </x:c>
      <x:c r="I16" s="139" t="n">
        <x:v>-3</x:v>
      </x:c>
    </x:row>
    <x:row r="17">
      <x:c r="A17" s="139" t="inlineStr">
        <x:is>
          <x:t xml:space="preserve">Alwin</x:t>
        </x:is>
      </x:c>
      <x:c r="B17" s="139" t="inlineStr">
        <x:is>
          <x:t xml:space="preserve">Austin</x:t>
        </x:is>
      </x:c>
      <x:c r="C17" s="139" t="n">
        <x:v>2</x:v>
      </x:c>
      <x:c r="D17" s="139" t="n">
        <x:v>0</x:v>
      </x:c>
      <x:c r="E17" s="139" t="n">
        <x:v>2</x:v>
      </x:c>
      <x:c r="F17" s="93" t="n">
        <x:v>0</x:v>
      </x:c>
      <x:c r="G17" s="93" t="n">
        <x:v>0.6428571428571429</x:v>
      </x:c>
      <x:c r="H17" s="139" t="n">
        <x:v>-6</x:v>
      </x:c>
      <x:c r="I17" s="139" t="n">
        <x:v>-3</x:v>
      </x:c>
    </x:row>
    <x:row r="18">
      <x:c r="A18" s="139" t="inlineStr">
        <x:is>
          <x:t xml:space="preserve">Alwin</x:t>
        </x:is>
      </x:c>
      <x:c r="B18" s="139" t="inlineStr">
        <x:is>
          <x:t xml:space="preserve">Ricky</x:t>
        </x:is>
      </x:c>
      <x:c r="C18" s="139" t="n">
        <x:v>2</x:v>
      </x:c>
      <x:c r="D18" s="139" t="n">
        <x:v>1</x:v>
      </x:c>
      <x:c r="E18" s="139" t="n">
        <x:v>1</x:v>
      </x:c>
      <x:c r="F18" s="93" t="n">
        <x:v>0.5</x:v>
      </x:c>
      <x:c r="G18" s="93" t="n">
        <x:v>0.6153846153846154</x:v>
      </x:c>
      <x:c r="H18" s="139" t="n">
        <x:v>0</x:v>
      </x:c>
      <x:c r="I18" s="139" t="n">
        <x:v>0</x:v>
      </x:c>
    </x:row>
    <x:row r="19">
      <x:c r="A19" s="139" t="inlineStr">
        <x:is>
          <x:t xml:space="preserve">Alwin</x:t>
        </x:is>
      </x:c>
      <x:c r="B19" s="139" t="inlineStr">
        <x:is>
          <x:t xml:space="preserve">Welly</x:t>
        </x:is>
      </x:c>
      <x:c r="C19" s="139" t="n">
        <x:v>2</x:v>
      </x:c>
      <x:c r="D19" s="139" t="n">
        <x:v>1</x:v>
      </x:c>
      <x:c r="E19" s="139" t="n">
        <x:v>1</x:v>
      </x:c>
      <x:c r="F19" s="93" t="n">
        <x:v>0.5</x:v>
      </x:c>
      <x:c r="G19" s="93" t="n">
        <x:v>0.2</x:v>
      </x:c>
      <x:c r="H19" s="139" t="n">
        <x:v>0</x:v>
      </x:c>
      <x:c r="I19" s="139" t="n">
        <x:v>0</x:v>
      </x:c>
    </x:row>
    <x:row r="20">
      <x:c r="A20" s="139" t="inlineStr">
        <x:is>
          <x:t xml:space="preserve">Alwin</x:t>
        </x:is>
      </x:c>
      <x:c r="B20" s="139" t="inlineStr">
        <x:is>
          <x:t xml:space="preserve">Edy SP</x:t>
        </x:is>
      </x:c>
      <x:c r="C20" s="139" t="n">
        <x:v>1</x:v>
      </x:c>
      <x:c r="D20" s="139" t="n">
        <x:v>0</x:v>
      </x:c>
      <x:c r="E20" s="139" t="n">
        <x:v>1</x:v>
      </x:c>
      <x:c r="F20" s="93" t="n">
        <x:v>0</x:v>
      </x:c>
      <x:c r="G20" s="93" t="n">
        <x:v>0.4666666666666667</x:v>
      </x:c>
      <x:c r="H20" s="139" t="n">
        <x:v>-3</x:v>
      </x:c>
      <x:c r="I20" s="139" t="n">
        <x:v>-3</x:v>
      </x:c>
    </x:row>
    <x:row r="21">
      <x:c r="A21" s="139" t="inlineStr">
        <x:is>
          <x:t xml:space="preserve">Alwin</x:t>
        </x:is>
      </x:c>
      <x:c r="B21" s="139" t="inlineStr">
        <x:is>
          <x:t xml:space="preserve">Michael</x:t>
        </x:is>
      </x:c>
      <x:c r="C21" s="139" t="n">
        <x:v>1</x:v>
      </x:c>
      <x:c r="D21" s="139" t="n">
        <x:v>0</x:v>
      </x:c>
      <x:c r="E21" s="139" t="n">
        <x:v>1</x:v>
      </x:c>
      <x:c r="F21" s="93" t="n">
        <x:v>0</x:v>
      </x:c>
      <x:c r="G21" s="93" t="n">
        <x:v>0.4615384615384616</x:v>
      </x:c>
      <x:c r="H21" s="139" t="n">
        <x:v>-3</x:v>
      </x:c>
      <x:c r="I21" s="139" t="n">
        <x:v>-3</x:v>
      </x:c>
    </x:row>
    <x:row r="22">
      <x:c r="A22" s="139" t="inlineStr">
        <x:is>
          <x:t xml:space="preserve">Austin</x:t>
        </x:is>
      </x:c>
      <x:c r="B22" s="139" t="inlineStr">
        <x:is>
          <x:t xml:space="preserve">Sandy</x:t>
        </x:is>
      </x:c>
      <x:c r="C22" s="139" t="n">
        <x:v>4</x:v>
      </x:c>
      <x:c r="D22" s="139" t="n">
        <x:v>2</x:v>
      </x:c>
      <x:c r="E22" s="139" t="n">
        <x:v>2</x:v>
      </x:c>
      <x:c r="F22" s="93" t="n">
        <x:v>0.5</x:v>
      </x:c>
      <x:c r="G22" s="93" t="n">
        <x:v>0.8461538461538461</x:v>
      </x:c>
      <x:c r="H22" s="139" t="n">
        <x:v>-2</x:v>
      </x:c>
      <x:c r="I22" s="139" t="n">
        <x:v>-0.5</x:v>
      </x:c>
    </x:row>
    <x:row r="23">
      <x:c r="A23" s="139" t="inlineStr">
        <x:is>
          <x:t xml:space="preserve">Austin</x:t>
        </x:is>
      </x:c>
      <x:c r="B23" s="139" t="inlineStr">
        <x:is>
          <x:t xml:space="preserve">Ricky</x:t>
        </x:is>
      </x:c>
      <x:c r="C23" s="139" t="n">
        <x:v>3</x:v>
      </x:c>
      <x:c r="D23" s="139" t="n">
        <x:v>3</x:v>
      </x:c>
      <x:c r="E23" s="139" t="n">
        <x:v>0</x:v>
      </x:c>
      <x:c r="F23" s="93" t="n">
        <x:v>1</x:v>
      </x:c>
      <x:c r="G23" s="93" t="n">
        <x:v>0.6153846153846154</x:v>
      </x:c>
      <x:c r="H23" s="139" t="n">
        <x:v>13</x:v>
      </x:c>
      <x:c r="I23" s="139" t="n">
        <x:v>4.333333333333333</x:v>
      </x:c>
    </x:row>
    <x:row r="24">
      <x:c r="A24" s="139" t="inlineStr">
        <x:is>
          <x:t xml:space="preserve">Austin</x:t>
        </x:is>
      </x:c>
      <x:c r="B24" s="139" t="inlineStr">
        <x:is>
          <x:t xml:space="preserve">Kennard</x:t>
        </x:is>
      </x:c>
      <x:c r="C24" s="139" t="n">
        <x:v>2</x:v>
      </x:c>
      <x:c r="D24" s="139" t="n">
        <x:v>1</x:v>
      </x:c>
      <x:c r="E24" s="139" t="n">
        <x:v>1</x:v>
      </x:c>
      <x:c r="F24" s="93" t="n">
        <x:v>0.5</x:v>
      </x:c>
      <x:c r="G24" s="93" t="n">
        <x:v>0.6923076923076923</x:v>
      </x:c>
      <x:c r="H24" s="139" t="n">
        <x:v>2</x:v>
      </x:c>
      <x:c r="I24" s="139" t="n">
        <x:v>1</x:v>
      </x:c>
    </x:row>
    <x:row r="25">
      <x:c r="A25" s="139" t="inlineStr">
        <x:is>
          <x:t xml:space="preserve">Austin</x:t>
        </x:is>
      </x:c>
      <x:c r="B25" s="139" t="inlineStr">
        <x:is>
          <x:t xml:space="preserve">Jonathan</x:t>
        </x:is>
      </x:c>
      <x:c r="C25" s="139" t="n">
        <x:v>2</x:v>
      </x:c>
      <x:c r="D25" s="139" t="n">
        <x:v>1</x:v>
      </x:c>
      <x:c r="E25" s="139" t="n">
        <x:v>1</x:v>
      </x:c>
      <x:c r="F25" s="93" t="n">
        <x:v>0.5</x:v>
      </x:c>
      <x:c r="G25" s="93" t="n">
        <x:v>0.6666666666666666</x:v>
      </x:c>
      <x:c r="H25" s="139" t="n">
        <x:v>2</x:v>
      </x:c>
      <x:c r="I25" s="139" t="n">
        <x:v>1</x:v>
      </x:c>
    </x:row>
    <x:row r="26">
      <x:c r="A26" s="139" t="inlineStr">
        <x:is>
          <x:t xml:space="preserve">Austin</x:t>
        </x:is>
      </x:c>
      <x:c r="B26" s="139" t="inlineStr">
        <x:is>
          <x:t xml:space="preserve">Ronald</x:t>
        </x:is>
      </x:c>
      <x:c r="C26" s="139" t="n">
        <x:v>2</x:v>
      </x:c>
      <x:c r="D26" s="139" t="n">
        <x:v>1</x:v>
      </x:c>
      <x:c r="E26" s="139" t="n">
        <x:v>1</x:v>
      </x:c>
      <x:c r="F26" s="93" t="n">
        <x:v>0.5</x:v>
      </x:c>
      <x:c r="G26" s="93" t="n">
        <x:v>0.6666666666666666</x:v>
      </x:c>
      <x:c r="H26" s="139" t="n">
        <x:v>2</x:v>
      </x:c>
      <x:c r="I26" s="139" t="n">
        <x:v>1</x:v>
      </x:c>
    </x:row>
    <x:row r="27">
      <x:c r="A27" s="139" t="inlineStr">
        <x:is>
          <x:t xml:space="preserve">Austin</x:t>
        </x:is>
      </x:c>
      <x:c r="B27" s="139" t="inlineStr">
        <x:is>
          <x:t xml:space="preserve">Edy SP</x:t>
        </x:is>
      </x:c>
      <x:c r="C27" s="139" t="n">
        <x:v>2</x:v>
      </x:c>
      <x:c r="D27" s="139" t="n">
        <x:v>1</x:v>
      </x:c>
      <x:c r="E27" s="139" t="n">
        <x:v>1</x:v>
      </x:c>
      <x:c r="F27" s="93" t="n">
        <x:v>0.5</x:v>
      </x:c>
      <x:c r="G27" s="93" t="n">
        <x:v>0.4666666666666667</x:v>
      </x:c>
      <x:c r="H27" s="139" t="n">
        <x:v>2</x:v>
      </x:c>
      <x:c r="I27" s="139" t="n">
        <x:v>1</x:v>
      </x:c>
    </x:row>
    <x:row r="28">
      <x:c r="A28" s="139" t="inlineStr">
        <x:is>
          <x:t xml:space="preserve">Austin</x:t>
        </x:is>
      </x:c>
      <x:c r="B28" s="139" t="inlineStr">
        <x:is>
          <x:t xml:space="preserve">Michael</x:t>
        </x:is>
      </x:c>
      <x:c r="C28" s="139" t="n">
        <x:v>2</x:v>
      </x:c>
      <x:c r="D28" s="139" t="n">
        <x:v>0</x:v>
      </x:c>
      <x:c r="E28" s="139" t="n">
        <x:v>2</x:v>
      </x:c>
      <x:c r="F28" s="93" t="n">
        <x:v>0</x:v>
      </x:c>
      <x:c r="G28" s="93" t="n">
        <x:v>0.4615384615384616</x:v>
      </x:c>
      <x:c r="H28" s="139" t="n">
        <x:v>-6</x:v>
      </x:c>
      <x:c r="I28" s="139" t="n">
        <x:v>-3</x:v>
      </x:c>
    </x:row>
    <x:row r="29">
      <x:c r="A29" s="139" t="inlineStr">
        <x:is>
          <x:t xml:space="preserve">Austin</x:t>
        </x:is>
      </x:c>
      <x:c r="B29" s="139" t="inlineStr">
        <x:is>
          <x:t xml:space="preserve">Reza</x:t>
        </x:is>
      </x:c>
      <x:c r="C29" s="139" t="n">
        <x:v>2</x:v>
      </x:c>
      <x:c r="D29" s="139" t="n">
        <x:v>2</x:v>
      </x:c>
      <x:c r="E29" s="139" t="n">
        <x:v>0</x:v>
      </x:c>
      <x:c r="F29" s="93" t="n">
        <x:v>1</x:v>
      </x:c>
      <x:c r="G29" s="93" t="n">
        <x:v>0.3333333333333333</x:v>
      </x:c>
      <x:c r="H29" s="139" t="n">
        <x:v>8</x:v>
      </x:c>
      <x:c r="I29" s="139" t="n">
        <x:v>4</x:v>
      </x:c>
    </x:row>
    <x:row r="30">
      <x:c r="A30" s="139" t="inlineStr">
        <x:is>
          <x:t xml:space="preserve">Austin</x:t>
        </x:is>
      </x:c>
      <x:c r="B30" s="139" t="inlineStr">
        <x:is>
          <x:t xml:space="preserve">Welly</x:t>
        </x:is>
      </x:c>
      <x:c r="C30" s="139" t="n">
        <x:v>2</x:v>
      </x:c>
      <x:c r="D30" s="139" t="n">
        <x:v>2</x:v>
      </x:c>
      <x:c r="E30" s="139" t="n">
        <x:v>0</x:v>
      </x:c>
      <x:c r="F30" s="93" t="n">
        <x:v>1</x:v>
      </x:c>
      <x:c r="G30" s="93" t="n">
        <x:v>0.2</x:v>
      </x:c>
      <x:c r="H30" s="139" t="n">
        <x:v>6</x:v>
      </x:c>
      <x:c r="I30" s="139" t="n">
        <x:v>3</x:v>
      </x:c>
    </x:row>
    <x:row r="31">
      <x:c r="A31" s="139" t="inlineStr">
        <x:is>
          <x:t xml:space="preserve">Austin</x:t>
        </x:is>
      </x:c>
      <x:c r="B31" s="139" t="inlineStr">
        <x:is>
          <x:t xml:space="preserve">Alwin</x:t>
        </x:is>
      </x:c>
      <x:c r="C31" s="139" t="n">
        <x:v>2</x:v>
      </x:c>
      <x:c r="D31" s="139" t="n">
        <x:v>2</x:v>
      </x:c>
      <x:c r="E31" s="139" t="n">
        <x:v>0</x:v>
      </x:c>
      <x:c r="F31" s="93" t="n">
        <x:v>1</x:v>
      </x:c>
      <x:c r="G31" s="93" t="n">
        <x:v>0.1666666666666667</x:v>
      </x:c>
      <x:c r="H31" s="139" t="n">
        <x:v>6</x:v>
      </x:c>
      <x:c r="I31" s="139" t="n">
        <x:v>3</x:v>
      </x:c>
    </x:row>
    <x:row r="32">
      <x:c r="A32" s="139" t="inlineStr">
        <x:is>
          <x:t xml:space="preserve">Austin</x:t>
        </x:is>
      </x:c>
      <x:c r="B32" s="139" t="inlineStr">
        <x:is>
          <x:t xml:space="preserve">Alice</x:t>
        </x:is>
      </x:c>
      <x:c r="C32" s="139" t="n">
        <x:v>2</x:v>
      </x:c>
      <x:c r="D32" s="139" t="n">
        <x:v>2</x:v>
      </x:c>
      <x:c r="E32" s="139" t="n">
        <x:v>0</x:v>
      </x:c>
      <x:c r="F32" s="93" t="n">
        <x:v>1</x:v>
      </x:c>
      <x:c r="G32" s="93" t="n">
        <x:v>0.07142857142857142</x:v>
      </x:c>
      <x:c r="H32" s="139" t="n">
        <x:v>6</x:v>
      </x:c>
      <x:c r="I32" s="139" t="n">
        <x:v>3</x:v>
      </x:c>
    </x:row>
    <x:row r="33">
      <x:c r="A33" s="139" t="inlineStr">
        <x:is>
          <x:t xml:space="preserve">Austin</x:t>
        </x:is>
      </x:c>
      <x:c r="B33" s="139" t="inlineStr">
        <x:is>
          <x:t xml:space="preserve">Nicholas</x:t>
        </x:is>
      </x:c>
      <x:c r="C33" s="139" t="n">
        <x:v>1</x:v>
      </x:c>
      <x:c r="D33" s="139" t="n">
        <x:v>1</x:v>
      </x:c>
      <x:c r="E33" s="139" t="n">
        <x:v>0</x:v>
      </x:c>
      <x:c r="F33" s="93" t="n">
        <x:v>1</x:v>
      </x:c>
      <x:c r="G33" s="93" t="n">
        <x:v>0.4285714285714285</x:v>
      </x:c>
      <x:c r="H33" s="139" t="n">
        <x:v>3</x:v>
      </x:c>
      <x:c r="I33" s="139" t="n">
        <x:v>3</x:v>
      </x:c>
    </x:row>
    <x:row r="34">
      <x:c r="A34" s="139" t="inlineStr">
        <x:is>
          <x:t xml:space="preserve">Austin</x:t>
        </x:is>
      </x:c>
      <x:c r="B34" s="139" t="inlineStr">
        <x:is>
          <x:t xml:space="preserve">David</x:t>
        </x:is>
      </x:c>
      <x:c r="C34" s="139" t="n">
        <x:v>1</x:v>
      </x:c>
      <x:c r="D34" s="139" t="n">
        <x:v>0</x:v>
      </x:c>
      <x:c r="E34" s="139" t="n">
        <x:v>1</x:v>
      </x:c>
      <x:c r="F34" s="93" t="n">
        <x:v>0</x:v>
      </x:c>
      <x:c r="G34" s="93" t="n">
        <x:v>0.4166666666666667</x:v>
      </x:c>
      <x:c r="H34" s="139" t="n">
        <x:v>-1</x:v>
      </x:c>
      <x:c r="I34" s="139" t="n">
        <x:v>-1</x:v>
      </x:c>
    </x:row>
    <x:row r="35">
      <x:c r="A35" s="139" t="inlineStr">
        <x:is>
          <x:t xml:space="preserve">Austin</x:t>
        </x:is>
      </x:c>
      <x:c r="B35" s="139" t="inlineStr">
        <x:is>
          <x:t xml:space="preserve">Donny</x:t>
        </x:is>
      </x:c>
      <x:c r="C35" s="139" t="n">
        <x:v>1</x:v>
      </x:c>
      <x:c r="D35" s="139" t="n">
        <x:v>0</x:v>
      </x:c>
      <x:c r="E35" s="139" t="n">
        <x:v>1</x:v>
      </x:c>
      <x:c r="F35" s="93" t="n">
        <x:v>0</x:v>
      </x:c>
      <x:c r="G35" s="93" t="n">
        <x:v>0.3636363636363636</x:v>
      </x:c>
      <x:c r="H35" s="139" t="n">
        <x:v>-1</x:v>
      </x:c>
      <x:c r="I35" s="139" t="n">
        <x:v>-1</x:v>
      </x:c>
    </x:row>
    <x:row r="36">
      <x:c r="A36" s="139" t="inlineStr">
        <x:is>
          <x:t xml:space="preserve">David</x:t>
        </x:is>
      </x:c>
      <x:c r="B36" s="139" t="inlineStr">
        <x:is>
          <x:t xml:space="preserve">Ronald</x:t>
        </x:is>
      </x:c>
      <x:c r="C36" s="139" t="n">
        <x:v>3</x:v>
      </x:c>
      <x:c r="D36" s="139" t="n">
        <x:v>1</x:v>
      </x:c>
      <x:c r="E36" s="139" t="n">
        <x:v>2</x:v>
      </x:c>
      <x:c r="F36" s="93" t="n">
        <x:v>0.3333333333333333</x:v>
      </x:c>
      <x:c r="G36" s="93" t="n">
        <x:v>0.6666666666666666</x:v>
      </x:c>
      <x:c r="H36" s="139" t="n">
        <x:v>-5</x:v>
      </x:c>
      <x:c r="I36" s="139" t="n">
        <x:v>-1.666666666666667</x:v>
      </x:c>
    </x:row>
    <x:row r="37">
      <x:c r="A37" s="139" t="inlineStr">
        <x:is>
          <x:t xml:space="preserve">David</x:t>
        </x:is>
      </x:c>
      <x:c r="B37" s="139" t="inlineStr">
        <x:is>
          <x:t xml:space="preserve">Ricky</x:t>
        </x:is>
      </x:c>
      <x:c r="C37" s="139" t="n">
        <x:v>3</x:v>
      </x:c>
      <x:c r="D37" s="139" t="n">
        <x:v>1</x:v>
      </x:c>
      <x:c r="E37" s="139" t="n">
        <x:v>2</x:v>
      </x:c>
      <x:c r="F37" s="93" t="n">
        <x:v>0.3333333333333333</x:v>
      </x:c>
      <x:c r="G37" s="93" t="n">
        <x:v>0.6153846153846154</x:v>
      </x:c>
      <x:c r="H37" s="139" t="n">
        <x:v>-5</x:v>
      </x:c>
      <x:c r="I37" s="139" t="n">
        <x:v>-1.666666666666667</x:v>
      </x:c>
    </x:row>
    <x:row r="38">
      <x:c r="A38" s="139" t="inlineStr">
        <x:is>
          <x:t xml:space="preserve">David</x:t>
        </x:is>
      </x:c>
      <x:c r="B38" s="139" t="inlineStr">
        <x:is>
          <x:t xml:space="preserve">Alice</x:t>
        </x:is>
      </x:c>
      <x:c r="C38" s="139" t="n">
        <x:v>3</x:v>
      </x:c>
      <x:c r="D38" s="139" t="n">
        <x:v>3</x:v>
      </x:c>
      <x:c r="E38" s="139" t="n">
        <x:v>0</x:v>
      </x:c>
      <x:c r="F38" s="93" t="n">
        <x:v>1</x:v>
      </x:c>
      <x:c r="G38" s="93" t="n">
        <x:v>0.07142857142857142</x:v>
      </x:c>
      <x:c r="H38" s="139" t="n">
        <x:v>5</x:v>
      </x:c>
      <x:c r="I38" s="139" t="n">
        <x:v>1.666666666666667</x:v>
      </x:c>
    </x:row>
    <x:row r="39">
      <x:c r="A39" s="139" t="inlineStr">
        <x:is>
          <x:t xml:space="preserve">David</x:t>
        </x:is>
      </x:c>
      <x:c r="B39" s="139" t="inlineStr">
        <x:is>
          <x:t xml:space="preserve">Sandy</x:t>
        </x:is>
      </x:c>
      <x:c r="C39" s="139" t="n">
        <x:v>2</x:v>
      </x:c>
      <x:c r="D39" s="139" t="n">
        <x:v>0</x:v>
      </x:c>
      <x:c r="E39" s="139" t="n">
        <x:v>2</x:v>
      </x:c>
      <x:c r="F39" s="93" t="n">
        <x:v>0</x:v>
      </x:c>
      <x:c r="G39" s="93" t="n">
        <x:v>0.8461538461538461</x:v>
      </x:c>
      <x:c r="H39" s="139" t="n">
        <x:v>-8</x:v>
      </x:c>
      <x:c r="I39" s="139" t="n">
        <x:v>-4</x:v>
      </x:c>
    </x:row>
    <x:row r="40">
      <x:c r="A40" s="139" t="inlineStr">
        <x:is>
          <x:t xml:space="preserve">David</x:t>
        </x:is>
      </x:c>
      <x:c r="B40" s="139" t="inlineStr">
        <x:is>
          <x:t xml:space="preserve">Rey</x:t>
        </x:is>
      </x:c>
      <x:c r="C40" s="139" t="n">
        <x:v>2</x:v>
      </x:c>
      <x:c r="D40" s="139" t="n">
        <x:v>0</x:v>
      </x:c>
      <x:c r="E40" s="139" t="n">
        <x:v>2</x:v>
      </x:c>
      <x:c r="F40" s="93" t="n">
        <x:v>0</x:v>
      </x:c>
      <x:c r="G40" s="93" t="n">
        <x:v>0.7142857142857143</x:v>
      </x:c>
      <x:c r="H40" s="139" t="n">
        <x:v>-4</x:v>
      </x:c>
      <x:c r="I40" s="139" t="n">
        <x:v>-2</x:v>
      </x:c>
    </x:row>
    <x:row r="41">
      <x:c r="A41" s="139" t="inlineStr">
        <x:is>
          <x:t xml:space="preserve">David</x:t>
        </x:is>
      </x:c>
      <x:c r="B41" s="139" t="inlineStr">
        <x:is>
          <x:t xml:space="preserve">Kennard</x:t>
        </x:is>
      </x:c>
      <x:c r="C41" s="139" t="n">
        <x:v>2</x:v>
      </x:c>
      <x:c r="D41" s="139" t="n">
        <x:v>0</x:v>
      </x:c>
      <x:c r="E41" s="139" t="n">
        <x:v>2</x:v>
      </x:c>
      <x:c r="F41" s="93" t="n">
        <x:v>0</x:v>
      </x:c>
      <x:c r="G41" s="93" t="n">
        <x:v>0.6923076923076923</x:v>
      </x:c>
      <x:c r="H41" s="139" t="n">
        <x:v>-3</x:v>
      </x:c>
      <x:c r="I41" s="139" t="n">
        <x:v>-1.5</x:v>
      </x:c>
    </x:row>
    <x:row r="42">
      <x:c r="A42" s="139" t="inlineStr">
        <x:is>
          <x:t xml:space="preserve">David</x:t>
        </x:is>
      </x:c>
      <x:c r="B42" s="139" t="inlineStr">
        <x:is>
          <x:t xml:space="preserve">Edy SP</x:t>
        </x:is>
      </x:c>
      <x:c r="C42" s="139" t="n">
        <x:v>2</x:v>
      </x:c>
      <x:c r="D42" s="139" t="n">
        <x:v>1</x:v>
      </x:c>
      <x:c r="E42" s="139" t="n">
        <x:v>1</x:v>
      </x:c>
      <x:c r="F42" s="93" t="n">
        <x:v>0.5</x:v>
      </x:c>
      <x:c r="G42" s="93" t="n">
        <x:v>0.4666666666666667</x:v>
      </x:c>
      <x:c r="H42" s="139" t="n">
        <x:v>-2</x:v>
      </x:c>
      <x:c r="I42" s="139" t="n">
        <x:v>-1</x:v>
      </x:c>
    </x:row>
    <x:row r="43">
      <x:c r="A43" s="139" t="inlineStr">
        <x:is>
          <x:t xml:space="preserve">David</x:t>
        </x:is>
      </x:c>
      <x:c r="B43" s="139" t="inlineStr">
        <x:is>
          <x:t xml:space="preserve">Michael</x:t>
        </x:is>
      </x:c>
      <x:c r="C43" s="139" t="n">
        <x:v>2</x:v>
      </x:c>
      <x:c r="D43" s="139" t="n">
        <x:v>1</x:v>
      </x:c>
      <x:c r="E43" s="139" t="n">
        <x:v>1</x:v>
      </x:c>
      <x:c r="F43" s="93" t="n">
        <x:v>0.5</x:v>
      </x:c>
      <x:c r="G43" s="93" t="n">
        <x:v>0.4615384615384616</x:v>
      </x:c>
      <x:c r="H43" s="139" t="n">
        <x:v>-1</x:v>
      </x:c>
      <x:c r="I43" s="139" t="n">
        <x:v>-0.5</x:v>
      </x:c>
    </x:row>
    <x:row r="44">
      <x:c r="A44" s="139" t="inlineStr">
        <x:is>
          <x:t xml:space="preserve">David</x:t>
        </x:is>
      </x:c>
      <x:c r="B44" s="139" t="inlineStr">
        <x:is>
          <x:t xml:space="preserve">Nicholas</x:t>
        </x:is>
      </x:c>
      <x:c r="C44" s="139" t="n">
        <x:v>2</x:v>
      </x:c>
      <x:c r="D44" s="139" t="n">
        <x:v>1</x:v>
      </x:c>
      <x:c r="E44" s="139" t="n">
        <x:v>1</x:v>
      </x:c>
      <x:c r="F44" s="93" t="n">
        <x:v>0.5</x:v>
      </x:c>
      <x:c r="G44" s="93" t="n">
        <x:v>0.4285714285714285</x:v>
      </x:c>
      <x:c r="H44" s="139" t="n">
        <x:v>2</x:v>
      </x:c>
      <x:c r="I44" s="139" t="n">
        <x:v>1</x:v>
      </x:c>
    </x:row>
    <x:row r="45">
      <x:c r="A45" s="139" t="inlineStr">
        <x:is>
          <x:t xml:space="preserve">David</x:t>
        </x:is>
      </x:c>
      <x:c r="B45" s="139" t="inlineStr">
        <x:is>
          <x:t xml:space="preserve">Austin</x:t>
        </x:is>
      </x:c>
      <x:c r="C45" s="139" t="n">
        <x:v>1</x:v>
      </x:c>
      <x:c r="D45" s="139" t="n">
        <x:v>1</x:v>
      </x:c>
      <x:c r="E45" s="139" t="n">
        <x:v>0</x:v>
      </x:c>
      <x:c r="F45" s="93" t="n">
        <x:v>1</x:v>
      </x:c>
      <x:c r="G45" s="93" t="n">
        <x:v>0.6428571428571429</x:v>
      </x:c>
      <x:c r="H45" s="139" t="n">
        <x:v>1</x:v>
      </x:c>
      <x:c r="I45" s="139" t="n">
        <x:v>1</x:v>
      </x:c>
    </x:row>
    <x:row r="46">
      <x:c r="A46" s="139" t="inlineStr">
        <x:is>
          <x:t xml:space="preserve">David</x:t>
        </x:is>
      </x:c>
      <x:c r="B46" s="139" t="inlineStr">
        <x:is>
          <x:t xml:space="preserve">Donny</x:t>
        </x:is>
      </x:c>
      <x:c r="C46" s="139" t="n">
        <x:v>1</x:v>
      </x:c>
      <x:c r="D46" s="139" t="n">
        <x:v>0</x:v>
      </x:c>
      <x:c r="E46" s="139" t="n">
        <x:v>1</x:v>
      </x:c>
      <x:c r="F46" s="93" t="n">
        <x:v>0</x:v>
      </x:c>
      <x:c r="G46" s="93" t="n">
        <x:v>0.3636363636363636</x:v>
      </x:c>
      <x:c r="H46" s="139" t="n">
        <x:v>-3</x:v>
      </x:c>
      <x:c r="I46" s="139" t="n">
        <x:v>-3</x:v>
      </x:c>
    </x:row>
    <x:row r="47">
      <x:c r="A47" s="139" t="inlineStr">
        <x:is>
          <x:t xml:space="preserve">David</x:t>
        </x:is>
      </x:c>
      <x:c r="B47" s="139" t="inlineStr">
        <x:is>
          <x:t xml:space="preserve">Nico</x:t>
        </x:is>
      </x:c>
      <x:c r="C47" s="139" t="n">
        <x:v>1</x:v>
      </x:c>
      <x:c r="D47" s="139" t="n">
        <x:v>1</x:v>
      </x:c>
      <x:c r="E47" s="139" t="n">
        <x:v>0</x:v>
      </x:c>
      <x:c r="F47" s="93" t="n">
        <x:v>1</x:v>
      </x:c>
      <x:c r="G47" s="93" t="n">
        <x:v>0.3333333333333333</x:v>
      </x:c>
      <x:c r="H47" s="139" t="n">
        <x:v>1</x:v>
      </x:c>
      <x:c r="I47" s="139" t="n">
        <x:v>1</x:v>
      </x:c>
    </x:row>
    <x:row r="48">
      <x:c r="A48" s="139" t="inlineStr">
        <x:is>
          <x:t xml:space="preserve">Donny</x:t>
        </x:is>
      </x:c>
      <x:c r="B48" s="139" t="inlineStr">
        <x:is>
          <x:t xml:space="preserve">Ronald</x:t>
        </x:is>
      </x:c>
      <x:c r="C48" s="139" t="n">
        <x:v>4</x:v>
      </x:c>
      <x:c r="D48" s="139" t="n">
        <x:v>1</x:v>
      </x:c>
      <x:c r="E48" s="139" t="n">
        <x:v>3</x:v>
      </x:c>
      <x:c r="F48" s="93" t="n">
        <x:v>0.25</x:v>
      </x:c>
      <x:c r="G48" s="93" t="n">
        <x:v>0.6666666666666666</x:v>
      </x:c>
      <x:c r="H48" s="139" t="n">
        <x:v>-4</x:v>
      </x:c>
      <x:c r="I48" s="139" t="n">
        <x:v>-1</x:v>
      </x:c>
    </x:row>
    <x:row r="49">
      <x:c r="A49" s="139" t="inlineStr">
        <x:is>
          <x:t xml:space="preserve">Donny</x:t>
        </x:is>
      </x:c>
      <x:c r="B49" s="139" t="inlineStr">
        <x:is>
          <x:t xml:space="preserve">Edy SP</x:t>
        </x:is>
      </x:c>
      <x:c r="C49" s="139" t="n">
        <x:v>4</x:v>
      </x:c>
      <x:c r="D49" s="139" t="n">
        <x:v>1</x:v>
      </x:c>
      <x:c r="E49" s="139" t="n">
        <x:v>3</x:v>
      </x:c>
      <x:c r="F49" s="93" t="n">
        <x:v>0.25</x:v>
      </x:c>
      <x:c r="G49" s="93" t="n">
        <x:v>0.4666666666666667</x:v>
      </x:c>
      <x:c r="H49" s="139" t="n">
        <x:v>-7</x:v>
      </x:c>
      <x:c r="I49" s="139" t="n">
        <x:v>-1.75</x:v>
      </x:c>
    </x:row>
    <x:row r="50">
      <x:c r="A50" s="139" t="inlineStr">
        <x:is>
          <x:t xml:space="preserve">Donny</x:t>
        </x:is>
      </x:c>
      <x:c r="B50" s="139" t="inlineStr">
        <x:is>
          <x:t xml:space="preserve">Thohir</x:t>
        </x:is>
      </x:c>
      <x:c r="C50" s="139" t="n">
        <x:v>2</x:v>
      </x:c>
      <x:c r="D50" s="139" t="n">
        <x:v>0</x:v>
      </x:c>
      <x:c r="E50" s="139" t="n">
        <x:v>2</x:v>
      </x:c>
      <x:c r="F50" s="93" t="n">
        <x:v>0</x:v>
      </x:c>
      <x:c r="G50" s="93" t="n">
        <x:v>1</x:v>
      </x:c>
      <x:c r="H50" s="139" t="n">
        <x:v>-4</x:v>
      </x:c>
      <x:c r="I50" s="139" t="n">
        <x:v>-2</x:v>
      </x:c>
    </x:row>
    <x:row r="51">
      <x:c r="A51" s="139" t="inlineStr">
        <x:is>
          <x:t xml:space="preserve">Donny</x:t>
        </x:is>
      </x:c>
      <x:c r="B51" s="139" t="inlineStr">
        <x:is>
          <x:t xml:space="preserve">Ricky</x:t>
        </x:is>
      </x:c>
      <x:c r="C51" s="139" t="n">
        <x:v>2</x:v>
      </x:c>
      <x:c r="D51" s="139" t="n">
        <x:v>1</x:v>
      </x:c>
      <x:c r="E51" s="139" t="n">
        <x:v>1</x:v>
      </x:c>
      <x:c r="F51" s="93" t="n">
        <x:v>0.5</x:v>
      </x:c>
      <x:c r="G51" s="93" t="n">
        <x:v>0.6153846153846154</x:v>
      </x:c>
      <x:c r="H51" s="139" t="n">
        <x:v>2</x:v>
      </x:c>
      <x:c r="I51" s="139" t="n">
        <x:v>1</x:v>
      </x:c>
    </x:row>
    <x:row r="52">
      <x:c r="A52" s="139" t="inlineStr">
        <x:is>
          <x:t xml:space="preserve">Donny</x:t>
        </x:is>
      </x:c>
      <x:c r="B52" s="139" t="inlineStr">
        <x:is>
          <x:t xml:space="preserve">Nicholas</x:t>
        </x:is>
      </x:c>
      <x:c r="C52" s="139" t="n">
        <x:v>2</x:v>
      </x:c>
      <x:c r="D52" s="139" t="n">
        <x:v>0</x:v>
      </x:c>
      <x:c r="E52" s="139" t="n">
        <x:v>2</x:v>
      </x:c>
      <x:c r="F52" s="93" t="n">
        <x:v>0</x:v>
      </x:c>
      <x:c r="G52" s="93" t="n">
        <x:v>0.4285714285714285</x:v>
      </x:c>
      <x:c r="H52" s="139" t="n">
        <x:v>-4</x:v>
      </x:c>
      <x:c r="I52" s="139" t="n">
        <x:v>-2</x:v>
      </x:c>
    </x:row>
    <x:row r="53">
      <x:c r="A53" s="139" t="inlineStr">
        <x:is>
          <x:t xml:space="preserve">Donny</x:t>
        </x:is>
      </x:c>
      <x:c r="B53" s="139" t="inlineStr">
        <x:is>
          <x:t xml:space="preserve">Welly</x:t>
        </x:is>
      </x:c>
      <x:c r="C53" s="139" t="n">
        <x:v>2</x:v>
      </x:c>
      <x:c r="D53" s="139" t="n">
        <x:v>1</x:v>
      </x:c>
      <x:c r="E53" s="139" t="n">
        <x:v>1</x:v>
      </x:c>
      <x:c r="F53" s="93" t="n">
        <x:v>0.5</x:v>
      </x:c>
      <x:c r="G53" s="93" t="n">
        <x:v>0.2</x:v>
      </x:c>
      <x:c r="H53" s="139" t="n">
        <x:v>-1</x:v>
      </x:c>
      <x:c r="I53" s="139" t="n">
        <x:v>-0.5</x:v>
      </x:c>
    </x:row>
    <x:row r="54">
      <x:c r="A54" s="139" t="inlineStr">
        <x:is>
          <x:t xml:space="preserve">Donny</x:t>
        </x:is>
      </x:c>
      <x:c r="B54" s="139" t="inlineStr">
        <x:is>
          <x:t xml:space="preserve">Alice</x:t>
        </x:is>
      </x:c>
      <x:c r="C54" s="139" t="n">
        <x:v>2</x:v>
      </x:c>
      <x:c r="D54" s="139" t="n">
        <x:v>1</x:v>
      </x:c>
      <x:c r="E54" s="139" t="n">
        <x:v>1</x:v>
      </x:c>
      <x:c r="F54" s="93" t="n">
        <x:v>0.5</x:v>
      </x:c>
      <x:c r="G54" s="93" t="n">
        <x:v>0.07142857142857142</x:v>
      </x:c>
      <x:c r="H54" s="139" t="n">
        <x:v>0</x:v>
      </x:c>
      <x:c r="I54" s="139" t="n">
        <x:v>0</x:v>
      </x:c>
    </x:row>
    <x:row r="55">
      <x:c r="A55" s="139" t="inlineStr">
        <x:is>
          <x:t xml:space="preserve">Donny</x:t>
        </x:is>
      </x:c>
      <x:c r="B55" s="139" t="inlineStr">
        <x:is>
          <x:t xml:space="preserve">Sandy</x:t>
        </x:is>
      </x:c>
      <x:c r="C55" s="139" t="n">
        <x:v>1</x:v>
      </x:c>
      <x:c r="D55" s="139" t="n">
        <x:v>1</x:v>
      </x:c>
      <x:c r="E55" s="139" t="n">
        <x:v>0</x:v>
      </x:c>
      <x:c r="F55" s="93" t="n">
        <x:v>1</x:v>
      </x:c>
      <x:c r="G55" s="93" t="n">
        <x:v>0.8461538461538461</x:v>
      </x:c>
      <x:c r="H55" s="139" t="n">
        <x:v>1</x:v>
      </x:c>
      <x:c r="I55" s="139" t="n">
        <x:v>1</x:v>
      </x:c>
    </x:row>
    <x:row r="56">
      <x:c r="A56" s="139" t="inlineStr">
        <x:is>
          <x:t xml:space="preserve">Donny</x:t>
        </x:is>
      </x:c>
      <x:c r="B56" s="139" t="inlineStr">
        <x:is>
          <x:t xml:space="preserve">Jonathan</x:t>
        </x:is>
      </x:c>
      <x:c r="C56" s="139" t="n">
        <x:v>1</x:v>
      </x:c>
      <x:c r="D56" s="139" t="n">
        <x:v>0</x:v>
      </x:c>
      <x:c r="E56" s="139" t="n">
        <x:v>1</x:v>
      </x:c>
      <x:c r="F56" s="93" t="n">
        <x:v>0</x:v>
      </x:c>
      <x:c r="G56" s="93" t="n">
        <x:v>0.6666666666666666</x:v>
      </x:c>
      <x:c r="H56" s="139" t="n">
        <x:v>-1</x:v>
      </x:c>
      <x:c r="I56" s="139" t="n">
        <x:v>-1</x:v>
      </x:c>
    </x:row>
    <x:row r="57">
      <x:c r="A57" s="139" t="inlineStr">
        <x:is>
          <x:t xml:space="preserve">Donny</x:t>
        </x:is>
      </x:c>
      <x:c r="B57" s="139" t="inlineStr">
        <x:is>
          <x:t xml:space="preserve">Austin</x:t>
        </x:is>
      </x:c>
      <x:c r="C57" s="139" t="n">
        <x:v>1</x:v>
      </x:c>
      <x:c r="D57" s="139" t="n">
        <x:v>1</x:v>
      </x:c>
      <x:c r="E57" s="139" t="n">
        <x:v>0</x:v>
      </x:c>
      <x:c r="F57" s="93" t="n">
        <x:v>1</x:v>
      </x:c>
      <x:c r="G57" s="93" t="n">
        <x:v>0.6428571428571429</x:v>
      </x:c>
      <x:c r="H57" s="139" t="n">
        <x:v>1</x:v>
      </x:c>
      <x:c r="I57" s="139" t="n">
        <x:v>1</x:v>
      </x:c>
    </x:row>
    <x:row r="58">
      <x:c r="A58" s="139" t="inlineStr">
        <x:is>
          <x:t xml:space="preserve">Donny</x:t>
        </x:is>
      </x:c>
      <x:c r="B58" s="139" t="inlineStr">
        <x:is>
          <x:t xml:space="preserve">David</x:t>
        </x:is>
      </x:c>
      <x:c r="C58" s="139" t="n">
        <x:v>1</x:v>
      </x:c>
      <x:c r="D58" s="139" t="n">
        <x:v>1</x:v>
      </x:c>
      <x:c r="E58" s="139" t="n">
        <x:v>0</x:v>
      </x:c>
      <x:c r="F58" s="93" t="n">
        <x:v>1</x:v>
      </x:c>
      <x:c r="G58" s="93" t="n">
        <x:v>0.4166666666666667</x:v>
      </x:c>
      <x:c r="H58" s="139" t="n">
        <x:v>3</x:v>
      </x:c>
      <x:c r="I58" s="139" t="n">
        <x:v>3</x:v>
      </x:c>
    </x:row>
    <x:row r="59">
      <x:c r="A59" s="139" t="inlineStr">
        <x:is>
          <x:t xml:space="preserve">Edy SP</x:t>
        </x:is>
      </x:c>
      <x:c r="B59" s="139" t="inlineStr">
        <x:is>
          <x:t xml:space="preserve">Ricky</x:t>
        </x:is>
      </x:c>
      <x:c r="C59" s="139" t="n">
        <x:v>8</x:v>
      </x:c>
      <x:c r="D59" s="139" t="n">
        <x:v>3</x:v>
      </x:c>
      <x:c r="E59" s="139" t="n">
        <x:v>5</x:v>
      </x:c>
      <x:c r="F59" s="93" t="n">
        <x:v>0.375</x:v>
      </x:c>
      <x:c r="G59" s="93" t="n">
        <x:v>0.6153846153846154</x:v>
      </x:c>
      <x:c r="H59" s="139" t="n">
        <x:v>-8</x:v>
      </x:c>
      <x:c r="I59" s="139" t="n">
        <x:v>-1</x:v>
      </x:c>
    </x:row>
    <x:row r="60">
      <x:c r="A60" s="139" t="inlineStr">
        <x:is>
          <x:t xml:space="preserve">Edy SP</x:t>
        </x:is>
      </x:c>
      <x:c r="B60" s="139" t="inlineStr">
        <x:is>
          <x:t xml:space="preserve">Ronald</x:t>
        </x:is>
      </x:c>
      <x:c r="C60" s="139" t="n">
        <x:v>6</x:v>
      </x:c>
      <x:c r="D60" s="139" t="n">
        <x:v>1</x:v>
      </x:c>
      <x:c r="E60" s="139" t="n">
        <x:v>5</x:v>
      </x:c>
      <x:c r="F60" s="93" t="n">
        <x:v>0.1666666666666667</x:v>
      </x:c>
      <x:c r="G60" s="93" t="n">
        <x:v>0.6666666666666666</x:v>
      </x:c>
      <x:c r="H60" s="139" t="n">
        <x:v>-13</x:v>
      </x:c>
      <x:c r="I60" s="139" t="n">
        <x:v>-2.166666666666667</x:v>
      </x:c>
    </x:row>
    <x:row r="61">
      <x:c r="A61" s="139" t="inlineStr">
        <x:is>
          <x:t xml:space="preserve">Edy SP</x:t>
        </x:is>
      </x:c>
      <x:c r="B61" s="139" t="inlineStr">
        <x:is>
          <x:t xml:space="preserve">Kennard</x:t>
        </x:is>
      </x:c>
      <x:c r="C61" s="139" t="n">
        <x:v>4</x:v>
      </x:c>
      <x:c r="D61" s="139" t="n">
        <x:v>1</x:v>
      </x:c>
      <x:c r="E61" s="139" t="n">
        <x:v>3</x:v>
      </x:c>
      <x:c r="F61" s="93" t="n">
        <x:v>0.25</x:v>
      </x:c>
      <x:c r="G61" s="93" t="n">
        <x:v>0.6923076923076923</x:v>
      </x:c>
      <x:c r="H61" s="139" t="n">
        <x:v>-4</x:v>
      </x:c>
      <x:c r="I61" s="139" t="n">
        <x:v>-1</x:v>
      </x:c>
    </x:row>
    <x:row r="62">
      <x:c r="A62" s="139" t="inlineStr">
        <x:is>
          <x:t xml:space="preserve">Edy SP</x:t>
        </x:is>
      </x:c>
      <x:c r="B62" s="139" t="inlineStr">
        <x:is>
          <x:t xml:space="preserve">Rizky</x:t>
        </x:is>
      </x:c>
      <x:c r="C62" s="139" t="n">
        <x:v>4</x:v>
      </x:c>
      <x:c r="D62" s="139" t="n">
        <x:v>2</x:v>
      </x:c>
      <x:c r="E62" s="139" t="n">
        <x:v>2</x:v>
      </x:c>
      <x:c r="F62" s="93" t="n">
        <x:v>0.5</x:v>
      </x:c>
      <x:c r="G62" s="93" t="n">
        <x:v>0.6666666666666666</x:v>
      </x:c>
      <x:c r="H62" s="139" t="n">
        <x:v>-1</x:v>
      </x:c>
      <x:c r="I62" s="139" t="n">
        <x:v>-0.25</x:v>
      </x:c>
    </x:row>
    <x:row r="63">
      <x:c r="A63" s="139" t="inlineStr">
        <x:is>
          <x:t xml:space="preserve">Edy SP</x:t>
        </x:is>
      </x:c>
      <x:c r="B63" s="139" t="inlineStr">
        <x:is>
          <x:t xml:space="preserve">Michael</x:t>
        </x:is>
      </x:c>
      <x:c r="C63" s="139" t="n">
        <x:v>4</x:v>
      </x:c>
      <x:c r="D63" s="139" t="n">
        <x:v>2</x:v>
      </x:c>
      <x:c r="E63" s="139" t="n">
        <x:v>2</x:v>
      </x:c>
      <x:c r="F63" s="93" t="n">
        <x:v>0.5</x:v>
      </x:c>
      <x:c r="G63" s="93" t="n">
        <x:v>0.4615384615384616</x:v>
      </x:c>
      <x:c r="H63" s="139" t="n">
        <x:v>1</x:v>
      </x:c>
      <x:c r="I63" s="139" t="n">
        <x:v>0.25</x:v>
      </x:c>
    </x:row>
    <x:row r="64">
      <x:c r="A64" s="139" t="inlineStr">
        <x:is>
          <x:t xml:space="preserve">Edy SP</x:t>
        </x:is>
      </x:c>
      <x:c r="B64" s="139" t="inlineStr">
        <x:is>
          <x:t xml:space="preserve">Donny</x:t>
        </x:is>
      </x:c>
      <x:c r="C64" s="139" t="n">
        <x:v>4</x:v>
      </x:c>
      <x:c r="D64" s="139" t="n">
        <x:v>3</x:v>
      </x:c>
      <x:c r="E64" s="139" t="n">
        <x:v>1</x:v>
      </x:c>
      <x:c r="F64" s="93" t="n">
        <x:v>0.75</x:v>
      </x:c>
      <x:c r="G64" s="93" t="n">
        <x:v>0.3636363636363636</x:v>
      </x:c>
      <x:c r="H64" s="139" t="n">
        <x:v>7</x:v>
      </x:c>
      <x:c r="I64" s="139" t="n">
        <x:v>1.75</x:v>
      </x:c>
    </x:row>
    <x:row r="65">
      <x:c r="A65" s="139" t="inlineStr">
        <x:is>
          <x:t xml:space="preserve">Edy SP</x:t>
        </x:is>
      </x:c>
      <x:c r="B65" s="139" t="inlineStr">
        <x:is>
          <x:t xml:space="preserve">Welly</x:t>
        </x:is>
      </x:c>
      <x:c r="C65" s="139" t="n">
        <x:v>4</x:v>
      </x:c>
      <x:c r="D65" s="139" t="n">
        <x:v>2</x:v>
      </x:c>
      <x:c r="E65" s="139" t="n">
        <x:v>2</x:v>
      </x:c>
      <x:c r="F65" s="93" t="n">
        <x:v>0.5</x:v>
      </x:c>
      <x:c r="G65" s="93" t="n">
        <x:v>0.2</x:v>
      </x:c>
      <x:c r="H65" s="139" t="n">
        <x:v>1</x:v>
      </x:c>
      <x:c r="I65" s="139" t="n">
        <x:v>0.25</x:v>
      </x:c>
    </x:row>
    <x:row r="66">
      <x:c r="A66" s="139" t="inlineStr">
        <x:is>
          <x:t xml:space="preserve">Edy SP</x:t>
        </x:is>
      </x:c>
      <x:c r="B66" s="139" t="inlineStr">
        <x:is>
          <x:t xml:space="preserve">Hansen</x:t>
        </x:is>
      </x:c>
      <x:c r="C66" s="139" t="n">
        <x:v>4</x:v>
      </x:c>
      <x:c r="D66" s="139" t="n">
        <x:v>4</x:v>
      </x:c>
      <x:c r="E66" s="139" t="n">
        <x:v>0</x:v>
      </x:c>
      <x:c r="F66" s="93" t="n">
        <x:v>1</x:v>
      </x:c>
      <x:c r="G66" s="93" t="n">
        <x:v>0</x:v>
      </x:c>
      <x:c r="H66" s="139" t="n">
        <x:v>9</x:v>
      </x:c>
      <x:c r="I66" s="139" t="n">
        <x:v>2.25</x:v>
      </x:c>
    </x:row>
    <x:row r="67">
      <x:c r="A67" s="139" t="inlineStr">
        <x:is>
          <x:t xml:space="preserve">Edy SP</x:t>
        </x:is>
      </x:c>
      <x:c r="B67" s="139" t="inlineStr">
        <x:is>
          <x:t xml:space="preserve">Sandy</x:t>
        </x:is>
      </x:c>
      <x:c r="C67" s="139" t="n">
        <x:v>3</x:v>
      </x:c>
      <x:c r="D67" s="139" t="n">
        <x:v>0</x:v>
      </x:c>
      <x:c r="E67" s="139" t="n">
        <x:v>3</x:v>
      </x:c>
      <x:c r="F67" s="93" t="n">
        <x:v>0</x:v>
      </x:c>
      <x:c r="G67" s="93" t="n">
        <x:v>0.8461538461538461</x:v>
      </x:c>
      <x:c r="H67" s="139" t="n">
        <x:v>-11</x:v>
      </x:c>
      <x:c r="I67" s="139" t="n">
        <x:v>-3.666666666666667</x:v>
      </x:c>
    </x:row>
    <x:row r="68">
      <x:c r="A68" s="139" t="inlineStr">
        <x:is>
          <x:t xml:space="preserve">Edy SP</x:t>
        </x:is>
      </x:c>
      <x:c r="B68" s="139" t="inlineStr">
        <x:is>
          <x:t xml:space="preserve">Alice</x:t>
        </x:is>
      </x:c>
      <x:c r="C68" s="139" t="n">
        <x:v>3</x:v>
      </x:c>
      <x:c r="D68" s="139" t="n">
        <x:v>3</x:v>
      </x:c>
      <x:c r="E68" s="139" t="n">
        <x:v>0</x:v>
      </x:c>
      <x:c r="F68" s="93" t="n">
        <x:v>1</x:v>
      </x:c>
      <x:c r="G68" s="93" t="n">
        <x:v>0.07142857142857142</x:v>
      </x:c>
      <x:c r="H68" s="139" t="n">
        <x:v>9</x:v>
      </x:c>
      <x:c r="I68" s="139" t="n">
        <x:v>3</x:v>
      </x:c>
    </x:row>
    <x:row r="69">
      <x:c r="A69" s="139" t="inlineStr">
        <x:is>
          <x:t xml:space="preserve">Edy SP</x:t>
        </x:is>
      </x:c>
      <x:c r="B69" s="139" t="inlineStr">
        <x:is>
          <x:t xml:space="preserve">Thohir</x:t>
        </x:is>
      </x:c>
      <x:c r="C69" s="139" t="n">
        <x:v>2</x:v>
      </x:c>
      <x:c r="D69" s="139" t="n">
        <x:v>0</x:v>
      </x:c>
      <x:c r="E69" s="139" t="n">
        <x:v>2</x:v>
      </x:c>
      <x:c r="F69" s="93" t="n">
        <x:v>0</x:v>
      </x:c>
      <x:c r="G69" s="93" t="n">
        <x:v>1</x:v>
      </x:c>
      <x:c r="H69" s="139" t="n">
        <x:v>-6</x:v>
      </x:c>
      <x:c r="I69" s="139" t="n">
        <x:v>-3</x:v>
      </x:c>
    </x:row>
    <x:row r="70">
      <x:c r="A70" s="139" t="inlineStr">
        <x:is>
          <x:t xml:space="preserve">Edy SP</x:t>
        </x:is>
      </x:c>
      <x:c r="B70" s="139" t="inlineStr">
        <x:is>
          <x:t xml:space="preserve">Jonathan</x:t>
        </x:is>
      </x:c>
      <x:c r="C70" s="139" t="n">
        <x:v>2</x:v>
      </x:c>
      <x:c r="D70" s="139" t="n">
        <x:v>0</x:v>
      </x:c>
      <x:c r="E70" s="139" t="n">
        <x:v>2</x:v>
      </x:c>
      <x:c r="F70" s="93" t="n">
        <x:v>0</x:v>
      </x:c>
      <x:c r="G70" s="93" t="n">
        <x:v>0.6666666666666666</x:v>
      </x:c>
      <x:c r="H70" s="139" t="n">
        <x:v>-2</x:v>
      </x:c>
      <x:c r="I70" s="139" t="n">
        <x:v>-1</x:v>
      </x:c>
    </x:row>
    <x:row r="71">
      <x:c r="A71" s="139" t="inlineStr">
        <x:is>
          <x:t xml:space="preserve">Edy SP</x:t>
        </x:is>
      </x:c>
      <x:c r="B71" s="139" t="inlineStr">
        <x:is>
          <x:t xml:space="preserve">Austin</x:t>
        </x:is>
      </x:c>
      <x:c r="C71" s="139" t="n">
        <x:v>2</x:v>
      </x:c>
      <x:c r="D71" s="139" t="n">
        <x:v>1</x:v>
      </x:c>
      <x:c r="E71" s="139" t="n">
        <x:v>1</x:v>
      </x:c>
      <x:c r="F71" s="93" t="n">
        <x:v>0.5</x:v>
      </x:c>
      <x:c r="G71" s="93" t="n">
        <x:v>0.6428571428571429</x:v>
      </x:c>
      <x:c r="H71" s="139" t="n">
        <x:v>-2</x:v>
      </x:c>
      <x:c r="I71" s="139" t="n">
        <x:v>-1</x:v>
      </x:c>
    </x:row>
    <x:row r="72">
      <x:c r="A72" s="139" t="inlineStr">
        <x:is>
          <x:t xml:space="preserve">Edy SP</x:t>
        </x:is>
      </x:c>
      <x:c r="B72" s="139" t="inlineStr">
        <x:is>
          <x:t xml:space="preserve">Nicholas</x:t>
        </x:is>
      </x:c>
      <x:c r="C72" s="139" t="n">
        <x:v>2</x:v>
      </x:c>
      <x:c r="D72" s="139" t="n">
        <x:v>1</x:v>
      </x:c>
      <x:c r="E72" s="139" t="n">
        <x:v>1</x:v>
      </x:c>
      <x:c r="F72" s="93" t="n">
        <x:v>0.5</x:v>
      </x:c>
      <x:c r="G72" s="93" t="n">
        <x:v>0.4285714285714285</x:v>
      </x:c>
      <x:c r="H72" s="139" t="n">
        <x:v>0</x:v>
      </x:c>
      <x:c r="I72" s="139" t="n">
        <x:v>0</x:v>
      </x:c>
    </x:row>
    <x:row r="73">
      <x:c r="A73" s="139" t="inlineStr">
        <x:is>
          <x:t xml:space="preserve">Edy SP</x:t>
        </x:is>
      </x:c>
      <x:c r="B73" s="139" t="inlineStr">
        <x:is>
          <x:t xml:space="preserve">David</x:t>
        </x:is>
      </x:c>
      <x:c r="C73" s="139" t="n">
        <x:v>2</x:v>
      </x:c>
      <x:c r="D73" s="139" t="n">
        <x:v>1</x:v>
      </x:c>
      <x:c r="E73" s="139" t="n">
        <x:v>1</x:v>
      </x:c>
      <x:c r="F73" s="93" t="n">
        <x:v>0.5</x:v>
      </x:c>
      <x:c r="G73" s="93" t="n">
        <x:v>0.4166666666666667</x:v>
      </x:c>
      <x:c r="H73" s="139" t="n">
        <x:v>2</x:v>
      </x:c>
      <x:c r="I73" s="139" t="n">
        <x:v>1</x:v>
      </x:c>
    </x:row>
    <x:row r="74">
      <x:c r="A74" s="139" t="inlineStr">
        <x:is>
          <x:t xml:space="preserve">Edy SP</x:t>
        </x:is>
      </x:c>
      <x:c r="B74" s="139" t="inlineStr">
        <x:is>
          <x:t xml:space="preserve">Nico</x:t>
        </x:is>
      </x:c>
      <x:c r="C74" s="139" t="n">
        <x:v>2</x:v>
      </x:c>
      <x:c r="D74" s="139" t="n">
        <x:v>2</x:v>
      </x:c>
      <x:c r="E74" s="139" t="n">
        <x:v>0</x:v>
      </x:c>
      <x:c r="F74" s="93" t="n">
        <x:v>1</x:v>
      </x:c>
      <x:c r="G74" s="93" t="n">
        <x:v>0.3333333333333333</x:v>
      </x:c>
      <x:c r="H74" s="139" t="n">
        <x:v>7</x:v>
      </x:c>
      <x:c r="I74" s="139" t="n">
        <x:v>3.5</x:v>
      </x:c>
    </x:row>
    <x:row r="75">
      <x:c r="A75" s="139" t="inlineStr">
        <x:is>
          <x:t xml:space="preserve">Edy SP</x:t>
        </x:is>
      </x:c>
      <x:c r="B75" s="139" t="inlineStr">
        <x:is>
          <x:t xml:space="preserve">Reza</x:t>
        </x:is>
      </x:c>
      <x:c r="C75" s="139" t="n">
        <x:v>2</x:v>
      </x:c>
      <x:c r="D75" s="139" t="n">
        <x:v>1</x:v>
      </x:c>
      <x:c r="E75" s="139" t="n">
        <x:v>1</x:v>
      </x:c>
      <x:c r="F75" s="93" t="n">
        <x:v>0.5</x:v>
      </x:c>
      <x:c r="G75" s="93" t="n">
        <x:v>0.3333333333333333</x:v>
      </x:c>
      <x:c r="H75" s="139" t="n">
        <x:v>2</x:v>
      </x:c>
      <x:c r="I75" s="139" t="n">
        <x:v>1</x:v>
      </x:c>
    </x:row>
    <x:row r="76">
      <x:c r="A76" s="139" t="inlineStr">
        <x:is>
          <x:t xml:space="preserve">Edy SP</x:t>
        </x:is>
      </x:c>
      <x:c r="B76" s="139" t="inlineStr">
        <x:is>
          <x:t xml:space="preserve">Rey</x:t>
        </x:is>
      </x:c>
      <x:c r="C76" s="139" t="n">
        <x:v>1</x:v>
      </x:c>
      <x:c r="D76" s="139" t="n">
        <x:v>0</x:v>
      </x:c>
      <x:c r="E76" s="139" t="n">
        <x:v>1</x:v>
      </x:c>
      <x:c r="F76" s="93" t="n">
        <x:v>0</x:v>
      </x:c>
      <x:c r="G76" s="93" t="n">
        <x:v>0.7142857142857143</x:v>
      </x:c>
      <x:c r="H76" s="139" t="n">
        <x:v>-2</x:v>
      </x:c>
      <x:c r="I76" s="139" t="n">
        <x:v>-2</x:v>
      </x:c>
    </x:row>
    <x:row r="77">
      <x:c r="A77" s="139" t="inlineStr">
        <x:is>
          <x:t xml:space="preserve">Edy SP</x:t>
        </x:is>
      </x:c>
      <x:c r="B77" s="139" t="inlineStr">
        <x:is>
          <x:t xml:space="preserve">Alwin</x:t>
        </x:is>
      </x:c>
      <x:c r="C77" s="139" t="n">
        <x:v>1</x:v>
      </x:c>
      <x:c r="D77" s="139" t="n">
        <x:v>1</x:v>
      </x:c>
      <x:c r="E77" s="139" t="n">
        <x:v>0</x:v>
      </x:c>
      <x:c r="F77" s="93" t="n">
        <x:v>1</x:v>
      </x:c>
      <x:c r="G77" s="93" t="n">
        <x:v>0.1666666666666667</x:v>
      </x:c>
      <x:c r="H77" s="139" t="n">
        <x:v>3</x:v>
      </x:c>
      <x:c r="I77" s="139" t="n">
        <x:v>3</x:v>
      </x:c>
    </x:row>
    <x:row r="78">
      <x:c r="A78" s="139" t="inlineStr">
        <x:is>
          <x:t xml:space="preserve">Hansen</x:t>
        </x:is>
      </x:c>
      <x:c r="B78" s="139" t="inlineStr">
        <x:is>
          <x:t xml:space="preserve">Rizky</x:t>
        </x:is>
      </x:c>
      <x:c r="C78" s="139" t="n">
        <x:v>4</x:v>
      </x:c>
      <x:c r="D78" s="139" t="n">
        <x:v>0</x:v>
      </x:c>
      <x:c r="E78" s="139" t="n">
        <x:v>4</x:v>
      </x:c>
      <x:c r="F78" s="93" t="n">
        <x:v>0</x:v>
      </x:c>
      <x:c r="G78" s="93" t="n">
        <x:v>0.6666666666666666</x:v>
      </x:c>
      <x:c r="H78" s="139" t="n">
        <x:v>-10</x:v>
      </x:c>
      <x:c r="I78" s="139" t="n">
        <x:v>-2.5</x:v>
      </x:c>
    </x:row>
    <x:row r="79">
      <x:c r="A79" s="139" t="inlineStr">
        <x:is>
          <x:t xml:space="preserve">Hansen</x:t>
        </x:is>
      </x:c>
      <x:c r="B79" s="139" t="inlineStr">
        <x:is>
          <x:t xml:space="preserve">Ricky</x:t>
        </x:is>
      </x:c>
      <x:c r="C79" s="139" t="n">
        <x:v>4</x:v>
      </x:c>
      <x:c r="D79" s="139" t="n">
        <x:v>0</x:v>
      </x:c>
      <x:c r="E79" s="139" t="n">
        <x:v>4</x:v>
      </x:c>
      <x:c r="F79" s="93" t="n">
        <x:v>0</x:v>
      </x:c>
      <x:c r="G79" s="93" t="n">
        <x:v>0.6153846153846154</x:v>
      </x:c>
      <x:c r="H79" s="139" t="n">
        <x:v>-11</x:v>
      </x:c>
      <x:c r="I79" s="139" t="n">
        <x:v>-2.75</x:v>
      </x:c>
    </x:row>
    <x:row r="80">
      <x:c r="A80" s="139" t="inlineStr">
        <x:is>
          <x:t xml:space="preserve">Hansen</x:t>
        </x:is>
      </x:c>
      <x:c r="B80" s="139" t="inlineStr">
        <x:is>
          <x:t xml:space="preserve">Edy SP</x:t>
        </x:is>
      </x:c>
      <x:c r="C80" s="139" t="n">
        <x:v>4</x:v>
      </x:c>
      <x:c r="D80" s="139" t="n">
        <x:v>0</x:v>
      </x:c>
      <x:c r="E80" s="139" t="n">
        <x:v>4</x:v>
      </x:c>
      <x:c r="F80" s="93" t="n">
        <x:v>0</x:v>
      </x:c>
      <x:c r="G80" s="93" t="n">
        <x:v>0.4666666666666667</x:v>
      </x:c>
      <x:c r="H80" s="139" t="n">
        <x:v>-9</x:v>
      </x:c>
      <x:c r="I80" s="139" t="n">
        <x:v>-2.25</x:v>
      </x:c>
    </x:row>
    <x:row r="81">
      <x:c r="A81" s="139" t="inlineStr">
        <x:is>
          <x:t xml:space="preserve">Jonathan</x:t>
        </x:is>
      </x:c>
      <x:c r="B81" s="139" t="inlineStr">
        <x:is>
          <x:t xml:space="preserve">Austin</x:t>
        </x:is>
      </x:c>
      <x:c r="C81" s="139" t="n">
        <x:v>2</x:v>
      </x:c>
      <x:c r="D81" s="139" t="n">
        <x:v>1</x:v>
      </x:c>
      <x:c r="E81" s="139" t="n">
        <x:v>1</x:v>
      </x:c>
      <x:c r="F81" s="93" t="n">
        <x:v>0.5</x:v>
      </x:c>
      <x:c r="G81" s="93" t="n">
        <x:v>0.6428571428571429</x:v>
      </x:c>
      <x:c r="H81" s="139" t="n">
        <x:v>-2</x:v>
      </x:c>
      <x:c r="I81" s="139" t="n">
        <x:v>-1</x:v>
      </x:c>
    </x:row>
    <x:row r="82">
      <x:c r="A82" s="139" t="inlineStr">
        <x:is>
          <x:t xml:space="preserve">Jonathan</x:t>
        </x:is>
      </x:c>
      <x:c r="B82" s="139" t="inlineStr">
        <x:is>
          <x:t xml:space="preserve">Ricky</x:t>
        </x:is>
      </x:c>
      <x:c r="C82" s="139" t="n">
        <x:v>2</x:v>
      </x:c>
      <x:c r="D82" s="139" t="n">
        <x:v>1</x:v>
      </x:c>
      <x:c r="E82" s="139" t="n">
        <x:v>1</x:v>
      </x:c>
      <x:c r="F82" s="93" t="n">
        <x:v>0.5</x:v>
      </x:c>
      <x:c r="G82" s="93" t="n">
        <x:v>0.6153846153846154</x:v>
      </x:c>
      <x:c r="H82" s="139" t="n">
        <x:v>0</x:v>
      </x:c>
      <x:c r="I82" s="139" t="n">
        <x:v>0</x:v>
      </x:c>
    </x:row>
    <x:row r="83">
      <x:c r="A83" s="139" t="inlineStr">
        <x:is>
          <x:t xml:space="preserve">Jonathan</x:t>
        </x:is>
      </x:c>
      <x:c r="B83" s="139" t="inlineStr">
        <x:is>
          <x:t xml:space="preserve">Edy SP</x:t>
        </x:is>
      </x:c>
      <x:c r="C83" s="139" t="n">
        <x:v>2</x:v>
      </x:c>
      <x:c r="D83" s="139" t="n">
        <x:v>2</x:v>
      </x:c>
      <x:c r="E83" s="139" t="n">
        <x:v>0</x:v>
      </x:c>
      <x:c r="F83" s="93" t="n">
        <x:v>1</x:v>
      </x:c>
      <x:c r="G83" s="93" t="n">
        <x:v>0.4666666666666667</x:v>
      </x:c>
      <x:c r="H83" s="139" t="n">
        <x:v>2</x:v>
      </x:c>
      <x:c r="I83" s="139" t="n">
        <x:v>1</x:v>
      </x:c>
    </x:row>
    <x:row r="84">
      <x:c r="A84" s="139" t="inlineStr">
        <x:is>
          <x:t xml:space="preserve">Jonathan</x:t>
        </x:is>
      </x:c>
      <x:c r="B84" s="139" t="inlineStr">
        <x:is>
          <x:t xml:space="preserve">Alice</x:t>
        </x:is>
      </x:c>
      <x:c r="C84" s="139" t="n">
        <x:v>2</x:v>
      </x:c>
      <x:c r="D84" s="139" t="n">
        <x:v>2</x:v>
      </x:c>
      <x:c r="E84" s="139" t="n">
        <x:v>0</x:v>
      </x:c>
      <x:c r="F84" s="93" t="n">
        <x:v>1</x:v>
      </x:c>
      <x:c r="G84" s="93" t="n">
        <x:v>0.07142857142857142</x:v>
      </x:c>
      <x:c r="H84" s="139" t="n">
        <x:v>6</x:v>
      </x:c>
      <x:c r="I84" s="139" t="n">
        <x:v>3</x:v>
      </x:c>
    </x:row>
    <x:row r="85">
      <x:c r="A85" s="139" t="inlineStr">
        <x:is>
          <x:t xml:space="preserve">Jonathan</x:t>
        </x:is>
      </x:c>
      <x:c r="B85" s="139" t="inlineStr">
        <x:is>
          <x:t xml:space="preserve">Sandy</x:t>
        </x:is>
      </x:c>
      <x:c r="C85" s="139" t="n">
        <x:v>1</x:v>
      </x:c>
      <x:c r="D85" s="139" t="n">
        <x:v>0</x:v>
      </x:c>
      <x:c r="E85" s="139" t="n">
        <x:v>1</x:v>
      </x:c>
      <x:c r="F85" s="93" t="n">
        <x:v>0</x:v>
      </x:c>
      <x:c r="G85" s="93" t="n">
        <x:v>0.8461538461538461</x:v>
      </x:c>
      <x:c r="H85" s="139" t="n">
        <x:v>-5</x:v>
      </x:c>
      <x:c r="I85" s="139" t="n">
        <x:v>-5</x:v>
      </x:c>
    </x:row>
    <x:row r="86">
      <x:c r="A86" s="139" t="inlineStr">
        <x:is>
          <x:t xml:space="preserve">Jonathan</x:t>
        </x:is>
      </x:c>
      <x:c r="B86" s="139" t="inlineStr">
        <x:is>
          <x:t xml:space="preserve">Ronald</x:t>
        </x:is>
      </x:c>
      <x:c r="C86" s="139" t="n">
        <x:v>1</x:v>
      </x:c>
      <x:c r="D86" s="139" t="n">
        <x:v>0</x:v>
      </x:c>
      <x:c r="E86" s="139" t="n">
        <x:v>1</x:v>
      </x:c>
      <x:c r="F86" s="93" t="n">
        <x:v>0</x:v>
      </x:c>
      <x:c r="G86" s="93" t="n">
        <x:v>0.6666666666666666</x:v>
      </x:c>
      <x:c r="H86" s="139" t="n">
        <x:v>-3</x:v>
      </x:c>
      <x:c r="I86" s="139" t="n">
        <x:v>-3</x:v>
      </x:c>
    </x:row>
    <x:row r="87">
      <x:c r="A87" s="139" t="inlineStr">
        <x:is>
          <x:t xml:space="preserve">Jonathan</x:t>
        </x:is>
      </x:c>
      <x:c r="B87" s="139" t="inlineStr">
        <x:is>
          <x:t xml:space="preserve">Nicholas</x:t>
        </x:is>
      </x:c>
      <x:c r="C87" s="139" t="n">
        <x:v>1</x:v>
      </x:c>
      <x:c r="D87" s="139" t="n">
        <x:v>1</x:v>
      </x:c>
      <x:c r="E87" s="139" t="n">
        <x:v>0</x:v>
      </x:c>
      <x:c r="F87" s="93" t="n">
        <x:v>1</x:v>
      </x:c>
      <x:c r="G87" s="93" t="n">
        <x:v>0.4285714285714285</x:v>
      </x:c>
      <x:c r="H87" s="139" t="n">
        <x:v>1</x:v>
      </x:c>
      <x:c r="I87" s="139" t="n">
        <x:v>1</x:v>
      </x:c>
    </x:row>
    <x:row r="88">
      <x:c r="A88" s="139" t="inlineStr">
        <x:is>
          <x:t xml:space="preserve">Jonathan</x:t>
        </x:is>
      </x:c>
      <x:c r="B88" s="139" t="inlineStr">
        <x:is>
          <x:t xml:space="preserve">Donny</x:t>
        </x:is>
      </x:c>
      <x:c r="C88" s="139" t="n">
        <x:v>1</x:v>
      </x:c>
      <x:c r="D88" s="139" t="n">
        <x:v>1</x:v>
      </x:c>
      <x:c r="E88" s="139" t="n">
        <x:v>0</x:v>
      </x:c>
      <x:c r="F88" s="93" t="n">
        <x:v>1</x:v>
      </x:c>
      <x:c r="G88" s="93" t="n">
        <x:v>0.3636363636363636</x:v>
      </x:c>
      <x:c r="H88" s="139" t="n">
        <x:v>1</x:v>
      </x:c>
      <x:c r="I88" s="139" t="n">
        <x:v>1</x:v>
      </x:c>
    </x:row>
    <x:row r="89">
      <x:c r="A89" s="139" t="inlineStr">
        <x:is>
          <x:t xml:space="preserve">Kennard</x:t>
        </x:is>
      </x:c>
      <x:c r="B89" s="139" t="inlineStr">
        <x:is>
          <x:t xml:space="preserve">Edy SP</x:t>
        </x:is>
      </x:c>
      <x:c r="C89" s="139" t="n">
        <x:v>4</x:v>
      </x:c>
      <x:c r="D89" s="139" t="n">
        <x:v>3</x:v>
      </x:c>
      <x:c r="E89" s="139" t="n">
        <x:v>1</x:v>
      </x:c>
      <x:c r="F89" s="93" t="n">
        <x:v>0.75</x:v>
      </x:c>
      <x:c r="G89" s="93" t="n">
        <x:v>0.4666666666666667</x:v>
      </x:c>
      <x:c r="H89" s="139" t="n">
        <x:v>4</x:v>
      </x:c>
      <x:c r="I89" s="139" t="n">
        <x:v>1</x:v>
      </x:c>
    </x:row>
    <x:row r="90">
      <x:c r="A90" s="139" t="inlineStr">
        <x:is>
          <x:t xml:space="preserve">Kennard</x:t>
        </x:is>
      </x:c>
      <x:c r="B90" s="139" t="inlineStr">
        <x:is>
          <x:t xml:space="preserve">Michael</x:t>
        </x:is>
      </x:c>
      <x:c r="C90" s="139" t="n">
        <x:v>3</x:v>
      </x:c>
      <x:c r="D90" s="139" t="n">
        <x:v>3</x:v>
      </x:c>
      <x:c r="E90" s="139" t="n">
        <x:v>0</x:v>
      </x:c>
      <x:c r="F90" s="93" t="n">
        <x:v>1</x:v>
      </x:c>
      <x:c r="G90" s="93" t="n">
        <x:v>0.4615384615384616</x:v>
      </x:c>
      <x:c r="H90" s="139" t="n">
        <x:v>8</x:v>
      </x:c>
      <x:c r="I90" s="139" t="n">
        <x:v>2.666666666666667</x:v>
      </x:c>
    </x:row>
    <x:row r="91">
      <x:c r="A91" s="139" t="inlineStr">
        <x:is>
          <x:t xml:space="preserve">Kennard</x:t>
        </x:is>
      </x:c>
      <x:c r="B91" s="139" t="inlineStr">
        <x:is>
          <x:t xml:space="preserve">Sandy</x:t>
        </x:is>
      </x:c>
      <x:c r="C91" s="139" t="n">
        <x:v>2</x:v>
      </x:c>
      <x:c r="D91" s="139" t="n">
        <x:v>0</x:v>
      </x:c>
      <x:c r="E91" s="139" t="n">
        <x:v>2</x:v>
      </x:c>
      <x:c r="F91" s="93" t="n">
        <x:v>0</x:v>
      </x:c>
      <x:c r="G91" s="93" t="n">
        <x:v>0.8461538461538461</x:v>
      </x:c>
      <x:c r="H91" s="139" t="n">
        <x:v>-8</x:v>
      </x:c>
      <x:c r="I91" s="139" t="n">
        <x:v>-4</x:v>
      </x:c>
    </x:row>
    <x:row r="92">
      <x:c r="A92" s="139" t="inlineStr">
        <x:is>
          <x:t xml:space="preserve">Kennard</x:t>
        </x:is>
      </x:c>
      <x:c r="B92" s="139" t="inlineStr">
        <x:is>
          <x:t xml:space="preserve">Rey</x:t>
        </x:is>
      </x:c>
      <x:c r="C92" s="139" t="n">
        <x:v>2</x:v>
      </x:c>
      <x:c r="D92" s="139" t="n">
        <x:v>1</x:v>
      </x:c>
      <x:c r="E92" s="139" t="n">
        <x:v>1</x:v>
      </x:c>
      <x:c r="F92" s="93" t="n">
        <x:v>0.5</x:v>
      </x:c>
      <x:c r="G92" s="93" t="n">
        <x:v>0.7142857142857143</x:v>
      </x:c>
      <x:c r="H92" s="139" t="n">
        <x:v>-1</x:v>
      </x:c>
      <x:c r="I92" s="139" t="n">
        <x:v>-0.5</x:v>
      </x:c>
    </x:row>
    <x:row r="93">
      <x:c r="A93" s="139" t="inlineStr">
        <x:is>
          <x:t xml:space="preserve">Kennard</x:t>
        </x:is>
      </x:c>
      <x:c r="B93" s="139" t="inlineStr">
        <x:is>
          <x:t xml:space="preserve">Austin</x:t>
        </x:is>
      </x:c>
      <x:c r="C93" s="139" t="n">
        <x:v>2</x:v>
      </x:c>
      <x:c r="D93" s="139" t="n">
        <x:v>1</x:v>
      </x:c>
      <x:c r="E93" s="139" t="n">
        <x:v>1</x:v>
      </x:c>
      <x:c r="F93" s="93" t="n">
        <x:v>0.5</x:v>
      </x:c>
      <x:c r="G93" s="93" t="n">
        <x:v>0.6428571428571429</x:v>
      </x:c>
      <x:c r="H93" s="139" t="n">
        <x:v>-2</x:v>
      </x:c>
      <x:c r="I93" s="139" t="n">
        <x:v>-1</x:v>
      </x:c>
    </x:row>
    <x:row r="94">
      <x:c r="A94" s="139" t="inlineStr">
        <x:is>
          <x:t xml:space="preserve">Kennard</x:t>
        </x:is>
      </x:c>
      <x:c r="B94" s="139" t="inlineStr">
        <x:is>
          <x:t xml:space="preserve">Ricky</x:t>
        </x:is>
      </x:c>
      <x:c r="C94" s="139" t="n">
        <x:v>2</x:v>
      </x:c>
      <x:c r="D94" s="139" t="n">
        <x:v>0</x:v>
      </x:c>
      <x:c r="E94" s="139" t="n">
        <x:v>2</x:v>
      </x:c>
      <x:c r="F94" s="93" t="n">
        <x:v>0</x:v>
      </x:c>
      <x:c r="G94" s="93" t="n">
        <x:v>0.6153846153846154</x:v>
      </x:c>
      <x:c r="H94" s="139" t="n">
        <x:v>-10</x:v>
      </x:c>
      <x:c r="I94" s="139" t="n">
        <x:v>-5</x:v>
      </x:c>
    </x:row>
    <x:row r="95">
      <x:c r="A95" s="139" t="inlineStr">
        <x:is>
          <x:t xml:space="preserve">Kennard</x:t>
        </x:is>
      </x:c>
      <x:c r="B95" s="139" t="inlineStr">
        <x:is>
          <x:t xml:space="preserve">David</x:t>
        </x:is>
      </x:c>
      <x:c r="C95" s="139" t="n">
        <x:v>2</x:v>
      </x:c>
      <x:c r="D95" s="139" t="n">
        <x:v>2</x:v>
      </x:c>
      <x:c r="E95" s="139" t="n">
        <x:v>0</x:v>
      </x:c>
      <x:c r="F95" s="93" t="n">
        <x:v>1</x:v>
      </x:c>
      <x:c r="G95" s="93" t="n">
        <x:v>0.4166666666666667</x:v>
      </x:c>
      <x:c r="H95" s="139" t="n">
        <x:v>3</x:v>
      </x:c>
      <x:c r="I95" s="139" t="n">
        <x:v>1.5</x:v>
      </x:c>
    </x:row>
    <x:row r="96">
      <x:c r="A96" s="139" t="inlineStr">
        <x:is>
          <x:t xml:space="preserve">Kennard</x:t>
        </x:is>
      </x:c>
      <x:c r="B96" s="139" t="inlineStr">
        <x:is>
          <x:t xml:space="preserve">Nico</x:t>
        </x:is>
      </x:c>
      <x:c r="C96" s="139" t="n">
        <x:v>2</x:v>
      </x:c>
      <x:c r="D96" s="139" t="n">
        <x:v>1</x:v>
      </x:c>
      <x:c r="E96" s="139" t="n">
        <x:v>1</x:v>
      </x:c>
      <x:c r="F96" s="93" t="n">
        <x:v>0.5</x:v>
      </x:c>
      <x:c r="G96" s="93" t="n">
        <x:v>0.3333333333333333</x:v>
      </x:c>
      <x:c r="H96" s="139" t="n">
        <x:v>-2</x:v>
      </x:c>
      <x:c r="I96" s="139" t="n">
        <x:v>-1</x:v>
      </x:c>
    </x:row>
    <x:row r="97">
      <x:c r="A97" s="139" t="inlineStr">
        <x:is>
          <x:t xml:space="preserve">Kennard</x:t>
        </x:is>
      </x:c>
      <x:c r="B97" s="139" t="inlineStr">
        <x:is>
          <x:t xml:space="preserve">Reza</x:t>
        </x:is>
      </x:c>
      <x:c r="C97" s="139" t="n">
        <x:v>2</x:v>
      </x:c>
      <x:c r="D97" s="139" t="n">
        <x:v>2</x:v>
      </x:c>
      <x:c r="E97" s="139" t="n">
        <x:v>0</x:v>
      </x:c>
      <x:c r="F97" s="93" t="n">
        <x:v>1</x:v>
      </x:c>
      <x:c r="G97" s="93" t="n">
        <x:v>0.3333333333333333</x:v>
      </x:c>
      <x:c r="H97" s="139" t="n">
        <x:v>6</x:v>
      </x:c>
      <x:c r="I97" s="139" t="n">
        <x:v>3</x:v>
      </x:c>
    </x:row>
    <x:row r="98">
      <x:c r="A98" s="139" t="inlineStr">
        <x:is>
          <x:t xml:space="preserve">Kennard</x:t>
        </x:is>
      </x:c>
      <x:c r="B98" s="139" t="inlineStr">
        <x:is>
          <x:t xml:space="preserve">Alwin</x:t>
        </x:is>
      </x:c>
      <x:c r="C98" s="139" t="n">
        <x:v>2</x:v>
      </x:c>
      <x:c r="D98" s="139" t="n">
        <x:v>2</x:v>
      </x:c>
      <x:c r="E98" s="139" t="n">
        <x:v>0</x:v>
      </x:c>
      <x:c r="F98" s="93" t="n">
        <x:v>1</x:v>
      </x:c>
      <x:c r="G98" s="93" t="n">
        <x:v>0.1666666666666667</x:v>
      </x:c>
      <x:c r="H98" s="139" t="n">
        <x:v>6</x:v>
      </x:c>
      <x:c r="I98" s="139" t="n">
        <x:v>3</x:v>
      </x:c>
    </x:row>
    <x:row r="99">
      <x:c r="A99" s="139" t="inlineStr">
        <x:is>
          <x:t xml:space="preserve">Kennard</x:t>
        </x:is>
      </x:c>
      <x:c r="B99" s="139" t="inlineStr">
        <x:is>
          <x:t xml:space="preserve">Ronald</x:t>
        </x:is>
      </x:c>
      <x:c r="C99" s="139" t="n">
        <x:v>1</x:v>
      </x:c>
      <x:c r="D99" s="139" t="n">
        <x:v>1</x:v>
      </x:c>
      <x:c r="E99" s="139" t="n">
        <x:v>0</x:v>
      </x:c>
      <x:c r="F99" s="93" t="n">
        <x:v>1</x:v>
      </x:c>
      <x:c r="G99" s="93" t="n">
        <x:v>0.6666666666666666</x:v>
      </x:c>
      <x:c r="H99" s="139" t="n">
        <x:v>1</x:v>
      </x:c>
      <x:c r="I99" s="139" t="n">
        <x:v>1</x:v>
      </x:c>
    </x:row>
    <x:row r="100">
      <x:c r="A100" s="139" t="inlineStr">
        <x:is>
          <x:t xml:space="preserve">Kennard</x:t>
        </x:is>
      </x:c>
      <x:c r="B100" s="139" t="inlineStr">
        <x:is>
          <x:t xml:space="preserve">Welly</x:t>
        </x:is>
      </x:c>
      <x:c r="C100" s="139" t="n">
        <x:v>1</x:v>
      </x:c>
      <x:c r="D100" s="139" t="n">
        <x:v>1</x:v>
      </x:c>
      <x:c r="E100" s="139" t="n">
        <x:v>0</x:v>
      </x:c>
      <x:c r="F100" s="93" t="n">
        <x:v>1</x:v>
      </x:c>
      <x:c r="G100" s="93" t="n">
        <x:v>0.2</x:v>
      </x:c>
      <x:c r="H100" s="139" t="n">
        <x:v>3</x:v>
      </x:c>
      <x:c r="I100" s="139" t="n">
        <x:v>3</x:v>
      </x:c>
    </x:row>
    <x:row r="101">
      <x:c r="A101" s="139" t="inlineStr">
        <x:is>
          <x:t xml:space="preserve">Kennard</x:t>
        </x:is>
      </x:c>
      <x:c r="B101" s="139" t="inlineStr">
        <x:is>
          <x:t xml:space="preserve">Alice</x:t>
        </x:is>
      </x:c>
      <x:c r="C101" s="139" t="n">
        <x:v>1</x:v>
      </x:c>
      <x:c r="D101" s="139" t="n">
        <x:v>1</x:v>
      </x:c>
      <x:c r="E101" s="139" t="n">
        <x:v>0</x:v>
      </x:c>
      <x:c r="F101" s="93" t="n">
        <x:v>1</x:v>
      </x:c>
      <x:c r="G101" s="93" t="n">
        <x:v>0.07142857142857142</x:v>
      </x:c>
      <x:c r="H101" s="139" t="n">
        <x:v>2</x:v>
      </x:c>
      <x:c r="I101" s="139" t="n">
        <x:v>2</x:v>
      </x:c>
    </x:row>
    <x:row r="102">
      <x:c r="A102" s="139" t="inlineStr">
        <x:is>
          <x:t xml:space="preserve">Michael</x:t>
        </x:is>
      </x:c>
      <x:c r="B102" s="139" t="inlineStr">
        <x:is>
          <x:t xml:space="preserve">Ricky</x:t>
        </x:is>
      </x:c>
      <x:c r="C102" s="139" t="n">
        <x:v>4</x:v>
      </x:c>
      <x:c r="D102" s="139" t="n">
        <x:v>1</x:v>
      </x:c>
      <x:c r="E102" s="139" t="n">
        <x:v>3</x:v>
      </x:c>
      <x:c r="F102" s="93" t="n">
        <x:v>0.25</x:v>
      </x:c>
      <x:c r="G102" s="93" t="n">
        <x:v>0.6153846153846154</x:v>
      </x:c>
      <x:c r="H102" s="139" t="n">
        <x:v>-3</x:v>
      </x:c>
      <x:c r="I102" s="139" t="n">
        <x:v>-0.75</x:v>
      </x:c>
    </x:row>
    <x:row r="103">
      <x:c r="A103" s="139" t="inlineStr">
        <x:is>
          <x:t xml:space="preserve">Michael</x:t>
        </x:is>
      </x:c>
      <x:c r="B103" s="139" t="inlineStr">
        <x:is>
          <x:t xml:space="preserve">Edy SP</x:t>
        </x:is>
      </x:c>
      <x:c r="C103" s="139" t="n">
        <x:v>4</x:v>
      </x:c>
      <x:c r="D103" s="139" t="n">
        <x:v>2</x:v>
      </x:c>
      <x:c r="E103" s="139" t="n">
        <x:v>2</x:v>
      </x:c>
      <x:c r="F103" s="93" t="n">
        <x:v>0.5</x:v>
      </x:c>
      <x:c r="G103" s="93" t="n">
        <x:v>0.4666666666666667</x:v>
      </x:c>
      <x:c r="H103" s="139" t="n">
        <x:v>-1</x:v>
      </x:c>
      <x:c r="I103" s="139" t="n">
        <x:v>-0.25</x:v>
      </x:c>
    </x:row>
    <x:row r="104">
      <x:c r="A104" s="139" t="inlineStr">
        <x:is>
          <x:t xml:space="preserve">Michael</x:t>
        </x:is>
      </x:c>
      <x:c r="B104" s="139" t="inlineStr">
        <x:is>
          <x:t xml:space="preserve">Kennard</x:t>
        </x:is>
      </x:c>
      <x:c r="C104" s="139" t="n">
        <x:v>3</x:v>
      </x:c>
      <x:c r="D104" s="139" t="n">
        <x:v>0</x:v>
      </x:c>
      <x:c r="E104" s="139" t="n">
        <x:v>3</x:v>
      </x:c>
      <x:c r="F104" s="93" t="n">
        <x:v>0</x:v>
      </x:c>
      <x:c r="G104" s="93" t="n">
        <x:v>0.6923076923076923</x:v>
      </x:c>
      <x:c r="H104" s="139" t="n">
        <x:v>-8</x:v>
      </x:c>
      <x:c r="I104" s="139" t="n">
        <x:v>-2.666666666666667</x:v>
      </x:c>
    </x:row>
    <x:row r="105">
      <x:c r="A105" s="139" t="inlineStr">
        <x:is>
          <x:t xml:space="preserve">Michael</x:t>
        </x:is>
      </x:c>
      <x:c r="B105" s="139" t="inlineStr">
        <x:is>
          <x:t xml:space="preserve">Rey</x:t>
        </x:is>
      </x:c>
      <x:c r="C105" s="139" t="n">
        <x:v>2</x:v>
      </x:c>
      <x:c r="D105" s="139" t="n">
        <x:v>1</x:v>
      </x:c>
      <x:c r="E105" s="139" t="n">
        <x:v>1</x:v>
      </x:c>
      <x:c r="F105" s="93" t="n">
        <x:v>0.5</x:v>
      </x:c>
      <x:c r="G105" s="93" t="n">
        <x:v>0.7142857142857143</x:v>
      </x:c>
      <x:c r="H105" s="139" t="n">
        <x:v>-3</x:v>
      </x:c>
      <x:c r="I105" s="139" t="n">
        <x:v>-1.5</x:v>
      </x:c>
    </x:row>
    <x:row r="106">
      <x:c r="A106" s="139" t="inlineStr">
        <x:is>
          <x:t xml:space="preserve">Michael</x:t>
        </x:is>
      </x:c>
      <x:c r="B106" s="139" t="inlineStr">
        <x:is>
          <x:t xml:space="preserve">Austin</x:t>
        </x:is>
      </x:c>
      <x:c r="C106" s="139" t="n">
        <x:v>2</x:v>
      </x:c>
      <x:c r="D106" s="139" t="n">
        <x:v>2</x:v>
      </x:c>
      <x:c r="E106" s="139" t="n">
        <x:v>0</x:v>
      </x:c>
      <x:c r="F106" s="93" t="n">
        <x:v>1</x:v>
      </x:c>
      <x:c r="G106" s="93" t="n">
        <x:v>0.6428571428571429</x:v>
      </x:c>
      <x:c r="H106" s="139" t="n">
        <x:v>6</x:v>
      </x:c>
      <x:c r="I106" s="139" t="n">
        <x:v>3</x:v>
      </x:c>
    </x:row>
    <x:row r="107">
      <x:c r="A107" s="139" t="inlineStr">
        <x:is>
          <x:t xml:space="preserve">Michael</x:t>
        </x:is>
      </x:c>
      <x:c r="B107" s="139" t="inlineStr">
        <x:is>
          <x:t xml:space="preserve">David</x:t>
        </x:is>
      </x:c>
      <x:c r="C107" s="139" t="n">
        <x:v>2</x:v>
      </x:c>
      <x:c r="D107" s="139" t="n">
        <x:v>1</x:v>
      </x:c>
      <x:c r="E107" s="139" t="n">
        <x:v>1</x:v>
      </x:c>
      <x:c r="F107" s="93" t="n">
        <x:v>0.5</x:v>
      </x:c>
      <x:c r="G107" s="93" t="n">
        <x:v>0.4166666666666667</x:v>
      </x:c>
      <x:c r="H107" s="139" t="n">
        <x:v>1</x:v>
      </x:c>
      <x:c r="I107" s="139" t="n">
        <x:v>0.5</x:v>
      </x:c>
    </x:row>
    <x:row r="108">
      <x:c r="A108" s="139" t="inlineStr">
        <x:is>
          <x:t xml:space="preserve">Michael</x:t>
        </x:is>
      </x:c>
      <x:c r="B108" s="139" t="inlineStr">
        <x:is>
          <x:t xml:space="preserve">Reza</x:t>
        </x:is>
      </x:c>
      <x:c r="C108" s="139" t="n">
        <x:v>2</x:v>
      </x:c>
      <x:c r="D108" s="139" t="n">
        <x:v>1</x:v>
      </x:c>
      <x:c r="E108" s="139" t="n">
        <x:v>1</x:v>
      </x:c>
      <x:c r="F108" s="93" t="n">
        <x:v>0.5</x:v>
      </x:c>
      <x:c r="G108" s="93" t="n">
        <x:v>0.3333333333333333</x:v>
      </x:c>
      <x:c r="H108" s="139" t="n">
        <x:v>4</x:v>
      </x:c>
      <x:c r="I108" s="139" t="n">
        <x:v>2</x:v>
      </x:c>
    </x:row>
    <x:row r="109">
      <x:c r="A109" s="139" t="inlineStr">
        <x:is>
          <x:t xml:space="preserve">Michael</x:t>
        </x:is>
      </x:c>
      <x:c r="B109" s="139" t="inlineStr">
        <x:is>
          <x:t xml:space="preserve">Alice</x:t>
        </x:is>
      </x:c>
      <x:c r="C109" s="139" t="n">
        <x:v>2</x:v>
      </x:c>
      <x:c r="D109" s="139" t="n">
        <x:v>2</x:v>
      </x:c>
      <x:c r="E109" s="139" t="n">
        <x:v>0</x:v>
      </x:c>
      <x:c r="F109" s="93" t="n">
        <x:v>1</x:v>
      </x:c>
      <x:c r="G109" s="93" t="n">
        <x:v>0.07142857142857142</x:v>
      </x:c>
      <x:c r="H109" s="139" t="n">
        <x:v>3</x:v>
      </x:c>
      <x:c r="I109" s="139" t="n">
        <x:v>1.5</x:v>
      </x:c>
    </x:row>
    <x:row r="110">
      <x:c r="A110" s="139" t="inlineStr">
        <x:is>
          <x:t xml:space="preserve">Michael</x:t>
        </x:is>
      </x:c>
      <x:c r="B110" s="139" t="inlineStr">
        <x:is>
          <x:t xml:space="preserve">Sandy</x:t>
        </x:is>
      </x:c>
      <x:c r="C110" s="139" t="n">
        <x:v>1</x:v>
      </x:c>
      <x:c r="D110" s="139" t="n">
        <x:v>0</x:v>
      </x:c>
      <x:c r="E110" s="139" t="n">
        <x:v>1</x:v>
      </x:c>
      <x:c r="F110" s="93" t="n">
        <x:v>0</x:v>
      </x:c>
      <x:c r="G110" s="93" t="n">
        <x:v>0.8461538461538461</x:v>
      </x:c>
      <x:c r="H110" s="139" t="n">
        <x:v>-1</x:v>
      </x:c>
      <x:c r="I110" s="139" t="n">
        <x:v>-1</x:v>
      </x:c>
    </x:row>
    <x:row r="111">
      <x:c r="A111" s="139" t="inlineStr">
        <x:is>
          <x:t xml:space="preserve">Michael</x:t>
        </x:is>
      </x:c>
      <x:c r="B111" s="139" t="inlineStr">
        <x:is>
          <x:t xml:space="preserve">Ronald</x:t>
        </x:is>
      </x:c>
      <x:c r="C111" s="139" t="n">
        <x:v>1</x:v>
      </x:c>
      <x:c r="D111" s="139" t="n">
        <x:v>0</x:v>
      </x:c>
      <x:c r="E111" s="139" t="n">
        <x:v>1</x:v>
      </x:c>
      <x:c r="F111" s="93" t="n">
        <x:v>0</x:v>
      </x:c>
      <x:c r="G111" s="93" t="n">
        <x:v>0.6666666666666666</x:v>
      </x:c>
      <x:c r="H111" s="139" t="n">
        <x:v>-3</x:v>
      </x:c>
      <x:c r="I111" s="139" t="n">
        <x:v>-3</x:v>
      </x:c>
    </x:row>
    <x:row r="112">
      <x:c r="A112" s="139" t="inlineStr">
        <x:is>
          <x:t xml:space="preserve">Michael</x:t>
        </x:is>
      </x:c>
      <x:c r="B112" s="139" t="inlineStr">
        <x:is>
          <x:t xml:space="preserve">Nico</x:t>
        </x:is>
      </x:c>
      <x:c r="C112" s="139" t="n">
        <x:v>1</x:v>
      </x:c>
      <x:c r="D112" s="139" t="n">
        <x:v>0</x:v>
      </x:c>
      <x:c r="E112" s="139" t="n">
        <x:v>1</x:v>
      </x:c>
      <x:c r="F112" s="93" t="n">
        <x:v>0</x:v>
      </x:c>
      <x:c r="G112" s="93" t="n">
        <x:v>0.3333333333333333</x:v>
      </x:c>
      <x:c r="H112" s="139" t="n">
        <x:v>-3</x:v>
      </x:c>
      <x:c r="I112" s="139" t="n">
        <x:v>-3</x:v>
      </x:c>
    </x:row>
    <x:row r="113">
      <x:c r="A113" s="139" t="inlineStr">
        <x:is>
          <x:t xml:space="preserve">Michael</x:t>
        </x:is>
      </x:c>
      <x:c r="B113" s="139" t="inlineStr">
        <x:is>
          <x:t xml:space="preserve">Welly</x:t>
        </x:is>
      </x:c>
      <x:c r="C113" s="139" t="n">
        <x:v>1</x:v>
      </x:c>
      <x:c r="D113" s="139" t="n">
        <x:v>1</x:v>
      </x:c>
      <x:c r="E113" s="139" t="n">
        <x:v>0</x:v>
      </x:c>
      <x:c r="F113" s="93" t="n">
        <x:v>1</x:v>
      </x:c>
      <x:c r="G113" s="93" t="n">
        <x:v>0.2</x:v>
      </x:c>
      <x:c r="H113" s="139" t="n">
        <x:v>1</x:v>
      </x:c>
      <x:c r="I113" s="139" t="n">
        <x:v>1</x:v>
      </x:c>
    </x:row>
    <x:row r="114">
      <x:c r="A114" s="139" t="inlineStr">
        <x:is>
          <x:t xml:space="preserve">Michael</x:t>
        </x:is>
      </x:c>
      <x:c r="B114" s="139" t="inlineStr">
        <x:is>
          <x:t xml:space="preserve">Alwin</x:t>
        </x:is>
      </x:c>
      <x:c r="C114" s="139" t="n">
        <x:v>1</x:v>
      </x:c>
      <x:c r="D114" s="139" t="n">
        <x:v>1</x:v>
      </x:c>
      <x:c r="E114" s="139" t="n">
        <x:v>0</x:v>
      </x:c>
      <x:c r="F114" s="93" t="n">
        <x:v>1</x:v>
      </x:c>
      <x:c r="G114" s="93" t="n">
        <x:v>0.1666666666666667</x:v>
      </x:c>
      <x:c r="H114" s="139" t="n">
        <x:v>3</x:v>
      </x:c>
      <x:c r="I114" s="139" t="n">
        <x:v>3</x:v>
      </x:c>
    </x:row>
    <x:row r="115">
      <x:c r="A115" s="139" t="inlineStr">
        <x:is>
          <x:t xml:space="preserve">Nicholas</x:t>
        </x:is>
      </x:c>
      <x:c r="B115" s="139" t="inlineStr">
        <x:is>
          <x:t xml:space="preserve">Sandy</x:t>
        </x:is>
      </x:c>
      <x:c r="C115" s="139" t="n">
        <x:v>2</x:v>
      </x:c>
      <x:c r="D115" s="139" t="n">
        <x:v>0</x:v>
      </x:c>
      <x:c r="E115" s="139" t="n">
        <x:v>2</x:v>
      </x:c>
      <x:c r="F115" s="93" t="n">
        <x:v>0</x:v>
      </x:c>
      <x:c r="G115" s="93" t="n">
        <x:v>0.8461538461538461</x:v>
      </x:c>
      <x:c r="H115" s="139" t="n">
        <x:v>-4</x:v>
      </x:c>
      <x:c r="I115" s="139" t="n">
        <x:v>-2</x:v>
      </x:c>
    </x:row>
    <x:row r="116">
      <x:c r="A116" s="139" t="inlineStr">
        <x:is>
          <x:t xml:space="preserve">Nicholas</x:t>
        </x:is>
      </x:c>
      <x:c r="B116" s="139" t="inlineStr">
        <x:is>
          <x:t xml:space="preserve">Ronald</x:t>
        </x:is>
      </x:c>
      <x:c r="C116" s="139" t="n">
        <x:v>2</x:v>
      </x:c>
      <x:c r="D116" s="139" t="n">
        <x:v>1</x:v>
      </x:c>
      <x:c r="E116" s="139" t="n">
        <x:v>1</x:v>
      </x:c>
      <x:c r="F116" s="93" t="n">
        <x:v>0.5</x:v>
      </x:c>
      <x:c r="G116" s="93" t="n">
        <x:v>0.6666666666666666</x:v>
      </x:c>
      <x:c r="H116" s="139" t="n">
        <x:v>-2</x:v>
      </x:c>
      <x:c r="I116" s="139" t="n">
        <x:v>-1</x:v>
      </x:c>
    </x:row>
    <x:row r="117">
      <x:c r="A117" s="139" t="inlineStr">
        <x:is>
          <x:t xml:space="preserve">Nicholas</x:t>
        </x:is>
      </x:c>
      <x:c r="B117" s="139" t="inlineStr">
        <x:is>
          <x:t xml:space="preserve">Edy SP</x:t>
        </x:is>
      </x:c>
      <x:c r="C117" s="139" t="n">
        <x:v>2</x:v>
      </x:c>
      <x:c r="D117" s="139" t="n">
        <x:v>1</x:v>
      </x:c>
      <x:c r="E117" s="139" t="n">
        <x:v>1</x:v>
      </x:c>
      <x:c r="F117" s="93" t="n">
        <x:v>0.5</x:v>
      </x:c>
      <x:c r="G117" s="93" t="n">
        <x:v>0.4666666666666667</x:v>
      </x:c>
      <x:c r="H117" s="139" t="n">
        <x:v>0</x:v>
      </x:c>
      <x:c r="I117" s="139" t="n">
        <x:v>0</x:v>
      </x:c>
    </x:row>
    <x:row r="118">
      <x:c r="A118" s="139" t="inlineStr">
        <x:is>
          <x:t xml:space="preserve">Nicholas</x:t>
        </x:is>
      </x:c>
      <x:c r="B118" s="139" t="inlineStr">
        <x:is>
          <x:t xml:space="preserve">David</x:t>
        </x:is>
      </x:c>
      <x:c r="C118" s="139" t="n">
        <x:v>2</x:v>
      </x:c>
      <x:c r="D118" s="139" t="n">
        <x:v>1</x:v>
      </x:c>
      <x:c r="E118" s="139" t="n">
        <x:v>1</x:v>
      </x:c>
      <x:c r="F118" s="93" t="n">
        <x:v>0.5</x:v>
      </x:c>
      <x:c r="G118" s="93" t="n">
        <x:v>0.4166666666666667</x:v>
      </x:c>
      <x:c r="H118" s="139" t="n">
        <x:v>-2</x:v>
      </x:c>
      <x:c r="I118" s="139" t="n">
        <x:v>-1</x:v>
      </x:c>
    </x:row>
    <x:row r="119">
      <x:c r="A119" s="139" t="inlineStr">
        <x:is>
          <x:t xml:space="preserve">Nicholas</x:t>
        </x:is>
      </x:c>
      <x:c r="B119" s="139" t="inlineStr">
        <x:is>
          <x:t xml:space="preserve">Donny</x:t>
        </x:is>
      </x:c>
      <x:c r="C119" s="139" t="n">
        <x:v>2</x:v>
      </x:c>
      <x:c r="D119" s="139" t="n">
        <x:v>2</x:v>
      </x:c>
      <x:c r="E119" s="139" t="n">
        <x:v>0</x:v>
      </x:c>
      <x:c r="F119" s="93" t="n">
        <x:v>1</x:v>
      </x:c>
      <x:c r="G119" s="93" t="n">
        <x:v>0.3636363636363636</x:v>
      </x:c>
      <x:c r="H119" s="139" t="n">
        <x:v>4</x:v>
      </x:c>
      <x:c r="I119" s="139" t="n">
        <x:v>2</x:v>
      </x:c>
    </x:row>
    <x:row r="120">
      <x:c r="A120" s="139" t="inlineStr">
        <x:is>
          <x:t xml:space="preserve">Nicholas</x:t>
        </x:is>
      </x:c>
      <x:c r="B120" s="139" t="inlineStr">
        <x:is>
          <x:t xml:space="preserve">Jonathan</x:t>
        </x:is>
      </x:c>
      <x:c r="C120" s="139" t="n">
        <x:v>1</x:v>
      </x:c>
      <x:c r="D120" s="139" t="n">
        <x:v>0</x:v>
      </x:c>
      <x:c r="E120" s="139" t="n">
        <x:v>1</x:v>
      </x:c>
      <x:c r="F120" s="93" t="n">
        <x:v>0</x:v>
      </x:c>
      <x:c r="G120" s="93" t="n">
        <x:v>0.6666666666666666</x:v>
      </x:c>
      <x:c r="H120" s="139" t="n">
        <x:v>-1</x:v>
      </x:c>
      <x:c r="I120" s="139" t="n">
        <x:v>-1</x:v>
      </x:c>
    </x:row>
    <x:row r="121">
      <x:c r="A121" s="139" t="inlineStr">
        <x:is>
          <x:t xml:space="preserve">Nicholas</x:t>
        </x:is>
      </x:c>
      <x:c r="B121" s="139" t="inlineStr">
        <x:is>
          <x:t xml:space="preserve">Austin</x:t>
        </x:is>
      </x:c>
      <x:c r="C121" s="139" t="n">
        <x:v>1</x:v>
      </x:c>
      <x:c r="D121" s="139" t="n">
        <x:v>0</x:v>
      </x:c>
      <x:c r="E121" s="139" t="n">
        <x:v>1</x:v>
      </x:c>
      <x:c r="F121" s="93" t="n">
        <x:v>0</x:v>
      </x:c>
      <x:c r="G121" s="93" t="n">
        <x:v>0.6428571428571429</x:v>
      </x:c>
      <x:c r="H121" s="139" t="n">
        <x:v>-3</x:v>
      </x:c>
      <x:c r="I121" s="139" t="n">
        <x:v>-3</x:v>
      </x:c>
    </x:row>
    <x:row r="122">
      <x:c r="A122" s="139" t="inlineStr">
        <x:is>
          <x:t xml:space="preserve">Nicholas</x:t>
        </x:is>
      </x:c>
      <x:c r="B122" s="139" t="inlineStr">
        <x:is>
          <x:t xml:space="preserve">Ricky</x:t>
        </x:is>
      </x:c>
      <x:c r="C122" s="139" t="n">
        <x:v>1</x:v>
      </x:c>
      <x:c r="D122" s="139" t="n">
        <x:v>0</x:v>
      </x:c>
      <x:c r="E122" s="139" t="n">
        <x:v>1</x:v>
      </x:c>
      <x:c r="F122" s="93" t="n">
        <x:v>0</x:v>
      </x:c>
      <x:c r="G122" s="93" t="n">
        <x:v>0.6153846153846154</x:v>
      </x:c>
      <x:c r="H122" s="139" t="n">
        <x:v>-1</x:v>
      </x:c>
      <x:c r="I122" s="139" t="n">
        <x:v>-1</x:v>
      </x:c>
    </x:row>
    <x:row r="123">
      <x:c r="A123" s="139" t="inlineStr">
        <x:is>
          <x:t xml:space="preserve">Nicholas</x:t>
        </x:is>
      </x:c>
      <x:c r="B123" s="139" t="inlineStr">
        <x:is>
          <x:t xml:space="preserve">Alice</x:t>
        </x:is>
      </x:c>
      <x:c r="C123" s="139" t="n">
        <x:v>1</x:v>
      </x:c>
      <x:c r="D123" s="139" t="n">
        <x:v>1</x:v>
      </x:c>
      <x:c r="E123" s="139" t="n">
        <x:v>0</x:v>
      </x:c>
      <x:c r="F123" s="93" t="n">
        <x:v>1</x:v>
      </x:c>
      <x:c r="G123" s="93" t="n">
        <x:v>0.07142857142857142</x:v>
      </x:c>
      <x:c r="H123" s="139" t="n">
        <x:v>3</x:v>
      </x:c>
      <x:c r="I123" s="139" t="n">
        <x:v>3</x:v>
      </x:c>
    </x:row>
    <x:row r="124">
      <x:c r="A124" s="139" t="inlineStr">
        <x:is>
          <x:t xml:space="preserve">Nico</x:t>
        </x:is>
      </x:c>
      <x:c r="B124" s="139" t="inlineStr">
        <x:is>
          <x:t xml:space="preserve">Rey</x:t>
        </x:is>
      </x:c>
      <x:c r="C124" s="139" t="n">
        <x:v>2</x:v>
      </x:c>
      <x:c r="D124" s="139" t="n">
        <x:v>0</x:v>
      </x:c>
      <x:c r="E124" s="139" t="n">
        <x:v>2</x:v>
      </x:c>
      <x:c r="F124" s="93" t="n">
        <x:v>0</x:v>
      </x:c>
      <x:c r="G124" s="93" t="n">
        <x:v>0.7142857142857143</x:v>
      </x:c>
      <x:c r="H124" s="139" t="n">
        <x:v>-7</x:v>
      </x:c>
      <x:c r="I124" s="139" t="n">
        <x:v>-3.5</x:v>
      </x:c>
    </x:row>
    <x:row r="125">
      <x:c r="A125" s="139" t="inlineStr">
        <x:is>
          <x:t xml:space="preserve">Nico</x:t>
        </x:is>
      </x:c>
      <x:c r="B125" s="139" t="inlineStr">
        <x:is>
          <x:t xml:space="preserve">Kennard</x:t>
        </x:is>
      </x:c>
      <x:c r="C125" s="139" t="n">
        <x:v>2</x:v>
      </x:c>
      <x:c r="D125" s="139" t="n">
        <x:v>1</x:v>
      </x:c>
      <x:c r="E125" s="139" t="n">
        <x:v>1</x:v>
      </x:c>
      <x:c r="F125" s="93" t="n">
        <x:v>0.5</x:v>
      </x:c>
      <x:c r="G125" s="93" t="n">
        <x:v>0.6923076923076923</x:v>
      </x:c>
      <x:c r="H125" s="139" t="n">
        <x:v>2</x:v>
      </x:c>
      <x:c r="I125" s="139" t="n">
        <x:v>1</x:v>
      </x:c>
    </x:row>
    <x:row r="126">
      <x:c r="A126" s="139" t="inlineStr">
        <x:is>
          <x:t xml:space="preserve">Nico</x:t>
        </x:is>
      </x:c>
      <x:c r="B126" s="139" t="inlineStr">
        <x:is>
          <x:t xml:space="preserve">Edy SP</x:t>
        </x:is>
      </x:c>
      <x:c r="C126" s="139" t="n">
        <x:v>2</x:v>
      </x:c>
      <x:c r="D126" s="139" t="n">
        <x:v>0</x:v>
      </x:c>
      <x:c r="E126" s="139" t="n">
        <x:v>2</x:v>
      </x:c>
      <x:c r="F126" s="93" t="n">
        <x:v>0</x:v>
      </x:c>
      <x:c r="G126" s="93" t="n">
        <x:v>0.4666666666666667</x:v>
      </x:c>
      <x:c r="H126" s="139" t="n">
        <x:v>-7</x:v>
      </x:c>
      <x:c r="I126" s="139" t="n">
        <x:v>-3.5</x:v>
      </x:c>
    </x:row>
    <x:row r="127">
      <x:c r="A127" s="139" t="inlineStr">
        <x:is>
          <x:t xml:space="preserve">Nico</x:t>
        </x:is>
      </x:c>
      <x:c r="B127" s="139" t="inlineStr">
        <x:is>
          <x:t xml:space="preserve">Alice</x:t>
        </x:is>
      </x:c>
      <x:c r="C127" s="139" t="n">
        <x:v>2</x:v>
      </x:c>
      <x:c r="D127" s="139" t="n">
        <x:v>2</x:v>
      </x:c>
      <x:c r="E127" s="139" t="n">
        <x:v>0</x:v>
      </x:c>
      <x:c r="F127" s="93" t="n">
        <x:v>1</x:v>
      </x:c>
      <x:c r="G127" s="93" t="n">
        <x:v>0.07142857142857142</x:v>
      </x:c>
      <x:c r="H127" s="139" t="n">
        <x:v>6</x:v>
      </x:c>
      <x:c r="I127" s="139" t="n">
        <x:v>3</x:v>
      </x:c>
    </x:row>
    <x:row r="128">
      <x:c r="A128" s="139" t="inlineStr">
        <x:is>
          <x:t xml:space="preserve">Nico</x:t>
        </x:is>
      </x:c>
      <x:c r="B128" s="139" t="inlineStr">
        <x:is>
          <x:t xml:space="preserve">Ronald</x:t>
        </x:is>
      </x:c>
      <x:c r="C128" s="139" t="n">
        <x:v>1</x:v>
      </x:c>
      <x:c r="D128" s="139" t="n">
        <x:v>0</x:v>
      </x:c>
      <x:c r="E128" s="139" t="n">
        <x:v>1</x:v>
      </x:c>
      <x:c r="F128" s="93" t="n">
        <x:v>0</x:v>
      </x:c>
      <x:c r="G128" s="93" t="n">
        <x:v>0.6666666666666666</x:v>
      </x:c>
      <x:c r="H128" s="139" t="n">
        <x:v>-3</x:v>
      </x:c>
      <x:c r="I128" s="139" t="n">
        <x:v>-3</x:v>
      </x:c>
    </x:row>
    <x:row r="129">
      <x:c r="A129" s="139" t="inlineStr">
        <x:is>
          <x:t xml:space="preserve">Nico</x:t>
        </x:is>
      </x:c>
      <x:c r="B129" s="139" t="inlineStr">
        <x:is>
          <x:t xml:space="preserve">Ricky</x:t>
        </x:is>
      </x:c>
      <x:c r="C129" s="139" t="n">
        <x:v>1</x:v>
      </x:c>
      <x:c r="D129" s="139" t="n">
        <x:v>0</x:v>
      </x:c>
      <x:c r="E129" s="139" t="n">
        <x:v>1</x:v>
      </x:c>
      <x:c r="F129" s="93" t="n">
        <x:v>0</x:v>
      </x:c>
      <x:c r="G129" s="93" t="n">
        <x:v>0.6153846153846154</x:v>
      </x:c>
      <x:c r="H129" s="139" t="n">
        <x:v>-3</x:v>
      </x:c>
      <x:c r="I129" s="139" t="n">
        <x:v>-3</x:v>
      </x:c>
    </x:row>
    <x:row r="130">
      <x:c r="A130" s="139" t="inlineStr">
        <x:is>
          <x:t xml:space="preserve">Nico</x:t>
        </x:is>
      </x:c>
      <x:c r="B130" s="139" t="inlineStr">
        <x:is>
          <x:t xml:space="preserve">Michael</x:t>
        </x:is>
      </x:c>
      <x:c r="C130" s="139" t="n">
        <x:v>1</x:v>
      </x:c>
      <x:c r="D130" s="139" t="n">
        <x:v>1</x:v>
      </x:c>
      <x:c r="E130" s="139" t="n">
        <x:v>0</x:v>
      </x:c>
      <x:c r="F130" s="93" t="n">
        <x:v>1</x:v>
      </x:c>
      <x:c r="G130" s="93" t="n">
        <x:v>0.4615384615384616</x:v>
      </x:c>
      <x:c r="H130" s="139" t="n">
        <x:v>3</x:v>
      </x:c>
      <x:c r="I130" s="139" t="n">
        <x:v>3</x:v>
      </x:c>
    </x:row>
    <x:row r="131">
      <x:c r="A131" s="139" t="inlineStr">
        <x:is>
          <x:t xml:space="preserve">Nico</x:t>
        </x:is>
      </x:c>
      <x:c r="B131" s="139" t="inlineStr">
        <x:is>
          <x:t xml:space="preserve">David</x:t>
        </x:is>
      </x:c>
      <x:c r="C131" s="139" t="n">
        <x:v>1</x:v>
      </x:c>
      <x:c r="D131" s="139" t="n">
        <x:v>0</x:v>
      </x:c>
      <x:c r="E131" s="139" t="n">
        <x:v>1</x:v>
      </x:c>
      <x:c r="F131" s="93" t="n">
        <x:v>0</x:v>
      </x:c>
      <x:c r="G131" s="93" t="n">
        <x:v>0.4166666666666667</x:v>
      </x:c>
      <x:c r="H131" s="139" t="n">
        <x:v>-1</x:v>
      </x:c>
      <x:c r="I131" s="139" t="n">
        <x:v>-1</x:v>
      </x:c>
    </x:row>
    <x:row r="132">
      <x:c r="A132" s="139" t="inlineStr">
        <x:is>
          <x:t xml:space="preserve">Rey</x:t>
        </x:is>
      </x:c>
      <x:c r="B132" s="139" t="inlineStr">
        <x:is>
          <x:t xml:space="preserve">Kennard</x:t>
        </x:is>
      </x:c>
      <x:c r="C132" s="139" t="n">
        <x:v>2</x:v>
      </x:c>
      <x:c r="D132" s="139" t="n">
        <x:v>1</x:v>
      </x:c>
      <x:c r="E132" s="139" t="n">
        <x:v>1</x:v>
      </x:c>
      <x:c r="F132" s="93" t="n">
        <x:v>0.5</x:v>
      </x:c>
      <x:c r="G132" s="93" t="n">
        <x:v>0.6923076923076923</x:v>
      </x:c>
      <x:c r="H132" s="139" t="n">
        <x:v>1</x:v>
      </x:c>
      <x:c r="I132" s="139" t="n">
        <x:v>0.5</x:v>
      </x:c>
    </x:row>
    <x:row r="133">
      <x:c r="A133" s="139" t="inlineStr">
        <x:is>
          <x:t xml:space="preserve">Rey</x:t>
        </x:is>
      </x:c>
      <x:c r="B133" s="139" t="inlineStr">
        <x:is>
          <x:t xml:space="preserve">Ronald</x:t>
        </x:is>
      </x:c>
      <x:c r="C133" s="139" t="n">
        <x:v>2</x:v>
      </x:c>
      <x:c r="D133" s="139" t="n">
        <x:v>1</x:v>
      </x:c>
      <x:c r="E133" s="139" t="n">
        <x:v>1</x:v>
      </x:c>
      <x:c r="F133" s="93" t="n">
        <x:v>0.5</x:v>
      </x:c>
      <x:c r="G133" s="93" t="n">
        <x:v>0.6666666666666666</x:v>
      </x:c>
      <x:c r="H133" s="139" t="n">
        <x:v>0</x:v>
      </x:c>
      <x:c r="I133" s="139" t="n">
        <x:v>0</x:v>
      </x:c>
    </x:row>
    <x:row r="134">
      <x:c r="A134" s="139" t="inlineStr">
        <x:is>
          <x:t xml:space="preserve">Rey</x:t>
        </x:is>
      </x:c>
      <x:c r="B134" s="139" t="inlineStr">
        <x:is>
          <x:t xml:space="preserve">Ricky</x:t>
        </x:is>
      </x:c>
      <x:c r="C134" s="139" t="n">
        <x:v>2</x:v>
      </x:c>
      <x:c r="D134" s="139" t="n">
        <x:v>1</x:v>
      </x:c>
      <x:c r="E134" s="139" t="n">
        <x:v>1</x:v>
      </x:c>
      <x:c r="F134" s="93" t="n">
        <x:v>0.5</x:v>
      </x:c>
      <x:c r="G134" s="93" t="n">
        <x:v>0.6153846153846154</x:v>
      </x:c>
      <x:c r="H134" s="139" t="n">
        <x:v>0</x:v>
      </x:c>
      <x:c r="I134" s="139" t="n">
        <x:v>0</x:v>
      </x:c>
    </x:row>
    <x:row r="135">
      <x:c r="A135" s="139" t="inlineStr">
        <x:is>
          <x:t xml:space="preserve">Rey</x:t>
        </x:is>
      </x:c>
      <x:c r="B135" s="139" t="inlineStr">
        <x:is>
          <x:t xml:space="preserve">Michael</x:t>
        </x:is>
      </x:c>
      <x:c r="C135" s="139" t="n">
        <x:v>2</x:v>
      </x:c>
      <x:c r="D135" s="139" t="n">
        <x:v>1</x:v>
      </x:c>
      <x:c r="E135" s="139" t="n">
        <x:v>1</x:v>
      </x:c>
      <x:c r="F135" s="93" t="n">
        <x:v>0.5</x:v>
      </x:c>
      <x:c r="G135" s="93" t="n">
        <x:v>0.4615384615384616</x:v>
      </x:c>
      <x:c r="H135" s="139" t="n">
        <x:v>3</x:v>
      </x:c>
      <x:c r="I135" s="139" t="n">
        <x:v>1.5</x:v>
      </x:c>
    </x:row>
    <x:row r="136">
      <x:c r="A136" s="139" t="inlineStr">
        <x:is>
          <x:t xml:space="preserve">Rey</x:t>
        </x:is>
      </x:c>
      <x:c r="B136" s="139" t="inlineStr">
        <x:is>
          <x:t xml:space="preserve">David</x:t>
        </x:is>
      </x:c>
      <x:c r="C136" s="139" t="n">
        <x:v>2</x:v>
      </x:c>
      <x:c r="D136" s="139" t="n">
        <x:v>2</x:v>
      </x:c>
      <x:c r="E136" s="139" t="n">
        <x:v>0</x:v>
      </x:c>
      <x:c r="F136" s="93" t="n">
        <x:v>1</x:v>
      </x:c>
      <x:c r="G136" s="93" t="n">
        <x:v>0.4166666666666667</x:v>
      </x:c>
      <x:c r="H136" s="139" t="n">
        <x:v>4</x:v>
      </x:c>
      <x:c r="I136" s="139" t="n">
        <x:v>2</x:v>
      </x:c>
    </x:row>
    <x:row r="137">
      <x:c r="A137" s="139" t="inlineStr">
        <x:is>
          <x:t xml:space="preserve">Rey</x:t>
        </x:is>
      </x:c>
      <x:c r="B137" s="139" t="inlineStr">
        <x:is>
          <x:t xml:space="preserve">Nico</x:t>
        </x:is>
      </x:c>
      <x:c r="C137" s="139" t="n">
        <x:v>2</x:v>
      </x:c>
      <x:c r="D137" s="139" t="n">
        <x:v>2</x:v>
      </x:c>
      <x:c r="E137" s="139" t="n">
        <x:v>0</x:v>
      </x:c>
      <x:c r="F137" s="93" t="n">
        <x:v>1</x:v>
      </x:c>
      <x:c r="G137" s="93" t="n">
        <x:v>0.3333333333333333</x:v>
      </x:c>
      <x:c r="H137" s="139" t="n">
        <x:v>7</x:v>
      </x:c>
      <x:c r="I137" s="139" t="n">
        <x:v>3.5</x:v>
      </x:c>
    </x:row>
    <x:row r="138">
      <x:c r="A138" s="139" t="inlineStr">
        <x:is>
          <x:t xml:space="preserve">Rey</x:t>
        </x:is>
      </x:c>
      <x:c r="B138" s="139" t="inlineStr">
        <x:is>
          <x:t xml:space="preserve">Edy SP</x:t>
        </x:is>
      </x:c>
      <x:c r="C138" s="139" t="n">
        <x:v>1</x:v>
      </x:c>
      <x:c r="D138" s="139" t="n">
        <x:v>1</x:v>
      </x:c>
      <x:c r="E138" s="139" t="n">
        <x:v>0</x:v>
      </x:c>
      <x:c r="F138" s="93" t="n">
        <x:v>1</x:v>
      </x:c>
      <x:c r="G138" s="93" t="n">
        <x:v>0.4666666666666667</x:v>
      </x:c>
      <x:c r="H138" s="139" t="n">
        <x:v>2</x:v>
      </x:c>
      <x:c r="I138" s="139" t="n">
        <x:v>2</x:v>
      </x:c>
    </x:row>
    <x:row r="139">
      <x:c r="A139" s="139" t="inlineStr">
        <x:is>
          <x:t xml:space="preserve">Rey</x:t>
        </x:is>
      </x:c>
      <x:c r="B139" s="139" t="inlineStr">
        <x:is>
          <x:t xml:space="preserve">Alice</x:t>
        </x:is>
      </x:c>
      <x:c r="C139" s="139" t="n">
        <x:v>1</x:v>
      </x:c>
      <x:c r="D139" s="139" t="n">
        <x:v>1</x:v>
      </x:c>
      <x:c r="E139" s="139" t="n">
        <x:v>0</x:v>
      </x:c>
      <x:c r="F139" s="93" t="n">
        <x:v>1</x:v>
      </x:c>
      <x:c r="G139" s="93" t="n">
        <x:v>0.07142857142857142</x:v>
      </x:c>
      <x:c r="H139" s="139" t="n">
        <x:v>3</x:v>
      </x:c>
      <x:c r="I139" s="139" t="n">
        <x:v>3</x:v>
      </x:c>
    </x:row>
    <x:row r="140">
      <x:c r="A140" s="139" t="inlineStr">
        <x:is>
          <x:t xml:space="preserve">Reza</x:t>
        </x:is>
      </x:c>
      <x:c r="B140" s="139" t="inlineStr">
        <x:is>
          <x:t xml:space="preserve">Sandy</x:t>
        </x:is>
      </x:c>
      <x:c r="C140" s="139" t="n">
        <x:v>2</x:v>
      </x:c>
      <x:c r="D140" s="139" t="n">
        <x:v>1</x:v>
      </x:c>
      <x:c r="E140" s="139" t="n">
        <x:v>1</x:v>
      </x:c>
      <x:c r="F140" s="93" t="n">
        <x:v>0.5</x:v>
      </x:c>
      <x:c r="G140" s="93" t="n">
        <x:v>0.8461538461538461</x:v>
      </x:c>
      <x:c r="H140" s="139" t="n">
        <x:v>-4</x:v>
      </x:c>
      <x:c r="I140" s="139" t="n">
        <x:v>-2</x:v>
      </x:c>
    </x:row>
    <x:row r="141">
      <x:c r="A141" s="139" t="inlineStr">
        <x:is>
          <x:t xml:space="preserve">Reza</x:t>
        </x:is>
      </x:c>
      <x:c r="B141" s="139" t="inlineStr">
        <x:is>
          <x:t xml:space="preserve">Kennard</x:t>
        </x:is>
      </x:c>
      <x:c r="C141" s="139" t="n">
        <x:v>2</x:v>
      </x:c>
      <x:c r="D141" s="139" t="n">
        <x:v>0</x:v>
      </x:c>
      <x:c r="E141" s="139" t="n">
        <x:v>2</x:v>
      </x:c>
      <x:c r="F141" s="93" t="n">
        <x:v>0</x:v>
      </x:c>
      <x:c r="G141" s="93" t="n">
        <x:v>0.6923076923076923</x:v>
      </x:c>
      <x:c r="H141" s="139" t="n">
        <x:v>-6</x:v>
      </x:c>
      <x:c r="I141" s="139" t="n">
        <x:v>-3</x:v>
      </x:c>
    </x:row>
    <x:row r="142">
      <x:c r="A142" s="139" t="inlineStr">
        <x:is>
          <x:t xml:space="preserve">Reza</x:t>
        </x:is>
      </x:c>
      <x:c r="B142" s="139" t="inlineStr">
        <x:is>
          <x:t xml:space="preserve">Austin</x:t>
        </x:is>
      </x:c>
      <x:c r="C142" s="139" t="n">
        <x:v>2</x:v>
      </x:c>
      <x:c r="D142" s="139" t="n">
        <x:v>0</x:v>
      </x:c>
      <x:c r="E142" s="139" t="n">
        <x:v>2</x:v>
      </x:c>
      <x:c r="F142" s="93" t="n">
        <x:v>0</x:v>
      </x:c>
      <x:c r="G142" s="93" t="n">
        <x:v>0.6428571428571429</x:v>
      </x:c>
      <x:c r="H142" s="139" t="n">
        <x:v>-8</x:v>
      </x:c>
      <x:c r="I142" s="139" t="n">
        <x:v>-4</x:v>
      </x:c>
    </x:row>
    <x:row r="143">
      <x:c r="A143" s="139" t="inlineStr">
        <x:is>
          <x:t xml:space="preserve">Reza</x:t>
        </x:is>
      </x:c>
      <x:c r="B143" s="139" t="inlineStr">
        <x:is>
          <x:t xml:space="preserve">Edy SP</x:t>
        </x:is>
      </x:c>
      <x:c r="C143" s="139" t="n">
        <x:v>2</x:v>
      </x:c>
      <x:c r="D143" s="139" t="n">
        <x:v>1</x:v>
      </x:c>
      <x:c r="E143" s="139" t="n">
        <x:v>1</x:v>
      </x:c>
      <x:c r="F143" s="93" t="n">
        <x:v>0.5</x:v>
      </x:c>
      <x:c r="G143" s="93" t="n">
        <x:v>0.4666666666666667</x:v>
      </x:c>
      <x:c r="H143" s="139" t="n">
        <x:v>-2</x:v>
      </x:c>
      <x:c r="I143" s="139" t="n">
        <x:v>-1</x:v>
      </x:c>
    </x:row>
    <x:row r="144">
      <x:c r="A144" s="139" t="inlineStr">
        <x:is>
          <x:t xml:space="preserve">Reza</x:t>
        </x:is>
      </x:c>
      <x:c r="B144" s="139" t="inlineStr">
        <x:is>
          <x:t xml:space="preserve">Michael</x:t>
        </x:is>
      </x:c>
      <x:c r="C144" s="139" t="n">
        <x:v>2</x:v>
      </x:c>
      <x:c r="D144" s="139" t="n">
        <x:v>1</x:v>
      </x:c>
      <x:c r="E144" s="139" t="n">
        <x:v>1</x:v>
      </x:c>
      <x:c r="F144" s="93" t="n">
        <x:v>0.5</x:v>
      </x:c>
      <x:c r="G144" s="93" t="n">
        <x:v>0.4615384615384616</x:v>
      </x:c>
      <x:c r="H144" s="139" t="n">
        <x:v>-4</x:v>
      </x:c>
      <x:c r="I144" s="139" t="n">
        <x:v>-2</x:v>
      </x:c>
    </x:row>
    <x:row r="145">
      <x:c r="A145" s="139" t="inlineStr">
        <x:is>
          <x:t xml:space="preserve">Reza</x:t>
        </x:is>
      </x:c>
      <x:c r="B145" s="139" t="inlineStr">
        <x:is>
          <x:t xml:space="preserve">Ricky</x:t>
        </x:is>
      </x:c>
      <x:c r="C145" s="139" t="n">
        <x:v>1</x:v>
      </x:c>
      <x:c r="D145" s="139" t="n">
        <x:v>0</x:v>
      </x:c>
      <x:c r="E145" s="139" t="n">
        <x:v>1</x:v>
      </x:c>
      <x:c r="F145" s="93" t="n">
        <x:v>0</x:v>
      </x:c>
      <x:c r="G145" s="93" t="n">
        <x:v>0.6153846153846154</x:v>
      </x:c>
      <x:c r="H145" s="139" t="n">
        <x:v>-5</x:v>
      </x:c>
      <x:c r="I145" s="139" t="n">
        <x:v>-5</x:v>
      </x:c>
    </x:row>
    <x:row r="146">
      <x:c r="A146" s="139" t="inlineStr">
        <x:is>
          <x:t xml:space="preserve">Reza</x:t>
        </x:is>
      </x:c>
      <x:c r="B146" s="139" t="inlineStr">
        <x:is>
          <x:t xml:space="preserve">Welly</x:t>
        </x:is>
      </x:c>
      <x:c r="C146" s="139" t="n">
        <x:v>1</x:v>
      </x:c>
      <x:c r="D146" s="139" t="n">
        <x:v>1</x:v>
      </x:c>
      <x:c r="E146" s="139" t="n">
        <x:v>0</x:v>
      </x:c>
      <x:c r="F146" s="93" t="n">
        <x:v>1</x:v>
      </x:c>
      <x:c r="G146" s="93" t="n">
        <x:v>0.2</x:v>
      </x:c>
      <x:c r="H146" s="139" t="n">
        <x:v>1</x:v>
      </x:c>
      <x:c r="I146" s="139" t="n">
        <x:v>1</x:v>
      </x:c>
    </x:row>
    <x:row r="147">
      <x:c r="A147" s="139" t="inlineStr">
        <x:is>
          <x:t xml:space="preserve">Ricky</x:t>
        </x:is>
      </x:c>
      <x:c r="B147" s="139" t="inlineStr">
        <x:is>
          <x:t xml:space="preserve">Edy SP</x:t>
        </x:is>
      </x:c>
      <x:c r="C147" s="139" t="n">
        <x:v>8</x:v>
      </x:c>
      <x:c r="D147" s="139" t="n">
        <x:v>5</x:v>
      </x:c>
      <x:c r="E147" s="139" t="n">
        <x:v>3</x:v>
      </x:c>
      <x:c r="F147" s="93" t="n">
        <x:v>0.625</x:v>
      </x:c>
      <x:c r="G147" s="93" t="n">
        <x:v>0.4666666666666667</x:v>
      </x:c>
      <x:c r="H147" s="139" t="n">
        <x:v>8</x:v>
      </x:c>
      <x:c r="I147" s="139" t="n">
        <x:v>1</x:v>
      </x:c>
    </x:row>
    <x:row r="148">
      <x:c r="A148" s="139" t="inlineStr">
        <x:is>
          <x:t xml:space="preserve">Ricky</x:t>
        </x:is>
      </x:c>
      <x:c r="B148" s="139" t="inlineStr">
        <x:is>
          <x:t xml:space="preserve">Rizky</x:t>
        </x:is>
      </x:c>
      <x:c r="C148" s="139" t="n">
        <x:v>4</x:v>
      </x:c>
      <x:c r="D148" s="139" t="n">
        <x:v>2</x:v>
      </x:c>
      <x:c r="E148" s="139" t="n">
        <x:v>2</x:v>
      </x:c>
      <x:c r="F148" s="93" t="n">
        <x:v>0.5</x:v>
      </x:c>
      <x:c r="G148" s="93" t="n">
        <x:v>0.6666666666666666</x:v>
      </x:c>
      <x:c r="H148" s="139" t="n">
        <x:v>1</x:v>
      </x:c>
      <x:c r="I148" s="139" t="n">
        <x:v>0.25</x:v>
      </x:c>
    </x:row>
    <x:row r="149">
      <x:c r="A149" s="139" t="inlineStr">
        <x:is>
          <x:t xml:space="preserve">Ricky</x:t>
        </x:is>
      </x:c>
      <x:c r="B149" s="139" t="inlineStr">
        <x:is>
          <x:t xml:space="preserve">Ronald</x:t>
        </x:is>
      </x:c>
      <x:c r="C149" s="139" t="n">
        <x:v>4</x:v>
      </x:c>
      <x:c r="D149" s="139" t="n">
        <x:v>2</x:v>
      </x:c>
      <x:c r="E149" s="139" t="n">
        <x:v>2</x:v>
      </x:c>
      <x:c r="F149" s="93" t="n">
        <x:v>0.5</x:v>
      </x:c>
      <x:c r="G149" s="93" t="n">
        <x:v>0.6666666666666666</x:v>
      </x:c>
      <x:c r="H149" s="139" t="n">
        <x:v>-1</x:v>
      </x:c>
      <x:c r="I149" s="139" t="n">
        <x:v>-0.25</x:v>
      </x:c>
    </x:row>
    <x:row r="150">
      <x:c r="A150" s="139" t="inlineStr">
        <x:is>
          <x:t xml:space="preserve">Ricky</x:t>
        </x:is>
      </x:c>
      <x:c r="B150" s="139" t="inlineStr">
        <x:is>
          <x:t xml:space="preserve">Michael</x:t>
        </x:is>
      </x:c>
      <x:c r="C150" s="139" t="n">
        <x:v>4</x:v>
      </x:c>
      <x:c r="D150" s="139" t="n">
        <x:v>3</x:v>
      </x:c>
      <x:c r="E150" s="139" t="n">
        <x:v>1</x:v>
      </x:c>
      <x:c r="F150" s="93" t="n">
        <x:v>0.75</x:v>
      </x:c>
      <x:c r="G150" s="93" t="n">
        <x:v>0.4615384615384616</x:v>
      </x:c>
      <x:c r="H150" s="139" t="n">
        <x:v>3</x:v>
      </x:c>
      <x:c r="I150" s="139" t="n">
        <x:v>0.75</x:v>
      </x:c>
    </x:row>
    <x:row r="151">
      <x:c r="A151" s="139" t="inlineStr">
        <x:is>
          <x:t xml:space="preserve">Ricky</x:t>
        </x:is>
      </x:c>
      <x:c r="B151" s="139" t="inlineStr">
        <x:is>
          <x:t xml:space="preserve">Alice</x:t>
        </x:is>
      </x:c>
      <x:c r="C151" s="139" t="n">
        <x:v>4</x:v>
      </x:c>
      <x:c r="D151" s="139" t="n">
        <x:v>3</x:v>
      </x:c>
      <x:c r="E151" s="139" t="n">
        <x:v>1</x:v>
      </x:c>
      <x:c r="F151" s="93" t="n">
        <x:v>0.75</x:v>
      </x:c>
      <x:c r="G151" s="93" t="n">
        <x:v>0.07142857142857142</x:v>
      </x:c>
      <x:c r="H151" s="139" t="n">
        <x:v>6</x:v>
      </x:c>
      <x:c r="I151" s="139" t="n">
        <x:v>1.5</x:v>
      </x:c>
    </x:row>
    <x:row r="152">
      <x:c r="A152" s="139" t="inlineStr">
        <x:is>
          <x:t xml:space="preserve">Ricky</x:t>
        </x:is>
      </x:c>
      <x:c r="B152" s="139" t="inlineStr">
        <x:is>
          <x:t xml:space="preserve">Hansen</x:t>
        </x:is>
      </x:c>
      <x:c r="C152" s="139" t="n">
        <x:v>4</x:v>
      </x:c>
      <x:c r="D152" s="139" t="n">
        <x:v>4</x:v>
      </x:c>
      <x:c r="E152" s="139" t="n">
        <x:v>0</x:v>
      </x:c>
      <x:c r="F152" s="93" t="n">
        <x:v>1</x:v>
      </x:c>
      <x:c r="G152" s="93" t="n">
        <x:v>0</x:v>
      </x:c>
      <x:c r="H152" s="139" t="n">
        <x:v>11</x:v>
      </x:c>
      <x:c r="I152" s="139" t="n">
        <x:v>2.75</x:v>
      </x:c>
    </x:row>
    <x:row r="153">
      <x:c r="A153" s="139" t="inlineStr">
        <x:is>
          <x:t xml:space="preserve">Ricky</x:t>
        </x:is>
      </x:c>
      <x:c r="B153" s="139" t="inlineStr">
        <x:is>
          <x:t xml:space="preserve">Sandy</x:t>
        </x:is>
      </x:c>
      <x:c r="C153" s="139" t="n">
        <x:v>3</x:v>
      </x:c>
      <x:c r="D153" s="139" t="n">
        <x:v>0</x:v>
      </x:c>
      <x:c r="E153" s="139" t="n">
        <x:v>3</x:v>
      </x:c>
      <x:c r="F153" s="93" t="n">
        <x:v>0</x:v>
      </x:c>
      <x:c r="G153" s="93" t="n">
        <x:v>0.8461538461538461</x:v>
      </x:c>
      <x:c r="H153" s="139" t="n">
        <x:v>-9</x:v>
      </x:c>
      <x:c r="I153" s="139" t="n">
        <x:v>-3</x:v>
      </x:c>
    </x:row>
    <x:row r="154">
      <x:c r="A154" s="139" t="inlineStr">
        <x:is>
          <x:t xml:space="preserve">Ricky</x:t>
        </x:is>
      </x:c>
      <x:c r="B154" s="139" t="inlineStr">
        <x:is>
          <x:t xml:space="preserve">Austin</x:t>
        </x:is>
      </x:c>
      <x:c r="C154" s="139" t="n">
        <x:v>3</x:v>
      </x:c>
      <x:c r="D154" s="139" t="n">
        <x:v>0</x:v>
      </x:c>
      <x:c r="E154" s="139" t="n">
        <x:v>3</x:v>
      </x:c>
      <x:c r="F154" s="93" t="n">
        <x:v>0</x:v>
      </x:c>
      <x:c r="G154" s="93" t="n">
        <x:v>0.6428571428571429</x:v>
      </x:c>
      <x:c r="H154" s="139" t="n">
        <x:v>-13</x:v>
      </x:c>
      <x:c r="I154" s="139" t="n">
        <x:v>-4.333333333333333</x:v>
      </x:c>
    </x:row>
    <x:row r="155">
      <x:c r="A155" s="139" t="inlineStr">
        <x:is>
          <x:t xml:space="preserve">Ricky</x:t>
        </x:is>
      </x:c>
      <x:c r="B155" s="139" t="inlineStr">
        <x:is>
          <x:t xml:space="preserve">David</x:t>
        </x:is>
      </x:c>
      <x:c r="C155" s="139" t="n">
        <x:v>3</x:v>
      </x:c>
      <x:c r="D155" s="139" t="n">
        <x:v>2</x:v>
      </x:c>
      <x:c r="E155" s="139" t="n">
        <x:v>1</x:v>
      </x:c>
      <x:c r="F155" s="93" t="n">
        <x:v>0.6666666666666666</x:v>
      </x:c>
      <x:c r="G155" s="93" t="n">
        <x:v>0.4166666666666667</x:v>
      </x:c>
      <x:c r="H155" s="139" t="n">
        <x:v>5</x:v>
      </x:c>
      <x:c r="I155" s="139" t="n">
        <x:v>1.666666666666667</x:v>
      </x:c>
    </x:row>
    <x:row r="156">
      <x:c r="A156" s="139" t="inlineStr">
        <x:is>
          <x:t xml:space="preserve">Ricky</x:t>
        </x:is>
      </x:c>
      <x:c r="B156" s="139" t="inlineStr">
        <x:is>
          <x:t xml:space="preserve">Rey</x:t>
        </x:is>
      </x:c>
      <x:c r="C156" s="139" t="n">
        <x:v>2</x:v>
      </x:c>
      <x:c r="D156" s="139" t="n">
        <x:v>1</x:v>
      </x:c>
      <x:c r="E156" s="139" t="n">
        <x:v>1</x:v>
      </x:c>
      <x:c r="F156" s="93" t="n">
        <x:v>0.5</x:v>
      </x:c>
      <x:c r="G156" s="93" t="n">
        <x:v>0.7142857142857143</x:v>
      </x:c>
      <x:c r="H156" s="139" t="n">
        <x:v>0</x:v>
      </x:c>
      <x:c r="I156" s="139" t="n">
        <x:v>0</x:v>
      </x:c>
    </x:row>
    <x:row r="157">
      <x:c r="A157" s="139" t="inlineStr">
        <x:is>
          <x:t xml:space="preserve">Ricky</x:t>
        </x:is>
      </x:c>
      <x:c r="B157" s="139" t="inlineStr">
        <x:is>
          <x:t xml:space="preserve">Kennard</x:t>
        </x:is>
      </x:c>
      <x:c r="C157" s="139" t="n">
        <x:v>2</x:v>
      </x:c>
      <x:c r="D157" s="139" t="n">
        <x:v>2</x:v>
      </x:c>
      <x:c r="E157" s="139" t="n">
        <x:v>0</x:v>
      </x:c>
      <x:c r="F157" s="93" t="n">
        <x:v>1</x:v>
      </x:c>
      <x:c r="G157" s="93" t="n">
        <x:v>0.6923076923076923</x:v>
      </x:c>
      <x:c r="H157" s="139" t="n">
        <x:v>10</x:v>
      </x:c>
      <x:c r="I157" s="139" t="n">
        <x:v>5</x:v>
      </x:c>
    </x:row>
    <x:row r="158">
      <x:c r="A158" s="139" t="inlineStr">
        <x:is>
          <x:t xml:space="preserve">Ricky</x:t>
        </x:is>
      </x:c>
      <x:c r="B158" s="139" t="inlineStr">
        <x:is>
          <x:t xml:space="preserve">Jonathan</x:t>
        </x:is>
      </x:c>
      <x:c r="C158" s="139" t="n">
        <x:v>2</x:v>
      </x:c>
      <x:c r="D158" s="139" t="n">
        <x:v>1</x:v>
      </x:c>
      <x:c r="E158" s="139" t="n">
        <x:v>1</x:v>
      </x:c>
      <x:c r="F158" s="93" t="n">
        <x:v>0.5</x:v>
      </x:c>
      <x:c r="G158" s="93" t="n">
        <x:v>0.6666666666666666</x:v>
      </x:c>
      <x:c r="H158" s="139" t="n">
        <x:v>0</x:v>
      </x:c>
      <x:c r="I158" s="139" t="n">
        <x:v>0</x:v>
      </x:c>
    </x:row>
    <x:row r="159">
      <x:c r="A159" s="139" t="inlineStr">
        <x:is>
          <x:t xml:space="preserve">Ricky</x:t>
        </x:is>
      </x:c>
      <x:c r="B159" s="139" t="inlineStr">
        <x:is>
          <x:t xml:space="preserve">Donny</x:t>
        </x:is>
      </x:c>
      <x:c r="C159" s="139" t="n">
        <x:v>2</x:v>
      </x:c>
      <x:c r="D159" s="139" t="n">
        <x:v>1</x:v>
      </x:c>
      <x:c r="E159" s="139" t="n">
        <x:v>1</x:v>
      </x:c>
      <x:c r="F159" s="93" t="n">
        <x:v>0.5</x:v>
      </x:c>
      <x:c r="G159" s="93" t="n">
        <x:v>0.3636363636363636</x:v>
      </x:c>
      <x:c r="H159" s="139" t="n">
        <x:v>-2</x:v>
      </x:c>
      <x:c r="I159" s="139" t="n">
        <x:v>-1</x:v>
      </x:c>
    </x:row>
    <x:row r="160">
      <x:c r="A160" s="139" t="inlineStr">
        <x:is>
          <x:t xml:space="preserve">Ricky</x:t>
        </x:is>
      </x:c>
      <x:c r="B160" s="139" t="inlineStr">
        <x:is>
          <x:t xml:space="preserve">Welly</x:t>
        </x:is>
      </x:c>
      <x:c r="C160" s="139" t="n">
        <x:v>2</x:v>
      </x:c>
      <x:c r="D160" s="139" t="n">
        <x:v>2</x:v>
      </x:c>
      <x:c r="E160" s="139" t="n">
        <x:v>0</x:v>
      </x:c>
      <x:c r="F160" s="93" t="n">
        <x:v>1</x:v>
      </x:c>
      <x:c r="G160" s="93" t="n">
        <x:v>0.2</x:v>
      </x:c>
      <x:c r="H160" s="139" t="n">
        <x:v>6</x:v>
      </x:c>
      <x:c r="I160" s="139" t="n">
        <x:v>3</x:v>
      </x:c>
    </x:row>
    <x:row r="161">
      <x:c r="A161" s="139" t="inlineStr">
        <x:is>
          <x:t xml:space="preserve">Ricky</x:t>
        </x:is>
      </x:c>
      <x:c r="B161" s="139" t="inlineStr">
        <x:is>
          <x:t xml:space="preserve">Alwin</x:t>
        </x:is>
      </x:c>
      <x:c r="C161" s="139" t="n">
        <x:v>2</x:v>
      </x:c>
      <x:c r="D161" s="139" t="n">
        <x:v>1</x:v>
      </x:c>
      <x:c r="E161" s="139" t="n">
        <x:v>1</x:v>
      </x:c>
      <x:c r="F161" s="93" t="n">
        <x:v>0.5</x:v>
      </x:c>
      <x:c r="G161" s="93" t="n">
        <x:v>0.1666666666666667</x:v>
      </x:c>
      <x:c r="H161" s="139" t="n">
        <x:v>0</x:v>
      </x:c>
      <x:c r="I161" s="139" t="n">
        <x:v>0</x:v>
      </x:c>
    </x:row>
    <x:row r="162">
      <x:c r="A162" s="139" t="inlineStr">
        <x:is>
          <x:t xml:space="preserve">Ricky</x:t>
        </x:is>
      </x:c>
      <x:c r="B162" s="139" t="inlineStr">
        <x:is>
          <x:t xml:space="preserve">Nicholas</x:t>
        </x:is>
      </x:c>
      <x:c r="C162" s="139" t="n">
        <x:v>1</x:v>
      </x:c>
      <x:c r="D162" s="139" t="n">
        <x:v>1</x:v>
      </x:c>
      <x:c r="E162" s="139" t="n">
        <x:v>0</x:v>
      </x:c>
      <x:c r="F162" s="93" t="n">
        <x:v>1</x:v>
      </x:c>
      <x:c r="G162" s="93" t="n">
        <x:v>0.4285714285714285</x:v>
      </x:c>
      <x:c r="H162" s="139" t="n">
        <x:v>1</x:v>
      </x:c>
      <x:c r="I162" s="139" t="n">
        <x:v>1</x:v>
      </x:c>
    </x:row>
    <x:row r="163">
      <x:c r="A163" s="139" t="inlineStr">
        <x:is>
          <x:t xml:space="preserve">Ricky</x:t>
        </x:is>
      </x:c>
      <x:c r="B163" s="139" t="inlineStr">
        <x:is>
          <x:t xml:space="preserve">Nico</x:t>
        </x:is>
      </x:c>
      <x:c r="C163" s="139" t="n">
        <x:v>1</x:v>
      </x:c>
      <x:c r="D163" s="139" t="n">
        <x:v>1</x:v>
      </x:c>
      <x:c r="E163" s="139" t="n">
        <x:v>0</x:v>
      </x:c>
      <x:c r="F163" s="93" t="n">
        <x:v>1</x:v>
      </x:c>
      <x:c r="G163" s="93" t="n">
        <x:v>0.3333333333333333</x:v>
      </x:c>
      <x:c r="H163" s="139" t="n">
        <x:v>3</x:v>
      </x:c>
      <x:c r="I163" s="139" t="n">
        <x:v>3</x:v>
      </x:c>
    </x:row>
    <x:row r="164">
      <x:c r="A164" s="139" t="inlineStr">
        <x:is>
          <x:t xml:space="preserve">Ricky</x:t>
        </x:is>
      </x:c>
      <x:c r="B164" s="139" t="inlineStr">
        <x:is>
          <x:t xml:space="preserve">Reza</x:t>
        </x:is>
      </x:c>
      <x:c r="C164" s="139" t="n">
        <x:v>1</x:v>
      </x:c>
      <x:c r="D164" s="139" t="n">
        <x:v>1</x:v>
      </x:c>
      <x:c r="E164" s="139" t="n">
        <x:v>0</x:v>
      </x:c>
      <x:c r="F164" s="93" t="n">
        <x:v>1</x:v>
      </x:c>
      <x:c r="G164" s="93" t="n">
        <x:v>0.3333333333333333</x:v>
      </x:c>
      <x:c r="H164" s="139" t="n">
        <x:v>5</x:v>
      </x:c>
      <x:c r="I164" s="139" t="n">
        <x:v>5</x:v>
      </x:c>
    </x:row>
    <x:row r="165">
      <x:c r="A165" s="139" t="inlineStr">
        <x:is>
          <x:t xml:space="preserve">Rizky</x:t>
        </x:is>
      </x:c>
      <x:c r="B165" s="139" t="inlineStr">
        <x:is>
          <x:t xml:space="preserve">Ricky</x:t>
        </x:is>
      </x:c>
      <x:c r="C165" s="139" t="n">
        <x:v>4</x:v>
      </x:c>
      <x:c r="D165" s="139" t="n">
        <x:v>2</x:v>
      </x:c>
      <x:c r="E165" s="139" t="n">
        <x:v>2</x:v>
      </x:c>
      <x:c r="F165" s="93" t="n">
        <x:v>0.5</x:v>
      </x:c>
      <x:c r="G165" s="93" t="n">
        <x:v>0.6153846153846154</x:v>
      </x:c>
      <x:c r="H165" s="139" t="n">
        <x:v>-1</x:v>
      </x:c>
      <x:c r="I165" s="139" t="n">
        <x:v>-0.25</x:v>
      </x:c>
    </x:row>
    <x:row r="166">
      <x:c r="A166" s="139" t="inlineStr">
        <x:is>
          <x:t xml:space="preserve">Rizky</x:t>
        </x:is>
      </x:c>
      <x:c r="B166" s="139" t="inlineStr">
        <x:is>
          <x:t xml:space="preserve">Edy SP</x:t>
        </x:is>
      </x:c>
      <x:c r="C166" s="139" t="n">
        <x:v>4</x:v>
      </x:c>
      <x:c r="D166" s="139" t="n">
        <x:v>2</x:v>
      </x:c>
      <x:c r="E166" s="139" t="n">
        <x:v>2</x:v>
      </x:c>
      <x:c r="F166" s="93" t="n">
        <x:v>0.5</x:v>
      </x:c>
      <x:c r="G166" s="93" t="n">
        <x:v>0.4666666666666667</x:v>
      </x:c>
      <x:c r="H166" s="139" t="n">
        <x:v>1</x:v>
      </x:c>
      <x:c r="I166" s="139" t="n">
        <x:v>0.25</x:v>
      </x:c>
    </x:row>
    <x:row r="167">
      <x:c r="A167" s="139" t="inlineStr">
        <x:is>
          <x:t xml:space="preserve">Rizky</x:t>
        </x:is>
      </x:c>
      <x:c r="B167" s="139" t="inlineStr">
        <x:is>
          <x:t xml:space="preserve">Hansen</x:t>
        </x:is>
      </x:c>
      <x:c r="C167" s="139" t="n">
        <x:v>4</x:v>
      </x:c>
      <x:c r="D167" s="139" t="n">
        <x:v>4</x:v>
      </x:c>
      <x:c r="E167" s="139" t="n">
        <x:v>0</x:v>
      </x:c>
      <x:c r="F167" s="93" t="n">
        <x:v>1</x:v>
      </x:c>
      <x:c r="G167" s="93" t="n">
        <x:v>0</x:v>
      </x:c>
      <x:c r="H167" s="139" t="n">
        <x:v>10</x:v>
      </x:c>
      <x:c r="I167" s="139" t="n">
        <x:v>2.5</x:v>
      </x:c>
    </x:row>
    <x:row r="168">
      <x:c r="A168" s="139" t="inlineStr">
        <x:is>
          <x:t xml:space="preserve">Ronald</x:t>
        </x:is>
      </x:c>
      <x:c r="B168" s="139" t="inlineStr">
        <x:is>
          <x:t xml:space="preserve">Edy SP</x:t>
        </x:is>
      </x:c>
      <x:c r="C168" s="139" t="n">
        <x:v>6</x:v>
      </x:c>
      <x:c r="D168" s="139" t="n">
        <x:v>5</x:v>
      </x:c>
      <x:c r="E168" s="139" t="n">
        <x:v>1</x:v>
      </x:c>
      <x:c r="F168" s="93" t="n">
        <x:v>0.8333333333333334</x:v>
      </x:c>
      <x:c r="G168" s="93" t="n">
        <x:v>0.4666666666666667</x:v>
      </x:c>
      <x:c r="H168" s="139" t="n">
        <x:v>13</x:v>
      </x:c>
      <x:c r="I168" s="139" t="n">
        <x:v>2.166666666666667</x:v>
      </x:c>
    </x:row>
    <x:row r="169">
      <x:c r="A169" s="139" t="inlineStr">
        <x:is>
          <x:t xml:space="preserve">Ronald</x:t>
        </x:is>
      </x:c>
      <x:c r="B169" s="139" t="inlineStr">
        <x:is>
          <x:t xml:space="preserve">Ricky</x:t>
        </x:is>
      </x:c>
      <x:c r="C169" s="139" t="n">
        <x:v>4</x:v>
      </x:c>
      <x:c r="D169" s="139" t="n">
        <x:v>2</x:v>
      </x:c>
      <x:c r="E169" s="139" t="n">
        <x:v>2</x:v>
      </x:c>
      <x:c r="F169" s="93" t="n">
        <x:v>0.5</x:v>
      </x:c>
      <x:c r="G169" s="93" t="n">
        <x:v>0.6153846153846154</x:v>
      </x:c>
      <x:c r="H169" s="139" t="n">
        <x:v>1</x:v>
      </x:c>
      <x:c r="I169" s="139" t="n">
        <x:v>0.25</x:v>
      </x:c>
    </x:row>
    <x:row r="170">
      <x:c r="A170" s="139" t="inlineStr">
        <x:is>
          <x:t xml:space="preserve">Ronald</x:t>
        </x:is>
      </x:c>
      <x:c r="B170" s="139" t="inlineStr">
        <x:is>
          <x:t xml:space="preserve">Donny</x:t>
        </x:is>
      </x:c>
      <x:c r="C170" s="139" t="n">
        <x:v>4</x:v>
      </x:c>
      <x:c r="D170" s="139" t="n">
        <x:v>3</x:v>
      </x:c>
      <x:c r="E170" s="139" t="n">
        <x:v>1</x:v>
      </x:c>
      <x:c r="F170" s="93" t="n">
        <x:v>0.75</x:v>
      </x:c>
      <x:c r="G170" s="93" t="n">
        <x:v>0.3636363636363636</x:v>
      </x:c>
      <x:c r="H170" s="139" t="n">
        <x:v>4</x:v>
      </x:c>
      <x:c r="I170" s="139" t="n">
        <x:v>1</x:v>
      </x:c>
    </x:row>
    <x:row r="171">
      <x:c r="A171" s="139" t="inlineStr">
        <x:is>
          <x:t xml:space="preserve">Ronald</x:t>
        </x:is>
      </x:c>
      <x:c r="B171" s="139" t="inlineStr">
        <x:is>
          <x:t xml:space="preserve">Alice</x:t>
        </x:is>
      </x:c>
      <x:c r="C171" s="139" t="n">
        <x:v>4</x:v>
      </x:c>
      <x:c r="D171" s="139" t="n">
        <x:v>4</x:v>
      </x:c>
      <x:c r="E171" s="139" t="n">
        <x:v>0</x:v>
      </x:c>
      <x:c r="F171" s="93" t="n">
        <x:v>1</x:v>
      </x:c>
      <x:c r="G171" s="93" t="n">
        <x:v>0.07142857142857142</x:v>
      </x:c>
      <x:c r="H171" s="139" t="n">
        <x:v>6</x:v>
      </x:c>
      <x:c r="I171" s="139" t="n">
        <x:v>1.5</x:v>
      </x:c>
    </x:row>
    <x:row r="172">
      <x:c r="A172" s="139" t="inlineStr">
        <x:is>
          <x:t xml:space="preserve">Ronald</x:t>
        </x:is>
      </x:c>
      <x:c r="B172" s="139" t="inlineStr">
        <x:is>
          <x:t xml:space="preserve">David</x:t>
        </x:is>
      </x:c>
      <x:c r="C172" s="139" t="n">
        <x:v>3</x:v>
      </x:c>
      <x:c r="D172" s="139" t="n">
        <x:v>2</x:v>
      </x:c>
      <x:c r="E172" s="139" t="n">
        <x:v>1</x:v>
      </x:c>
      <x:c r="F172" s="93" t="n">
        <x:v>0.6666666666666666</x:v>
      </x:c>
      <x:c r="G172" s="93" t="n">
        <x:v>0.4166666666666667</x:v>
      </x:c>
      <x:c r="H172" s="139" t="n">
        <x:v>5</x:v>
      </x:c>
      <x:c r="I172" s="139" t="n">
        <x:v>1.666666666666667</x:v>
      </x:c>
    </x:row>
    <x:row r="173">
      <x:c r="A173" s="139" t="inlineStr">
        <x:is>
          <x:t xml:space="preserve">Ronald</x:t>
        </x:is>
      </x:c>
      <x:c r="B173" s="139" t="inlineStr">
        <x:is>
          <x:t xml:space="preserve">Thohir</x:t>
        </x:is>
      </x:c>
      <x:c r="C173" s="139" t="n">
        <x:v>2</x:v>
      </x:c>
      <x:c r="D173" s="139" t="n">
        <x:v>0</x:v>
      </x:c>
      <x:c r="E173" s="139" t="n">
        <x:v>2</x:v>
      </x:c>
      <x:c r="F173" s="93" t="n">
        <x:v>0</x:v>
      </x:c>
      <x:c r="G173" s="93" t="n">
        <x:v>1</x:v>
      </x:c>
      <x:c r="H173" s="139" t="n">
        <x:v>-3</x:v>
      </x:c>
      <x:c r="I173" s="139" t="n">
        <x:v>-1.5</x:v>
      </x:c>
    </x:row>
    <x:row r="174">
      <x:c r="A174" s="139" t="inlineStr">
        <x:is>
          <x:t xml:space="preserve">Ronald</x:t>
        </x:is>
      </x:c>
      <x:c r="B174" s="139" t="inlineStr">
        <x:is>
          <x:t xml:space="preserve">Rey</x:t>
        </x:is>
      </x:c>
      <x:c r="C174" s="139" t="n">
        <x:v>2</x:v>
      </x:c>
      <x:c r="D174" s="139" t="n">
        <x:v>1</x:v>
      </x:c>
      <x:c r="E174" s="139" t="n">
        <x:v>1</x:v>
      </x:c>
      <x:c r="F174" s="93" t="n">
        <x:v>0.5</x:v>
      </x:c>
      <x:c r="G174" s="93" t="n">
        <x:v>0.7142857142857143</x:v>
      </x:c>
      <x:c r="H174" s="139" t="n">
        <x:v>0</x:v>
      </x:c>
      <x:c r="I174" s="139" t="n">
        <x:v>0</x:v>
      </x:c>
    </x:row>
    <x:row r="175">
      <x:c r="A175" s="139" t="inlineStr">
        <x:is>
          <x:t xml:space="preserve">Ronald</x:t>
        </x:is>
      </x:c>
      <x:c r="B175" s="139" t="inlineStr">
        <x:is>
          <x:t xml:space="preserve">Austin</x:t>
        </x:is>
      </x:c>
      <x:c r="C175" s="139" t="n">
        <x:v>2</x:v>
      </x:c>
      <x:c r="D175" s="139" t="n">
        <x:v>1</x:v>
      </x:c>
      <x:c r="E175" s="139" t="n">
        <x:v>1</x:v>
      </x:c>
      <x:c r="F175" s="93" t="n">
        <x:v>0.5</x:v>
      </x:c>
      <x:c r="G175" s="93" t="n">
        <x:v>0.6428571428571429</x:v>
      </x:c>
      <x:c r="H175" s="139" t="n">
        <x:v>-2</x:v>
      </x:c>
      <x:c r="I175" s="139" t="n">
        <x:v>-1</x:v>
      </x:c>
    </x:row>
    <x:row r="176">
      <x:c r="A176" s="139" t="inlineStr">
        <x:is>
          <x:t xml:space="preserve">Ronald</x:t>
        </x:is>
      </x:c>
      <x:c r="B176" s="139" t="inlineStr">
        <x:is>
          <x:t xml:space="preserve">Nicholas</x:t>
        </x:is>
      </x:c>
      <x:c r="C176" s="139" t="n">
        <x:v>2</x:v>
      </x:c>
      <x:c r="D176" s="139" t="n">
        <x:v>1</x:v>
      </x:c>
      <x:c r="E176" s="139" t="n">
        <x:v>1</x:v>
      </x:c>
      <x:c r="F176" s="93" t="n">
        <x:v>0.5</x:v>
      </x:c>
      <x:c r="G176" s="93" t="n">
        <x:v>0.4285714285714285</x:v>
      </x:c>
      <x:c r="H176" s="139" t="n">
        <x:v>2</x:v>
      </x:c>
      <x:c r="I176" s="139" t="n">
        <x:v>1</x:v>
      </x:c>
    </x:row>
    <x:row r="177">
      <x:c r="A177" s="139" t="inlineStr">
        <x:is>
          <x:t xml:space="preserve">Ronald</x:t>
        </x:is>
      </x:c>
      <x:c r="B177" s="139" t="inlineStr">
        <x:is>
          <x:t xml:space="preserve">Welly</x:t>
        </x:is>
      </x:c>
      <x:c r="C177" s="139" t="n">
        <x:v>2</x:v>
      </x:c>
      <x:c r="D177" s="139" t="n">
        <x:v>2</x:v>
      </x:c>
      <x:c r="E177" s="139" t="n">
        <x:v>0</x:v>
      </x:c>
      <x:c r="F177" s="93" t="n">
        <x:v>1</x:v>
      </x:c>
      <x:c r="G177" s="93" t="n">
        <x:v>0.2</x:v>
      </x:c>
      <x:c r="H177" s="139" t="n">
        <x:v>7</x:v>
      </x:c>
      <x:c r="I177" s="139" t="n">
        <x:v>3.5</x:v>
      </x:c>
    </x:row>
    <x:row r="178">
      <x:c r="A178" s="139" t="inlineStr">
        <x:is>
          <x:t xml:space="preserve">Ronald</x:t>
        </x:is>
      </x:c>
      <x:c r="B178" s="139" t="inlineStr">
        <x:is>
          <x:t xml:space="preserve">Sandy</x:t>
        </x:is>
      </x:c>
      <x:c r="C178" s="139" t="n">
        <x:v>1</x:v>
      </x:c>
      <x:c r="D178" s="139" t="n">
        <x:v>0</x:v>
      </x:c>
      <x:c r="E178" s="139" t="n">
        <x:v>1</x:v>
      </x:c>
      <x:c r="F178" s="93" t="n">
        <x:v>0</x:v>
      </x:c>
      <x:c r="G178" s="93" t="n">
        <x:v>0.8461538461538461</x:v>
      </x:c>
      <x:c r="H178" s="139" t="n">
        <x:v>-3</x:v>
      </x:c>
      <x:c r="I178" s="139" t="n">
        <x:v>-3</x:v>
      </x:c>
    </x:row>
    <x:row r="179">
      <x:c r="A179" s="139" t="inlineStr">
        <x:is>
          <x:t xml:space="preserve">Ronald</x:t>
        </x:is>
      </x:c>
      <x:c r="B179" s="139" t="inlineStr">
        <x:is>
          <x:t xml:space="preserve">Kennard</x:t>
        </x:is>
      </x:c>
      <x:c r="C179" s="139" t="n">
        <x:v>1</x:v>
      </x:c>
      <x:c r="D179" s="139" t="n">
        <x:v>0</x:v>
      </x:c>
      <x:c r="E179" s="139" t="n">
        <x:v>1</x:v>
      </x:c>
      <x:c r="F179" s="93" t="n">
        <x:v>0</x:v>
      </x:c>
      <x:c r="G179" s="93" t="n">
        <x:v>0.6923076923076923</x:v>
      </x:c>
      <x:c r="H179" s="139" t="n">
        <x:v>-1</x:v>
      </x:c>
      <x:c r="I179" s="139" t="n">
        <x:v>-1</x:v>
      </x:c>
    </x:row>
    <x:row r="180">
      <x:c r="A180" s="139" t="inlineStr">
        <x:is>
          <x:t xml:space="preserve">Ronald</x:t>
        </x:is>
      </x:c>
      <x:c r="B180" s="139" t="inlineStr">
        <x:is>
          <x:t xml:space="preserve">Jonathan</x:t>
        </x:is>
      </x:c>
      <x:c r="C180" s="139" t="n">
        <x:v>1</x:v>
      </x:c>
      <x:c r="D180" s="139" t="n">
        <x:v>1</x:v>
      </x:c>
      <x:c r="E180" s="139" t="n">
        <x:v>0</x:v>
      </x:c>
      <x:c r="F180" s="93" t="n">
        <x:v>1</x:v>
      </x:c>
      <x:c r="G180" s="93" t="n">
        <x:v>0.6666666666666666</x:v>
      </x:c>
      <x:c r="H180" s="139" t="n">
        <x:v>3</x:v>
      </x:c>
      <x:c r="I180" s="139" t="n">
        <x:v>3</x:v>
      </x:c>
    </x:row>
    <x:row r="181">
      <x:c r="A181" s="139" t="inlineStr">
        <x:is>
          <x:t xml:space="preserve">Ronald</x:t>
        </x:is>
      </x:c>
      <x:c r="B181" s="139" t="inlineStr">
        <x:is>
          <x:t xml:space="preserve">Michael</x:t>
        </x:is>
      </x:c>
      <x:c r="C181" s="139" t="n">
        <x:v>1</x:v>
      </x:c>
      <x:c r="D181" s="139" t="n">
        <x:v>1</x:v>
      </x:c>
      <x:c r="E181" s="139" t="n">
        <x:v>0</x:v>
      </x:c>
      <x:c r="F181" s="93" t="n">
        <x:v>1</x:v>
      </x:c>
      <x:c r="G181" s="93" t="n">
        <x:v>0.4615384615384616</x:v>
      </x:c>
      <x:c r="H181" s="139" t="n">
        <x:v>3</x:v>
      </x:c>
      <x:c r="I181" s="139" t="n">
        <x:v>3</x:v>
      </x:c>
    </x:row>
    <x:row r="182">
      <x:c r="A182" s="139" t="inlineStr">
        <x:is>
          <x:t xml:space="preserve">Ronald</x:t>
        </x:is>
      </x:c>
      <x:c r="B182" s="139" t="inlineStr">
        <x:is>
          <x:t xml:space="preserve">Nico</x:t>
        </x:is>
      </x:c>
      <x:c r="C182" s="139" t="n">
        <x:v>1</x:v>
      </x:c>
      <x:c r="D182" s="139" t="n">
        <x:v>1</x:v>
      </x:c>
      <x:c r="E182" s="139" t="n">
        <x:v>0</x:v>
      </x:c>
      <x:c r="F182" s="93" t="n">
        <x:v>1</x:v>
      </x:c>
      <x:c r="G182" s="93" t="n">
        <x:v>0.3333333333333333</x:v>
      </x:c>
      <x:c r="H182" s="139" t="n">
        <x:v>3</x:v>
      </x:c>
      <x:c r="I182" s="139" t="n">
        <x:v>3</x:v>
      </x:c>
    </x:row>
    <x:row r="183">
      <x:c r="A183" s="139" t="inlineStr">
        <x:is>
          <x:t xml:space="preserve">Sandy</x:t>
        </x:is>
      </x:c>
      <x:c r="B183" s="139" t="inlineStr">
        <x:is>
          <x:t xml:space="preserve">Austin</x:t>
        </x:is>
      </x:c>
      <x:c r="C183" s="139" t="n">
        <x:v>4</x:v>
      </x:c>
      <x:c r="D183" s="139" t="n">
        <x:v>2</x:v>
      </x:c>
      <x:c r="E183" s="139" t="n">
        <x:v>2</x:v>
      </x:c>
      <x:c r="F183" s="93" t="n">
        <x:v>0.5</x:v>
      </x:c>
      <x:c r="G183" s="93" t="n">
        <x:v>0.6428571428571429</x:v>
      </x:c>
      <x:c r="H183" s="139" t="n">
        <x:v>2</x:v>
      </x:c>
      <x:c r="I183" s="139" t="n">
        <x:v>0.5</x:v>
      </x:c>
    </x:row>
    <x:row r="184">
      <x:c r="A184" s="139" t="inlineStr">
        <x:is>
          <x:t xml:space="preserve">Sandy</x:t>
        </x:is>
      </x:c>
      <x:c r="B184" s="139" t="inlineStr">
        <x:is>
          <x:t xml:space="preserve">Ricky</x:t>
        </x:is>
      </x:c>
      <x:c r="C184" s="139" t="n">
        <x:v>3</x:v>
      </x:c>
      <x:c r="D184" s="139" t="n">
        <x:v>3</x:v>
      </x:c>
      <x:c r="E184" s="139" t="n">
        <x:v>0</x:v>
      </x:c>
      <x:c r="F184" s="93" t="n">
        <x:v>1</x:v>
      </x:c>
      <x:c r="G184" s="93" t="n">
        <x:v>0.6153846153846154</x:v>
      </x:c>
      <x:c r="H184" s="139" t="n">
        <x:v>9</x:v>
      </x:c>
      <x:c r="I184" s="139" t="n">
        <x:v>3</x:v>
      </x:c>
    </x:row>
    <x:row r="185">
      <x:c r="A185" s="139" t="inlineStr">
        <x:is>
          <x:t xml:space="preserve">Sandy</x:t>
        </x:is>
      </x:c>
      <x:c r="B185" s="139" t="inlineStr">
        <x:is>
          <x:t xml:space="preserve">Edy SP</x:t>
        </x:is>
      </x:c>
      <x:c r="C185" s="139" t="n">
        <x:v>3</x:v>
      </x:c>
      <x:c r="D185" s="139" t="n">
        <x:v>3</x:v>
      </x:c>
      <x:c r="E185" s="139" t="n">
        <x:v>0</x:v>
      </x:c>
      <x:c r="F185" s="93" t="n">
        <x:v>1</x:v>
      </x:c>
      <x:c r="G185" s="93" t="n">
        <x:v>0.4666666666666667</x:v>
      </x:c>
      <x:c r="H185" s="139" t="n">
        <x:v>11</x:v>
      </x:c>
      <x:c r="I185" s="139" t="n">
        <x:v>3.666666666666667</x:v>
      </x:c>
    </x:row>
    <x:row r="186">
      <x:c r="A186" s="139" t="inlineStr">
        <x:is>
          <x:t xml:space="preserve">Sandy</x:t>
        </x:is>
      </x:c>
      <x:c r="B186" s="139" t="inlineStr">
        <x:is>
          <x:t xml:space="preserve">Kennard</x:t>
        </x:is>
      </x:c>
      <x:c r="C186" s="139" t="n">
        <x:v>2</x:v>
      </x:c>
      <x:c r="D186" s="139" t="n">
        <x:v>2</x:v>
      </x:c>
      <x:c r="E186" s="139" t="n">
        <x:v>0</x:v>
      </x:c>
      <x:c r="F186" s="93" t="n">
        <x:v>1</x:v>
      </x:c>
      <x:c r="G186" s="93" t="n">
        <x:v>0.6923076923076923</x:v>
      </x:c>
      <x:c r="H186" s="139" t="n">
        <x:v>8</x:v>
      </x:c>
      <x:c r="I186" s="139" t="n">
        <x:v>4</x:v>
      </x:c>
    </x:row>
    <x:row r="187">
      <x:c r="A187" s="139" t="inlineStr">
        <x:is>
          <x:t xml:space="preserve">Sandy</x:t>
        </x:is>
      </x:c>
      <x:c r="B187" s="139" t="inlineStr">
        <x:is>
          <x:t xml:space="preserve">Nicholas</x:t>
        </x:is>
      </x:c>
      <x:c r="C187" s="139" t="n">
        <x:v>2</x:v>
      </x:c>
      <x:c r="D187" s="139" t="n">
        <x:v>2</x:v>
      </x:c>
      <x:c r="E187" s="139" t="n">
        <x:v>0</x:v>
      </x:c>
      <x:c r="F187" s="93" t="n">
        <x:v>1</x:v>
      </x:c>
      <x:c r="G187" s="93" t="n">
        <x:v>0.4285714285714285</x:v>
      </x:c>
      <x:c r="H187" s="139" t="n">
        <x:v>4</x:v>
      </x:c>
      <x:c r="I187" s="139" t="n">
        <x:v>2</x:v>
      </x:c>
    </x:row>
    <x:row r="188">
      <x:c r="A188" s="139" t="inlineStr">
        <x:is>
          <x:t xml:space="preserve">Sandy</x:t>
        </x:is>
      </x:c>
      <x:c r="B188" s="139" t="inlineStr">
        <x:is>
          <x:t xml:space="preserve">David</x:t>
        </x:is>
      </x:c>
      <x:c r="C188" s="139" t="n">
        <x:v>2</x:v>
      </x:c>
      <x:c r="D188" s="139" t="n">
        <x:v>2</x:v>
      </x:c>
      <x:c r="E188" s="139" t="n">
        <x:v>0</x:v>
      </x:c>
      <x:c r="F188" s="93" t="n">
        <x:v>1</x:v>
      </x:c>
      <x:c r="G188" s="93" t="n">
        <x:v>0.4166666666666667</x:v>
      </x:c>
      <x:c r="H188" s="139" t="n">
        <x:v>8</x:v>
      </x:c>
      <x:c r="I188" s="139" t="n">
        <x:v>4</x:v>
      </x:c>
    </x:row>
    <x:row r="189">
      <x:c r="A189" s="139" t="inlineStr">
        <x:is>
          <x:t xml:space="preserve">Sandy</x:t>
        </x:is>
      </x:c>
      <x:c r="B189" s="139" t="inlineStr">
        <x:is>
          <x:t xml:space="preserve">Reza</x:t>
        </x:is>
      </x:c>
      <x:c r="C189" s="139" t="n">
        <x:v>2</x:v>
      </x:c>
      <x:c r="D189" s="139" t="n">
        <x:v>1</x:v>
      </x:c>
      <x:c r="E189" s="139" t="n">
        <x:v>1</x:v>
      </x:c>
      <x:c r="F189" s="93" t="n">
        <x:v>0.5</x:v>
      </x:c>
      <x:c r="G189" s="93" t="n">
        <x:v>0.3333333333333333</x:v>
      </x:c>
      <x:c r="H189" s="139" t="n">
        <x:v>4</x:v>
      </x:c>
      <x:c r="I189" s="139" t="n">
        <x:v>2</x:v>
      </x:c>
    </x:row>
    <x:row r="190">
      <x:c r="A190" s="139" t="inlineStr">
        <x:is>
          <x:t xml:space="preserve">Sandy</x:t>
        </x:is>
      </x:c>
      <x:c r="B190" s="139" t="inlineStr">
        <x:is>
          <x:t xml:space="preserve">Alwin</x:t>
        </x:is>
      </x:c>
      <x:c r="C190" s="139" t="n">
        <x:v>2</x:v>
      </x:c>
      <x:c r="D190" s="139" t="n">
        <x:v>2</x:v>
      </x:c>
      <x:c r="E190" s="139" t="n">
        <x:v>0</x:v>
      </x:c>
      <x:c r="F190" s="93" t="n">
        <x:v>1</x:v>
      </x:c>
      <x:c r="G190" s="93" t="n">
        <x:v>0.1666666666666667</x:v>
      </x:c>
      <x:c r="H190" s="139" t="n">
        <x:v>6</x:v>
      </x:c>
      <x:c r="I190" s="139" t="n">
        <x:v>3</x:v>
      </x:c>
    </x:row>
    <x:row r="191">
      <x:c r="A191" s="139" t="inlineStr">
        <x:is>
          <x:t xml:space="preserve">Sandy</x:t>
        </x:is>
      </x:c>
      <x:c r="B191" s="139" t="inlineStr">
        <x:is>
          <x:t xml:space="preserve">Jonathan</x:t>
        </x:is>
      </x:c>
      <x:c r="C191" s="139" t="n">
        <x:v>1</x:v>
      </x:c>
      <x:c r="D191" s="139" t="n">
        <x:v>1</x:v>
      </x:c>
      <x:c r="E191" s="139" t="n">
        <x:v>0</x:v>
      </x:c>
      <x:c r="F191" s="93" t="n">
        <x:v>1</x:v>
      </x:c>
      <x:c r="G191" s="93" t="n">
        <x:v>0.6666666666666666</x:v>
      </x:c>
      <x:c r="H191" s="139" t="n">
        <x:v>5</x:v>
      </x:c>
      <x:c r="I191" s="139" t="n">
        <x:v>5</x:v>
      </x:c>
    </x:row>
    <x:row r="192">
      <x:c r="A192" s="139" t="inlineStr">
        <x:is>
          <x:t xml:space="preserve">Sandy</x:t>
        </x:is>
      </x:c>
      <x:c r="B192" s="139" t="inlineStr">
        <x:is>
          <x:t xml:space="preserve">Ronald</x:t>
        </x:is>
      </x:c>
      <x:c r="C192" s="139" t="n">
        <x:v>1</x:v>
      </x:c>
      <x:c r="D192" s="139" t="n">
        <x:v>1</x:v>
      </x:c>
      <x:c r="E192" s="139" t="n">
        <x:v>0</x:v>
      </x:c>
      <x:c r="F192" s="93" t="n">
        <x:v>1</x:v>
      </x:c>
      <x:c r="G192" s="93" t="n">
        <x:v>0.6666666666666666</x:v>
      </x:c>
      <x:c r="H192" s="139" t="n">
        <x:v>3</x:v>
      </x:c>
      <x:c r="I192" s="139" t="n">
        <x:v>3</x:v>
      </x:c>
    </x:row>
    <x:row r="193">
      <x:c r="A193" s="139" t="inlineStr">
        <x:is>
          <x:t xml:space="preserve">Sandy</x:t>
        </x:is>
      </x:c>
      <x:c r="B193" s="139" t="inlineStr">
        <x:is>
          <x:t xml:space="preserve">Michael</x:t>
        </x:is>
      </x:c>
      <x:c r="C193" s="139" t="n">
        <x:v>1</x:v>
      </x:c>
      <x:c r="D193" s="139" t="n">
        <x:v>1</x:v>
      </x:c>
      <x:c r="E193" s="139" t="n">
        <x:v>0</x:v>
      </x:c>
      <x:c r="F193" s="93" t="n">
        <x:v>1</x:v>
      </x:c>
      <x:c r="G193" s="93" t="n">
        <x:v>0.4615384615384616</x:v>
      </x:c>
      <x:c r="H193" s="139" t="n">
        <x:v>1</x:v>
      </x:c>
      <x:c r="I193" s="139" t="n">
        <x:v>1</x:v>
      </x:c>
    </x:row>
    <x:row r="194">
      <x:c r="A194" s="139" t="inlineStr">
        <x:is>
          <x:t xml:space="preserve">Sandy</x:t>
        </x:is>
      </x:c>
      <x:c r="B194" s="139" t="inlineStr">
        <x:is>
          <x:t xml:space="preserve">Donny</x:t>
        </x:is>
      </x:c>
      <x:c r="C194" s="139" t="n">
        <x:v>1</x:v>
      </x:c>
      <x:c r="D194" s="139" t="n">
        <x:v>0</x:v>
      </x:c>
      <x:c r="E194" s="139" t="n">
        <x:v>1</x:v>
      </x:c>
      <x:c r="F194" s="93" t="n">
        <x:v>0</x:v>
      </x:c>
      <x:c r="G194" s="93" t="n">
        <x:v>0.3636363636363636</x:v>
      </x:c>
      <x:c r="H194" s="139" t="n">
        <x:v>-1</x:v>
      </x:c>
      <x:c r="I194" s="139" t="n">
        <x:v>-1</x:v>
      </x:c>
    </x:row>
    <x:row r="195">
      <x:c r="A195" s="139" t="inlineStr">
        <x:is>
          <x:t xml:space="preserve">Sandy</x:t>
        </x:is>
      </x:c>
      <x:c r="B195" s="139" t="inlineStr">
        <x:is>
          <x:t xml:space="preserve">Welly</x:t>
        </x:is>
      </x:c>
      <x:c r="C195" s="139" t="n">
        <x:v>1</x:v>
      </x:c>
      <x:c r="D195" s="139" t="n">
        <x:v>1</x:v>
      </x:c>
      <x:c r="E195" s="139" t="n">
        <x:v>0</x:v>
      </x:c>
      <x:c r="F195" s="93" t="n">
        <x:v>1</x:v>
      </x:c>
      <x:c r="G195" s="93" t="n">
        <x:v>0.2</x:v>
      </x:c>
      <x:c r="H195" s="139" t="n">
        <x:v>3</x:v>
      </x:c>
      <x:c r="I195" s="139" t="n">
        <x:v>3</x:v>
      </x:c>
    </x:row>
    <x:row r="196">
      <x:c r="A196" s="139" t="inlineStr">
        <x:is>
          <x:t xml:space="preserve">Sandy</x:t>
        </x:is>
      </x:c>
      <x:c r="B196" s="139" t="inlineStr">
        <x:is>
          <x:t xml:space="preserve">Alice</x:t>
        </x:is>
      </x:c>
      <x:c r="C196" s="139" t="n">
        <x:v>1</x:v>
      </x:c>
      <x:c r="D196" s="139" t="n">
        <x:v>1</x:v>
      </x:c>
      <x:c r="E196" s="139" t="n">
        <x:v>0</x:v>
      </x:c>
      <x:c r="F196" s="93" t="n">
        <x:v>1</x:v>
      </x:c>
      <x:c r="G196" s="93" t="n">
        <x:v>0.07142857142857142</x:v>
      </x:c>
      <x:c r="H196" s="139" t="n">
        <x:v>3</x:v>
      </x:c>
      <x:c r="I196" s="139" t="n">
        <x:v>3</x:v>
      </x:c>
    </x:row>
    <x:row r="197">
      <x:c r="A197" s="139" t="inlineStr">
        <x:is>
          <x:t xml:space="preserve">Thohir</x:t>
        </x:is>
      </x:c>
      <x:c r="B197" s="139" t="inlineStr">
        <x:is>
          <x:t xml:space="preserve">Ronald</x:t>
        </x:is>
      </x:c>
      <x:c r="C197" s="139" t="n">
        <x:v>2</x:v>
      </x:c>
      <x:c r="D197" s="139" t="n">
        <x:v>2</x:v>
      </x:c>
      <x:c r="E197" s="139" t="n">
        <x:v>0</x:v>
      </x:c>
      <x:c r="F197" s="93" t="n">
        <x:v>1</x:v>
      </x:c>
      <x:c r="G197" s="93" t="n">
        <x:v>0.6666666666666666</x:v>
      </x:c>
      <x:c r="H197" s="139" t="n">
        <x:v>3</x:v>
      </x:c>
      <x:c r="I197" s="139" t="n">
        <x:v>1.5</x:v>
      </x:c>
    </x:row>
    <x:row r="198">
      <x:c r="A198" s="139" t="inlineStr">
        <x:is>
          <x:t xml:space="preserve">Thohir</x:t>
        </x:is>
      </x:c>
      <x:c r="B198" s="139" t="inlineStr">
        <x:is>
          <x:t xml:space="preserve">Edy SP</x:t>
        </x:is>
      </x:c>
      <x:c r="C198" s="139" t="n">
        <x:v>2</x:v>
      </x:c>
      <x:c r="D198" s="139" t="n">
        <x:v>2</x:v>
      </x:c>
      <x:c r="E198" s="139" t="n">
        <x:v>0</x:v>
      </x:c>
      <x:c r="F198" s="93" t="n">
        <x:v>1</x:v>
      </x:c>
      <x:c r="G198" s="93" t="n">
        <x:v>0.4666666666666667</x:v>
      </x:c>
      <x:c r="H198" s="139" t="n">
        <x:v>6</x:v>
      </x:c>
      <x:c r="I198" s="139" t="n">
        <x:v>3</x:v>
      </x:c>
    </x:row>
    <x:row r="199">
      <x:c r="A199" s="139" t="inlineStr">
        <x:is>
          <x:t xml:space="preserve">Thohir</x:t>
        </x:is>
      </x:c>
      <x:c r="B199" s="139" t="inlineStr">
        <x:is>
          <x:t xml:space="preserve">Donny</x:t>
        </x:is>
      </x:c>
      <x:c r="C199" s="139" t="n">
        <x:v>2</x:v>
      </x:c>
      <x:c r="D199" s="139" t="n">
        <x:v>2</x:v>
      </x:c>
      <x:c r="E199" s="139" t="n">
        <x:v>0</x:v>
      </x:c>
      <x:c r="F199" s="93" t="n">
        <x:v>1</x:v>
      </x:c>
      <x:c r="G199" s="93" t="n">
        <x:v>0.3636363636363636</x:v>
      </x:c>
      <x:c r="H199" s="139" t="n">
        <x:v>4</x:v>
      </x:c>
      <x:c r="I199" s="139" t="n">
        <x:v>2</x:v>
      </x:c>
    </x:row>
    <x:row r="200">
      <x:c r="A200" s="139" t="inlineStr">
        <x:is>
          <x:t xml:space="preserve">Thohir</x:t>
        </x:is>
      </x:c>
      <x:c r="B200" s="139" t="inlineStr">
        <x:is>
          <x:t xml:space="preserve">Welly</x:t>
        </x:is>
      </x:c>
      <x:c r="C200" s="139" t="n">
        <x:v>2</x:v>
      </x:c>
      <x:c r="D200" s="139" t="n">
        <x:v>2</x:v>
      </x:c>
      <x:c r="E200" s="139" t="n">
        <x:v>0</x:v>
      </x:c>
      <x:c r="F200" s="93" t="n">
        <x:v>1</x:v>
      </x:c>
      <x:c r="G200" s="93" t="n">
        <x:v>0.2</x:v>
      </x:c>
      <x:c r="H200" s="139" t="n">
        <x:v>5</x:v>
      </x:c>
      <x:c r="I200" s="139" t="n">
        <x:v>2.5</x:v>
      </x:c>
    </x:row>
    <x:row r="201">
      <x:c r="A201" s="139" t="inlineStr">
        <x:is>
          <x:t xml:space="preserve">Welly</x:t>
        </x:is>
      </x:c>
      <x:c r="B201" s="139" t="inlineStr">
        <x:is>
          <x:t xml:space="preserve">Edy SP</x:t>
        </x:is>
      </x:c>
      <x:c r="C201" s="139" t="n">
        <x:v>4</x:v>
      </x:c>
      <x:c r="D201" s="139" t="n">
        <x:v>2</x:v>
      </x:c>
      <x:c r="E201" s="139" t="n">
        <x:v>2</x:v>
      </x:c>
      <x:c r="F201" s="93" t="n">
        <x:v>0.5</x:v>
      </x:c>
      <x:c r="G201" s="93" t="n">
        <x:v>0.4666666666666667</x:v>
      </x:c>
      <x:c r="H201" s="139" t="n">
        <x:v>-1</x:v>
      </x:c>
      <x:c r="I201" s="139" t="n">
        <x:v>-0.25</x:v>
      </x:c>
    </x:row>
    <x:row r="202">
      <x:c r="A202" s="139" t="inlineStr">
        <x:is>
          <x:t xml:space="preserve">Welly</x:t>
        </x:is>
      </x:c>
      <x:c r="B202" s="139" t="inlineStr">
        <x:is>
          <x:t xml:space="preserve">Thohir</x:t>
        </x:is>
      </x:c>
      <x:c r="C202" s="139" t="n">
        <x:v>2</x:v>
      </x:c>
      <x:c r="D202" s="139" t="n">
        <x:v>0</x:v>
      </x:c>
      <x:c r="E202" s="139" t="n">
        <x:v>2</x:v>
      </x:c>
      <x:c r="F202" s="93" t="n">
        <x:v>0</x:v>
      </x:c>
      <x:c r="G202" s="93" t="n">
        <x:v>1</x:v>
      </x:c>
      <x:c r="H202" s="139" t="n">
        <x:v>-5</x:v>
      </x:c>
      <x:c r="I202" s="139" t="n">
        <x:v>-2.5</x:v>
      </x:c>
    </x:row>
    <x:row r="203">
      <x:c r="A203" s="139" t="inlineStr">
        <x:is>
          <x:t xml:space="preserve">Welly</x:t>
        </x:is>
      </x:c>
      <x:c r="B203" s="139" t="inlineStr">
        <x:is>
          <x:t xml:space="preserve">Ronald</x:t>
        </x:is>
      </x:c>
      <x:c r="C203" s="139" t="n">
        <x:v>2</x:v>
      </x:c>
      <x:c r="D203" s="139" t="n">
        <x:v>0</x:v>
      </x:c>
      <x:c r="E203" s="139" t="n">
        <x:v>2</x:v>
      </x:c>
      <x:c r="F203" s="93" t="n">
        <x:v>0</x:v>
      </x:c>
      <x:c r="G203" s="93" t="n">
        <x:v>0.6666666666666666</x:v>
      </x:c>
      <x:c r="H203" s="139" t="n">
        <x:v>-7</x:v>
      </x:c>
      <x:c r="I203" s="139" t="n">
        <x:v>-3.5</x:v>
      </x:c>
    </x:row>
    <x:row r="204">
      <x:c r="A204" s="139" t="inlineStr">
        <x:is>
          <x:t xml:space="preserve">Welly</x:t>
        </x:is>
      </x:c>
      <x:c r="B204" s="139" t="inlineStr">
        <x:is>
          <x:t xml:space="preserve">Austin</x:t>
        </x:is>
      </x:c>
      <x:c r="C204" s="139" t="n">
        <x:v>2</x:v>
      </x:c>
      <x:c r="D204" s="139" t="n">
        <x:v>0</x:v>
      </x:c>
      <x:c r="E204" s="139" t="n">
        <x:v>2</x:v>
      </x:c>
      <x:c r="F204" s="93" t="n">
        <x:v>0</x:v>
      </x:c>
      <x:c r="G204" s="93" t="n">
        <x:v>0.6428571428571429</x:v>
      </x:c>
      <x:c r="H204" s="139" t="n">
        <x:v>-6</x:v>
      </x:c>
      <x:c r="I204" s="139" t="n">
        <x:v>-3</x:v>
      </x:c>
    </x:row>
    <x:row r="205">
      <x:c r="A205" s="139" t="inlineStr">
        <x:is>
          <x:t xml:space="preserve">Welly</x:t>
        </x:is>
      </x:c>
      <x:c r="B205" s="139" t="inlineStr">
        <x:is>
          <x:t xml:space="preserve">Ricky</x:t>
        </x:is>
      </x:c>
      <x:c r="C205" s="139" t="n">
        <x:v>2</x:v>
      </x:c>
      <x:c r="D205" s="139" t="n">
        <x:v>0</x:v>
      </x:c>
      <x:c r="E205" s="139" t="n">
        <x:v>2</x:v>
      </x:c>
      <x:c r="F205" s="93" t="n">
        <x:v>0</x:v>
      </x:c>
      <x:c r="G205" s="93" t="n">
        <x:v>0.6153846153846154</x:v>
      </x:c>
      <x:c r="H205" s="139" t="n">
        <x:v>-6</x:v>
      </x:c>
      <x:c r="I205" s="139" t="n">
        <x:v>-3</x:v>
      </x:c>
    </x:row>
    <x:row r="206">
      <x:c r="A206" s="139" t="inlineStr">
        <x:is>
          <x:t xml:space="preserve">Welly</x:t>
        </x:is>
      </x:c>
      <x:c r="B206" s="139" t="inlineStr">
        <x:is>
          <x:t xml:space="preserve">Donny</x:t>
        </x:is>
      </x:c>
      <x:c r="C206" s="139" t="n">
        <x:v>2</x:v>
      </x:c>
      <x:c r="D206" s="139" t="n">
        <x:v>1</x:v>
      </x:c>
      <x:c r="E206" s="139" t="n">
        <x:v>1</x:v>
      </x:c>
      <x:c r="F206" s="93" t="n">
        <x:v>0.5</x:v>
      </x:c>
      <x:c r="G206" s="93" t="n">
        <x:v>0.3636363636363636</x:v>
      </x:c>
      <x:c r="H206" s="139" t="n">
        <x:v>1</x:v>
      </x:c>
      <x:c r="I206" s="139" t="n">
        <x:v>0.5</x:v>
      </x:c>
    </x:row>
    <x:row r="207">
      <x:c r="A207" s="139" t="inlineStr">
        <x:is>
          <x:t xml:space="preserve">Welly</x:t>
        </x:is>
      </x:c>
      <x:c r="B207" s="139" t="inlineStr">
        <x:is>
          <x:t xml:space="preserve">Alwin</x:t>
        </x:is>
      </x:c>
      <x:c r="C207" s="139" t="n">
        <x:v>2</x:v>
      </x:c>
      <x:c r="D207" s="139" t="n">
        <x:v>1</x:v>
      </x:c>
      <x:c r="E207" s="139" t="n">
        <x:v>1</x:v>
      </x:c>
      <x:c r="F207" s="93" t="n">
        <x:v>0.5</x:v>
      </x:c>
      <x:c r="G207" s="93" t="n">
        <x:v>0.1666666666666667</x:v>
      </x:c>
      <x:c r="H207" s="139" t="n">
        <x:v>0</x:v>
      </x:c>
      <x:c r="I207" s="139" t="n">
        <x:v>0</x:v>
      </x:c>
    </x:row>
    <x:row r="208">
      <x:c r="A208" s="139" t="inlineStr">
        <x:is>
          <x:t xml:space="preserve">Welly</x:t>
        </x:is>
      </x:c>
      <x:c r="B208" s="139" t="inlineStr">
        <x:is>
          <x:t xml:space="preserve">Sandy</x:t>
        </x:is>
      </x:c>
      <x:c r="C208" s="139" t="n">
        <x:v>1</x:v>
      </x:c>
      <x:c r="D208" s="139" t="n">
        <x:v>0</x:v>
      </x:c>
      <x:c r="E208" s="139" t="n">
        <x:v>1</x:v>
      </x:c>
      <x:c r="F208" s="93" t="n">
        <x:v>0</x:v>
      </x:c>
      <x:c r="G208" s="93" t="n">
        <x:v>0.8461538461538461</x:v>
      </x:c>
      <x:c r="H208" s="139" t="n">
        <x:v>-3</x:v>
      </x:c>
      <x:c r="I208" s="139" t="n">
        <x:v>-3</x:v>
      </x:c>
    </x:row>
    <x:row r="209">
      <x:c r="A209" s="139" t="inlineStr">
        <x:is>
          <x:t xml:space="preserve">Welly</x:t>
        </x:is>
      </x:c>
      <x:c r="B209" s="139" t="inlineStr">
        <x:is>
          <x:t xml:space="preserve">Kennard</x:t>
        </x:is>
      </x:c>
      <x:c r="C209" s="139" t="n">
        <x:v>1</x:v>
      </x:c>
      <x:c r="D209" s="139" t="n">
        <x:v>0</x:v>
      </x:c>
      <x:c r="E209" s="139" t="n">
        <x:v>1</x:v>
      </x:c>
      <x:c r="F209" s="93" t="n">
        <x:v>0</x:v>
      </x:c>
      <x:c r="G209" s="93" t="n">
        <x:v>0.6923076923076923</x:v>
      </x:c>
      <x:c r="H209" s="139" t="n">
        <x:v>-3</x:v>
      </x:c>
      <x:c r="I209" s="139" t="n">
        <x:v>-3</x:v>
      </x:c>
    </x:row>
    <x:row r="210">
      <x:c r="A210" s="139" t="inlineStr">
        <x:is>
          <x:t xml:space="preserve">Welly</x:t>
        </x:is>
      </x:c>
      <x:c r="B210" s="139" t="inlineStr">
        <x:is>
          <x:t xml:space="preserve">Michael</x:t>
        </x:is>
      </x:c>
      <x:c r="C210" s="139" t="n">
        <x:v>1</x:v>
      </x:c>
      <x:c r="D210" s="139" t="n">
        <x:v>0</x:v>
      </x:c>
      <x:c r="E210" s="139" t="n">
        <x:v>1</x:v>
      </x:c>
      <x:c r="F210" s="93" t="n">
        <x:v>0</x:v>
      </x:c>
      <x:c r="G210" s="93" t="n">
        <x:v>0.4615384615384616</x:v>
      </x:c>
      <x:c r="H210" s="139" t="n">
        <x:v>-1</x:v>
      </x:c>
      <x:c r="I210" s="139" t="n">
        <x:v>-1</x:v>
      </x:c>
    </x:row>
    <x:row r="211">
      <x:c r="A211" s="139" t="inlineStr">
        <x:is>
          <x:t xml:space="preserve">Welly</x:t>
        </x:is>
      </x:c>
      <x:c r="B211" s="139" t="inlineStr">
        <x:is>
          <x:t xml:space="preserve">Reza</x:t>
        </x:is>
      </x:c>
      <x:c r="C211" s="139" t="n">
        <x:v>1</x:v>
      </x:c>
      <x:c r="D211" s="139" t="n">
        <x:v>0</x:v>
      </x:c>
      <x:c r="E211" s="139" t="n">
        <x:v>1</x:v>
      </x:c>
      <x:c r="F211" s="93" t="n">
        <x:v>0</x:v>
      </x:c>
      <x:c r="G211" s="93" t="n">
        <x:v>0.3333333333333333</x:v>
      </x:c>
      <x:c r="H211" s="139" t="n">
        <x:v>-1</x:v>
      </x:c>
      <x:c r="I211" s="139" t="n">
        <x:v>-1</x:v>
      </x:c>
    </x:row>
    <x:row r="212">
      <x:c r="A212" s="139" t="n"/>
      <x:c r="B212" s="139" t="n"/>
      <x:c r="C212" s="139" t="n"/>
      <x:c r="D212" s="139" t="n"/>
      <x:c r="E212" s="139" t="n"/>
      <x:c r="F212" s="139" t="n"/>
      <x:c r="G212" s="139" t="n"/>
      <x:c r="H212" s="139" t="n"/>
      <x:c r="I212" s="139" t="n"/>
    </x:row>
    <x:row r="213">
      <x:c r="A213" s="139" t="n"/>
      <x:c r="B213" s="139" t="n"/>
      <x:c r="C213" s="139" t="n"/>
      <x:c r="D213" s="139" t="n"/>
      <x:c r="E213" s="139" t="n"/>
      <x:c r="F213" s="139" t="n"/>
      <x:c r="G213" s="139" t="n"/>
      <x:c r="H213" s="139" t="n"/>
      <x:c r="I213" s="139" t="n"/>
    </x:row>
    <x:row r="214">
      <x:c r="A214" s="139" t="n"/>
      <x:c r="B214" s="139" t="n"/>
      <x:c r="C214" s="139" t="n"/>
      <x:c r="D214" s="139" t="n"/>
      <x:c r="E214" s="139" t="n"/>
      <x:c r="F214" s="139" t="n"/>
      <x:c r="G214" s="139" t="n"/>
      <x:c r="H214" s="139" t="n"/>
      <x:c r="I214" s="139" t="n"/>
    </x:row>
    <x:row r="215">
      <x:c r="A215" s="139" t="n"/>
      <x:c r="B215" s="139" t="n"/>
      <x:c r="C215" s="139" t="n"/>
      <x:c r="D215" s="139" t="n"/>
      <x:c r="E215" s="139" t="n"/>
      <x:c r="F215" s="139" t="n"/>
      <x:c r="G215" s="139" t="n"/>
      <x:c r="H215" s="139" t="n"/>
      <x:c r="I215" s="139" t="n"/>
    </x:row>
    <x:row r="216">
      <x:c r="A216" s="139" t="n"/>
      <x:c r="B216" s="139" t="n"/>
      <x:c r="C216" s="139" t="n"/>
      <x:c r="D216" s="139" t="n"/>
      <x:c r="E216" s="139" t="n"/>
      <x:c r="F216" s="139" t="n"/>
      <x:c r="G216" s="139" t="n"/>
      <x:c r="H216" s="139" t="n"/>
      <x:c r="I216" s="139" t="n"/>
    </x:row>
    <x:row r="217">
      <x:c r="A217" s="139" t="n"/>
      <x:c r="B217" s="139" t="n"/>
      <x:c r="C217" s="139" t="n"/>
      <x:c r="D217" s="139" t="n"/>
      <x:c r="E217" s="139" t="n"/>
      <x:c r="F217" s="139" t="n"/>
      <x:c r="G217" s="139" t="n"/>
      <x:c r="H217" s="139" t="n"/>
      <x:c r="I217" s="139" t="n"/>
    </x:row>
    <x:row r="218">
      <x:c r="A218" s="139" t="n"/>
      <x:c r="B218" s="139" t="n"/>
      <x:c r="C218" s="139" t="n"/>
      <x:c r="D218" s="139" t="n"/>
      <x:c r="E218" s="139" t="n"/>
      <x:c r="F218" s="139" t="n"/>
      <x:c r="G218" s="139" t="n"/>
      <x:c r="H218" s="139" t="n"/>
      <x:c r="I218" s="139" t="n"/>
    </x:row>
    <x:row r="219">
      <x:c r="A219" s="139" t="n"/>
      <x:c r="B219" s="139" t="n"/>
      <x:c r="C219" s="139" t="n"/>
      <x:c r="D219" s="139" t="n"/>
      <x:c r="E219" s="139" t="n"/>
      <x:c r="F219" s="139" t="n"/>
      <x:c r="G219" s="139" t="n"/>
      <x:c r="H219" s="139" t="n"/>
      <x:c r="I219" s="139" t="n"/>
    </x:row>
    <x:row r="220">
      <x:c r="A220" s="139" t="n"/>
      <x:c r="B220" s="139" t="n"/>
      <x:c r="C220" s="139" t="n"/>
      <x:c r="D220" s="139" t="n"/>
      <x:c r="E220" s="139" t="n"/>
      <x:c r="F220" s="139" t="n"/>
      <x:c r="G220" s="139" t="n"/>
      <x:c r="H220" s="139" t="n"/>
      <x:c r="I220" s="139" t="n"/>
    </x:row>
    <x:row r="221">
      <x:c r="A221" s="139" t="n"/>
      <x:c r="B221" s="139" t="n"/>
      <x:c r="C221" s="139" t="n"/>
      <x:c r="D221" s="139" t="n"/>
      <x:c r="E221" s="139" t="n"/>
      <x:c r="F221" s="139" t="n"/>
      <x:c r="G221" s="139" t="n"/>
      <x:c r="H221" s="139" t="n"/>
      <x:c r="I221" s="139" t="n"/>
    </x:row>
    <x:row r="222">
      <x:c r="A222" s="139" t="n"/>
      <x:c r="B222" s="139" t="n"/>
      <x:c r="C222" s="139" t="n"/>
      <x:c r="D222" s="139" t="n"/>
      <x:c r="E222" s="139" t="n"/>
      <x:c r="F222" s="139" t="n"/>
      <x:c r="G222" s="139" t="n"/>
      <x:c r="H222" s="139" t="n"/>
      <x:c r="I222" s="139" t="n"/>
    </x:row>
    <x:row r="223">
      <x:c r="A223" s="139" t="n"/>
      <x:c r="B223" s="139" t="n"/>
      <x:c r="C223" s="139" t="n"/>
      <x:c r="D223" s="139" t="n"/>
      <x:c r="E223" s="139" t="n"/>
      <x:c r="F223" s="139" t="n"/>
      <x:c r="G223" s="139" t="n"/>
      <x:c r="H223" s="139" t="n"/>
      <x:c r="I223" s="139" t="n"/>
    </x:row>
    <x:row r="224">
      <x:c r="A224" s="139" t="n"/>
      <x:c r="B224" s="139" t="n"/>
      <x:c r="C224" s="139" t="n"/>
      <x:c r="D224" s="139" t="n"/>
      <x:c r="E224" s="139" t="n"/>
      <x:c r="F224" s="139" t="n"/>
      <x:c r="G224" s="139" t="n"/>
      <x:c r="H224" s="139" t="n"/>
      <x:c r="I224" s="139" t="n"/>
    </x:row>
    <x:row r="225">
      <x:c r="A225" s="139" t="n"/>
      <x:c r="B225" s="139" t="n"/>
      <x:c r="C225" s="139" t="n"/>
      <x:c r="D225" s="139" t="n"/>
      <x:c r="E225" s="139" t="n"/>
      <x:c r="F225" s="139" t="n"/>
      <x:c r="G225" s="139" t="n"/>
      <x:c r="H225" s="139" t="n"/>
      <x:c r="I225" s="139" t="n"/>
    </x:row>
    <x:row r="226">
      <x:c r="A226" s="139" t="n"/>
      <x:c r="B226" s="139" t="n"/>
      <x:c r="C226" s="139" t="n"/>
      <x:c r="D226" s="139" t="n"/>
      <x:c r="E226" s="139" t="n"/>
      <x:c r="F226" s="139" t="n"/>
      <x:c r="G226" s="139" t="n"/>
      <x:c r="H226" s="139" t="n"/>
      <x:c r="I226" s="139" t="n"/>
    </x:row>
    <x:row r="227">
      <x:c r="A227" s="139" t="n"/>
      <x:c r="B227" s="139" t="n"/>
      <x:c r="C227" s="139" t="n"/>
      <x:c r="D227" s="139" t="n"/>
      <x:c r="E227" s="139" t="n"/>
      <x:c r="F227" s="139" t="n"/>
      <x:c r="G227" s="139" t="n"/>
      <x:c r="H227" s="139" t="n"/>
      <x:c r="I227" s="139" t="n"/>
    </x:row>
    <x:row r="228">
      <x:c r="A228" s="139" t="n"/>
      <x:c r="B228" s="139" t="n"/>
      <x:c r="C228" s="139" t="n"/>
      <x:c r="D228" s="139" t="n"/>
      <x:c r="E228" s="139" t="n"/>
      <x:c r="F228" s="139" t="n"/>
      <x:c r="G228" s="139" t="n"/>
      <x:c r="H228" s="139" t="n"/>
      <x:c r="I228" s="139" t="n"/>
    </x:row>
    <x:row r="229">
      <x:c r="A229" s="139" t="n"/>
      <x:c r="B229" s="139" t="n"/>
      <x:c r="C229" s="139" t="n"/>
      <x:c r="D229" s="139" t="n"/>
      <x:c r="E229" s="139" t="n"/>
      <x:c r="F229" s="139" t="n"/>
      <x:c r="G229" s="139" t="n"/>
      <x:c r="H229" s="139" t="n"/>
      <x:c r="I229" s="139" t="n"/>
    </x:row>
    <x:row r="230">
      <x:c r="A230" s="139" t="n"/>
      <x:c r="B230" s="139" t="n"/>
      <x:c r="C230" s="139" t="n"/>
      <x:c r="D230" s="139" t="n"/>
      <x:c r="E230" s="139" t="n"/>
      <x:c r="F230" s="139" t="n"/>
      <x:c r="G230" s="139" t="n"/>
      <x:c r="H230" s="139" t="n"/>
      <x:c r="I230" s="139" t="n"/>
    </x:row>
    <x:row r="231">
      <x:c r="A231" s="139" t="n"/>
      <x:c r="B231" s="139" t="n"/>
      <x:c r="C231" s="139" t="n"/>
      <x:c r="D231" s="139" t="n"/>
      <x:c r="E231" s="139" t="n"/>
      <x:c r="F231" s="139" t="n"/>
      <x:c r="G231" s="139" t="n"/>
      <x:c r="H231" s="139" t="n"/>
      <x:c r="I231" s="139" t="n"/>
    </x:row>
    <x:row r="232">
      <x:c r="A232" s="139" t="n"/>
      <x:c r="B232" s="139" t="n"/>
      <x:c r="C232" s="139" t="n"/>
      <x:c r="D232" s="139" t="n"/>
      <x:c r="E232" s="139" t="n"/>
      <x:c r="F232" s="139" t="n"/>
      <x:c r="G232" s="139" t="n"/>
      <x:c r="H232" s="139" t="n"/>
      <x:c r="I232" s="139" t="n"/>
    </x:row>
    <x:row r="233">
      <x:c r="A233" s="139" t="n"/>
      <x:c r="B233" s="139" t="n"/>
      <x:c r="C233" s="139" t="n"/>
      <x:c r="D233" s="139" t="n"/>
      <x:c r="E233" s="139" t="n"/>
      <x:c r="F233" s="139" t="n"/>
      <x:c r="G233" s="139" t="n"/>
      <x:c r="H233" s="139" t="n"/>
      <x:c r="I233" s="139" t="n"/>
    </x:row>
    <x:row r="234">
      <x:c r="A234" s="139" t="n"/>
      <x:c r="B234" s="139" t="n"/>
      <x:c r="C234" s="139" t="n"/>
      <x:c r="D234" s="139" t="n"/>
      <x:c r="E234" s="139" t="n"/>
      <x:c r="F234" s="139" t="n"/>
      <x:c r="G234" s="139" t="n"/>
      <x:c r="H234" s="139" t="n"/>
      <x:c r="I234" s="139" t="n"/>
    </x:row>
    <x:row r="235">
      <x:c r="A235" s="139" t="n"/>
      <x:c r="B235" s="139" t="n"/>
      <x:c r="C235" s="139" t="n"/>
      <x:c r="D235" s="139" t="n"/>
      <x:c r="E235" s="139" t="n"/>
      <x:c r="F235" s="139" t="n"/>
      <x:c r="G235" s="139" t="n"/>
      <x:c r="H235" s="139" t="n"/>
      <x:c r="I235" s="139" t="n"/>
    </x:row>
    <x:row r="236">
      <x:c r="A236" s="139" t="n"/>
      <x:c r="B236" s="139" t="n"/>
      <x:c r="C236" s="139" t="n"/>
      <x:c r="D236" s="139" t="n"/>
      <x:c r="E236" s="139" t="n"/>
      <x:c r="F236" s="139" t="n"/>
      <x:c r="G236" s="139" t="n"/>
      <x:c r="H236" s="139" t="n"/>
      <x:c r="I236" s="139" t="n"/>
    </x:row>
    <x:row r="237">
      <x:c r="A237" s="139" t="n"/>
      <x:c r="B237" s="139" t="n"/>
      <x:c r="C237" s="139" t="n"/>
      <x:c r="D237" s="139" t="n"/>
      <x:c r="E237" s="139" t="n"/>
      <x:c r="F237" s="139" t="n"/>
      <x:c r="G237" s="139" t="n"/>
      <x:c r="H237" s="139" t="n"/>
      <x:c r="I237" s="139" t="n"/>
    </x:row>
    <x:row r="238">
      <x:c r="A238" s="139" t="n"/>
      <x:c r="B238" s="139" t="n"/>
      <x:c r="C238" s="139" t="n"/>
      <x:c r="D238" s="139" t="n"/>
      <x:c r="E238" s="139" t="n"/>
      <x:c r="F238" s="139" t="n"/>
      <x:c r="G238" s="139" t="n"/>
      <x:c r="H238" s="139" t="n"/>
      <x:c r="I238" s="139" t="n"/>
    </x:row>
    <x:row r="239">
      <x:c r="A239" s="139" t="n"/>
      <x:c r="B239" s="139" t="n"/>
      <x:c r="C239" s="139" t="n"/>
      <x:c r="D239" s="139" t="n"/>
      <x:c r="E239" s="139" t="n"/>
      <x:c r="F239" s="139" t="n"/>
      <x:c r="G239" s="139" t="n"/>
      <x:c r="H239" s="139" t="n"/>
      <x:c r="I239" s="139" t="n"/>
    </x:row>
    <x:row r="240">
      <x:c r="A240" s="139" t="n"/>
      <x:c r="B240" s="139" t="n"/>
      <x:c r="C240" s="139" t="n"/>
      <x:c r="D240" s="139" t="n"/>
      <x:c r="E240" s="139" t="n"/>
      <x:c r="F240" s="139" t="n"/>
      <x:c r="G240" s="139" t="n"/>
      <x:c r="H240" s="139" t="n"/>
      <x:c r="I240" s="139" t="n"/>
    </x:row>
    <x:row r="241">
      <x:c r="A241" s="139" t="n"/>
      <x:c r="B241" s="139" t="n"/>
      <x:c r="C241" s="139" t="n"/>
      <x:c r="D241" s="139" t="n"/>
      <x:c r="E241" s="139" t="n"/>
      <x:c r="F241" s="139" t="n"/>
      <x:c r="G241" s="139" t="n"/>
      <x:c r="H241" s="139" t="n"/>
      <x:c r="I241" s="139" t="n"/>
    </x:row>
    <x:row r="242">
      <x:c r="A242" s="139" t="n"/>
      <x:c r="B242" s="139" t="n"/>
      <x:c r="C242" s="139" t="n"/>
      <x:c r="D242" s="139" t="n"/>
      <x:c r="E242" s="139" t="n"/>
      <x:c r="F242" s="139" t="n"/>
      <x:c r="G242" s="139" t="n"/>
      <x:c r="H242" s="139" t="n"/>
      <x:c r="I242" s="139" t="n"/>
    </x:row>
    <x:row r="243">
      <x:c r="A243" s="139" t="n"/>
      <x:c r="B243" s="139" t="n"/>
      <x:c r="C243" s="139" t="n"/>
      <x:c r="D243" s="139" t="n"/>
      <x:c r="E243" s="139" t="n"/>
      <x:c r="F243" s="139" t="n"/>
      <x:c r="G243" s="139" t="n"/>
      <x:c r="H243" s="139" t="n"/>
      <x:c r="I243" s="139" t="n"/>
    </x:row>
    <x:row r="244">
      <x:c r="A244" s="139" t="n"/>
      <x:c r="B244" s="139" t="n"/>
      <x:c r="C244" s="139" t="n"/>
      <x:c r="D244" s="139" t="n"/>
      <x:c r="E244" s="139" t="n"/>
      <x:c r="F244" s="139" t="n"/>
      <x:c r="G244" s="139" t="n"/>
      <x:c r="H244" s="139" t="n"/>
      <x:c r="I244" s="139" t="n"/>
    </x:row>
    <x:row r="245">
      <x:c r="A245" s="139" t="n"/>
      <x:c r="B245" s="139" t="n"/>
      <x:c r="C245" s="139" t="n"/>
      <x:c r="D245" s="139" t="n"/>
      <x:c r="E245" s="139" t="n"/>
      <x:c r="F245" s="139" t="n"/>
      <x:c r="G245" s="139" t="n"/>
      <x:c r="H245" s="139" t="n"/>
      <x:c r="I245" s="139" t="n"/>
    </x:row>
    <x:row r="246">
      <x:c r="A246" s="139" t="n"/>
      <x:c r="B246" s="139" t="n"/>
      <x:c r="C246" s="139" t="n"/>
      <x:c r="D246" s="139" t="n"/>
      <x:c r="E246" s="139" t="n"/>
      <x:c r="F246" s="139" t="n"/>
      <x:c r="G246" s="139" t="n"/>
      <x:c r="H246" s="139" t="n"/>
      <x:c r="I246" s="139" t="n"/>
    </x:row>
    <x:row r="247">
      <x:c r="A247" s="139" t="n"/>
      <x:c r="B247" s="139" t="n"/>
      <x:c r="C247" s="139" t="n"/>
      <x:c r="D247" s="139" t="n"/>
      <x:c r="E247" s="139" t="n"/>
      <x:c r="F247" s="139" t="n"/>
      <x:c r="G247" s="139" t="n"/>
      <x:c r="H247" s="139" t="n"/>
      <x:c r="I247" s="139" t="n"/>
    </x:row>
    <x:row r="248">
      <x:c r="A248" s="139" t="n"/>
      <x:c r="B248" s="139" t="n"/>
      <x:c r="C248" s="139" t="n"/>
      <x:c r="D248" s="139" t="n"/>
      <x:c r="E248" s="139" t="n"/>
      <x:c r="F248" s="139" t="n"/>
      <x:c r="G248" s="139" t="n"/>
      <x:c r="H248" s="139" t="n"/>
      <x:c r="I248" s="139" t="n"/>
    </x:row>
    <x:row r="249">
      <x:c r="A249" s="139" t="n"/>
      <x:c r="B249" s="139" t="n"/>
      <x:c r="C249" s="139" t="n"/>
      <x:c r="D249" s="139" t="n"/>
      <x:c r="E249" s="139" t="n"/>
      <x:c r="F249" s="139" t="n"/>
      <x:c r="G249" s="139" t="n"/>
      <x:c r="H249" s="139" t="n"/>
      <x:c r="I249" s="139" t="n"/>
    </x:row>
    <x:row r="250">
      <x:c r="A250" s="139" t="n"/>
      <x:c r="B250" s="139" t="n"/>
      <x:c r="C250" s="139" t="n"/>
      <x:c r="D250" s="139" t="n"/>
      <x:c r="E250" s="139" t="n"/>
      <x:c r="F250" s="139" t="n"/>
      <x:c r="G250" s="139" t="n"/>
      <x:c r="H250" s="139" t="n"/>
      <x:c r="I250" s="139" t="n"/>
    </x:row>
    <x:row r="251">
      <x:c r="A251" s="139" t="n"/>
      <x:c r="B251" s="139" t="n"/>
      <x:c r="C251" s="139" t="n"/>
      <x:c r="D251" s="139" t="n"/>
      <x:c r="E251" s="139" t="n"/>
      <x:c r="F251" s="139" t="n"/>
      <x:c r="G251" s="139" t="n"/>
      <x:c r="H251" s="139" t="n"/>
      <x:c r="I251" s="139" t="n"/>
    </x:row>
    <x:row r="252">
      <x:c r="A252" s="139" t="n"/>
      <x:c r="B252" s="139" t="n"/>
      <x:c r="C252" s="139" t="n"/>
      <x:c r="D252" s="139" t="n"/>
      <x:c r="E252" s="139" t="n"/>
      <x:c r="F252" s="139" t="n"/>
      <x:c r="G252" s="139" t="n"/>
      <x:c r="H252" s="139" t="n"/>
      <x:c r="I252" s="139" t="n"/>
    </x:row>
    <x:row r="253">
      <x:c r="A253" s="139" t="n"/>
      <x:c r="B253" s="139" t="n"/>
      <x:c r="C253" s="139" t="n"/>
      <x:c r="D253" s="139" t="n"/>
      <x:c r="E253" s="139" t="n"/>
      <x:c r="F253" s="139" t="n"/>
      <x:c r="G253" s="139" t="n"/>
      <x:c r="H253" s="139" t="n"/>
      <x:c r="I253" s="139" t="n"/>
    </x:row>
    <x:row r="254">
      <x:c r="A254" s="139" t="n"/>
      <x:c r="B254" s="139" t="n"/>
      <x:c r="C254" s="139" t="n"/>
      <x:c r="D254" s="139" t="n"/>
      <x:c r="E254" s="139" t="n"/>
      <x:c r="F254" s="139" t="n"/>
      <x:c r="G254" s="139" t="n"/>
      <x:c r="H254" s="139" t="n"/>
      <x:c r="I254" s="139" t="n"/>
    </x:row>
    <x:row r="255">
      <x:c r="A255" s="139" t="n"/>
      <x:c r="B255" s="139" t="n"/>
      <x:c r="C255" s="139" t="n"/>
      <x:c r="D255" s="139" t="n"/>
      <x:c r="E255" s="139" t="n"/>
      <x:c r="F255" s="139" t="n"/>
      <x:c r="G255" s="139" t="n"/>
      <x:c r="H255" s="139" t="n"/>
      <x:c r="I255" s="139" t="n"/>
    </x:row>
    <x:row r="256">
      <x:c r="A256" s="139" t="n"/>
      <x:c r="B256" s="139" t="n"/>
      <x:c r="C256" s="139" t="n"/>
      <x:c r="D256" s="139" t="n"/>
      <x:c r="E256" s="139" t="n"/>
      <x:c r="F256" s="139" t="n"/>
      <x:c r="G256" s="139" t="n"/>
      <x:c r="H256" s="139" t="n"/>
      <x:c r="I256" s="139" t="n"/>
    </x:row>
    <x:row r="257">
      <x:c r="A257" s="139" t="n"/>
      <x:c r="B257" s="139" t="n"/>
      <x:c r="C257" s="139" t="n"/>
      <x:c r="D257" s="139" t="n"/>
      <x:c r="E257" s="139" t="n"/>
      <x:c r="F257" s="139" t="n"/>
      <x:c r="G257" s="139" t="n"/>
      <x:c r="H257" s="139" t="n"/>
      <x:c r="I257" s="139" t="n"/>
    </x:row>
    <x:row r="258">
      <x:c r="A258" s="139" t="n"/>
      <x:c r="B258" s="139" t="n"/>
      <x:c r="C258" s="139" t="n"/>
      <x:c r="D258" s="139" t="n"/>
      <x:c r="E258" s="139" t="n"/>
      <x:c r="F258" s="139" t="n"/>
      <x:c r="G258" s="139" t="n"/>
      <x:c r="H258" s="139" t="n"/>
      <x:c r="I258" s="139" t="n"/>
    </x:row>
    <x:row r="259">
      <x:c r="A259" s="139" t="n"/>
      <x:c r="B259" s="139" t="n"/>
      <x:c r="C259" s="139" t="n"/>
      <x:c r="D259" s="139" t="n"/>
      <x:c r="E259" s="139" t="n"/>
      <x:c r="F259" s="139" t="n"/>
      <x:c r="G259" s="139" t="n"/>
      <x:c r="H259" s="139" t="n"/>
      <x:c r="I259" s="139" t="n"/>
    </x:row>
    <x:row r="260">
      <x:c r="A260" s="139" t="n"/>
      <x:c r="B260" s="139" t="n"/>
      <x:c r="C260" s="139" t="n"/>
      <x:c r="D260" s="139" t="n"/>
      <x:c r="E260" s="139" t="n"/>
      <x:c r="F260" s="139" t="n"/>
      <x:c r="G260" s="139" t="n"/>
      <x:c r="H260" s="139" t="n"/>
      <x:c r="I260" s="139" t="n"/>
    </x:row>
    <x:row r="261">
      <x:c r="A261" s="139" t="n"/>
      <x:c r="B261" s="139" t="n"/>
      <x:c r="C261" s="139" t="n"/>
      <x:c r="D261" s="139" t="n"/>
      <x:c r="E261" s="139" t="n"/>
      <x:c r="F261" s="139" t="n"/>
      <x:c r="G261" s="139" t="n"/>
      <x:c r="H261" s="139" t="n"/>
      <x:c r="I261" s="139" t="n"/>
    </x:row>
    <x:row r="262">
      <x:c r="A262" s="139" t="n"/>
      <x:c r="B262" s="139" t="n"/>
      <x:c r="C262" s="139" t="n"/>
      <x:c r="D262" s="139" t="n"/>
      <x:c r="E262" s="139" t="n"/>
      <x:c r="F262" s="139" t="n"/>
      <x:c r="G262" s="139" t="n"/>
      <x:c r="H262" s="139" t="n"/>
      <x:c r="I262" s="139" t="n"/>
    </x:row>
    <x:row r="263">
      <x:c r="A263" s="139" t="n"/>
      <x:c r="B263" s="139" t="n"/>
      <x:c r="C263" s="139" t="n"/>
      <x:c r="D263" s="139" t="n"/>
      <x:c r="E263" s="139" t="n"/>
      <x:c r="F263" s="139" t="n"/>
      <x:c r="G263" s="139" t="n"/>
      <x:c r="H263" s="139" t="n"/>
      <x:c r="I263" s="139" t="n"/>
    </x:row>
    <x:row r="264">
      <x:c r="A264" s="139" t="n"/>
      <x:c r="B264" s="139" t="n"/>
      <x:c r="C264" s="139" t="n"/>
      <x:c r="D264" s="139" t="n"/>
      <x:c r="E264" s="139" t="n"/>
      <x:c r="F264" s="139" t="n"/>
      <x:c r="G264" s="139" t="n"/>
      <x:c r="H264" s="139" t="n"/>
      <x:c r="I264" s="139" t="n"/>
    </x:row>
    <x:row r="265">
      <x:c r="A265" s="139" t="n"/>
      <x:c r="B265" s="139" t="n"/>
      <x:c r="C265" s="139" t="n"/>
      <x:c r="D265" s="139" t="n"/>
      <x:c r="E265" s="139" t="n"/>
      <x:c r="F265" s="139" t="n"/>
      <x:c r="G265" s="139" t="n"/>
      <x:c r="H265" s="139" t="n"/>
      <x:c r="I265" s="139" t="n"/>
    </x:row>
    <x:row r="266">
      <x:c r="A266" s="139" t="n"/>
      <x:c r="B266" s="139" t="n"/>
      <x:c r="C266" s="139" t="n"/>
      <x:c r="D266" s="139" t="n"/>
      <x:c r="E266" s="139" t="n"/>
      <x:c r="F266" s="139" t="n"/>
      <x:c r="G266" s="139" t="n"/>
      <x:c r="H266" s="139" t="n"/>
      <x:c r="I266" s="139" t="n"/>
    </x:row>
    <x:row r="267">
      <x:c r="A267" s="139" t="n"/>
      <x:c r="B267" s="139" t="n"/>
      <x:c r="C267" s="139" t="n"/>
      <x:c r="D267" s="139" t="n"/>
      <x:c r="E267" s="139" t="n"/>
      <x:c r="F267" s="139" t="n"/>
      <x:c r="G267" s="139" t="n"/>
      <x:c r="H267" s="139" t="n"/>
      <x:c r="I267" s="139" t="n"/>
    </x:row>
    <x:row r="268">
      <x:c r="A268" s="139" t="n"/>
      <x:c r="B268" s="139" t="n"/>
      <x:c r="C268" s="139" t="n"/>
      <x:c r="D268" s="139" t="n"/>
      <x:c r="E268" s="139" t="n"/>
      <x:c r="F268" s="139" t="n"/>
      <x:c r="G268" s="139" t="n"/>
      <x:c r="H268" s="139" t="n"/>
      <x:c r="I268" s="139" t="n"/>
    </x:row>
    <x:row r="269">
      <x:c r="A269" s="139" t="n"/>
      <x:c r="B269" s="139" t="n"/>
      <x:c r="C269" s="139" t="n"/>
      <x:c r="D269" s="139" t="n"/>
      <x:c r="E269" s="139" t="n"/>
      <x:c r="F269" s="139" t="n"/>
      <x:c r="G269" s="139" t="n"/>
      <x:c r="H269" s="139" t="n"/>
      <x:c r="I269" s="139" t="n"/>
    </x:row>
    <x:row r="270">
      <x:c r="A270" s="139" t="n"/>
      <x:c r="B270" s="139" t="n"/>
      <x:c r="C270" s="139" t="n"/>
      <x:c r="D270" s="139" t="n"/>
      <x:c r="E270" s="139" t="n"/>
      <x:c r="F270" s="139" t="n"/>
      <x:c r="G270" s="139" t="n"/>
      <x:c r="H270" s="139" t="n"/>
      <x:c r="I270" s="139" t="n"/>
    </x:row>
    <x:row r="271">
      <x:c r="A271" s="139" t="n"/>
      <x:c r="B271" s="139" t="n"/>
      <x:c r="C271" s="139" t="n"/>
      <x:c r="D271" s="139" t="n"/>
      <x:c r="E271" s="139" t="n"/>
      <x:c r="F271" s="139" t="n"/>
      <x:c r="G271" s="139" t="n"/>
      <x:c r="H271" s="139" t="n"/>
      <x:c r="I271" s="139" t="n"/>
    </x:row>
    <x:row r="272">
      <x:c r="A272" s="139" t="n"/>
      <x:c r="B272" s="139" t="n"/>
      <x:c r="C272" s="139" t="n"/>
      <x:c r="D272" s="139" t="n"/>
      <x:c r="E272" s="139" t="n"/>
      <x:c r="F272" s="139" t="n"/>
      <x:c r="G272" s="139" t="n"/>
      <x:c r="H272" s="139" t="n"/>
      <x:c r="I272" s="139" t="n"/>
    </x:row>
    <x:row r="273">
      <x:c r="A273" s="139" t="n"/>
      <x:c r="B273" s="139" t="n"/>
      <x:c r="C273" s="139" t="n"/>
      <x:c r="D273" s="139" t="n"/>
      <x:c r="E273" s="139" t="n"/>
      <x:c r="F273" s="139" t="n"/>
      <x:c r="G273" s="139" t="n"/>
      <x:c r="H273" s="139" t="n"/>
      <x:c r="I273" s="139" t="n"/>
    </x:row>
    <x:row r="274">
      <x:c r="A274" s="139" t="n"/>
      <x:c r="B274" s="139" t="n"/>
      <x:c r="C274" s="139" t="n"/>
      <x:c r="D274" s="139" t="n"/>
      <x:c r="E274" s="139" t="n"/>
      <x:c r="F274" s="139" t="n"/>
      <x:c r="G274" s="139" t="n"/>
      <x:c r="H274" s="139" t="n"/>
      <x:c r="I274" s="139" t="n"/>
    </x:row>
    <x:row r="275">
      <x:c r="A275" s="139" t="n"/>
      <x:c r="B275" s="139" t="n"/>
      <x:c r="C275" s="139" t="n"/>
      <x:c r="D275" s="139" t="n"/>
      <x:c r="E275" s="139" t="n"/>
      <x:c r="F275" s="139" t="n"/>
      <x:c r="G275" s="139" t="n"/>
      <x:c r="H275" s="139" t="n"/>
      <x:c r="I275" s="139" t="n"/>
    </x:row>
    <x:row r="276">
      <x:c r="A276" s="139" t="n"/>
      <x:c r="B276" s="139" t="n"/>
      <x:c r="C276" s="139" t="n"/>
      <x:c r="D276" s="139" t="n"/>
      <x:c r="E276" s="139" t="n"/>
      <x:c r="F276" s="139" t="n"/>
      <x:c r="G276" s="139" t="n"/>
      <x:c r="H276" s="139" t="n"/>
      <x:c r="I276" s="139" t="n"/>
    </x:row>
    <x:row r="277">
      <x:c r="A277" s="139" t="n"/>
      <x:c r="B277" s="139" t="n"/>
      <x:c r="C277" s="139" t="n"/>
      <x:c r="D277" s="139" t="n"/>
      <x:c r="E277" s="139" t="n"/>
      <x:c r="F277" s="139" t="n"/>
      <x:c r="G277" s="139" t="n"/>
      <x:c r="H277" s="139" t="n"/>
      <x:c r="I277" s="139" t="n"/>
    </x:row>
    <x:row r="278">
      <x:c r="A278" s="139" t="n"/>
      <x:c r="B278" s="139" t="n"/>
      <x:c r="C278" s="139" t="n"/>
      <x:c r="D278" s="139" t="n"/>
      <x:c r="E278" s="139" t="n"/>
      <x:c r="F278" s="139" t="n"/>
      <x:c r="G278" s="139" t="n"/>
      <x:c r="H278" s="139" t="n"/>
      <x:c r="I278" s="139" t="n"/>
    </x:row>
    <x:row r="279">
      <x:c r="A279" s="139" t="n"/>
      <x:c r="B279" s="139" t="n"/>
      <x:c r="C279" s="139" t="n"/>
      <x:c r="D279" s="139" t="n"/>
      <x:c r="E279" s="139" t="n"/>
      <x:c r="F279" s="139" t="n"/>
      <x:c r="G279" s="139" t="n"/>
      <x:c r="H279" s="139" t="n"/>
      <x:c r="I279" s="139" t="n"/>
    </x:row>
    <x:row r="280">
      <x:c r="A280" s="139" t="n"/>
      <x:c r="B280" s="139" t="n"/>
      <x:c r="C280" s="139" t="n"/>
      <x:c r="D280" s="139" t="n"/>
      <x:c r="E280" s="139" t="n"/>
      <x:c r="F280" s="139" t="n"/>
      <x:c r="G280" s="139" t="n"/>
      <x:c r="H280" s="139" t="n"/>
      <x:c r="I280" s="139" t="n"/>
    </x:row>
    <x:row r="281">
      <x:c r="A281" s="139" t="n"/>
      <x:c r="B281" s="139" t="n"/>
      <x:c r="C281" s="139" t="n"/>
      <x:c r="D281" s="139" t="n"/>
      <x:c r="E281" s="139" t="n"/>
      <x:c r="F281" s="139" t="n"/>
      <x:c r="G281" s="139" t="n"/>
      <x:c r="H281" s="139" t="n"/>
      <x:c r="I281" s="139" t="n"/>
    </x:row>
    <x:row r="282">
      <x:c r="A282" s="139" t="n"/>
      <x:c r="B282" s="139" t="n"/>
      <x:c r="C282" s="139" t="n"/>
      <x:c r="D282" s="139" t="n"/>
      <x:c r="E282" s="139" t="n"/>
      <x:c r="F282" s="139" t="n"/>
      <x:c r="G282" s="139" t="n"/>
      <x:c r="H282" s="139" t="n"/>
      <x:c r="I282" s="139" t="n"/>
    </x:row>
    <x:row r="283">
      <x:c r="A283" s="139" t="n"/>
      <x:c r="B283" s="139" t="n"/>
      <x:c r="C283" s="139" t="n"/>
      <x:c r="D283" s="139" t="n"/>
      <x:c r="E283" s="139" t="n"/>
      <x:c r="F283" s="139" t="n"/>
      <x:c r="G283" s="139" t="n"/>
      <x:c r="H283" s="139" t="n"/>
      <x:c r="I283" s="139" t="n"/>
    </x:row>
    <x:row r="284">
      <x:c r="A284" s="139" t="n"/>
      <x:c r="B284" s="139" t="n"/>
      <x:c r="C284" s="139" t="n"/>
      <x:c r="D284" s="139" t="n"/>
      <x:c r="E284" s="139" t="n"/>
      <x:c r="F284" s="139" t="n"/>
      <x:c r="G284" s="139" t="n"/>
      <x:c r="H284" s="139" t="n"/>
      <x:c r="I284" s="139" t="n"/>
    </x:row>
    <x:row r="285">
      <x:c r="A285" s="139" t="n"/>
      <x:c r="B285" s="139" t="n"/>
      <x:c r="C285" s="139" t="n"/>
      <x:c r="D285" s="139" t="n"/>
      <x:c r="E285" s="139" t="n"/>
      <x:c r="F285" s="139" t="n"/>
      <x:c r="G285" s="139" t="n"/>
      <x:c r="H285" s="139" t="n"/>
      <x:c r="I285" s="139" t="n"/>
    </x:row>
    <x:row r="286">
      <x:c r="A286" s="139" t="n"/>
      <x:c r="B286" s="139" t="n"/>
      <x:c r="C286" s="139" t="n"/>
      <x:c r="D286" s="139" t="n"/>
      <x:c r="E286" s="139" t="n"/>
      <x:c r="F286" s="139" t="n"/>
      <x:c r="G286" s="139" t="n"/>
      <x:c r="H286" s="139" t="n"/>
      <x:c r="I286" s="139" t="n"/>
    </x:row>
    <x:row r="287">
      <x:c r="A287" s="139" t="n"/>
      <x:c r="B287" s="139" t="n"/>
      <x:c r="C287" s="139" t="n"/>
      <x:c r="D287" s="139" t="n"/>
      <x:c r="E287" s="139" t="n"/>
      <x:c r="F287" s="139" t="n"/>
      <x:c r="G287" s="139" t="n"/>
      <x:c r="H287" s="139" t="n"/>
      <x:c r="I287" s="139" t="n"/>
    </x:row>
    <x:row r="288">
      <x:c r="A288" s="139" t="n"/>
      <x:c r="B288" s="139" t="n"/>
      <x:c r="C288" s="139" t="n"/>
      <x:c r="D288" s="139" t="n"/>
      <x:c r="E288" s="139" t="n"/>
      <x:c r="F288" s="139" t="n"/>
      <x:c r="G288" s="139" t="n"/>
      <x:c r="H288" s="139" t="n"/>
      <x:c r="I288" s="139" t="n"/>
    </x:row>
    <x:row r="289">
      <x:c r="A289" s="139" t="n"/>
      <x:c r="B289" s="139" t="n"/>
      <x:c r="C289" s="139" t="n"/>
      <x:c r="D289" s="139" t="n"/>
      <x:c r="E289" s="139" t="n"/>
      <x:c r="F289" s="139" t="n"/>
      <x:c r="G289" s="139" t="n"/>
      <x:c r="H289" s="139" t="n"/>
      <x:c r="I289" s="139" t="n"/>
    </x:row>
    <x:row r="290">
      <x:c r="A290" s="139" t="n"/>
      <x:c r="B290" s="139" t="n"/>
      <x:c r="C290" s="139" t="n"/>
      <x:c r="D290" s="139" t="n"/>
      <x:c r="E290" s="139" t="n"/>
      <x:c r="F290" s="139" t="n"/>
      <x:c r="G290" s="139" t="n"/>
      <x:c r="H290" s="139" t="n"/>
      <x:c r="I290" s="139" t="n"/>
    </x:row>
    <x:row r="291">
      <x:c r="A291" s="139" t="n"/>
      <x:c r="B291" s="139" t="n"/>
      <x:c r="C291" s="139" t="n"/>
      <x:c r="D291" s="139" t="n"/>
      <x:c r="E291" s="139" t="n"/>
      <x:c r="F291" s="139" t="n"/>
      <x:c r="G291" s="139" t="n"/>
      <x:c r="H291" s="139" t="n"/>
      <x:c r="I291" s="139" t="n"/>
    </x:row>
    <x:row r="292">
      <x:c r="A292" s="139" t="n"/>
      <x:c r="B292" s="139" t="n"/>
      <x:c r="C292" s="139" t="n"/>
      <x:c r="D292" s="139" t="n"/>
      <x:c r="E292" s="139" t="n"/>
      <x:c r="F292" s="139" t="n"/>
      <x:c r="G292" s="139" t="n"/>
      <x:c r="H292" s="139" t="n"/>
      <x:c r="I292" s="139" t="n"/>
    </x:row>
    <x:row r="293">
      <x:c r="A293" s="139" t="n"/>
      <x:c r="B293" s="139" t="n"/>
      <x:c r="C293" s="139" t="n"/>
      <x:c r="D293" s="139" t="n"/>
      <x:c r="E293" s="139" t="n"/>
      <x:c r="F293" s="139" t="n"/>
      <x:c r="G293" s="139" t="n"/>
      <x:c r="H293" s="139" t="n"/>
      <x:c r="I293" s="139" t="n"/>
    </x:row>
    <x:row r="294">
      <x:c r="A294" s="139" t="n"/>
      <x:c r="B294" s="139" t="n"/>
      <x:c r="C294" s="139" t="n"/>
      <x:c r="D294" s="139" t="n"/>
      <x:c r="E294" s="139" t="n"/>
      <x:c r="F294" s="139" t="n"/>
      <x:c r="G294" s="139" t="n"/>
      <x:c r="H294" s="139" t="n"/>
      <x:c r="I294" s="139" t="n"/>
    </x:row>
    <x:row r="295">
      <x:c r="A295" s="139" t="n"/>
      <x:c r="B295" s="139" t="n"/>
      <x:c r="C295" s="139" t="n"/>
      <x:c r="D295" s="139" t="n"/>
      <x:c r="E295" s="139" t="n"/>
      <x:c r="F295" s="139" t="n"/>
      <x:c r="G295" s="139" t="n"/>
      <x:c r="H295" s="139" t="n"/>
      <x:c r="I295" s="139" t="n"/>
    </x:row>
    <x:row r="296">
      <x:c r="A296" s="139" t="n"/>
      <x:c r="B296" s="139" t="n"/>
      <x:c r="C296" s="139" t="n"/>
      <x:c r="D296" s="139" t="n"/>
      <x:c r="E296" s="139" t="n"/>
      <x:c r="F296" s="139" t="n"/>
      <x:c r="G296" s="139" t="n"/>
      <x:c r="H296" s="139" t="n"/>
      <x:c r="I296" s="139" t="n"/>
    </x:row>
    <x:row r="297">
      <x:c r="A297" s="139" t="n"/>
      <x:c r="B297" s="139" t="n"/>
      <x:c r="C297" s="139" t="n"/>
      <x:c r="D297" s="139" t="n"/>
      <x:c r="E297" s="139" t="n"/>
      <x:c r="F297" s="139" t="n"/>
      <x:c r="G297" s="139" t="n"/>
      <x:c r="H297" s="139" t="n"/>
      <x:c r="I297" s="139" t="n"/>
    </x:row>
    <x:row r="298">
      <x:c r="A298" s="139" t="n"/>
      <x:c r="B298" s="139" t="n"/>
      <x:c r="C298" s="139" t="n"/>
      <x:c r="D298" s="139" t="n"/>
      <x:c r="E298" s="139" t="n"/>
      <x:c r="F298" s="139" t="n"/>
      <x:c r="G298" s="139" t="n"/>
      <x:c r="H298" s="139" t="n"/>
      <x:c r="I298" s="139" t="n"/>
    </x:row>
    <x:row r="299">
      <x:c r="A299" s="139" t="n"/>
      <x:c r="B299" s="139" t="n"/>
      <x:c r="C299" s="139" t="n"/>
      <x:c r="D299" s="139" t="n"/>
      <x:c r="E299" s="139" t="n"/>
      <x:c r="F299" s="139" t="n"/>
      <x:c r="G299" s="139" t="n"/>
      <x:c r="H299" s="139" t="n"/>
      <x:c r="I299" s="139" t="n"/>
    </x:row>
    <x:row r="300">
      <x:c r="A300" s="139" t="n"/>
      <x:c r="B300" s="139" t="n"/>
      <x:c r="C300" s="139" t="n"/>
      <x:c r="D300" s="139" t="n"/>
      <x:c r="E300" s="139" t="n"/>
      <x:c r="F300" s="139" t="n"/>
      <x:c r="G300" s="139" t="n"/>
      <x:c r="H300" s="139" t="n"/>
      <x:c r="I300" s="139" t="n"/>
    </x:row>
    <x:row r="301">
      <x:c r="A301" s="139" t="n"/>
      <x:c r="B301" s="139" t="n"/>
      <x:c r="C301" s="139" t="n"/>
      <x:c r="D301" s="139" t="n"/>
      <x:c r="E301" s="139" t="n"/>
      <x:c r="F301" s="139" t="n"/>
      <x:c r="G301" s="139" t="n"/>
      <x:c r="H301" s="139" t="n"/>
      <x:c r="I301" s="139" t="n"/>
    </x:row>
    <x:row r="302">
      <x:c r="A302" s="139" t="n"/>
      <x:c r="B302" s="139" t="n"/>
      <x:c r="C302" s="139" t="n"/>
      <x:c r="D302" s="139" t="n"/>
      <x:c r="E302" s="139" t="n"/>
      <x:c r="F302" s="139" t="n"/>
      <x:c r="G302" s="139" t="n"/>
      <x:c r="H302" s="139" t="n"/>
      <x:c r="I302" s="139" t="n"/>
    </x:row>
    <x:row r="303">
      <x:c r="A303" s="139" t="n"/>
      <x:c r="B303" s="139" t="n"/>
      <x:c r="C303" s="139" t="n"/>
      <x:c r="D303" s="139" t="n"/>
      <x:c r="E303" s="139" t="n"/>
      <x:c r="F303" s="139" t="n"/>
      <x:c r="G303" s="139" t="n"/>
      <x:c r="H303" s="139" t="n"/>
      <x:c r="I303" s="139" t="n"/>
    </x:row>
    <x:row r="304">
      <x:c r="A304" s="139" t="n"/>
      <x:c r="B304" s="139" t="n"/>
      <x:c r="C304" s="139" t="n"/>
      <x:c r="D304" s="139" t="n"/>
      <x:c r="E304" s="139" t="n"/>
      <x:c r="F304" s="139" t="n"/>
      <x:c r="G304" s="139" t="n"/>
      <x:c r="H304" s="139" t="n"/>
      <x:c r="I304" s="139" t="n"/>
    </x:row>
    <x:row r="305">
      <x:c r="A305" s="139" t="n"/>
      <x:c r="B305" s="139" t="n"/>
      <x:c r="C305" s="139" t="n"/>
      <x:c r="D305" s="139" t="n"/>
      <x:c r="E305" s="139" t="n"/>
      <x:c r="F305" s="139" t="n"/>
      <x:c r="G305" s="139" t="n"/>
      <x:c r="H305" s="139" t="n"/>
      <x:c r="I305" s="139" t="n"/>
    </x:row>
    <x:row r="306">
      <x:c r="A306" s="139" t="n"/>
      <x:c r="B306" s="139" t="n"/>
      <x:c r="C306" s="139" t="n"/>
      <x:c r="D306" s="139" t="n"/>
      <x:c r="E306" s="139" t="n"/>
      <x:c r="F306" s="139" t="n"/>
      <x:c r="G306" s="139" t="n"/>
      <x:c r="H306" s="139" t="n"/>
      <x:c r="I306" s="139" t="n"/>
    </x:row>
    <x:row r="307">
      <x:c r="A307" s="139" t="n"/>
      <x:c r="B307" s="139" t="n"/>
      <x:c r="C307" s="139" t="n"/>
      <x:c r="D307" s="139" t="n"/>
      <x:c r="E307" s="139" t="n"/>
      <x:c r="F307" s="139" t="n"/>
      <x:c r="G307" s="139" t="n"/>
      <x:c r="H307" s="139" t="n"/>
      <x:c r="I307" s="139" t="n"/>
    </x:row>
    <x:row r="308">
      <x:c r="A308" s="139" t="n"/>
      <x:c r="B308" s="139" t="n"/>
      <x:c r="C308" s="139" t="n"/>
      <x:c r="D308" s="139" t="n"/>
      <x:c r="E308" s="139" t="n"/>
      <x:c r="F308" s="139" t="n"/>
      <x:c r="G308" s="139" t="n"/>
      <x:c r="H308" s="139" t="n"/>
      <x:c r="I308" s="139" t="n"/>
    </x:row>
    <x:row r="309">
      <x:c r="A309" s="139" t="n"/>
      <x:c r="B309" s="139" t="n"/>
      <x:c r="C309" s="139" t="n"/>
      <x:c r="D309" s="139" t="n"/>
      <x:c r="E309" s="139" t="n"/>
      <x:c r="F309" s="139" t="n"/>
      <x:c r="G309" s="139" t="n"/>
      <x:c r="H309" s="139" t="n"/>
      <x:c r="I309" s="139" t="n"/>
    </x:row>
    <x:row r="310">
      <x:c r="A310" s="139" t="n"/>
      <x:c r="B310" s="139" t="n"/>
      <x:c r="C310" s="139" t="n"/>
      <x:c r="D310" s="139" t="n"/>
      <x:c r="E310" s="139" t="n"/>
      <x:c r="F310" s="139" t="n"/>
      <x:c r="G310" s="139" t="n"/>
      <x:c r="H310" s="139" t="n"/>
      <x:c r="I310" s="139" t="n"/>
    </x:row>
    <x:row r="311">
      <x:c r="A311" s="139" t="n"/>
      <x:c r="B311" s="139" t="n"/>
      <x:c r="C311" s="139" t="n"/>
      <x:c r="D311" s="139" t="n"/>
      <x:c r="E311" s="139" t="n"/>
      <x:c r="F311" s="139" t="n"/>
      <x:c r="G311" s="139" t="n"/>
      <x:c r="H311" s="139" t="n"/>
      <x:c r="I311" s="139" t="n"/>
    </x:row>
    <x:row r="312">
      <x:c r="A312" s="139" t="n"/>
      <x:c r="B312" s="139" t="n"/>
      <x:c r="C312" s="139" t="n"/>
      <x:c r="D312" s="139" t="n"/>
      <x:c r="E312" s="139" t="n"/>
      <x:c r="F312" s="139" t="n"/>
      <x:c r="G312" s="139" t="n"/>
      <x:c r="H312" s="139" t="n"/>
      <x:c r="I312" s="139" t="n"/>
    </x:row>
    <x:row r="313">
      <x:c r="A313" s="139" t="n"/>
      <x:c r="B313" s="139" t="n"/>
      <x:c r="C313" s="139" t="n"/>
      <x:c r="D313" s="139" t="n"/>
      <x:c r="E313" s="139" t="n"/>
      <x:c r="F313" s="139" t="n"/>
      <x:c r="G313" s="139" t="n"/>
      <x:c r="H313" s="139" t="n"/>
      <x:c r="I313" s="139" t="n"/>
    </x:row>
    <x:row r="314">
      <x:c r="A314" s="139" t="n"/>
      <x:c r="B314" s="139" t="n"/>
      <x:c r="C314" s="139" t="n"/>
      <x:c r="D314" s="139" t="n"/>
      <x:c r="E314" s="139" t="n"/>
      <x:c r="F314" s="139" t="n"/>
      <x:c r="G314" s="139" t="n"/>
      <x:c r="H314" s="139" t="n"/>
      <x:c r="I314" s="139" t="n"/>
    </x:row>
    <x:row r="315">
      <x:c r="A315" s="139" t="n"/>
      <x:c r="B315" s="139" t="n"/>
      <x:c r="C315" s="139" t="n"/>
      <x:c r="D315" s="139" t="n"/>
      <x:c r="E315" s="139" t="n"/>
      <x:c r="F315" s="139" t="n"/>
      <x:c r="G315" s="139" t="n"/>
      <x:c r="H315" s="139" t="n"/>
      <x:c r="I315" s="139" t="n"/>
    </x:row>
    <x:row r="316">
      <x:c r="A316" s="139" t="n"/>
      <x:c r="B316" s="139" t="n"/>
      <x:c r="C316" s="139" t="n"/>
      <x:c r="D316" s="139" t="n"/>
      <x:c r="E316" s="139" t="n"/>
      <x:c r="F316" s="139" t="n"/>
      <x:c r="G316" s="139" t="n"/>
      <x:c r="H316" s="139" t="n"/>
      <x:c r="I316" s="139" t="n"/>
    </x:row>
    <x:row r="317">
      <x:c r="A317" s="139" t="n"/>
      <x:c r="B317" s="139" t="n"/>
      <x:c r="C317" s="139" t="n"/>
      <x:c r="D317" s="139" t="n"/>
      <x:c r="E317" s="139" t="n"/>
      <x:c r="F317" s="139" t="n"/>
      <x:c r="G317" s="139" t="n"/>
      <x:c r="H317" s="139" t="n"/>
      <x:c r="I317" s="139" t="n"/>
    </x:row>
    <x:row r="318">
      <x:c r="A318" s="139" t="n"/>
      <x:c r="B318" s="139" t="n"/>
      <x:c r="C318" s="139" t="n"/>
      <x:c r="D318" s="139" t="n"/>
      <x:c r="E318" s="139" t="n"/>
      <x:c r="F318" s="139" t="n"/>
      <x:c r="G318" s="139" t="n"/>
      <x:c r="H318" s="139" t="n"/>
      <x:c r="I318" s="139" t="n"/>
    </x:row>
    <x:row r="319">
      <x:c r="A319" s="139" t="n"/>
      <x:c r="B319" s="139" t="n"/>
      <x:c r="C319" s="139" t="n"/>
      <x:c r="D319" s="139" t="n"/>
      <x:c r="E319" s="139" t="n"/>
      <x:c r="F319" s="139" t="n"/>
      <x:c r="G319" s="139" t="n"/>
      <x:c r="H319" s="139" t="n"/>
      <x:c r="I319" s="139" t="n"/>
    </x:row>
    <x:row r="320">
      <x:c r="A320" s="139" t="n"/>
      <x:c r="B320" s="139" t="n"/>
      <x:c r="C320" s="139" t="n"/>
      <x:c r="D320" s="139" t="n"/>
      <x:c r="E320" s="139" t="n"/>
      <x:c r="F320" s="139" t="n"/>
      <x:c r="G320" s="139" t="n"/>
      <x:c r="H320" s="139" t="n"/>
      <x:c r="I320" s="139" t="n"/>
    </x:row>
    <x:row r="321">
      <x:c r="A321" s="139" t="n"/>
      <x:c r="B321" s="139" t="n"/>
      <x:c r="C321" s="139" t="n"/>
      <x:c r="D321" s="139" t="n"/>
      <x:c r="E321" s="139" t="n"/>
      <x:c r="F321" s="139" t="n"/>
      <x:c r="G321" s="139" t="n"/>
      <x:c r="H321" s="139" t="n"/>
      <x:c r="I321" s="139" t="n"/>
    </x:row>
    <x:row r="322">
      <x:c r="A322" s="139" t="n"/>
      <x:c r="B322" s="139" t="n"/>
      <x:c r="C322" s="139" t="n"/>
      <x:c r="D322" s="139" t="n"/>
      <x:c r="E322" s="139" t="n"/>
      <x:c r="F322" s="139" t="n"/>
      <x:c r="G322" s="139" t="n"/>
      <x:c r="H322" s="139" t="n"/>
      <x:c r="I322" s="139" t="n"/>
    </x:row>
    <x:row r="323">
      <x:c r="A323" s="139" t="n"/>
      <x:c r="B323" s="139" t="n"/>
      <x:c r="C323" s="139" t="n"/>
      <x:c r="D323" s="139" t="n"/>
      <x:c r="E323" s="139" t="n"/>
      <x:c r="F323" s="139" t="n"/>
      <x:c r="G323" s="139" t="n"/>
      <x:c r="H323" s="139" t="n"/>
      <x:c r="I323" s="139" t="n"/>
    </x:row>
    <x:row r="324">
      <x:c r="A324" s="139" t="n"/>
      <x:c r="B324" s="139" t="n"/>
      <x:c r="C324" s="139" t="n"/>
      <x:c r="D324" s="139" t="n"/>
      <x:c r="E324" s="139" t="n"/>
      <x:c r="F324" s="139" t="n"/>
      <x:c r="G324" s="139" t="n"/>
      <x:c r="H324" s="139" t="n"/>
      <x:c r="I324" s="139" t="n"/>
    </x:row>
    <x:row r="325">
      <x:c r="A325" s="139" t="n"/>
      <x:c r="B325" s="139" t="n"/>
      <x:c r="C325" s="139" t="n"/>
      <x:c r="D325" s="139" t="n"/>
      <x:c r="E325" s="139" t="n"/>
      <x:c r="F325" s="139" t="n"/>
      <x:c r="G325" s="139" t="n"/>
      <x:c r="H325" s="139" t="n"/>
      <x:c r="I325" s="139" t="n"/>
    </x:row>
    <x:row r="326">
      <x:c r="A326" s="139" t="n"/>
      <x:c r="B326" s="139" t="n"/>
      <x:c r="C326" s="139" t="n"/>
      <x:c r="D326" s="139" t="n"/>
      <x:c r="E326" s="139" t="n"/>
      <x:c r="F326" s="139" t="n"/>
      <x:c r="G326" s="139" t="n"/>
      <x:c r="H326" s="139" t="n"/>
      <x:c r="I326" s="139" t="n"/>
    </x:row>
    <x:row r="327">
      <x:c r="A327" s="139" t="n"/>
      <x:c r="B327" s="139" t="n"/>
      <x:c r="C327" s="139" t="n"/>
      <x:c r="D327" s="139" t="n"/>
      <x:c r="E327" s="139" t="n"/>
      <x:c r="F327" s="139" t="n"/>
      <x:c r="G327" s="139" t="n"/>
      <x:c r="H327" s="139" t="n"/>
      <x:c r="I327" s="139" t="n"/>
    </x:row>
    <x:row r="328">
      <x:c r="A328" s="139" t="n"/>
      <x:c r="B328" s="139" t="n"/>
      <x:c r="C328" s="139" t="n"/>
      <x:c r="D328" s="139" t="n"/>
      <x:c r="E328" s="139" t="n"/>
      <x:c r="F328" s="139" t="n"/>
      <x:c r="G328" s="139" t="n"/>
      <x:c r="H328" s="139" t="n"/>
      <x:c r="I328" s="139" t="n"/>
    </x:row>
    <x:row r="329">
      <x:c r="A329" s="139" t="n"/>
      <x:c r="B329" s="139" t="n"/>
      <x:c r="C329" s="139" t="n"/>
      <x:c r="D329" s="139" t="n"/>
      <x:c r="E329" s="139" t="n"/>
      <x:c r="F329" s="139" t="n"/>
      <x:c r="G329" s="139" t="n"/>
      <x:c r="H329" s="139" t="n"/>
      <x:c r="I329" s="139" t="n"/>
    </x:row>
    <x:row r="330">
      <x:c r="A330" s="139" t="n"/>
      <x:c r="B330" s="139" t="n"/>
      <x:c r="C330" s="139" t="n"/>
      <x:c r="D330" s="139" t="n"/>
      <x:c r="E330" s="139" t="n"/>
      <x:c r="F330" s="139" t="n"/>
      <x:c r="G330" s="139" t="n"/>
      <x:c r="H330" s="139" t="n"/>
      <x:c r="I330" s="139" t="n"/>
    </x:row>
    <x:row r="331">
      <x:c r="A331" s="139" t="n"/>
      <x:c r="B331" s="139" t="n"/>
      <x:c r="C331" s="139" t="n"/>
      <x:c r="D331" s="139" t="n"/>
      <x:c r="E331" s="139" t="n"/>
      <x:c r="F331" s="139" t="n"/>
      <x:c r="G331" s="139" t="n"/>
      <x:c r="H331" s="139" t="n"/>
      <x:c r="I331" s="139" t="n"/>
    </x:row>
    <x:row r="332">
      <x:c r="A332" s="139" t="n"/>
      <x:c r="B332" s="139" t="n"/>
      <x:c r="C332" s="139" t="n"/>
      <x:c r="D332" s="139" t="n"/>
      <x:c r="E332" s="139" t="n"/>
      <x:c r="F332" s="139" t="n"/>
      <x:c r="G332" s="139" t="n"/>
      <x:c r="H332" s="139" t="n"/>
      <x:c r="I332" s="139" t="n"/>
    </x:row>
    <x:row r="333">
      <x:c r="A333" s="139" t="n"/>
      <x:c r="B333" s="139" t="n"/>
      <x:c r="C333" s="139" t="n"/>
      <x:c r="D333" s="139" t="n"/>
      <x:c r="E333" s="139" t="n"/>
      <x:c r="F333" s="139" t="n"/>
      <x:c r="G333" s="139" t="n"/>
      <x:c r="H333" s="139" t="n"/>
      <x:c r="I333" s="139" t="n"/>
    </x:row>
    <x:row r="334">
      <x:c r="A334" s="139" t="n"/>
      <x:c r="B334" s="139" t="n"/>
      <x:c r="C334" s="139" t="n"/>
      <x:c r="D334" s="139" t="n"/>
      <x:c r="E334" s="139" t="n"/>
      <x:c r="F334" s="139" t="n"/>
      <x:c r="G334" s="139" t="n"/>
      <x:c r="H334" s="139" t="n"/>
      <x:c r="I334" s="139" t="n"/>
    </x:row>
    <x:row r="335">
      <x:c r="A335" s="139" t="n"/>
      <x:c r="B335" s="139" t="n"/>
      <x:c r="C335" s="139" t="n"/>
      <x:c r="D335" s="139" t="n"/>
      <x:c r="E335" s="139" t="n"/>
      <x:c r="F335" s="139" t="n"/>
      <x:c r="G335" s="139" t="n"/>
      <x:c r="H335" s="139" t="n"/>
      <x:c r="I335" s="139" t="n"/>
    </x:row>
    <x:row r="336">
      <x:c r="A336" s="139" t="n"/>
      <x:c r="B336" s="139" t="n"/>
      <x:c r="C336" s="139" t="n"/>
      <x:c r="D336" s="139" t="n"/>
      <x:c r="E336" s="139" t="n"/>
      <x:c r="F336" s="139" t="n"/>
      <x:c r="G336" s="139" t="n"/>
      <x:c r="H336" s="139" t="n"/>
      <x:c r="I336" s="139" t="n"/>
    </x:row>
    <x:row r="337">
      <x:c r="A337" s="139" t="n"/>
      <x:c r="B337" s="139" t="n"/>
      <x:c r="C337" s="139" t="n"/>
      <x:c r="D337" s="139" t="n"/>
      <x:c r="E337" s="139" t="n"/>
      <x:c r="F337" s="139" t="n"/>
      <x:c r="G337" s="139" t="n"/>
      <x:c r="H337" s="139" t="n"/>
      <x:c r="I337" s="139" t="n"/>
    </x:row>
    <x:row r="338">
      <x:c r="A338" s="139" t="n"/>
      <x:c r="B338" s="139" t="n"/>
      <x:c r="C338" s="139" t="n"/>
      <x:c r="D338" s="139" t="n"/>
      <x:c r="E338" s="139" t="n"/>
      <x:c r="F338" s="139" t="n"/>
      <x:c r="G338" s="139" t="n"/>
      <x:c r="H338" s="139" t="n"/>
      <x:c r="I338" s="139" t="n"/>
    </x:row>
    <x:row r="339">
      <x:c r="A339" s="139" t="n"/>
      <x:c r="B339" s="139" t="n"/>
      <x:c r="C339" s="139" t="n"/>
      <x:c r="D339" s="139" t="n"/>
      <x:c r="E339" s="139" t="n"/>
      <x:c r="F339" s="139" t="n"/>
      <x:c r="G339" s="139" t="n"/>
      <x:c r="H339" s="139" t="n"/>
      <x:c r="I339" s="139" t="n"/>
    </x:row>
    <x:row r="340">
      <x:c r="A340" s="139" t="n"/>
      <x:c r="B340" s="139" t="n"/>
      <x:c r="C340" s="139" t="n"/>
      <x:c r="D340" s="139" t="n"/>
      <x:c r="E340" s="139" t="n"/>
      <x:c r="F340" s="139" t="n"/>
      <x:c r="G340" s="139" t="n"/>
      <x:c r="H340" s="139" t="n"/>
      <x:c r="I340" s="139" t="n"/>
    </x:row>
    <x:row r="341">
      <x:c r="A341" s="139" t="n"/>
      <x:c r="B341" s="139" t="n"/>
      <x:c r="C341" s="139" t="n"/>
      <x:c r="D341" s="139" t="n"/>
      <x:c r="E341" s="139" t="n"/>
      <x:c r="F341" s="139" t="n"/>
      <x:c r="G341" s="139" t="n"/>
      <x:c r="H341" s="139" t="n"/>
      <x:c r="I341" s="139" t="n"/>
    </x:row>
    <x:row r="342">
      <x:c r="A342" s="139" t="n"/>
      <x:c r="B342" s="139" t="n"/>
      <x:c r="C342" s="139" t="n"/>
      <x:c r="D342" s="139" t="n"/>
      <x:c r="E342" s="139" t="n"/>
      <x:c r="F342" s="139" t="n"/>
      <x:c r="G342" s="139" t="n"/>
      <x:c r="H342" s="139" t="n"/>
      <x:c r="I342" s="139" t="n"/>
    </x:row>
    <x:row r="343">
      <x:c r="A343" s="139" t="n"/>
      <x:c r="B343" s="139" t="n"/>
      <x:c r="C343" s="139" t="n"/>
      <x:c r="D343" s="139" t="n"/>
      <x:c r="E343" s="139" t="n"/>
      <x:c r="F343" s="139" t="n"/>
      <x:c r="G343" s="139" t="n"/>
      <x:c r="H343" s="139" t="n"/>
      <x:c r="I343" s="139" t="n"/>
    </x:row>
    <x:row r="344">
      <x:c r="A344" s="139" t="n"/>
      <x:c r="B344" s="139" t="n"/>
      <x:c r="C344" s="139" t="n"/>
      <x:c r="D344" s="139" t="n"/>
      <x:c r="E344" s="139" t="n"/>
      <x:c r="F344" s="139" t="n"/>
      <x:c r="G344" s="139" t="n"/>
      <x:c r="H344" s="139" t="n"/>
      <x:c r="I344" s="139" t="n"/>
    </x:row>
    <x:row r="345">
      <x:c r="A345" s="139" t="n"/>
      <x:c r="B345" s="139" t="n"/>
      <x:c r="C345" s="139" t="n"/>
      <x:c r="D345" s="139" t="n"/>
      <x:c r="E345" s="139" t="n"/>
      <x:c r="F345" s="139" t="n"/>
      <x:c r="G345" s="139" t="n"/>
      <x:c r="H345" s="139" t="n"/>
      <x:c r="I345" s="139" t="n"/>
    </x:row>
    <x:row r="346">
      <x:c r="A346" s="139" t="n"/>
      <x:c r="B346" s="139" t="n"/>
      <x:c r="C346" s="139" t="n"/>
      <x:c r="D346" s="139" t="n"/>
      <x:c r="E346" s="139" t="n"/>
      <x:c r="F346" s="139" t="n"/>
      <x:c r="G346" s="139" t="n"/>
      <x:c r="H346" s="139" t="n"/>
      <x:c r="I346" s="139" t="n"/>
    </x:row>
    <x:row r="347">
      <x:c r="A347" s="139" t="n"/>
      <x:c r="B347" s="139" t="n"/>
      <x:c r="C347" s="139" t="n"/>
      <x:c r="D347" s="139" t="n"/>
      <x:c r="E347" s="139" t="n"/>
      <x:c r="F347" s="139" t="n"/>
      <x:c r="G347" s="139" t="n"/>
      <x:c r="H347" s="139" t="n"/>
      <x:c r="I347" s="139" t="n"/>
    </x:row>
    <x:row r="348">
      <x:c r="A348" s="139" t="n"/>
      <x:c r="B348" s="139" t="n"/>
      <x:c r="C348" s="139" t="n"/>
      <x:c r="D348" s="139" t="n"/>
      <x:c r="E348" s="139" t="n"/>
      <x:c r="F348" s="139" t="n"/>
      <x:c r="G348" s="139" t="n"/>
      <x:c r="H348" s="139" t="n"/>
      <x:c r="I348" s="139" t="n"/>
    </x:row>
    <x:row r="349">
      <x:c r="A349" s="139" t="n"/>
      <x:c r="B349" s="139" t="n"/>
      <x:c r="C349" s="139" t="n"/>
      <x:c r="D349" s="139" t="n"/>
      <x:c r="E349" s="139" t="n"/>
      <x:c r="F349" s="139" t="n"/>
      <x:c r="G349" s="139" t="n"/>
      <x:c r="H349" s="139" t="n"/>
      <x:c r="I349" s="139" t="n"/>
    </x:row>
    <x:row r="350">
      <x:c r="A350" s="139" t="n"/>
      <x:c r="B350" s="139" t="n"/>
      <x:c r="C350" s="139" t="n"/>
      <x:c r="D350" s="139" t="n"/>
      <x:c r="E350" s="139" t="n"/>
      <x:c r="F350" s="139" t="n"/>
      <x:c r="G350" s="139" t="n"/>
      <x:c r="H350" s="139" t="n"/>
      <x:c r="I350" s="139" t="n"/>
    </x:row>
    <x:row r="351">
      <x:c r="A351" s="139" t="n"/>
      <x:c r="B351" s="139" t="n"/>
      <x:c r="C351" s="139" t="n"/>
      <x:c r="D351" s="139" t="n"/>
      <x:c r="E351" s="139" t="n"/>
      <x:c r="F351" s="139" t="n"/>
      <x:c r="G351" s="139" t="n"/>
      <x:c r="H351" s="139" t="n"/>
      <x:c r="I351" s="139" t="n"/>
    </x:row>
    <x:row r="352">
      <x:c r="A352" s="139" t="n"/>
      <x:c r="B352" s="139" t="n"/>
      <x:c r="C352" s="139" t="n"/>
      <x:c r="D352" s="139" t="n"/>
      <x:c r="E352" s="139" t="n"/>
      <x:c r="F352" s="139" t="n"/>
      <x:c r="G352" s="139" t="n"/>
      <x:c r="H352" s="139" t="n"/>
      <x:c r="I352" s="139" t="n"/>
    </x:row>
    <x:row r="353">
      <x:c r="A353" s="139" t="n"/>
      <x:c r="B353" s="139" t="n"/>
      <x:c r="C353" s="139" t="n"/>
      <x:c r="D353" s="139" t="n"/>
      <x:c r="E353" s="139" t="n"/>
      <x:c r="F353" s="139" t="n"/>
      <x:c r="G353" s="139" t="n"/>
      <x:c r="H353" s="139" t="n"/>
      <x:c r="I353" s="139" t="n"/>
    </x:row>
    <x:row r="354">
      <x:c r="A354" s="139" t="n"/>
      <x:c r="B354" s="139" t="n"/>
      <x:c r="C354" s="139" t="n"/>
      <x:c r="D354" s="139" t="n"/>
      <x:c r="E354" s="139" t="n"/>
      <x:c r="F354" s="139" t="n"/>
      <x:c r="G354" s="139" t="n"/>
      <x:c r="H354" s="139" t="n"/>
      <x:c r="I354" s="139" t="n"/>
    </x:row>
    <x:row r="355">
      <x:c r="A355" s="139" t="n"/>
      <x:c r="B355" s="139" t="n"/>
      <x:c r="C355" s="139" t="n"/>
      <x:c r="D355" s="139" t="n"/>
      <x:c r="E355" s="139" t="n"/>
      <x:c r="F355" s="139" t="n"/>
      <x:c r="G355" s="139" t="n"/>
      <x:c r="H355" s="139" t="n"/>
      <x:c r="I355" s="139" t="n"/>
    </x:row>
    <x:row r="356">
      <x:c r="A356" s="139" t="n"/>
      <x:c r="B356" s="139" t="n"/>
      <x:c r="C356" s="139" t="n"/>
      <x:c r="D356" s="139" t="n"/>
      <x:c r="E356" s="139" t="n"/>
      <x:c r="F356" s="139" t="n"/>
      <x:c r="G356" s="139" t="n"/>
      <x:c r="H356" s="139" t="n"/>
      <x:c r="I356" s="139" t="n"/>
    </x:row>
    <x:row r="357">
      <x:c r="A357" s="139" t="n"/>
      <x:c r="B357" s="139" t="n"/>
      <x:c r="C357" s="139" t="n"/>
      <x:c r="D357" s="139" t="n"/>
      <x:c r="E357" s="139" t="n"/>
      <x:c r="F357" s="139" t="n"/>
      <x:c r="G357" s="139" t="n"/>
      <x:c r="H357" s="139" t="n"/>
      <x:c r="I357" s="139" t="n"/>
    </x:row>
    <x:row r="358">
      <x:c r="A358" s="139" t="n"/>
      <x:c r="B358" s="139" t="n"/>
      <x:c r="C358" s="139" t="n"/>
      <x:c r="D358" s="139" t="n"/>
      <x:c r="E358" s="139" t="n"/>
      <x:c r="F358" s="139" t="n"/>
      <x:c r="G358" s="139" t="n"/>
      <x:c r="H358" s="139" t="n"/>
      <x:c r="I358" s="139" t="n"/>
    </x:row>
    <x:row r="359">
      <x:c r="A359" s="139" t="n"/>
      <x:c r="B359" s="139" t="n"/>
      <x:c r="C359" s="139" t="n"/>
      <x:c r="D359" s="139" t="n"/>
      <x:c r="E359" s="139" t="n"/>
      <x:c r="F359" s="139" t="n"/>
      <x:c r="G359" s="139" t="n"/>
      <x:c r="H359" s="139" t="n"/>
      <x:c r="I359" s="139" t="n"/>
    </x:row>
    <x:row r="360">
      <x:c r="A360" s="139" t="n"/>
      <x:c r="B360" s="139" t="n"/>
      <x:c r="C360" s="139" t="n"/>
      <x:c r="D360" s="139" t="n"/>
      <x:c r="E360" s="139" t="n"/>
      <x:c r="F360" s="139" t="n"/>
      <x:c r="G360" s="139" t="n"/>
      <x:c r="H360" s="139" t="n"/>
      <x:c r="I360" s="139" t="n"/>
    </x:row>
    <x:row r="361">
      <x:c r="A361" s="139" t="n"/>
      <x:c r="B361" s="139" t="n"/>
      <x:c r="C361" s="139" t="n"/>
      <x:c r="D361" s="139" t="n"/>
      <x:c r="E361" s="139" t="n"/>
      <x:c r="F361" s="139" t="n"/>
      <x:c r="G361" s="139" t="n"/>
      <x:c r="H361" s="139" t="n"/>
      <x:c r="I361" s="139" t="n"/>
    </x:row>
    <x:row r="362">
      <x:c r="A362" s="139" t="n"/>
      <x:c r="B362" s="139" t="n"/>
      <x:c r="C362" s="139" t="n"/>
      <x:c r="D362" s="139" t="n"/>
      <x:c r="E362" s="139" t="n"/>
      <x:c r="F362" s="139" t="n"/>
      <x:c r="G362" s="139" t="n"/>
      <x:c r="H362" s="139" t="n"/>
      <x:c r="I362" s="139" t="n"/>
    </x:row>
    <x:row r="363">
      <x:c r="A363" s="139" t="n"/>
      <x:c r="B363" s="139" t="n"/>
      <x:c r="C363" s="139" t="n"/>
      <x:c r="D363" s="139" t="n"/>
      <x:c r="E363" s="139" t="n"/>
      <x:c r="F363" s="139" t="n"/>
      <x:c r="G363" s="139" t="n"/>
      <x:c r="H363" s="139" t="n"/>
      <x:c r="I363" s="139" t="n"/>
    </x:row>
    <x:row r="364">
      <x:c r="A364" s="139" t="n"/>
      <x:c r="B364" s="139" t="n"/>
      <x:c r="C364" s="139" t="n"/>
      <x:c r="D364" s="139" t="n"/>
      <x:c r="E364" s="139" t="n"/>
      <x:c r="F364" s="139" t="n"/>
      <x:c r="G364" s="139" t="n"/>
      <x:c r="H364" s="139" t="n"/>
      <x:c r="I364" s="139" t="n"/>
    </x:row>
    <x:row r="365">
      <x:c r="A365" s="139" t="n"/>
      <x:c r="B365" s="139" t="n"/>
      <x:c r="C365" s="139" t="n"/>
      <x:c r="D365" s="139" t="n"/>
      <x:c r="E365" s="139" t="n"/>
      <x:c r="F365" s="139" t="n"/>
      <x:c r="G365" s="139" t="n"/>
      <x:c r="H365" s="139" t="n"/>
      <x:c r="I365" s="139" t="n"/>
    </x:row>
    <x:row r="366">
      <x:c r="A366" s="139" t="n"/>
      <x:c r="B366" s="139" t="n"/>
      <x:c r="C366" s="139" t="n"/>
      <x:c r="D366" s="139" t="n"/>
      <x:c r="E366" s="139" t="n"/>
      <x:c r="F366" s="139" t="n"/>
      <x:c r="G366" s="139" t="n"/>
      <x:c r="H366" s="139" t="n"/>
      <x:c r="I366" s="139" t="n"/>
    </x:row>
    <x:row r="367">
      <x:c r="A367" s="139" t="n"/>
      <x:c r="B367" s="139" t="n"/>
      <x:c r="C367" s="139" t="n"/>
      <x:c r="D367" s="139" t="n"/>
      <x:c r="E367" s="139" t="n"/>
      <x:c r="F367" s="139" t="n"/>
      <x:c r="G367" s="139" t="n"/>
      <x:c r="H367" s="139" t="n"/>
      <x:c r="I367" s="139" t="n"/>
    </x:row>
    <x:row r="368">
      <x:c r="A368" s="139" t="n"/>
      <x:c r="B368" s="139" t="n"/>
      <x:c r="C368" s="139" t="n"/>
      <x:c r="D368" s="139" t="n"/>
      <x:c r="E368" s="139" t="n"/>
      <x:c r="F368" s="139" t="n"/>
      <x:c r="G368" s="139" t="n"/>
      <x:c r="H368" s="139" t="n"/>
      <x:c r="I368" s="139" t="n"/>
    </x:row>
    <x:row r="369">
      <x:c r="A369" s="139" t="n"/>
      <x:c r="B369" s="139" t="n"/>
      <x:c r="C369" s="139" t="n"/>
      <x:c r="D369" s="139" t="n"/>
      <x:c r="E369" s="139" t="n"/>
      <x:c r="F369" s="139" t="n"/>
      <x:c r="G369" s="139" t="n"/>
      <x:c r="H369" s="139" t="n"/>
      <x:c r="I369" s="139" t="n"/>
    </x:row>
    <x:row r="370">
      <x:c r="A370" s="139" t="n"/>
      <x:c r="B370" s="139" t="n"/>
      <x:c r="C370" s="139" t="n"/>
      <x:c r="D370" s="139" t="n"/>
      <x:c r="E370" s="139" t="n"/>
      <x:c r="F370" s="139" t="n"/>
      <x:c r="G370" s="139" t="n"/>
      <x:c r="H370" s="139" t="n"/>
      <x:c r="I370" s="139" t="n"/>
    </x:row>
    <x:row r="371">
      <x:c r="A371" s="139" t="n"/>
      <x:c r="B371" s="139" t="n"/>
      <x:c r="C371" s="139" t="n"/>
      <x:c r="D371" s="139" t="n"/>
      <x:c r="E371" s="139" t="n"/>
      <x:c r="F371" s="139" t="n"/>
      <x:c r="G371" s="139" t="n"/>
      <x:c r="H371" s="139" t="n"/>
      <x:c r="I371" s="139" t="n"/>
    </x:row>
    <x:row r="372">
      <x:c r="A372" s="139" t="n"/>
      <x:c r="B372" s="139" t="n"/>
      <x:c r="C372" s="139" t="n"/>
      <x:c r="D372" s="139" t="n"/>
      <x:c r="E372" s="139" t="n"/>
      <x:c r="F372" s="139" t="n"/>
      <x:c r="G372" s="139" t="n"/>
      <x:c r="H372" s="139" t="n"/>
      <x:c r="I372" s="139" t="n"/>
    </x:row>
    <x:row r="373">
      <x:c r="A373" s="139" t="n"/>
      <x:c r="B373" s="139" t="n"/>
      <x:c r="C373" s="139" t="n"/>
      <x:c r="D373" s="139" t="n"/>
      <x:c r="E373" s="139" t="n"/>
      <x:c r="F373" s="139" t="n"/>
      <x:c r="G373" s="139" t="n"/>
      <x:c r="H373" s="139" t="n"/>
      <x:c r="I373" s="139" t="n"/>
    </x:row>
    <x:row r="374">
      <x:c r="A374" s="139" t="n"/>
      <x:c r="B374" s="139" t="n"/>
      <x:c r="C374" s="139" t="n"/>
      <x:c r="D374" s="139" t="n"/>
      <x:c r="E374" s="139" t="n"/>
      <x:c r="F374" s="139" t="n"/>
      <x:c r="G374" s="139" t="n"/>
      <x:c r="H374" s="139" t="n"/>
      <x:c r="I374" s="139" t="n"/>
    </x:row>
    <x:row r="375">
      <x:c r="A375" s="139" t="n"/>
      <x:c r="B375" s="139" t="n"/>
      <x:c r="C375" s="139" t="n"/>
      <x:c r="D375" s="139" t="n"/>
      <x:c r="E375" s="139" t="n"/>
      <x:c r="F375" s="139" t="n"/>
      <x:c r="G375" s="139" t="n"/>
      <x:c r="H375" s="139" t="n"/>
      <x:c r="I375" s="139" t="n"/>
    </x:row>
    <x:row r="376">
      <x:c r="A376" s="139" t="n"/>
      <x:c r="B376" s="139" t="n"/>
      <x:c r="C376" s="139" t="n"/>
      <x:c r="D376" s="139" t="n"/>
      <x:c r="E376" s="139" t="n"/>
      <x:c r="F376" s="139" t="n"/>
      <x:c r="G376" s="139" t="n"/>
      <x:c r="H376" s="139" t="n"/>
      <x:c r="I376" s="139" t="n"/>
    </x:row>
    <x:row r="377">
      <x:c r="A377" s="139" t="n"/>
      <x:c r="B377" s="139" t="n"/>
      <x:c r="C377" s="139" t="n"/>
      <x:c r="D377" s="139" t="n"/>
      <x:c r="E377" s="139" t="n"/>
      <x:c r="F377" s="139" t="n"/>
      <x:c r="G377" s="139" t="n"/>
      <x:c r="H377" s="139" t="n"/>
      <x:c r="I377" s="139" t="n"/>
    </x:row>
    <x:row r="378">
      <x:c r="A378" s="139" t="n"/>
      <x:c r="B378" s="139" t="n"/>
      <x:c r="C378" s="139" t="n"/>
      <x:c r="D378" s="139" t="n"/>
      <x:c r="E378" s="139" t="n"/>
      <x:c r="F378" s="139" t="n"/>
      <x:c r="G378" s="139" t="n"/>
      <x:c r="H378" s="139" t="n"/>
      <x:c r="I378" s="139" t="n"/>
    </x:row>
    <x:row r="379">
      <x:c r="A379" s="139" t="n"/>
      <x:c r="B379" s="139" t="n"/>
      <x:c r="C379" s="139" t="n"/>
      <x:c r="D379" s="139" t="n"/>
      <x:c r="E379" s="139" t="n"/>
      <x:c r="F379" s="139" t="n"/>
      <x:c r="G379" s="139" t="n"/>
      <x:c r="H379" s="139" t="n"/>
      <x:c r="I379" s="139" t="n"/>
    </x:row>
    <x:row r="380">
      <x:c r="A380" s="139" t="n"/>
      <x:c r="B380" s="139" t="n"/>
      <x:c r="C380" s="139" t="n"/>
      <x:c r="D380" s="139" t="n"/>
      <x:c r="E380" s="139" t="n"/>
      <x:c r="F380" s="139" t="n"/>
      <x:c r="G380" s="139" t="n"/>
      <x:c r="H380" s="139" t="n"/>
      <x:c r="I380" s="139" t="n"/>
    </x:row>
    <x:row r="381">
      <x:c r="A381" s="139" t="n"/>
      <x:c r="B381" s="139" t="n"/>
      <x:c r="C381" s="139" t="n"/>
      <x:c r="D381" s="139" t="n"/>
      <x:c r="E381" s="139" t="n"/>
      <x:c r="F381" s="139" t="n"/>
      <x:c r="G381" s="139" t="n"/>
      <x:c r="H381" s="139" t="n"/>
      <x:c r="I381" s="139" t="n"/>
    </x:row>
    <x:row r="382">
      <x:c r="A382" s="139" t="n"/>
      <x:c r="B382" s="139" t="n"/>
      <x:c r="C382" s="139" t="n"/>
      <x:c r="D382" s="139" t="n"/>
      <x:c r="E382" s="139" t="n"/>
      <x:c r="F382" s="139" t="n"/>
      <x:c r="G382" s="139" t="n"/>
      <x:c r="H382" s="139" t="n"/>
      <x:c r="I382" s="139" t="n"/>
    </x:row>
    <x:row r="383">
      <x:c r="A383" s="139" t="n"/>
      <x:c r="B383" s="139" t="n"/>
      <x:c r="C383" s="139" t="n"/>
      <x:c r="D383" s="139" t="n"/>
      <x:c r="E383" s="139" t="n"/>
      <x:c r="F383" s="139" t="n"/>
      <x:c r="G383" s="139" t="n"/>
      <x:c r="H383" s="139" t="n"/>
      <x:c r="I383" s="139" t="n"/>
    </x:row>
    <x:row r="384">
      <x:c r="A384" s="139" t="n"/>
      <x:c r="B384" s="139" t="n"/>
      <x:c r="C384" s="139" t="n"/>
      <x:c r="D384" s="139" t="n"/>
      <x:c r="E384" s="139" t="n"/>
      <x:c r="F384" s="139" t="n"/>
      <x:c r="G384" s="139" t="n"/>
      <x:c r="H384" s="139" t="n"/>
      <x:c r="I384" s="139" t="n"/>
    </x:row>
    <x:row r="385">
      <x:c r="A385" s="139" t="n"/>
      <x:c r="B385" s="139" t="n"/>
      <x:c r="C385" s="139" t="n"/>
      <x:c r="D385" s="139" t="n"/>
      <x:c r="E385" s="139" t="n"/>
      <x:c r="F385" s="139" t="n"/>
      <x:c r="G385" s="139" t="n"/>
      <x:c r="H385" s="139" t="n"/>
      <x:c r="I385" s="139" t="n"/>
    </x:row>
    <x:row r="386">
      <x:c r="A386" s="139" t="n"/>
      <x:c r="B386" s="139" t="n"/>
      <x:c r="C386" s="139" t="n"/>
      <x:c r="D386" s="139" t="n"/>
      <x:c r="E386" s="139" t="n"/>
      <x:c r="F386" s="139" t="n"/>
      <x:c r="G386" s="139" t="n"/>
      <x:c r="H386" s="139" t="n"/>
      <x:c r="I386" s="139" t="n"/>
    </x:row>
    <x:row r="387">
      <x:c r="A387" s="139" t="n"/>
      <x:c r="B387" s="139" t="n"/>
      <x:c r="C387" s="139" t="n"/>
      <x:c r="D387" s="139" t="n"/>
      <x:c r="E387" s="139" t="n"/>
      <x:c r="F387" s="139" t="n"/>
      <x:c r="G387" s="139" t="n"/>
      <x:c r="H387" s="139" t="n"/>
      <x:c r="I387" s="139" t="n"/>
    </x:row>
    <x:row r="388">
      <x:c r="A388" s="139" t="n"/>
      <x:c r="B388" s="139" t="n"/>
      <x:c r="C388" s="139" t="n"/>
      <x:c r="D388" s="139" t="n"/>
      <x:c r="E388" s="139" t="n"/>
      <x:c r="F388" s="139" t="n"/>
      <x:c r="G388" s="139" t="n"/>
      <x:c r="H388" s="139" t="n"/>
      <x:c r="I388" s="139" t="n"/>
    </x:row>
    <x:row r="389">
      <x:c r="A389" s="139" t="n"/>
      <x:c r="B389" s="139" t="n"/>
      <x:c r="C389" s="139" t="n"/>
      <x:c r="D389" s="139" t="n"/>
      <x:c r="E389" s="139" t="n"/>
      <x:c r="F389" s="139" t="n"/>
      <x:c r="G389" s="139" t="n"/>
      <x:c r="H389" s="139" t="n"/>
      <x:c r="I389" s="139" t="n"/>
    </x:row>
    <x:row r="390">
      <x:c r="A390" s="139" t="n"/>
      <x:c r="B390" s="139" t="n"/>
      <x:c r="C390" s="139" t="n"/>
      <x:c r="D390" s="139" t="n"/>
      <x:c r="E390" s="139" t="n"/>
      <x:c r="F390" s="139" t="n"/>
      <x:c r="G390" s="139" t="n"/>
      <x:c r="H390" s="139" t="n"/>
      <x:c r="I390" s="139" t="n"/>
    </x:row>
    <x:row r="391">
      <x:c r="A391" s="139" t="n"/>
      <x:c r="B391" s="139" t="n"/>
      <x:c r="C391" s="139" t="n"/>
      <x:c r="D391" s="139" t="n"/>
      <x:c r="E391" s="139" t="n"/>
      <x:c r="F391" s="139" t="n"/>
      <x:c r="G391" s="139" t="n"/>
      <x:c r="H391" s="139" t="n"/>
      <x:c r="I391" s="139" t="n"/>
    </x:row>
    <x:row r="392">
      <x:c r="A392" s="139" t="n"/>
      <x:c r="B392" s="139" t="n"/>
      <x:c r="C392" s="139" t="n"/>
      <x:c r="D392" s="139" t="n"/>
      <x:c r="E392" s="139" t="n"/>
      <x:c r="F392" s="139" t="n"/>
      <x:c r="G392" s="139" t="n"/>
      <x:c r="H392" s="139" t="n"/>
      <x:c r="I392" s="139" t="n"/>
    </x:row>
    <x:row r="393">
      <x:c r="A393" s="139" t="n"/>
      <x:c r="B393" s="139" t="n"/>
      <x:c r="C393" s="139" t="n"/>
      <x:c r="D393" s="139" t="n"/>
      <x:c r="E393" s="139" t="n"/>
      <x:c r="F393" s="139" t="n"/>
      <x:c r="G393" s="139" t="n"/>
      <x:c r="H393" s="139" t="n"/>
      <x:c r="I393" s="139" t="n"/>
    </x:row>
    <x:row r="394">
      <x:c r="A394" s="139" t="n"/>
      <x:c r="B394" s="139" t="n"/>
      <x:c r="C394" s="139" t="n"/>
      <x:c r="D394" s="139" t="n"/>
      <x:c r="E394" s="139" t="n"/>
      <x:c r="F394" s="139" t="n"/>
      <x:c r="G394" s="139" t="n"/>
      <x:c r="H394" s="139" t="n"/>
      <x:c r="I394" s="139" t="n"/>
    </x:row>
    <x:row r="395">
      <x:c r="A395" s="139" t="n"/>
      <x:c r="B395" s="139" t="n"/>
      <x:c r="C395" s="139" t="n"/>
      <x:c r="D395" s="139" t="n"/>
      <x:c r="E395" s="139" t="n"/>
      <x:c r="F395" s="139" t="n"/>
      <x:c r="G395" s="139" t="n"/>
      <x:c r="H395" s="139" t="n"/>
      <x:c r="I395" s="139" t="n"/>
    </x:row>
    <x:row r="396">
      <x:c r="A396" s="139" t="n"/>
      <x:c r="B396" s="139" t="n"/>
      <x:c r="C396" s="139" t="n"/>
      <x:c r="D396" s="139" t="n"/>
      <x:c r="E396" s="139" t="n"/>
      <x:c r="F396" s="139" t="n"/>
      <x:c r="G396" s="139" t="n"/>
      <x:c r="H396" s="139" t="n"/>
      <x:c r="I396" s="139" t="n"/>
    </x:row>
    <x:row r="397">
      <x:c r="A397" s="139" t="n"/>
      <x:c r="B397" s="139" t="n"/>
      <x:c r="C397" s="139" t="n"/>
      <x:c r="D397" s="139" t="n"/>
      <x:c r="E397" s="139" t="n"/>
      <x:c r="F397" s="139" t="n"/>
      <x:c r="G397" s="139" t="n"/>
      <x:c r="H397" s="139" t="n"/>
      <x:c r="I397" s="139" t="n"/>
    </x:row>
    <x:row r="398">
      <x:c r="A398" s="139" t="n"/>
      <x:c r="B398" s="139" t="n"/>
      <x:c r="C398" s="139" t="n"/>
      <x:c r="D398" s="139" t="n"/>
      <x:c r="E398" s="139" t="n"/>
      <x:c r="F398" s="139" t="n"/>
      <x:c r="G398" s="139" t="n"/>
      <x:c r="H398" s="139" t="n"/>
      <x:c r="I398" s="139" t="n"/>
    </x:row>
    <x:row r="399">
      <x:c r="A399" s="139" t="n"/>
      <x:c r="B399" s="139" t="n"/>
      <x:c r="C399" s="139" t="n"/>
      <x:c r="D399" s="139" t="n"/>
      <x:c r="E399" s="139" t="n"/>
      <x:c r="F399" s="139" t="n"/>
      <x:c r="G399" s="139" t="n"/>
      <x:c r="H399" s="139" t="n"/>
      <x:c r="I399" s="139" t="n"/>
    </x:row>
    <x:row r="400">
      <x:c r="A400" s="139" t="n"/>
      <x:c r="B400" s="139" t="n"/>
      <x:c r="C400" s="139" t="n"/>
      <x:c r="D400" s="139" t="n"/>
      <x:c r="E400" s="139" t="n"/>
      <x:c r="F400" s="139" t="n"/>
      <x:c r="G400" s="139" t="n"/>
      <x:c r="H400" s="139" t="n"/>
      <x:c r="I400" s="139" t="n"/>
    </x:row>
    <x:row r="401">
      <x:c r="A401" s="139" t="n"/>
      <x:c r="B401" s="139" t="n"/>
      <x:c r="C401" s="139" t="n"/>
      <x:c r="D401" s="139" t="n"/>
      <x:c r="E401" s="139" t="n"/>
      <x:c r="F401" s="139" t="n"/>
      <x:c r="G401" s="139" t="n"/>
      <x:c r="H401" s="139" t="n"/>
      <x:c r="I401" s="139" t="n"/>
    </x:row>
    <x:row r="402">
      <x:c r="A402" s="139" t="n"/>
      <x:c r="B402" s="139" t="n"/>
      <x:c r="C402" s="139" t="n"/>
      <x:c r="D402" s="139" t="n"/>
      <x:c r="E402" s="139" t="n"/>
      <x:c r="F402" s="139" t="n"/>
      <x:c r="G402" s="139" t="n"/>
      <x:c r="H402" s="139" t="n"/>
      <x:c r="I402" s="139" t="n"/>
    </x:row>
    <x:row r="403">
      <x:c r="A403" s="139" t="n"/>
      <x:c r="B403" s="139" t="n"/>
      <x:c r="C403" s="139" t="n"/>
      <x:c r="D403" s="139" t="n"/>
      <x:c r="E403" s="139" t="n"/>
      <x:c r="F403" s="139" t="n"/>
      <x:c r="G403" s="139" t="n"/>
      <x:c r="H403" s="139" t="n"/>
      <x:c r="I403" s="139" t="n"/>
    </x:row>
    <x:row r="404">
      <x:c r="A404" s="139" t="n"/>
      <x:c r="B404" s="139" t="n"/>
      <x:c r="C404" s="139" t="n"/>
      <x:c r="D404" s="139" t="n"/>
      <x:c r="E404" s="139" t="n"/>
      <x:c r="F404" s="139" t="n"/>
      <x:c r="G404" s="139" t="n"/>
      <x:c r="H404" s="139" t="n"/>
      <x:c r="I404" s="139" t="n"/>
    </x:row>
    <x:row r="405">
      <x:c r="A405" s="139" t="n"/>
      <x:c r="B405" s="139" t="n"/>
      <x:c r="C405" s="139" t="n"/>
      <x:c r="D405" s="139" t="n"/>
      <x:c r="E405" s="139" t="n"/>
      <x:c r="F405" s="139" t="n"/>
      <x:c r="G405" s="139" t="n"/>
      <x:c r="H405" s="139" t="n"/>
      <x:c r="I405" s="139" t="n"/>
    </x:row>
    <x:row r="406">
      <x:c r="A406" s="139" t="n"/>
      <x:c r="B406" s="139" t="n"/>
      <x:c r="C406" s="139" t="n"/>
      <x:c r="D406" s="139" t="n"/>
      <x:c r="E406" s="139" t="n"/>
      <x:c r="F406" s="139" t="n"/>
      <x:c r="G406" s="139" t="n"/>
      <x:c r="H406" s="139" t="n"/>
      <x:c r="I406" s="139" t="n"/>
    </x:row>
    <x:row r="407">
      <x:c r="A407" s="139" t="n"/>
      <x:c r="B407" s="139" t="n"/>
      <x:c r="C407" s="139" t="n"/>
      <x:c r="D407" s="139" t="n"/>
      <x:c r="E407" s="139" t="n"/>
      <x:c r="F407" s="139" t="n"/>
      <x:c r="G407" s="139" t="n"/>
      <x:c r="H407" s="139" t="n"/>
      <x:c r="I407" s="139" t="n"/>
    </x:row>
    <x:row r="408">
      <x:c r="A408" s="139" t="n"/>
      <x:c r="B408" s="139" t="n"/>
      <x:c r="C408" s="139" t="n"/>
      <x:c r="D408" s="139" t="n"/>
      <x:c r="E408" s="139" t="n"/>
      <x:c r="F408" s="139" t="n"/>
      <x:c r="G408" s="139" t="n"/>
      <x:c r="H408" s="139" t="n"/>
      <x:c r="I408" s="139" t="n"/>
    </x:row>
    <x:row r="409">
      <x:c r="A409" s="139" t="n"/>
      <x:c r="B409" s="139" t="n"/>
      <x:c r="C409" s="139" t="n"/>
      <x:c r="D409" s="139" t="n"/>
      <x:c r="E409" s="139" t="n"/>
      <x:c r="F409" s="139" t="n"/>
      <x:c r="G409" s="139" t="n"/>
      <x:c r="H409" s="139" t="n"/>
      <x:c r="I409" s="139" t="n"/>
    </x:row>
    <x:row r="410">
      <x:c r="A410" s="139" t="n"/>
      <x:c r="B410" s="139" t="n"/>
      <x:c r="C410" s="139" t="n"/>
      <x:c r="D410" s="139" t="n"/>
      <x:c r="E410" s="139" t="n"/>
      <x:c r="F410" s="139" t="n"/>
      <x:c r="G410" s="139" t="n"/>
      <x:c r="H410" s="139" t="n"/>
      <x:c r="I410" s="139" t="n"/>
    </x:row>
    <x:row r="411">
      <x:c r="A411" s="139" t="n"/>
      <x:c r="B411" s="139" t="n"/>
      <x:c r="C411" s="139" t="n"/>
      <x:c r="D411" s="139" t="n"/>
      <x:c r="E411" s="139" t="n"/>
      <x:c r="F411" s="139" t="n"/>
      <x:c r="G411" s="139" t="n"/>
      <x:c r="H411" s="139" t="n"/>
      <x:c r="I411" s="139" t="n"/>
    </x:row>
    <x:row r="412">
      <x:c r="A412" s="139" t="n"/>
      <x:c r="B412" s="139" t="n"/>
      <x:c r="C412" s="139" t="n"/>
      <x:c r="D412" s="139" t="n"/>
      <x:c r="E412" s="139" t="n"/>
      <x:c r="F412" s="139" t="n"/>
      <x:c r="G412" s="139" t="n"/>
      <x:c r="H412" s="139" t="n"/>
      <x:c r="I412" s="139" t="n"/>
    </x:row>
    <x:row r="413">
      <x:c r="A413" s="139" t="n"/>
      <x:c r="B413" s="139" t="n"/>
      <x:c r="C413" s="139" t="n"/>
      <x:c r="D413" s="139" t="n"/>
      <x:c r="E413" s="139" t="n"/>
      <x:c r="F413" s="139" t="n"/>
      <x:c r="G413" s="139" t="n"/>
      <x:c r="H413" s="139" t="n"/>
      <x:c r="I413" s="139" t="n"/>
    </x:row>
    <x:row r="414">
      <x:c r="A414" s="139" t="n"/>
      <x:c r="B414" s="139" t="n"/>
      <x:c r="C414" s="139" t="n"/>
      <x:c r="D414" s="139" t="n"/>
      <x:c r="E414" s="139" t="n"/>
      <x:c r="F414" s="139" t="n"/>
      <x:c r="G414" s="139" t="n"/>
      <x:c r="H414" s="139" t="n"/>
      <x:c r="I414" s="139" t="n"/>
    </x:row>
    <x:row r="415">
      <x:c r="A415" s="139" t="n"/>
      <x:c r="B415" s="139" t="n"/>
      <x:c r="C415" s="139" t="n"/>
      <x:c r="D415" s="139" t="n"/>
      <x:c r="E415" s="139" t="n"/>
      <x:c r="F415" s="139" t="n"/>
      <x:c r="G415" s="139" t="n"/>
      <x:c r="H415" s="139" t="n"/>
      <x:c r="I415" s="139" t="n"/>
    </x:row>
    <x:row r="416">
      <x:c r="A416" s="139" t="n"/>
      <x:c r="B416" s="139" t="n"/>
      <x:c r="C416" s="139" t="n"/>
      <x:c r="D416" s="139" t="n"/>
      <x:c r="E416" s="139" t="n"/>
      <x:c r="F416" s="139" t="n"/>
      <x:c r="G416" s="139" t="n"/>
      <x:c r="H416" s="139" t="n"/>
      <x:c r="I416" s="139" t="n"/>
    </x:row>
    <x:row r="417">
      <x:c r="A417" s="139" t="n"/>
      <x:c r="B417" s="139" t="n"/>
      <x:c r="C417" s="139" t="n"/>
      <x:c r="D417" s="139" t="n"/>
      <x:c r="E417" s="139" t="n"/>
      <x:c r="F417" s="139" t="n"/>
      <x:c r="G417" s="139" t="n"/>
      <x:c r="H417" s="139" t="n"/>
      <x:c r="I417" s="139" t="n"/>
    </x:row>
    <x:row r="418">
      <x:c r="A418" s="139" t="n"/>
      <x:c r="B418" s="139" t="n"/>
      <x:c r="C418" s="139" t="n"/>
      <x:c r="D418" s="139" t="n"/>
      <x:c r="E418" s="139" t="n"/>
      <x:c r="F418" s="139" t="n"/>
      <x:c r="G418" s="139" t="n"/>
      <x:c r="H418" s="139" t="n"/>
      <x:c r="I418" s="139" t="n"/>
    </x:row>
    <x:row r="419">
      <x:c r="A419" s="139" t="n"/>
      <x:c r="B419" s="139" t="n"/>
      <x:c r="C419" s="139" t="n"/>
      <x:c r="D419" s="139" t="n"/>
      <x:c r="E419" s="139" t="n"/>
      <x:c r="F419" s="139" t="n"/>
      <x:c r="G419" s="139" t="n"/>
      <x:c r="H419" s="139" t="n"/>
      <x:c r="I419" s="139" t="n"/>
    </x:row>
    <x:row r="420">
      <x:c r="A420" s="139" t="n"/>
      <x:c r="B420" s="139" t="n"/>
      <x:c r="C420" s="139" t="n"/>
      <x:c r="D420" s="139" t="n"/>
      <x:c r="E420" s="139" t="n"/>
      <x:c r="F420" s="139" t="n"/>
      <x:c r="G420" s="139" t="n"/>
      <x:c r="H420" s="139" t="n"/>
      <x:c r="I420" s="139" t="n"/>
    </x:row>
    <x:row r="421">
      <x:c r="A421" s="139" t="n"/>
      <x:c r="B421" s="139" t="n"/>
      <x:c r="C421" s="139" t="n"/>
      <x:c r="D421" s="139" t="n"/>
      <x:c r="E421" s="139" t="n"/>
      <x:c r="F421" s="139" t="n"/>
      <x:c r="G421" s="139" t="n"/>
      <x:c r="H421" s="139" t="n"/>
      <x:c r="I421" s="139" t="n"/>
    </x:row>
    <x:row r="422">
      <x:c r="A422" s="139" t="n"/>
      <x:c r="B422" s="139" t="n"/>
      <x:c r="C422" s="139" t="n"/>
      <x:c r="D422" s="139" t="n"/>
      <x:c r="E422" s="139" t="n"/>
      <x:c r="F422" s="139" t="n"/>
      <x:c r="G422" s="139" t="n"/>
      <x:c r="H422" s="139" t="n"/>
      <x:c r="I422" s="139" t="n"/>
    </x:row>
    <x:row r="423">
      <x:c r="A423" s="139" t="n"/>
      <x:c r="B423" s="139" t="n"/>
      <x:c r="C423" s="139" t="n"/>
      <x:c r="D423" s="139" t="n"/>
      <x:c r="E423" s="139" t="n"/>
      <x:c r="F423" s="139" t="n"/>
      <x:c r="G423" s="139" t="n"/>
      <x:c r="H423" s="139" t="n"/>
      <x:c r="I423" s="139" t="n"/>
    </x:row>
    <x:row r="424">
      <x:c r="A424" s="139" t="n"/>
      <x:c r="B424" s="139" t="n"/>
      <x:c r="C424" s="139" t="n"/>
      <x:c r="D424" s="139" t="n"/>
      <x:c r="E424" s="139" t="n"/>
      <x:c r="F424" s="139" t="n"/>
      <x:c r="G424" s="139" t="n"/>
      <x:c r="H424" s="139" t="n"/>
      <x:c r="I424" s="139" t="n"/>
    </x:row>
    <x:row r="425">
      <x:c r="A425" s="139" t="n"/>
      <x:c r="B425" s="139" t="n"/>
      <x:c r="C425" s="139" t="n"/>
      <x:c r="D425" s="139" t="n"/>
      <x:c r="E425" s="139" t="n"/>
      <x:c r="F425" s="139" t="n"/>
      <x:c r="G425" s="139" t="n"/>
      <x:c r="H425" s="139" t="n"/>
      <x:c r="I425" s="139" t="n"/>
    </x:row>
    <x:row r="426">
      <x:c r="A426" s="139" t="n"/>
      <x:c r="B426" s="139" t="n"/>
      <x:c r="C426" s="139" t="n"/>
      <x:c r="D426" s="139" t="n"/>
      <x:c r="E426" s="139" t="n"/>
      <x:c r="F426" s="139" t="n"/>
      <x:c r="G426" s="139" t="n"/>
      <x:c r="H426" s="139" t="n"/>
      <x:c r="I426" s="139" t="n"/>
    </x:row>
    <x:row r="427">
      <x:c r="A427" s="139" t="n"/>
      <x:c r="B427" s="139" t="n"/>
      <x:c r="C427" s="139" t="n"/>
      <x:c r="D427" s="139" t="n"/>
      <x:c r="E427" s="139" t="n"/>
      <x:c r="F427" s="139" t="n"/>
      <x:c r="G427" s="139" t="n"/>
      <x:c r="H427" s="139" t="n"/>
      <x:c r="I427" s="139" t="n"/>
    </x:row>
    <x:row r="428">
      <x:c r="A428" s="139" t="n"/>
      <x:c r="B428" s="139" t="n"/>
      <x:c r="C428" s="139" t="n"/>
      <x:c r="D428" s="139" t="n"/>
      <x:c r="E428" s="139" t="n"/>
      <x:c r="F428" s="139" t="n"/>
      <x:c r="G428" s="139" t="n"/>
      <x:c r="H428" s="139" t="n"/>
      <x:c r="I428" s="139" t="n"/>
    </x:row>
    <x:row r="429">
      <x:c r="A429" s="139" t="n"/>
      <x:c r="B429" s="139" t="n"/>
      <x:c r="C429" s="139" t="n"/>
      <x:c r="D429" s="139" t="n"/>
      <x:c r="E429" s="139" t="n"/>
      <x:c r="F429" s="139" t="n"/>
      <x:c r="G429" s="139" t="n"/>
      <x:c r="H429" s="139" t="n"/>
      <x:c r="I429" s="139" t="n"/>
    </x:row>
    <x:row r="430">
      <x:c r="A430" s="139" t="n"/>
      <x:c r="B430" s="139" t="n"/>
      <x:c r="C430" s="139" t="n"/>
      <x:c r="D430" s="139" t="n"/>
      <x:c r="E430" s="139" t="n"/>
      <x:c r="F430" s="139" t="n"/>
      <x:c r="G430" s="139" t="n"/>
      <x:c r="H430" s="139" t="n"/>
      <x:c r="I430" s="139" t="n"/>
    </x:row>
    <x:row r="431">
      <x:c r="A431" s="139" t="n"/>
      <x:c r="B431" s="139" t="n"/>
      <x:c r="C431" s="139" t="n"/>
      <x:c r="D431" s="139" t="n"/>
      <x:c r="E431" s="139" t="n"/>
      <x:c r="F431" s="139" t="n"/>
      <x:c r="G431" s="139" t="n"/>
      <x:c r="H431" s="139" t="n"/>
      <x:c r="I431" s="139" t="n"/>
    </x:row>
    <x:row r="432">
      <x:c r="A432" s="139" t="n"/>
      <x:c r="B432" s="139" t="n"/>
      <x:c r="C432" s="139" t="n"/>
      <x:c r="D432" s="139" t="n"/>
      <x:c r="E432" s="139" t="n"/>
      <x:c r="F432" s="139" t="n"/>
      <x:c r="G432" s="139" t="n"/>
      <x:c r="H432" s="139" t="n"/>
      <x:c r="I432" s="139" t="n"/>
    </x:row>
    <x:row r="433">
      <x:c r="A433" s="139" t="n"/>
      <x:c r="B433" s="139" t="n"/>
      <x:c r="C433" s="139" t="n"/>
      <x:c r="D433" s="139" t="n"/>
      <x:c r="E433" s="139" t="n"/>
      <x:c r="F433" s="139" t="n"/>
      <x:c r="G433" s="139" t="n"/>
      <x:c r="H433" s="139" t="n"/>
      <x:c r="I433" s="139" t="n"/>
    </x:row>
    <x:row r="434">
      <x:c r="A434" s="139" t="n"/>
      <x:c r="B434" s="139" t="n"/>
      <x:c r="C434" s="139" t="n"/>
      <x:c r="D434" s="139" t="n"/>
      <x:c r="E434" s="139" t="n"/>
      <x:c r="F434" s="139" t="n"/>
      <x:c r="G434" s="139" t="n"/>
      <x:c r="H434" s="139" t="n"/>
      <x:c r="I434" s="139" t="n"/>
    </x:row>
    <x:row r="435">
      <x:c r="A435" s="139" t="n"/>
      <x:c r="B435" s="139" t="n"/>
      <x:c r="C435" s="139" t="n"/>
      <x:c r="D435" s="139" t="n"/>
      <x:c r="E435" s="139" t="n"/>
      <x:c r="F435" s="139" t="n"/>
      <x:c r="G435" s="139" t="n"/>
      <x:c r="H435" s="139" t="n"/>
      <x:c r="I435" s="139" t="n"/>
    </x:row>
    <x:row r="436">
      <x:c r="A436" s="139" t="n"/>
      <x:c r="B436" s="139" t="n"/>
      <x:c r="C436" s="139" t="n"/>
      <x:c r="D436" s="139" t="n"/>
      <x:c r="E436" s="139" t="n"/>
      <x:c r="F436" s="139" t="n"/>
      <x:c r="G436" s="139" t="n"/>
      <x:c r="H436" s="139" t="n"/>
      <x:c r="I436" s="139" t="n"/>
    </x:row>
    <x:row r="437">
      <x:c r="A437" s="139" t="n"/>
      <x:c r="B437" s="139" t="n"/>
      <x:c r="C437" s="139" t="n"/>
      <x:c r="D437" s="139" t="n"/>
      <x:c r="E437" s="139" t="n"/>
      <x:c r="F437" s="139" t="n"/>
      <x:c r="G437" s="139" t="n"/>
      <x:c r="H437" s="139" t="n"/>
      <x:c r="I437" s="139" t="n"/>
    </x:row>
    <x:row r="438">
      <x:c r="A438" s="139" t="n"/>
      <x:c r="B438" s="139" t="n"/>
      <x:c r="C438" s="139" t="n"/>
      <x:c r="D438" s="139" t="n"/>
      <x:c r="E438" s="139" t="n"/>
      <x:c r="F438" s="139" t="n"/>
      <x:c r="G438" s="139" t="n"/>
      <x:c r="H438" s="139" t="n"/>
      <x:c r="I438" s="139" t="n"/>
    </x:row>
    <x:row r="439">
      <x:c r="A439" s="139" t="n"/>
      <x:c r="B439" s="139" t="n"/>
      <x:c r="C439" s="139" t="n"/>
      <x:c r="D439" s="139" t="n"/>
      <x:c r="E439" s="139" t="n"/>
      <x:c r="F439" s="139" t="n"/>
      <x:c r="G439" s="139" t="n"/>
      <x:c r="H439" s="139" t="n"/>
      <x:c r="I439" s="139" t="n"/>
    </x:row>
    <x:row r="440">
      <x:c r="A440" s="139" t="n"/>
      <x:c r="B440" s="139" t="n"/>
      <x:c r="C440" s="139" t="n"/>
      <x:c r="D440" s="139" t="n"/>
      <x:c r="E440" s="139" t="n"/>
      <x:c r="F440" s="139" t="n"/>
      <x:c r="G440" s="139" t="n"/>
      <x:c r="H440" s="139" t="n"/>
      <x:c r="I440" s="139" t="n"/>
    </x:row>
    <x:row r="441">
      <x:c r="A441" s="139" t="n"/>
      <x:c r="B441" s="139" t="n"/>
      <x:c r="C441" s="139" t="n"/>
      <x:c r="D441" s="139" t="n"/>
      <x:c r="E441" s="139" t="n"/>
      <x:c r="F441" s="139" t="n"/>
      <x:c r="G441" s="139" t="n"/>
      <x:c r="H441" s="139" t="n"/>
      <x:c r="I441" s="139" t="n"/>
    </x:row>
    <x:row r="442">
      <x:c r="A442" s="139" t="n"/>
      <x:c r="B442" s="139" t="n"/>
      <x:c r="C442" s="139" t="n"/>
      <x:c r="D442" s="139" t="n"/>
      <x:c r="E442" s="139" t="n"/>
      <x:c r="F442" s="139" t="n"/>
      <x:c r="G442" s="139" t="n"/>
      <x:c r="H442" s="139" t="n"/>
      <x:c r="I442" s="139" t="n"/>
    </x:row>
    <x:row r="443">
      <x:c r="A443" s="139" t="n"/>
      <x:c r="B443" s="139" t="n"/>
      <x:c r="C443" s="139" t="n"/>
      <x:c r="D443" s="139" t="n"/>
      <x:c r="E443" s="139" t="n"/>
      <x:c r="F443" s="139" t="n"/>
      <x:c r="G443" s="139" t="n"/>
      <x:c r="H443" s="139" t="n"/>
      <x:c r="I443" s="139" t="n"/>
    </x:row>
    <x:row r="444">
      <x:c r="A444" s="139" t="n"/>
      <x:c r="B444" s="139" t="n"/>
      <x:c r="C444" s="139" t="n"/>
      <x:c r="D444" s="139" t="n"/>
      <x:c r="E444" s="139" t="n"/>
      <x:c r="F444" s="139" t="n"/>
      <x:c r="G444" s="139" t="n"/>
      <x:c r="H444" s="139" t="n"/>
      <x:c r="I444" s="139" t="n"/>
    </x:row>
    <x:row r="445">
      <x:c r="A445" s="139" t="n"/>
      <x:c r="B445" s="139" t="n"/>
      <x:c r="C445" s="139" t="n"/>
      <x:c r="D445" s="139" t="n"/>
      <x:c r="E445" s="139" t="n"/>
      <x:c r="F445" s="139" t="n"/>
      <x:c r="G445" s="139" t="n"/>
      <x:c r="H445" s="139" t="n"/>
      <x:c r="I445" s="139" t="n"/>
    </x:row>
    <x:row r="446">
      <x:c r="A446" s="139" t="n"/>
      <x:c r="B446" s="139" t="n"/>
      <x:c r="C446" s="139" t="n"/>
      <x:c r="D446" s="139" t="n"/>
      <x:c r="E446" s="139" t="n"/>
      <x:c r="F446" s="139" t="n"/>
      <x:c r="G446" s="139" t="n"/>
      <x:c r="H446" s="139" t="n"/>
      <x:c r="I446" s="139" t="n"/>
    </x:row>
    <x:row r="447">
      <x:c r="A447" s="139" t="n"/>
      <x:c r="B447" s="139" t="n"/>
      <x:c r="C447" s="139" t="n"/>
      <x:c r="D447" s="139" t="n"/>
      <x:c r="E447" s="139" t="n"/>
      <x:c r="F447" s="139" t="n"/>
      <x:c r="G447" s="139" t="n"/>
      <x:c r="H447" s="139" t="n"/>
      <x:c r="I447" s="139" t="n"/>
    </x:row>
    <x:row r="448">
      <x:c r="A448" s="139" t="n"/>
      <x:c r="B448" s="139" t="n"/>
      <x:c r="C448" s="139" t="n"/>
      <x:c r="D448" s="139" t="n"/>
      <x:c r="E448" s="139" t="n"/>
      <x:c r="F448" s="139" t="n"/>
      <x:c r="G448" s="139" t="n"/>
      <x:c r="H448" s="139" t="n"/>
      <x:c r="I448" s="139" t="n"/>
    </x:row>
    <x:row r="449">
      <x:c r="A449" s="139" t="n"/>
      <x:c r="B449" s="139" t="n"/>
      <x:c r="C449" s="139" t="n"/>
      <x:c r="D449" s="139" t="n"/>
      <x:c r="E449" s="139" t="n"/>
      <x:c r="F449" s="139" t="n"/>
      <x:c r="G449" s="139" t="n"/>
      <x:c r="H449" s="139" t="n"/>
      <x:c r="I449" s="139" t="n"/>
    </x:row>
    <x:row r="450">
      <x:c r="A450" s="139" t="n"/>
      <x:c r="B450" s="139" t="n"/>
      <x:c r="C450" s="139" t="n"/>
      <x:c r="D450" s="139" t="n"/>
      <x:c r="E450" s="139" t="n"/>
      <x:c r="F450" s="139" t="n"/>
      <x:c r="G450" s="139" t="n"/>
      <x:c r="H450" s="139" t="n"/>
      <x:c r="I450" s="139" t="n"/>
    </x:row>
    <x:row r="451">
      <x:c r="A451" s="139" t="n"/>
      <x:c r="B451" s="139" t="n"/>
      <x:c r="C451" s="139" t="n"/>
      <x:c r="D451" s="139" t="n"/>
      <x:c r="E451" s="139" t="n"/>
      <x:c r="F451" s="139" t="n"/>
      <x:c r="G451" s="139" t="n"/>
      <x:c r="H451" s="139" t="n"/>
      <x:c r="I451" s="139" t="n"/>
    </x:row>
    <x:row r="452">
      <x:c r="A452" s="139" t="n"/>
      <x:c r="B452" s="139" t="n"/>
      <x:c r="C452" s="139" t="n"/>
      <x:c r="D452" s="139" t="n"/>
      <x:c r="E452" s="139" t="n"/>
      <x:c r="F452" s="139" t="n"/>
      <x:c r="G452" s="139" t="n"/>
      <x:c r="H452" s="139" t="n"/>
      <x:c r="I452" s="139" t="n"/>
    </x:row>
    <x:row r="453">
      <x:c r="A453" s="139" t="n"/>
      <x:c r="B453" s="139" t="n"/>
      <x:c r="C453" s="139" t="n"/>
      <x:c r="D453" s="139" t="n"/>
      <x:c r="E453" s="139" t="n"/>
      <x:c r="F453" s="139" t="n"/>
      <x:c r="G453" s="139" t="n"/>
      <x:c r="H453" s="139" t="n"/>
      <x:c r="I453" s="139" t="n"/>
    </x:row>
    <x:row r="454">
      <x:c r="A454" s="139" t="n"/>
      <x:c r="B454" s="139" t="n"/>
      <x:c r="C454" s="139" t="n"/>
      <x:c r="D454" s="139" t="n"/>
      <x:c r="E454" s="139" t="n"/>
      <x:c r="F454" s="139" t="n"/>
      <x:c r="G454" s="139" t="n"/>
      <x:c r="H454" s="139" t="n"/>
      <x:c r="I454" s="139" t="n"/>
    </x:row>
    <x:row r="455">
      <x:c r="A455" s="139" t="n"/>
      <x:c r="B455" s="139" t="n"/>
      <x:c r="C455" s="139" t="n"/>
      <x:c r="D455" s="139" t="n"/>
      <x:c r="E455" s="139" t="n"/>
      <x:c r="F455" s="139" t="n"/>
      <x:c r="G455" s="139" t="n"/>
      <x:c r="H455" s="139" t="n"/>
      <x:c r="I455" s="139" t="n"/>
    </x:row>
    <x:row r="456">
      <x:c r="A456" s="139" t="n"/>
      <x:c r="B456" s="139" t="n"/>
      <x:c r="C456" s="139" t="n"/>
      <x:c r="D456" s="139" t="n"/>
      <x:c r="E456" s="139" t="n"/>
      <x:c r="F456" s="139" t="n"/>
      <x:c r="G456" s="139" t="n"/>
      <x:c r="H456" s="139" t="n"/>
      <x:c r="I456" s="139" t="n"/>
    </x:row>
    <x:row r="457">
      <x:c r="A457" s="139" t="n"/>
      <x:c r="B457" s="139" t="n"/>
      <x:c r="C457" s="139" t="n"/>
      <x:c r="D457" s="139" t="n"/>
      <x:c r="E457" s="139" t="n"/>
      <x:c r="F457" s="139" t="n"/>
      <x:c r="G457" s="139" t="n"/>
      <x:c r="H457" s="139" t="n"/>
      <x:c r="I457" s="139" t="n"/>
    </x:row>
    <x:row r="458">
      <x:c r="A458" s="139" t="n"/>
      <x:c r="B458" s="139" t="n"/>
      <x:c r="C458" s="139" t="n"/>
      <x:c r="D458" s="139" t="n"/>
      <x:c r="E458" s="139" t="n"/>
      <x:c r="F458" s="139" t="n"/>
      <x:c r="G458" s="139" t="n"/>
      <x:c r="H458" s="139" t="n"/>
      <x:c r="I458" s="139" t="n"/>
    </x:row>
    <x:row r="459">
      <x:c r="A459" s="139" t="n"/>
      <x:c r="B459" s="139" t="n"/>
      <x:c r="C459" s="139" t="n"/>
      <x:c r="D459" s="139" t="n"/>
      <x:c r="E459" s="139" t="n"/>
      <x:c r="F459" s="139" t="n"/>
      <x:c r="G459" s="139" t="n"/>
      <x:c r="H459" s="139" t="n"/>
      <x:c r="I459" s="139" t="n"/>
    </x:row>
    <x:row r="460">
      <x:c r="A460" s="139" t="n"/>
      <x:c r="B460" s="139" t="n"/>
      <x:c r="C460" s="139" t="n"/>
      <x:c r="D460" s="139" t="n"/>
      <x:c r="E460" s="139" t="n"/>
      <x:c r="F460" s="139" t="n"/>
      <x:c r="G460" s="139" t="n"/>
      <x:c r="H460" s="139" t="n"/>
      <x:c r="I460" s="139" t="n"/>
    </x:row>
    <x:row r="461">
      <x:c r="A461" s="139" t="n"/>
      <x:c r="B461" s="139" t="n"/>
      <x:c r="C461" s="139" t="n"/>
      <x:c r="D461" s="139" t="n"/>
      <x:c r="E461" s="139" t="n"/>
      <x:c r="F461" s="139" t="n"/>
      <x:c r="G461" s="139" t="n"/>
      <x:c r="H461" s="139" t="n"/>
      <x:c r="I461" s="139" t="n"/>
    </x:row>
    <x:row r="462">
      <x:c r="A462" s="139" t="n"/>
      <x:c r="B462" s="139" t="n"/>
      <x:c r="C462" s="139" t="n"/>
      <x:c r="D462" s="139" t="n"/>
      <x:c r="E462" s="139" t="n"/>
      <x:c r="F462" s="139" t="n"/>
      <x:c r="G462" s="139" t="n"/>
      <x:c r="H462" s="139" t="n"/>
      <x:c r="I462" s="139" t="n"/>
    </x:row>
    <x:row r="463">
      <x:c r="A463" s="139" t="n"/>
      <x:c r="B463" s="139" t="n"/>
      <x:c r="C463" s="139" t="n"/>
      <x:c r="D463" s="139" t="n"/>
      <x:c r="E463" s="139" t="n"/>
      <x:c r="F463" s="139" t="n"/>
      <x:c r="G463" s="139" t="n"/>
      <x:c r="H463" s="139" t="n"/>
      <x:c r="I463" s="139" t="n"/>
    </x:row>
    <x:row r="464">
      <x:c r="A464" s="139" t="n"/>
      <x:c r="B464" s="139" t="n"/>
      <x:c r="C464" s="139" t="n"/>
      <x:c r="D464" s="139" t="n"/>
      <x:c r="E464" s="139" t="n"/>
      <x:c r="F464" s="139" t="n"/>
      <x:c r="G464" s="139" t="n"/>
      <x:c r="H464" s="139" t="n"/>
      <x:c r="I464" s="139" t="n"/>
    </x:row>
    <x:row r="465">
      <x:c r="A465" s="139" t="n"/>
      <x:c r="B465" s="139" t="n"/>
      <x:c r="C465" s="139" t="n"/>
      <x:c r="D465" s="139" t="n"/>
      <x:c r="E465" s="139" t="n"/>
      <x:c r="F465" s="139" t="n"/>
      <x:c r="G465" s="139" t="n"/>
      <x:c r="H465" s="139" t="n"/>
      <x:c r="I465" s="139" t="n"/>
    </x:row>
    <x:row r="466">
      <x:c r="A466" s="139" t="n"/>
      <x:c r="B466" s="139" t="n"/>
      <x:c r="C466" s="139" t="n"/>
      <x:c r="D466" s="139" t="n"/>
      <x:c r="E466" s="139" t="n"/>
      <x:c r="F466" s="139" t="n"/>
      <x:c r="G466" s="139" t="n"/>
      <x:c r="H466" s="139" t="n"/>
      <x:c r="I466" s="139" t="n"/>
    </x:row>
    <x:row r="467">
      <x:c r="A467" s="139" t="n"/>
      <x:c r="B467" s="139" t="n"/>
      <x:c r="C467" s="139" t="n"/>
      <x:c r="D467" s="139" t="n"/>
      <x:c r="E467" s="139" t="n"/>
      <x:c r="F467" s="139" t="n"/>
      <x:c r="G467" s="139" t="n"/>
      <x:c r="H467" s="139" t="n"/>
      <x:c r="I467" s="139" t="n"/>
    </x:row>
    <x:row r="468">
      <x:c r="A468" s="139" t="n"/>
      <x:c r="B468" s="139" t="n"/>
      <x:c r="C468" s="139" t="n"/>
      <x:c r="D468" s="139" t="n"/>
      <x:c r="E468" s="139" t="n"/>
      <x:c r="F468" s="139" t="n"/>
      <x:c r="G468" s="139" t="n"/>
      <x:c r="H468" s="139" t="n"/>
      <x:c r="I468" s="139" t="n"/>
    </x:row>
    <x:row r="469">
      <x:c r="A469" s="139" t="n"/>
      <x:c r="B469" s="139" t="n"/>
      <x:c r="C469" s="139" t="n"/>
      <x:c r="D469" s="139" t="n"/>
      <x:c r="E469" s="139" t="n"/>
      <x:c r="F469" s="139" t="n"/>
      <x:c r="G469" s="139" t="n"/>
      <x:c r="H469" s="139" t="n"/>
      <x:c r="I469" s="139" t="n"/>
    </x:row>
    <x:row r="470">
      <x:c r="A470" s="139" t="n"/>
      <x:c r="B470" s="139" t="n"/>
      <x:c r="C470" s="139" t="n"/>
      <x:c r="D470" s="139" t="n"/>
      <x:c r="E470" s="139" t="n"/>
      <x:c r="F470" s="139" t="n"/>
      <x:c r="G470" s="139" t="n"/>
      <x:c r="H470" s="139" t="n"/>
      <x:c r="I470" s="139" t="n"/>
    </x:row>
    <x:row r="471">
      <x:c r="A471" s="139" t="n"/>
      <x:c r="B471" s="139" t="n"/>
      <x:c r="C471" s="139" t="n"/>
      <x:c r="D471" s="139" t="n"/>
      <x:c r="E471" s="139" t="n"/>
      <x:c r="F471" s="139" t="n"/>
      <x:c r="G471" s="139" t="n"/>
      <x:c r="H471" s="139" t="n"/>
      <x:c r="I471" s="139" t="n"/>
    </x:row>
    <x:row r="472">
      <x:c r="A472" s="139" t="n"/>
      <x:c r="B472" s="139" t="n"/>
      <x:c r="C472" s="139" t="n"/>
      <x:c r="D472" s="139" t="n"/>
      <x:c r="E472" s="139" t="n"/>
      <x:c r="F472" s="139" t="n"/>
      <x:c r="G472" s="139" t="n"/>
      <x:c r="H472" s="139" t="n"/>
      <x:c r="I472" s="139" t="n"/>
    </x:row>
    <x:row r="473">
      <x:c r="A473" s="139" t="n"/>
      <x:c r="B473" s="139" t="n"/>
      <x:c r="C473" s="139" t="n"/>
      <x:c r="D473" s="139" t="n"/>
      <x:c r="E473" s="139" t="n"/>
      <x:c r="F473" s="139" t="n"/>
      <x:c r="G473" s="139" t="n"/>
      <x:c r="H473" s="139" t="n"/>
      <x:c r="I473" s="139" t="n"/>
    </x:row>
    <x:row r="474">
      <x:c r="A474" s="139" t="n"/>
      <x:c r="B474" s="139" t="n"/>
      <x:c r="C474" s="139" t="n"/>
      <x:c r="D474" s="139" t="n"/>
      <x:c r="E474" s="139" t="n"/>
      <x:c r="F474" s="139" t="n"/>
      <x:c r="G474" s="139" t="n"/>
      <x:c r="H474" s="139" t="n"/>
      <x:c r="I474" s="139" t="n"/>
    </x:row>
    <x:row r="475">
      <x:c r="A475" s="139" t="n"/>
      <x:c r="B475" s="139" t="n"/>
      <x:c r="C475" s="139" t="n"/>
      <x:c r="D475" s="139" t="n"/>
      <x:c r="E475" s="139" t="n"/>
      <x:c r="F475" s="139" t="n"/>
      <x:c r="G475" s="139" t="n"/>
      <x:c r="H475" s="139" t="n"/>
      <x:c r="I475" s="139" t="n"/>
    </x:row>
    <x:row r="476">
      <x:c r="A476" s="139" t="n"/>
      <x:c r="B476" s="139" t="n"/>
      <x:c r="C476" s="139" t="n"/>
      <x:c r="D476" s="139" t="n"/>
      <x:c r="E476" s="139" t="n"/>
      <x:c r="F476" s="139" t="n"/>
      <x:c r="G476" s="139" t="n"/>
      <x:c r="H476" s="139" t="n"/>
      <x:c r="I476" s="139" t="n"/>
    </x:row>
    <x:row r="477">
      <x:c r="A477" s="139" t="n"/>
      <x:c r="B477" s="139" t="n"/>
      <x:c r="C477" s="139" t="n"/>
      <x:c r="D477" s="139" t="n"/>
      <x:c r="E477" s="139" t="n"/>
      <x:c r="F477" s="139" t="n"/>
      <x:c r="G477" s="139" t="n"/>
      <x:c r="H477" s="139" t="n"/>
      <x:c r="I477" s="139" t="n"/>
    </x:row>
    <x:row r="478">
      <x:c r="A478" s="139" t="n"/>
      <x:c r="B478" s="139" t="n"/>
      <x:c r="C478" s="139" t="n"/>
      <x:c r="D478" s="139" t="n"/>
      <x:c r="E478" s="139" t="n"/>
      <x:c r="F478" s="139" t="n"/>
      <x:c r="G478" s="139" t="n"/>
      <x:c r="H478" s="139" t="n"/>
      <x:c r="I478" s="139" t="n"/>
    </x:row>
    <x:row r="479">
      <x:c r="A479" s="139" t="n"/>
      <x:c r="B479" s="139" t="n"/>
      <x:c r="C479" s="139" t="n"/>
      <x:c r="D479" s="139" t="n"/>
      <x:c r="E479" s="139" t="n"/>
      <x:c r="F479" s="139" t="n"/>
      <x:c r="G479" s="139" t="n"/>
      <x:c r="H479" s="139" t="n"/>
      <x:c r="I479" s="139" t="n"/>
    </x:row>
    <x:row r="480">
      <x:c r="A480" s="139" t="n"/>
      <x:c r="B480" s="139" t="n"/>
      <x:c r="C480" s="139" t="n"/>
      <x:c r="D480" s="139" t="n"/>
      <x:c r="E480" s="139" t="n"/>
      <x:c r="F480" s="139" t="n"/>
      <x:c r="G480" s="139" t="n"/>
      <x:c r="H480" s="139" t="n"/>
      <x:c r="I480" s="139" t="n"/>
    </x:row>
    <x:row r="481">
      <x:c r="A481" s="139" t="n"/>
      <x:c r="B481" s="139" t="n"/>
      <x:c r="C481" s="139" t="n"/>
      <x:c r="D481" s="139" t="n"/>
      <x:c r="E481" s="139" t="n"/>
      <x:c r="F481" s="139" t="n"/>
      <x:c r="G481" s="139" t="n"/>
      <x:c r="H481" s="139" t="n"/>
      <x:c r="I481" s="139" t="n"/>
    </x:row>
    <x:row r="482">
      <x:c r="A482" s="139" t="n"/>
      <x:c r="B482" s="139" t="n"/>
      <x:c r="C482" s="139" t="n"/>
      <x:c r="D482" s="139" t="n"/>
      <x:c r="E482" s="139" t="n"/>
      <x:c r="F482" s="139" t="n"/>
      <x:c r="G482" s="139" t="n"/>
      <x:c r="H482" s="139" t="n"/>
      <x:c r="I482" s="139" t="n"/>
    </x:row>
    <x:row r="483">
      <x:c r="A483" s="139" t="n"/>
      <x:c r="B483" s="139" t="n"/>
      <x:c r="C483" s="139" t="n"/>
      <x:c r="D483" s="139" t="n"/>
      <x:c r="E483" s="139" t="n"/>
      <x:c r="F483" s="139" t="n"/>
      <x:c r="G483" s="139" t="n"/>
      <x:c r="H483" s="139" t="n"/>
      <x:c r="I483" s="139" t="n"/>
    </x:row>
    <x:row r="484">
      <x:c r="A484" s="139" t="n"/>
      <x:c r="B484" s="139" t="n"/>
      <x:c r="C484" s="139" t="n"/>
      <x:c r="D484" s="139" t="n"/>
      <x:c r="E484" s="139" t="n"/>
      <x:c r="F484" s="139" t="n"/>
      <x:c r="G484" s="139" t="n"/>
      <x:c r="H484" s="139" t="n"/>
      <x:c r="I484" s="139" t="n"/>
    </x:row>
    <x:row r="485">
      <x:c r="A485" s="139" t="n"/>
      <x:c r="B485" s="139" t="n"/>
      <x:c r="C485" s="139" t="n"/>
      <x:c r="D485" s="139" t="n"/>
      <x:c r="E485" s="139" t="n"/>
      <x:c r="F485" s="139" t="n"/>
      <x:c r="G485" s="139" t="n"/>
      <x:c r="H485" s="139" t="n"/>
      <x:c r="I485" s="139" t="n"/>
    </x:row>
    <x:row r="486">
      <x:c r="A486" s="139" t="n"/>
      <x:c r="B486" s="139" t="n"/>
      <x:c r="C486" s="139" t="n"/>
      <x:c r="D486" s="139" t="n"/>
      <x:c r="E486" s="139" t="n"/>
      <x:c r="F486" s="139" t="n"/>
      <x:c r="G486" s="139" t="n"/>
      <x:c r="H486" s="139" t="n"/>
      <x:c r="I486" s="139" t="n"/>
    </x:row>
    <x:row r="487">
      <x:c r="A487" s="139" t="n"/>
      <x:c r="B487" s="139" t="n"/>
      <x:c r="C487" s="139" t="n"/>
      <x:c r="D487" s="139" t="n"/>
      <x:c r="E487" s="139" t="n"/>
      <x:c r="F487" s="139" t="n"/>
      <x:c r="G487" s="139" t="n"/>
      <x:c r="H487" s="139" t="n"/>
      <x:c r="I487" s="139" t="n"/>
    </x:row>
    <x:row r="488">
      <x:c r="A488" s="139" t="n"/>
      <x:c r="B488" s="139" t="n"/>
      <x:c r="C488" s="139" t="n"/>
      <x:c r="D488" s="139" t="n"/>
      <x:c r="E488" s="139" t="n"/>
      <x:c r="F488" s="139" t="n"/>
      <x:c r="G488" s="139" t="n"/>
      <x:c r="H488" s="139" t="n"/>
      <x:c r="I488" s="139" t="n"/>
    </x:row>
    <x:row r="489">
      <x:c r="A489" s="139" t="n"/>
      <x:c r="B489" s="139" t="n"/>
      <x:c r="C489" s="139" t="n"/>
      <x:c r="D489" s="139" t="n"/>
      <x:c r="E489" s="139" t="n"/>
      <x:c r="F489" s="139" t="n"/>
      <x:c r="G489" s="139" t="n"/>
      <x:c r="H489" s="139" t="n"/>
      <x:c r="I489" s="139" t="n"/>
    </x:row>
    <x:row r="490">
      <x:c r="A490" s="139" t="n"/>
      <x:c r="B490" s="139" t="n"/>
      <x:c r="C490" s="139" t="n"/>
      <x:c r="D490" s="139" t="n"/>
      <x:c r="E490" s="139" t="n"/>
      <x:c r="F490" s="139" t="n"/>
      <x:c r="G490" s="139" t="n"/>
      <x:c r="H490" s="139" t="n"/>
      <x:c r="I490" s="139" t="n"/>
    </x:row>
    <x:row r="491">
      <x:c r="A491" s="139" t="n"/>
      <x:c r="B491" s="139" t="n"/>
      <x:c r="C491" s="139" t="n"/>
      <x:c r="D491" s="139" t="n"/>
      <x:c r="E491" s="139" t="n"/>
      <x:c r="F491" s="139" t="n"/>
      <x:c r="G491" s="139" t="n"/>
      <x:c r="H491" s="139" t="n"/>
      <x:c r="I491" s="139" t="n"/>
    </x:row>
    <x:row r="492">
      <x:c r="A492" s="139" t="n"/>
      <x:c r="B492" s="139" t="n"/>
      <x:c r="C492" s="139" t="n"/>
      <x:c r="D492" s="139" t="n"/>
      <x:c r="E492" s="139" t="n"/>
      <x:c r="F492" s="139" t="n"/>
      <x:c r="G492" s="139" t="n"/>
      <x:c r="H492" s="139" t="n"/>
      <x:c r="I492" s="139" t="n"/>
    </x:row>
    <x:row r="493">
      <x:c r="A493" s="139" t="n"/>
      <x:c r="B493" s="139" t="n"/>
      <x:c r="C493" s="139" t="n"/>
      <x:c r="D493" s="139" t="n"/>
      <x:c r="E493" s="139" t="n"/>
      <x:c r="F493" s="139" t="n"/>
      <x:c r="G493" s="139" t="n"/>
      <x:c r="H493" s="139" t="n"/>
      <x:c r="I493" s="139" t="n"/>
    </x:row>
    <x:row r="494">
      <x:c r="A494" s="139" t="n"/>
      <x:c r="B494" s="139" t="n"/>
      <x:c r="C494" s="139" t="n"/>
      <x:c r="D494" s="139" t="n"/>
      <x:c r="E494" s="139" t="n"/>
      <x:c r="F494" s="139" t="n"/>
      <x:c r="G494" s="139" t="n"/>
      <x:c r="H494" s="139" t="n"/>
      <x:c r="I494" s="139" t="n"/>
    </x:row>
    <x:row r="495">
      <x:c r="A495" s="139" t="n"/>
      <x:c r="B495" s="139" t="n"/>
      <x:c r="C495" s="139" t="n"/>
      <x:c r="D495" s="139" t="n"/>
      <x:c r="E495" s="139" t="n"/>
      <x:c r="F495" s="139" t="n"/>
      <x:c r="G495" s="139" t="n"/>
      <x:c r="H495" s="139" t="n"/>
      <x:c r="I495" s="139" t="n"/>
    </x:row>
    <x:row r="496">
      <x:c r="A496" s="139" t="n"/>
      <x:c r="B496" s="139" t="n"/>
      <x:c r="C496" s="139" t="n"/>
      <x:c r="D496" s="139" t="n"/>
      <x:c r="E496" s="139" t="n"/>
      <x:c r="F496" s="139" t="n"/>
      <x:c r="G496" s="139" t="n"/>
      <x:c r="H496" s="139" t="n"/>
      <x:c r="I496" s="139" t="n"/>
    </x:row>
    <x:row r="497">
      <x:c r="A497" s="139" t="n"/>
      <x:c r="B497" s="139" t="n"/>
      <x:c r="C497" s="139" t="n"/>
      <x:c r="D497" s="139" t="n"/>
      <x:c r="E497" s="139" t="n"/>
      <x:c r="F497" s="139" t="n"/>
      <x:c r="G497" s="139" t="n"/>
      <x:c r="H497" s="139" t="n"/>
      <x:c r="I497" s="139" t="n"/>
    </x:row>
    <x:row r="498">
      <x:c r="A498" s="139" t="n"/>
      <x:c r="B498" s="139" t="n"/>
      <x:c r="C498" s="139" t="n"/>
      <x:c r="D498" s="139" t="n"/>
      <x:c r="E498" s="139" t="n"/>
      <x:c r="F498" s="139" t="n"/>
      <x:c r="G498" s="139" t="n"/>
      <x:c r="H498" s="139" t="n"/>
      <x:c r="I498" s="139" t="n"/>
    </x:row>
    <x:row r="499">
      <x:c r="A499" s="139" t="n"/>
      <x:c r="B499" s="139" t="n"/>
      <x:c r="C499" s="139" t="n"/>
      <x:c r="D499" s="139" t="n"/>
      <x:c r="E499" s="139" t="n"/>
      <x:c r="F499" s="139" t="n"/>
      <x:c r="G499" s="139" t="n"/>
      <x:c r="H499" s="139" t="n"/>
      <x:c r="I499" s="139" t="n"/>
    </x:row>
    <x:row r="500">
      <x:c r="A500" s="139" t="n"/>
      <x:c r="B500" s="139" t="n"/>
      <x:c r="C500" s="139" t="n"/>
      <x:c r="D500" s="139" t="n"/>
      <x:c r="E500" s="139" t="n"/>
      <x:c r="F500" s="139" t="n"/>
      <x:c r="G500" s="139" t="n"/>
      <x:c r="H500" s="139" t="n"/>
      <x:c r="I500" s="139" t="n"/>
    </x:row>
  </x:sheetData>
  <x:pageMargins left="0.7" right="0.7" top="0.75" bottom="0.75" header="0.3" footer="0.3"/>
  <x:tableParts count="1">
    <x:tablePart xmlns:r="http://schemas.openxmlformats.org/officeDocument/2006/relationships" r:id="R797b3fb1f8d64f65"/>
  </x:tableParts>
</x:worksheet>
</file>

<file path=xl/worksheets/sheet9.xml><?xml version="1.0" encoding="utf-8"?>
<x:worksheet xmlns:x="http://schemas.openxmlformats.org/spreadsheetml/2006/main">
  <x:sheetFormatPr baseColWidth="8" defaultRowHeight="15"/>
  <x:cols>
    <x:col min="1" max="1" width="18" style="125" customWidth="1"/>
    <x:col min="2" max="2" width="11" style="125" customWidth="1"/>
    <x:col min="3" max="3" width="11" style="125" customWidth="1"/>
    <x:col min="4" max="4" width="11" style="125" customWidth="1"/>
    <x:col min="5" max="5" width="11" style="125" customWidth="1"/>
    <x:col min="6" max="6" width="11" style="125" customWidth="1"/>
    <x:col min="7" max="7" width="11" style="125" customWidth="1"/>
    <x:col min="8" max="8" width="11" style="125" customWidth="1"/>
    <x:col min="9" max="9" width="11" style="125" customWidth="1"/>
    <x:col min="10" max="10" width="11" style="125" customWidth="1"/>
    <x:col min="11" max="11" width="11" style="125" customWidth="1"/>
    <x:col min="12" max="12" width="11" style="125" customWidth="1"/>
    <x:col min="13" max="13" width="11" style="125" customWidth="1"/>
    <x:col min="14" max="14" width="11" style="125" customWidth="1"/>
    <x:col min="15" max="15" width="11" style="125" customWidth="1"/>
    <x:col min="16" max="16" width="11" style="125" customWidth="1"/>
    <x:col min="17" max="17" width="11" style="125" customWidth="1"/>
    <x:col min="18" max="18" width="11" style="125" customWidth="1"/>
    <x:col min="19" max="19" width="11" style="125" customWidth="1"/>
    <x:col min="20" max="20" width="11" style="125" customWidth="1"/>
    <x:col min="21" max="21" width="11" style="125" customWidth="1"/>
  </x:cols>
  <x:sheetData>
    <x:row r="1">
      <x:c r="A1" s="92" t="inlineStr">
        <x:is>
          <x:t xml:space="preserve">Player \ Opponent</x:t>
        </x:is>
      </x:c>
      <x:c r="B1" s="92" t="inlineStr">
        <x:is>
          <x:t xml:space="preserve">Alice</x:t>
        </x:is>
      </x:c>
      <x:c r="C1" s="92" t="inlineStr">
        <x:is>
          <x:t xml:space="preserve">Alwin</x:t>
        </x:is>
      </x:c>
      <x:c r="D1" s="92" t="inlineStr">
        <x:is>
          <x:t xml:space="preserve">Austin</x:t>
        </x:is>
      </x:c>
      <x:c r="E1" s="92" t="inlineStr">
        <x:is>
          <x:t xml:space="preserve">David</x:t>
        </x:is>
      </x:c>
      <x:c r="F1" s="92" t="inlineStr">
        <x:is>
          <x:t xml:space="preserve">Donny</x:t>
        </x:is>
      </x:c>
      <x:c r="G1" s="92" t="inlineStr">
        <x:is>
          <x:t xml:space="preserve">Edy SP</x:t>
        </x:is>
      </x:c>
      <x:c r="H1" s="92" t="inlineStr">
        <x:is>
          <x:t xml:space="preserve">Hansen</x:t>
        </x:is>
      </x:c>
      <x:c r="I1" s="92" t="inlineStr">
        <x:is>
          <x:t xml:space="preserve">Jonathan</x:t>
        </x:is>
      </x:c>
      <x:c r="J1" s="92" t="inlineStr">
        <x:is>
          <x:t xml:space="preserve">Kennard</x:t>
        </x:is>
      </x:c>
      <x:c r="K1" s="92" t="inlineStr">
        <x:is>
          <x:t xml:space="preserve">Michael</x:t>
        </x:is>
      </x:c>
      <x:c r="L1" s="92" t="inlineStr">
        <x:is>
          <x:t xml:space="preserve">Nicholas</x:t>
        </x:is>
      </x:c>
      <x:c r="M1" s="92" t="inlineStr">
        <x:is>
          <x:t xml:space="preserve">Nico</x:t>
        </x:is>
      </x:c>
      <x:c r="N1" s="92" t="inlineStr">
        <x:is>
          <x:t xml:space="preserve">Rey</x:t>
        </x:is>
      </x:c>
      <x:c r="O1" s="92" t="inlineStr">
        <x:is>
          <x:t xml:space="preserve">Reza</x:t>
        </x:is>
      </x:c>
      <x:c r="P1" s="92" t="inlineStr">
        <x:is>
          <x:t xml:space="preserve">Ricky</x:t>
        </x:is>
      </x:c>
      <x:c r="Q1" s="92" t="inlineStr">
        <x:is>
          <x:t xml:space="preserve">Rizky</x:t>
        </x:is>
      </x:c>
      <x:c r="R1" s="92" t="inlineStr">
        <x:is>
          <x:t xml:space="preserve">Ronald</x:t>
        </x:is>
      </x:c>
      <x:c r="S1" s="92" t="inlineStr">
        <x:is>
          <x:t xml:space="preserve">Sandy</x:t>
        </x:is>
      </x:c>
      <x:c r="T1" s="92" t="inlineStr">
        <x:is>
          <x:t xml:space="preserve">Thohir</x:t>
        </x:is>
      </x:c>
      <x:c r="U1" s="92" t="inlineStr">
        <x:is>
          <x:t xml:space="preserve">Welly</x:t>
        </x:is>
      </x:c>
    </x:row>
    <x:row r="2">
      <x:c r="A2" s="139" t="inlineStr">
        <x:is>
          <x:t xml:space="preserve">Alice</x:t>
        </x:is>
      </x:c>
      <x:c r="B2" s="97" t="inlineStr">
        <x:is>
          <x:t xml:space="preserve">—</x:t>
        </x:is>
      </x:c>
      <x:c r="C2" s="97" t="n"/>
      <x:c r="D2" s="97" t="n">
        <x:v>0</x:v>
      </x:c>
      <x:c r="E2" s="97" t="n">
        <x:v>0</x:v>
      </x:c>
      <x:c r="F2" s="97" t="n">
        <x:v>0.5</x:v>
      </x:c>
      <x:c r="G2" s="97" t="n">
        <x:v>0</x:v>
      </x:c>
      <x:c r="H2" s="97" t="n"/>
      <x:c r="I2" s="97" t="n">
        <x:v>0</x:v>
      </x:c>
      <x:c r="J2" s="97" t="n">
        <x:v>0</x:v>
      </x:c>
      <x:c r="K2" s="97" t="n">
        <x:v>0</x:v>
      </x:c>
      <x:c r="L2" s="97" t="n">
        <x:v>0</x:v>
      </x:c>
      <x:c r="M2" s="97" t="n">
        <x:v>0</x:v>
      </x:c>
      <x:c r="N2" s="97" t="n">
        <x:v>0</x:v>
      </x:c>
      <x:c r="O2" s="97" t="n"/>
      <x:c r="P2" s="97" t="n">
        <x:v>0.25</x:v>
      </x:c>
      <x:c r="Q2" s="97" t="n"/>
      <x:c r="R2" s="97" t="n">
        <x:v>0</x:v>
      </x:c>
      <x:c r="S2" s="97" t="n">
        <x:v>0</x:v>
      </x:c>
      <x:c r="T2" s="97" t="n"/>
      <x:c r="U2" s="97" t="n"/>
    </x:row>
    <x:row r="3">
      <x:c r="A3" s="139" t="inlineStr">
        <x:is>
          <x:t xml:space="preserve">Alwin</x:t>
        </x:is>
      </x:c>
      <x:c r="B3" s="97" t="n"/>
      <x:c r="C3" s="97" t="inlineStr">
        <x:is>
          <x:t xml:space="preserve">—</x:t>
        </x:is>
      </x:c>
      <x:c r="D3" s="97" t="n">
        <x:v>0</x:v>
      </x:c>
      <x:c r="E3" s="97" t="n"/>
      <x:c r="F3" s="97" t="n"/>
      <x:c r="G3" s="97" t="n">
        <x:v>0</x:v>
      </x:c>
      <x:c r="H3" s="97" t="n"/>
      <x:c r="I3" s="97" t="n"/>
      <x:c r="J3" s="97" t="n">
        <x:v>0</x:v>
      </x:c>
      <x:c r="K3" s="97" t="n">
        <x:v>0</x:v>
      </x:c>
      <x:c r="L3" s="97" t="n"/>
      <x:c r="M3" s="97" t="n"/>
      <x:c r="N3" s="97" t="n"/>
      <x:c r="O3" s="97" t="n"/>
      <x:c r="P3" s="97" t="n">
        <x:v>0.5</x:v>
      </x:c>
      <x:c r="Q3" s="97" t="n"/>
      <x:c r="R3" s="97" t="n"/>
      <x:c r="S3" s="97" t="n">
        <x:v>0</x:v>
      </x:c>
      <x:c r="T3" s="97" t="n"/>
      <x:c r="U3" s="97" t="n">
        <x:v>0.5</x:v>
      </x:c>
    </x:row>
    <x:row r="4">
      <x:c r="A4" s="139" t="inlineStr">
        <x:is>
          <x:t xml:space="preserve">Austin</x:t>
        </x:is>
      </x:c>
      <x:c r="B4" s="97" t="n">
        <x:v>1</x:v>
      </x:c>
      <x:c r="C4" s="97" t="n">
        <x:v>1</x:v>
      </x:c>
      <x:c r="D4" s="97" t="inlineStr">
        <x:is>
          <x:t xml:space="preserve">—</x:t>
        </x:is>
      </x:c>
      <x:c r="E4" s="97" t="n">
        <x:v>0</x:v>
      </x:c>
      <x:c r="F4" s="97" t="n">
        <x:v>0</x:v>
      </x:c>
      <x:c r="G4" s="97" t="n">
        <x:v>0.5</x:v>
      </x:c>
      <x:c r="H4" s="97" t="n"/>
      <x:c r="I4" s="97" t="n">
        <x:v>0.5</x:v>
      </x:c>
      <x:c r="J4" s="97" t="n">
        <x:v>0.5</x:v>
      </x:c>
      <x:c r="K4" s="97" t="n">
        <x:v>0</x:v>
      </x:c>
      <x:c r="L4" s="97" t="n">
        <x:v>1</x:v>
      </x:c>
      <x:c r="M4" s="97" t="n"/>
      <x:c r="N4" s="97" t="n"/>
      <x:c r="O4" s="97" t="n">
        <x:v>1</x:v>
      </x:c>
      <x:c r="P4" s="97" t="n">
        <x:v>1</x:v>
      </x:c>
      <x:c r="Q4" s="97" t="n"/>
      <x:c r="R4" s="97" t="n">
        <x:v>0.5</x:v>
      </x:c>
      <x:c r="S4" s="97" t="n">
        <x:v>0.5</x:v>
      </x:c>
      <x:c r="T4" s="97" t="n"/>
      <x:c r="U4" s="97" t="n">
        <x:v>1</x:v>
      </x:c>
    </x:row>
    <x:row r="5">
      <x:c r="A5" s="139" t="inlineStr">
        <x:is>
          <x:t xml:space="preserve">David</x:t>
        </x:is>
      </x:c>
      <x:c r="B5" s="97" t="n">
        <x:v>1</x:v>
      </x:c>
      <x:c r="C5" s="97" t="n"/>
      <x:c r="D5" s="97" t="n">
        <x:v>1</x:v>
      </x:c>
      <x:c r="E5" s="97" t="inlineStr">
        <x:is>
          <x:t xml:space="preserve">—</x:t>
        </x:is>
      </x:c>
      <x:c r="F5" s="97" t="n">
        <x:v>0</x:v>
      </x:c>
      <x:c r="G5" s="97" t="n">
        <x:v>0.5</x:v>
      </x:c>
      <x:c r="H5" s="97" t="n"/>
      <x:c r="I5" s="97" t="n"/>
      <x:c r="J5" s="97" t="n">
        <x:v>0</x:v>
      </x:c>
      <x:c r="K5" s="97" t="n">
        <x:v>0.5</x:v>
      </x:c>
      <x:c r="L5" s="97" t="n">
        <x:v>0.5</x:v>
      </x:c>
      <x:c r="M5" s="97" t="n">
        <x:v>1</x:v>
      </x:c>
      <x:c r="N5" s="97" t="n">
        <x:v>0</x:v>
      </x:c>
      <x:c r="O5" s="97" t="n"/>
      <x:c r="P5" s="97" t="n">
        <x:v>0.3333333333333333</x:v>
      </x:c>
      <x:c r="Q5" s="97" t="n"/>
      <x:c r="R5" s="97" t="n">
        <x:v>0.3333333333333333</x:v>
      </x:c>
      <x:c r="S5" s="97" t="n">
        <x:v>0</x:v>
      </x:c>
      <x:c r="T5" s="97" t="n"/>
      <x:c r="U5" s="97" t="n"/>
    </x:row>
    <x:row r="6">
      <x:c r="A6" s="139" t="inlineStr">
        <x:is>
          <x:t xml:space="preserve">Donny</x:t>
        </x:is>
      </x:c>
      <x:c r="B6" s="97" t="n">
        <x:v>0.5</x:v>
      </x:c>
      <x:c r="C6" s="97" t="n"/>
      <x:c r="D6" s="97" t="n">
        <x:v>1</x:v>
      </x:c>
      <x:c r="E6" s="97" t="n">
        <x:v>1</x:v>
      </x:c>
      <x:c r="F6" s="97" t="inlineStr">
        <x:is>
          <x:t xml:space="preserve">—</x:t>
        </x:is>
      </x:c>
      <x:c r="G6" s="97" t="n">
        <x:v>0.25</x:v>
      </x:c>
      <x:c r="H6" s="97" t="n"/>
      <x:c r="I6" s="97" t="n">
        <x:v>0</x:v>
      </x:c>
      <x:c r="J6" s="97" t="n"/>
      <x:c r="K6" s="97" t="n"/>
      <x:c r="L6" s="97" t="n">
        <x:v>0</x:v>
      </x:c>
      <x:c r="M6" s="97" t="n"/>
      <x:c r="N6" s="97" t="n"/>
      <x:c r="O6" s="97" t="n"/>
      <x:c r="P6" s="97" t="n">
        <x:v>0.5</x:v>
      </x:c>
      <x:c r="Q6" s="97" t="n"/>
      <x:c r="R6" s="97" t="n">
        <x:v>0.25</x:v>
      </x:c>
      <x:c r="S6" s="97" t="n">
        <x:v>1</x:v>
      </x:c>
      <x:c r="T6" s="97" t="n">
        <x:v>0</x:v>
      </x:c>
      <x:c r="U6" s="97" t="n">
        <x:v>0.5</x:v>
      </x:c>
    </x:row>
    <x:row r="7">
      <x:c r="A7" s="139" t="inlineStr">
        <x:is>
          <x:t xml:space="preserve">Edy SP</x:t>
        </x:is>
      </x:c>
      <x:c r="B7" s="97" t="n">
        <x:v>1</x:v>
      </x:c>
      <x:c r="C7" s="97" t="n">
        <x:v>1</x:v>
      </x:c>
      <x:c r="D7" s="97" t="n">
        <x:v>0.5</x:v>
      </x:c>
      <x:c r="E7" s="97" t="n">
        <x:v>0.5</x:v>
      </x:c>
      <x:c r="F7" s="97" t="n">
        <x:v>0.75</x:v>
      </x:c>
      <x:c r="G7" s="97" t="inlineStr">
        <x:is>
          <x:t xml:space="preserve">—</x:t>
        </x:is>
      </x:c>
      <x:c r="H7" s="97" t="n">
        <x:v>1</x:v>
      </x:c>
      <x:c r="I7" s="97" t="n">
        <x:v>0</x:v>
      </x:c>
      <x:c r="J7" s="97" t="n">
        <x:v>0.25</x:v>
      </x:c>
      <x:c r="K7" s="97" t="n">
        <x:v>0.5</x:v>
      </x:c>
      <x:c r="L7" s="97" t="n">
        <x:v>0.5</x:v>
      </x:c>
      <x:c r="M7" s="97" t="n">
        <x:v>1</x:v>
      </x:c>
      <x:c r="N7" s="97" t="n">
        <x:v>0</x:v>
      </x:c>
      <x:c r="O7" s="97" t="n">
        <x:v>0.5</x:v>
      </x:c>
      <x:c r="P7" s="97" t="n">
        <x:v>0.375</x:v>
      </x:c>
      <x:c r="Q7" s="97" t="n">
        <x:v>0.5</x:v>
      </x:c>
      <x:c r="R7" s="97" t="n">
        <x:v>0.1666666666666667</x:v>
      </x:c>
      <x:c r="S7" s="97" t="n">
        <x:v>0</x:v>
      </x:c>
      <x:c r="T7" s="97" t="n">
        <x:v>0</x:v>
      </x:c>
      <x:c r="U7" s="97" t="n">
        <x:v>0.5</x:v>
      </x:c>
    </x:row>
    <x:row r="8">
      <x:c r="A8" s="139" t="inlineStr">
        <x:is>
          <x:t xml:space="preserve">Hansen</x:t>
        </x:is>
      </x:c>
      <x:c r="B8" s="97" t="n"/>
      <x:c r="C8" s="97" t="n"/>
      <x:c r="D8" s="97" t="n"/>
      <x:c r="E8" s="97" t="n"/>
      <x:c r="F8" s="97" t="n"/>
      <x:c r="G8" s="97" t="n">
        <x:v>0</x:v>
      </x:c>
      <x:c r="H8" s="97" t="inlineStr">
        <x:is>
          <x:t xml:space="preserve">—</x:t>
        </x:is>
      </x:c>
      <x:c r="I8" s="97" t="n"/>
      <x:c r="J8" s="97" t="n"/>
      <x:c r="K8" s="97" t="n"/>
      <x:c r="L8" s="97" t="n"/>
      <x:c r="M8" s="97" t="n"/>
      <x:c r="N8" s="97" t="n"/>
      <x:c r="O8" s="97" t="n"/>
      <x:c r="P8" s="97" t="n">
        <x:v>0</x:v>
      </x:c>
      <x:c r="Q8" s="97" t="n">
        <x:v>0</x:v>
      </x:c>
      <x:c r="R8" s="97" t="n"/>
      <x:c r="S8" s="97" t="n"/>
      <x:c r="T8" s="97" t="n"/>
      <x:c r="U8" s="97" t="n"/>
    </x:row>
    <x:row r="9">
      <x:c r="A9" s="139" t="inlineStr">
        <x:is>
          <x:t xml:space="preserve">Jonathan</x:t>
        </x:is>
      </x:c>
      <x:c r="B9" s="97" t="n">
        <x:v>1</x:v>
      </x:c>
      <x:c r="C9" s="97" t="n"/>
      <x:c r="D9" s="97" t="n">
        <x:v>0.5</x:v>
      </x:c>
      <x:c r="E9" s="97" t="n"/>
      <x:c r="F9" s="97" t="n">
        <x:v>1</x:v>
      </x:c>
      <x:c r="G9" s="97" t="n">
        <x:v>1</x:v>
      </x:c>
      <x:c r="H9" s="97" t="n"/>
      <x:c r="I9" s="97" t="inlineStr">
        <x:is>
          <x:t xml:space="preserve">—</x:t>
        </x:is>
      </x:c>
      <x:c r="J9" s="97" t="n"/>
      <x:c r="K9" s="97" t="n"/>
      <x:c r="L9" s="97" t="n">
        <x:v>1</x:v>
      </x:c>
      <x:c r="M9" s="97" t="n"/>
      <x:c r="N9" s="97" t="n"/>
      <x:c r="O9" s="97" t="n"/>
      <x:c r="P9" s="97" t="n">
        <x:v>0.5</x:v>
      </x:c>
      <x:c r="Q9" s="97" t="n"/>
      <x:c r="R9" s="97" t="n">
        <x:v>0</x:v>
      </x:c>
      <x:c r="S9" s="97" t="n">
        <x:v>0</x:v>
      </x:c>
      <x:c r="T9" s="97" t="n"/>
      <x:c r="U9" s="97" t="n"/>
    </x:row>
    <x:row r="10">
      <x:c r="A10" s="139" t="inlineStr">
        <x:is>
          <x:t xml:space="preserve">Kennard</x:t>
        </x:is>
      </x:c>
      <x:c r="B10" s="97" t="n">
        <x:v>1</x:v>
      </x:c>
      <x:c r="C10" s="97" t="n">
        <x:v>1</x:v>
      </x:c>
      <x:c r="D10" s="97" t="n">
        <x:v>0.5</x:v>
      </x:c>
      <x:c r="E10" s="97" t="n">
        <x:v>1</x:v>
      </x:c>
      <x:c r="F10" s="97" t="n"/>
      <x:c r="G10" s="97" t="n">
        <x:v>0.75</x:v>
      </x:c>
      <x:c r="H10" s="97" t="n"/>
      <x:c r="I10" s="97" t="n"/>
      <x:c r="J10" s="97" t="inlineStr">
        <x:is>
          <x:t xml:space="preserve">—</x:t>
        </x:is>
      </x:c>
      <x:c r="K10" s="97" t="n">
        <x:v>1</x:v>
      </x:c>
      <x:c r="L10" s="97" t="n"/>
      <x:c r="M10" s="97" t="n">
        <x:v>0.5</x:v>
      </x:c>
      <x:c r="N10" s="97" t="n">
        <x:v>0.5</x:v>
      </x:c>
      <x:c r="O10" s="97" t="n">
        <x:v>1</x:v>
      </x:c>
      <x:c r="P10" s="97" t="n">
        <x:v>0</x:v>
      </x:c>
      <x:c r="Q10" s="97" t="n"/>
      <x:c r="R10" s="97" t="n">
        <x:v>1</x:v>
      </x:c>
      <x:c r="S10" s="97" t="n">
        <x:v>0</x:v>
      </x:c>
      <x:c r="T10" s="97" t="n"/>
      <x:c r="U10" s="97" t="n">
        <x:v>1</x:v>
      </x:c>
    </x:row>
    <x:row r="11">
      <x:c r="A11" s="139" t="inlineStr">
        <x:is>
          <x:t xml:space="preserve">Michael</x:t>
        </x:is>
      </x:c>
      <x:c r="B11" s="97" t="n">
        <x:v>1</x:v>
      </x:c>
      <x:c r="C11" s="97" t="n">
        <x:v>1</x:v>
      </x:c>
      <x:c r="D11" s="97" t="n">
        <x:v>1</x:v>
      </x:c>
      <x:c r="E11" s="97" t="n">
        <x:v>0.5</x:v>
      </x:c>
      <x:c r="F11" s="97" t="n"/>
      <x:c r="G11" s="97" t="n">
        <x:v>0.5</x:v>
      </x:c>
      <x:c r="H11" s="97" t="n"/>
      <x:c r="I11" s="97" t="n"/>
      <x:c r="J11" s="97" t="n">
        <x:v>0</x:v>
      </x:c>
      <x:c r="K11" s="97" t="inlineStr">
        <x:is>
          <x:t xml:space="preserve">—</x:t>
        </x:is>
      </x:c>
      <x:c r="L11" s="97" t="n"/>
      <x:c r="M11" s="97" t="n">
        <x:v>0</x:v>
      </x:c>
      <x:c r="N11" s="97" t="n">
        <x:v>0.5</x:v>
      </x:c>
      <x:c r="O11" s="97" t="n">
        <x:v>0.5</x:v>
      </x:c>
      <x:c r="P11" s="97" t="n">
        <x:v>0.25</x:v>
      </x:c>
      <x:c r="Q11" s="97" t="n"/>
      <x:c r="R11" s="97" t="n">
        <x:v>0</x:v>
      </x:c>
      <x:c r="S11" s="97" t="n">
        <x:v>0</x:v>
      </x:c>
      <x:c r="T11" s="97" t="n"/>
      <x:c r="U11" s="97" t="n">
        <x:v>1</x:v>
      </x:c>
    </x:row>
    <x:row r="12">
      <x:c r="A12" s="139" t="inlineStr">
        <x:is>
          <x:t xml:space="preserve">Nicholas</x:t>
        </x:is>
      </x:c>
      <x:c r="B12" s="97" t="n">
        <x:v>1</x:v>
      </x:c>
      <x:c r="C12" s="97" t="n"/>
      <x:c r="D12" s="97" t="n">
        <x:v>0</x:v>
      </x:c>
      <x:c r="E12" s="97" t="n">
        <x:v>0.5</x:v>
      </x:c>
      <x:c r="F12" s="97" t="n">
        <x:v>1</x:v>
      </x:c>
      <x:c r="G12" s="97" t="n">
        <x:v>0.5</x:v>
      </x:c>
      <x:c r="H12" s="97" t="n"/>
      <x:c r="I12" s="97" t="n">
        <x:v>0</x:v>
      </x:c>
      <x:c r="J12" s="97" t="n"/>
      <x:c r="K12" s="97" t="n"/>
      <x:c r="L12" s="97" t="inlineStr">
        <x:is>
          <x:t xml:space="preserve">—</x:t>
        </x:is>
      </x:c>
      <x:c r="M12" s="97" t="n"/>
      <x:c r="N12" s="97" t="n"/>
      <x:c r="O12" s="97" t="n"/>
      <x:c r="P12" s="97" t="n">
        <x:v>0</x:v>
      </x:c>
      <x:c r="Q12" s="97" t="n"/>
      <x:c r="R12" s="97" t="n">
        <x:v>0.5</x:v>
      </x:c>
      <x:c r="S12" s="97" t="n">
        <x:v>0</x:v>
      </x:c>
      <x:c r="T12" s="97" t="n"/>
      <x:c r="U12" s="97" t="n"/>
    </x:row>
    <x:row r="13">
      <x:c r="A13" s="139" t="inlineStr">
        <x:is>
          <x:t xml:space="preserve">Nico</x:t>
        </x:is>
      </x:c>
      <x:c r="B13" s="97" t="n">
        <x:v>1</x:v>
      </x:c>
      <x:c r="C13" s="97" t="n"/>
      <x:c r="D13" s="97" t="n"/>
      <x:c r="E13" s="97" t="n">
        <x:v>0</x:v>
      </x:c>
      <x:c r="F13" s="97" t="n"/>
      <x:c r="G13" s="97" t="n">
        <x:v>0</x:v>
      </x:c>
      <x:c r="H13" s="97" t="n"/>
      <x:c r="I13" s="97" t="n"/>
      <x:c r="J13" s="97" t="n">
        <x:v>0.5</x:v>
      </x:c>
      <x:c r="K13" s="97" t="n">
        <x:v>1</x:v>
      </x:c>
      <x:c r="L13" s="97" t="n"/>
      <x:c r="M13" s="97" t="inlineStr">
        <x:is>
          <x:t xml:space="preserve">—</x:t>
        </x:is>
      </x:c>
      <x:c r="N13" s="97" t="n">
        <x:v>0</x:v>
      </x:c>
      <x:c r="O13" s="97" t="n"/>
      <x:c r="P13" s="97" t="n">
        <x:v>0</x:v>
      </x:c>
      <x:c r="Q13" s="97" t="n"/>
      <x:c r="R13" s="97" t="n">
        <x:v>0</x:v>
      </x:c>
      <x:c r="S13" s="97" t="n"/>
      <x:c r="T13" s="97" t="n"/>
      <x:c r="U13" s="97" t="n"/>
    </x:row>
    <x:row r="14">
      <x:c r="A14" s="139" t="inlineStr">
        <x:is>
          <x:t xml:space="preserve">Rey</x:t>
        </x:is>
      </x:c>
      <x:c r="B14" s="97" t="n">
        <x:v>1</x:v>
      </x:c>
      <x:c r="C14" s="97" t="n"/>
      <x:c r="D14" s="97" t="n"/>
      <x:c r="E14" s="97" t="n">
        <x:v>1</x:v>
      </x:c>
      <x:c r="F14" s="97" t="n"/>
      <x:c r="G14" s="97" t="n">
        <x:v>1</x:v>
      </x:c>
      <x:c r="H14" s="97" t="n"/>
      <x:c r="I14" s="97" t="n"/>
      <x:c r="J14" s="97" t="n">
        <x:v>0.5</x:v>
      </x:c>
      <x:c r="K14" s="97" t="n">
        <x:v>0.5</x:v>
      </x:c>
      <x:c r="L14" s="97" t="n"/>
      <x:c r="M14" s="97" t="n">
        <x:v>1</x:v>
      </x:c>
      <x:c r="N14" s="97" t="inlineStr">
        <x:is>
          <x:t xml:space="preserve">—</x:t>
        </x:is>
      </x:c>
      <x:c r="O14" s="97" t="n"/>
      <x:c r="P14" s="97" t="n">
        <x:v>0.5</x:v>
      </x:c>
      <x:c r="Q14" s="97" t="n"/>
      <x:c r="R14" s="97" t="n">
        <x:v>0.5</x:v>
      </x:c>
      <x:c r="S14" s="97" t="n"/>
      <x:c r="T14" s="97" t="n"/>
      <x:c r="U14" s="97" t="n"/>
    </x:row>
    <x:row r="15">
      <x:c r="A15" s="139" t="inlineStr">
        <x:is>
          <x:t xml:space="preserve">Reza</x:t>
        </x:is>
      </x:c>
      <x:c r="B15" s="97" t="n"/>
      <x:c r="C15" s="97" t="n"/>
      <x:c r="D15" s="97" t="n">
        <x:v>0</x:v>
      </x:c>
      <x:c r="E15" s="97" t="n"/>
      <x:c r="F15" s="97" t="n"/>
      <x:c r="G15" s="97" t="n">
        <x:v>0.5</x:v>
      </x:c>
      <x:c r="H15" s="97" t="n"/>
      <x:c r="I15" s="97" t="n"/>
      <x:c r="J15" s="97" t="n">
        <x:v>0</x:v>
      </x:c>
      <x:c r="K15" s="97" t="n">
        <x:v>0.5</x:v>
      </x:c>
      <x:c r="L15" s="97" t="n"/>
      <x:c r="M15" s="97" t="n"/>
      <x:c r="N15" s="97" t="n"/>
      <x:c r="O15" s="97" t="inlineStr">
        <x:is>
          <x:t xml:space="preserve">—</x:t>
        </x:is>
      </x:c>
      <x:c r="P15" s="97" t="n">
        <x:v>0</x:v>
      </x:c>
      <x:c r="Q15" s="97" t="n"/>
      <x:c r="R15" s="97" t="n"/>
      <x:c r="S15" s="97" t="n">
        <x:v>0.5</x:v>
      </x:c>
      <x:c r="T15" s="97" t="n"/>
      <x:c r="U15" s="97" t="n">
        <x:v>1</x:v>
      </x:c>
    </x:row>
    <x:row r="16">
      <x:c r="A16" s="139" t="inlineStr">
        <x:is>
          <x:t xml:space="preserve">Ricky</x:t>
        </x:is>
      </x:c>
      <x:c r="B16" s="97" t="n">
        <x:v>0.75</x:v>
      </x:c>
      <x:c r="C16" s="97" t="n">
        <x:v>0.5</x:v>
      </x:c>
      <x:c r="D16" s="97" t="n">
        <x:v>0</x:v>
      </x:c>
      <x:c r="E16" s="97" t="n">
        <x:v>0.6666666666666666</x:v>
      </x:c>
      <x:c r="F16" s="97" t="n">
        <x:v>0.5</x:v>
      </x:c>
      <x:c r="G16" s="97" t="n">
        <x:v>0.625</x:v>
      </x:c>
      <x:c r="H16" s="97" t="n">
        <x:v>1</x:v>
      </x:c>
      <x:c r="I16" s="97" t="n">
        <x:v>0.5</x:v>
      </x:c>
      <x:c r="J16" s="97" t="n">
        <x:v>1</x:v>
      </x:c>
      <x:c r="K16" s="97" t="n">
        <x:v>0.75</x:v>
      </x:c>
      <x:c r="L16" s="97" t="n">
        <x:v>1</x:v>
      </x:c>
      <x:c r="M16" s="97" t="n">
        <x:v>1</x:v>
      </x:c>
      <x:c r="N16" s="97" t="n">
        <x:v>0.5</x:v>
      </x:c>
      <x:c r="O16" s="97" t="n">
        <x:v>1</x:v>
      </x:c>
      <x:c r="P16" s="97" t="inlineStr">
        <x:is>
          <x:t xml:space="preserve">—</x:t>
        </x:is>
      </x:c>
      <x:c r="Q16" s="97" t="n">
        <x:v>0.5</x:v>
      </x:c>
      <x:c r="R16" s="97" t="n">
        <x:v>0.5</x:v>
      </x:c>
      <x:c r="S16" s="97" t="n">
        <x:v>0</x:v>
      </x:c>
      <x:c r="T16" s="97" t="n"/>
      <x:c r="U16" s="97" t="n">
        <x:v>1</x:v>
      </x:c>
    </x:row>
    <x:row r="17">
      <x:c r="A17" s="139" t="inlineStr">
        <x:is>
          <x:t xml:space="preserve">Rizky</x:t>
        </x:is>
      </x:c>
      <x:c r="B17" s="97" t="n"/>
      <x:c r="C17" s="97" t="n"/>
      <x:c r="D17" s="97" t="n"/>
      <x:c r="E17" s="97" t="n"/>
      <x:c r="F17" s="97" t="n"/>
      <x:c r="G17" s="97" t="n">
        <x:v>0.5</x:v>
      </x:c>
      <x:c r="H17" s="97" t="n">
        <x:v>1</x:v>
      </x:c>
      <x:c r="I17" s="97" t="n"/>
      <x:c r="J17" s="97" t="n"/>
      <x:c r="K17" s="97" t="n"/>
      <x:c r="L17" s="97" t="n"/>
      <x:c r="M17" s="97" t="n"/>
      <x:c r="N17" s="97" t="n"/>
      <x:c r="O17" s="97" t="n"/>
      <x:c r="P17" s="97" t="n">
        <x:v>0.5</x:v>
      </x:c>
      <x:c r="Q17" s="97" t="inlineStr">
        <x:is>
          <x:t xml:space="preserve">—</x:t>
        </x:is>
      </x:c>
      <x:c r="R17" s="97" t="n"/>
      <x:c r="S17" s="97" t="n"/>
      <x:c r="T17" s="97" t="n"/>
      <x:c r="U17" s="97" t="n"/>
    </x:row>
    <x:row r="18">
      <x:c r="A18" s="139" t="inlineStr">
        <x:is>
          <x:t xml:space="preserve">Ronald</x:t>
        </x:is>
      </x:c>
      <x:c r="B18" s="97" t="n">
        <x:v>1</x:v>
      </x:c>
      <x:c r="C18" s="97" t="n"/>
      <x:c r="D18" s="97" t="n">
        <x:v>0.5</x:v>
      </x:c>
      <x:c r="E18" s="97" t="n">
        <x:v>0.6666666666666666</x:v>
      </x:c>
      <x:c r="F18" s="97" t="n">
        <x:v>0.75</x:v>
      </x:c>
      <x:c r="G18" s="97" t="n">
        <x:v>0.8333333333333334</x:v>
      </x:c>
      <x:c r="H18" s="97" t="n"/>
      <x:c r="I18" s="97" t="n">
        <x:v>1</x:v>
      </x:c>
      <x:c r="J18" s="97" t="n">
        <x:v>0</x:v>
      </x:c>
      <x:c r="K18" s="97" t="n">
        <x:v>1</x:v>
      </x:c>
      <x:c r="L18" s="97" t="n">
        <x:v>0.5</x:v>
      </x:c>
      <x:c r="M18" s="97" t="n">
        <x:v>1</x:v>
      </x:c>
      <x:c r="N18" s="97" t="n">
        <x:v>0.5</x:v>
      </x:c>
      <x:c r="O18" s="97" t="n"/>
      <x:c r="P18" s="97" t="n">
        <x:v>0.5</x:v>
      </x:c>
      <x:c r="Q18" s="97" t="n"/>
      <x:c r="R18" s="97" t="inlineStr">
        <x:is>
          <x:t xml:space="preserve">—</x:t>
        </x:is>
      </x:c>
      <x:c r="S18" s="97" t="n">
        <x:v>0</x:v>
      </x:c>
      <x:c r="T18" s="97" t="n">
        <x:v>0</x:v>
      </x:c>
      <x:c r="U18" s="97" t="n">
        <x:v>1</x:v>
      </x:c>
    </x:row>
    <x:row r="19">
      <x:c r="A19" s="139" t="inlineStr">
        <x:is>
          <x:t xml:space="preserve">Sandy</x:t>
        </x:is>
      </x:c>
      <x:c r="B19" s="97" t="n">
        <x:v>1</x:v>
      </x:c>
      <x:c r="C19" s="97" t="n">
        <x:v>1</x:v>
      </x:c>
      <x:c r="D19" s="97" t="n">
        <x:v>0.5</x:v>
      </x:c>
      <x:c r="E19" s="97" t="n">
        <x:v>1</x:v>
      </x:c>
      <x:c r="F19" s="97" t="n">
        <x:v>0</x:v>
      </x:c>
      <x:c r="G19" s="97" t="n">
        <x:v>1</x:v>
      </x:c>
      <x:c r="H19" s="97" t="n"/>
      <x:c r="I19" s="97" t="n">
        <x:v>1</x:v>
      </x:c>
      <x:c r="J19" s="97" t="n">
        <x:v>1</x:v>
      </x:c>
      <x:c r="K19" s="97" t="n">
        <x:v>1</x:v>
      </x:c>
      <x:c r="L19" s="97" t="n">
        <x:v>1</x:v>
      </x:c>
      <x:c r="M19" s="97" t="n"/>
      <x:c r="N19" s="97" t="n"/>
      <x:c r="O19" s="97" t="n">
        <x:v>0.5</x:v>
      </x:c>
      <x:c r="P19" s="97" t="n">
        <x:v>1</x:v>
      </x:c>
      <x:c r="Q19" s="97" t="n"/>
      <x:c r="R19" s="97" t="n">
        <x:v>1</x:v>
      </x:c>
      <x:c r="S19" s="97" t="inlineStr">
        <x:is>
          <x:t xml:space="preserve">—</x:t>
        </x:is>
      </x:c>
      <x:c r="T19" s="97" t="n"/>
      <x:c r="U19" s="97" t="n">
        <x:v>1</x:v>
      </x:c>
    </x:row>
    <x:row r="20">
      <x:c r="A20" s="139" t="inlineStr">
        <x:is>
          <x:t xml:space="preserve">Thohir</x:t>
        </x:is>
      </x:c>
      <x:c r="B20" s="97" t="n"/>
      <x:c r="C20" s="97" t="n"/>
      <x:c r="D20" s="97" t="n"/>
      <x:c r="E20" s="97" t="n"/>
      <x:c r="F20" s="97" t="n">
        <x:v>1</x:v>
      </x:c>
      <x:c r="G20" s="97" t="n">
        <x:v>1</x:v>
      </x:c>
      <x:c r="H20" s="97" t="n"/>
      <x:c r="I20" s="97" t="n"/>
      <x:c r="J20" s="97" t="n"/>
      <x:c r="K20" s="97" t="n"/>
      <x:c r="L20" s="97" t="n"/>
      <x:c r="M20" s="97" t="n"/>
      <x:c r="N20" s="97" t="n"/>
      <x:c r="O20" s="97" t="n"/>
      <x:c r="P20" s="97" t="n"/>
      <x:c r="Q20" s="97" t="n"/>
      <x:c r="R20" s="97" t="n">
        <x:v>1</x:v>
      </x:c>
      <x:c r="S20" s="97" t="n"/>
      <x:c r="T20" s="97" t="inlineStr">
        <x:is>
          <x:t xml:space="preserve">—</x:t>
        </x:is>
      </x:c>
      <x:c r="U20" s="97" t="n">
        <x:v>1</x:v>
      </x:c>
    </x:row>
    <x:row r="21">
      <x:c r="A21" s="139" t="inlineStr">
        <x:is>
          <x:t xml:space="preserve">Welly</x:t>
        </x:is>
      </x:c>
      <x:c r="B21" s="97" t="n"/>
      <x:c r="C21" s="97" t="n">
        <x:v>0.5</x:v>
      </x:c>
      <x:c r="D21" s="97" t="n">
        <x:v>0</x:v>
      </x:c>
      <x:c r="E21" s="97" t="n"/>
      <x:c r="F21" s="97" t="n">
        <x:v>0.5</x:v>
      </x:c>
      <x:c r="G21" s="97" t="n">
        <x:v>0.5</x:v>
      </x:c>
      <x:c r="H21" s="97" t="n"/>
      <x:c r="I21" s="97" t="n"/>
      <x:c r="J21" s="97" t="n">
        <x:v>0</x:v>
      </x:c>
      <x:c r="K21" s="97" t="n">
        <x:v>0</x:v>
      </x:c>
      <x:c r="L21" s="97" t="n"/>
      <x:c r="M21" s="97" t="n"/>
      <x:c r="N21" s="97" t="n"/>
      <x:c r="O21" s="97" t="n">
        <x:v>0</x:v>
      </x:c>
      <x:c r="P21" s="97" t="n">
        <x:v>0</x:v>
      </x:c>
      <x:c r="Q21" s="97" t="n"/>
      <x:c r="R21" s="97" t="n">
        <x:v>0</x:v>
      </x:c>
      <x:c r="S21" s="97" t="n">
        <x:v>0</x:v>
      </x:c>
      <x:c r="T21" s="97" t="n">
        <x:v>0</x:v>
      </x:c>
      <x:c r="U21" s="97" t="inlineStr">
        <x:is>
          <x:t xml:space="preserve">—</x:t>
        </x:is>
      </x:c>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row>
    <x:row r="31">
      <x:c r="A31" s="139" t="n"/>
      <x:c r="B31" s="139" t="n"/>
      <x:c r="C31" s="139" t="n"/>
      <x:c r="D31" s="139" t="n"/>
      <x:c r="E31" s="139" t="n"/>
      <x:c r="F31" s="139" t="n"/>
      <x:c r="G31" s="139" t="n"/>
      <x:c r="H31" s="139" t="n"/>
      <x:c r="I31" s="139" t="n"/>
      <x:c r="J31" s="139" t="n"/>
      <x:c r="K31" s="139" t="n"/>
      <x:c r="L31" s="139" t="n"/>
      <x:c r="M31" s="139" t="n"/>
      <x:c r="N31" s="139" t="n"/>
      <x:c r="O31" s="139" t="n"/>
      <x:c r="P31" s="139" t="n"/>
      <x:c r="Q31" s="139" t="n"/>
      <x:c r="R31" s="139" t="n"/>
      <x:c r="S31" s="139" t="n"/>
      <x:c r="T31" s="139" t="n"/>
      <x:c r="U31" s="139" t="n"/>
    </x:row>
    <x:row r="32">
      <x:c r="A32" s="139" t="n"/>
      <x:c r="B32" s="139" t="n"/>
      <x:c r="C32" s="139" t="n"/>
      <x:c r="D32" s="139" t="n"/>
      <x:c r="E32" s="139" t="n"/>
      <x:c r="F32" s="139" t="n"/>
      <x:c r="G32" s="139" t="n"/>
      <x:c r="H32" s="139" t="n"/>
      <x:c r="I32" s="139" t="n"/>
      <x:c r="J32" s="139" t="n"/>
      <x:c r="K32" s="139" t="n"/>
      <x:c r="L32" s="139" t="n"/>
      <x:c r="M32" s="139" t="n"/>
      <x:c r="N32" s="139" t="n"/>
      <x:c r="O32" s="139" t="n"/>
      <x:c r="P32" s="139" t="n"/>
      <x:c r="Q32" s="139" t="n"/>
      <x:c r="R32" s="139" t="n"/>
      <x:c r="S32" s="139" t="n"/>
      <x:c r="T32" s="139" t="n"/>
      <x:c r="U32" s="139" t="n"/>
    </x:row>
    <x:row r="33">
      <x:c r="A33" s="139" t="n"/>
      <x:c r="B33" s="139" t="n"/>
      <x:c r="C33" s="139" t="n"/>
      <x:c r="D33" s="139" t="n"/>
      <x:c r="E33" s="139" t="n"/>
      <x:c r="F33" s="139" t="n"/>
      <x:c r="G33" s="139" t="n"/>
      <x:c r="H33" s="139" t="n"/>
      <x:c r="I33" s="139" t="n"/>
      <x:c r="J33" s="139" t="n"/>
      <x:c r="K33" s="139" t="n"/>
      <x:c r="L33" s="139" t="n"/>
      <x:c r="M33" s="139" t="n"/>
      <x:c r="N33" s="139" t="n"/>
      <x:c r="O33" s="139" t="n"/>
      <x:c r="P33" s="139" t="n"/>
      <x:c r="Q33" s="139" t="n"/>
      <x:c r="R33" s="139" t="n"/>
      <x:c r="S33" s="139" t="n"/>
      <x:c r="T33" s="139" t="n"/>
      <x:c r="U33" s="139" t="n"/>
    </x:row>
    <x:row r="34">
      <x:c r="A34" s="139" t="n"/>
      <x:c r="B34" s="139" t="n"/>
      <x:c r="C34" s="139" t="n"/>
      <x:c r="D34" s="139" t="n"/>
      <x:c r="E34" s="139" t="n"/>
      <x:c r="F34" s="139" t="n"/>
      <x:c r="G34" s="139" t="n"/>
      <x:c r="H34" s="139" t="n"/>
      <x:c r="I34" s="139" t="n"/>
      <x:c r="J34" s="139" t="n"/>
      <x:c r="K34" s="139" t="n"/>
      <x:c r="L34" s="139" t="n"/>
      <x:c r="M34" s="139" t="n"/>
      <x:c r="N34" s="139" t="n"/>
      <x:c r="O34" s="139" t="n"/>
      <x:c r="P34" s="139" t="n"/>
      <x:c r="Q34" s="139" t="n"/>
      <x:c r="R34" s="139" t="n"/>
      <x:c r="S34" s="139" t="n"/>
      <x:c r="T34" s="139" t="n"/>
      <x:c r="U34" s="139" t="n"/>
    </x:row>
    <x:row r="35">
      <x:c r="A35" s="139" t="n"/>
      <x:c r="B35" s="139" t="n"/>
      <x:c r="C35" s="139" t="n"/>
      <x:c r="D35" s="139" t="n"/>
      <x:c r="E35" s="139" t="n"/>
      <x:c r="F35" s="139" t="n"/>
      <x:c r="G35" s="139" t="n"/>
      <x:c r="H35" s="139" t="n"/>
      <x:c r="I35" s="139" t="n"/>
      <x:c r="J35" s="139" t="n"/>
      <x:c r="K35" s="139" t="n"/>
      <x:c r="L35" s="139" t="n"/>
      <x:c r="M35" s="139" t="n"/>
      <x:c r="N35" s="139" t="n"/>
      <x:c r="O35" s="139" t="n"/>
      <x:c r="P35" s="139" t="n"/>
      <x:c r="Q35" s="139" t="n"/>
      <x:c r="R35" s="139" t="n"/>
      <x:c r="S35" s="139" t="n"/>
      <x:c r="T35" s="139" t="n"/>
      <x:c r="U35" s="139" t="n"/>
    </x:row>
    <x:row r="36">
      <x:c r="A36" s="139" t="n"/>
      <x:c r="B36" s="139" t="n"/>
      <x:c r="C36" s="139" t="n"/>
      <x:c r="D36" s="139" t="n"/>
      <x:c r="E36" s="139" t="n"/>
      <x:c r="F36" s="139" t="n"/>
      <x:c r="G36" s="139" t="n"/>
      <x:c r="H36" s="139" t="n"/>
      <x:c r="I36" s="139" t="n"/>
      <x:c r="J36" s="139" t="n"/>
      <x:c r="K36" s="139" t="n"/>
      <x:c r="L36" s="139" t="n"/>
      <x:c r="M36" s="139" t="n"/>
      <x:c r="N36" s="139" t="n"/>
      <x:c r="O36" s="139" t="n"/>
      <x:c r="P36" s="139" t="n"/>
      <x:c r="Q36" s="139" t="n"/>
      <x:c r="R36" s="139" t="n"/>
      <x:c r="S36" s="139" t="n"/>
      <x:c r="T36" s="139" t="n"/>
      <x:c r="U36" s="139" t="n"/>
    </x:row>
    <x:row r="37">
      <x:c r="A37" s="139" t="n"/>
      <x:c r="B37" s="139" t="n"/>
      <x:c r="C37" s="139" t="n"/>
      <x:c r="D37" s="139" t="n"/>
      <x:c r="E37" s="139" t="n"/>
      <x:c r="F37" s="139" t="n"/>
      <x:c r="G37" s="139" t="n"/>
      <x:c r="H37" s="139" t="n"/>
      <x:c r="I37" s="139" t="n"/>
      <x:c r="J37" s="139" t="n"/>
      <x:c r="K37" s="139" t="n"/>
      <x:c r="L37" s="139" t="n"/>
      <x:c r="M37" s="139" t="n"/>
      <x:c r="N37" s="139" t="n"/>
      <x:c r="O37" s="139" t="n"/>
      <x:c r="P37" s="139" t="n"/>
      <x:c r="Q37" s="139" t="n"/>
      <x:c r="R37" s="139" t="n"/>
      <x:c r="S37" s="139" t="n"/>
      <x:c r="T37" s="139" t="n"/>
      <x:c r="U37" s="139" t="n"/>
    </x:row>
    <x:row r="38">
      <x:c r="A38" s="139" t="n"/>
      <x:c r="B38" s="139" t="n"/>
      <x:c r="C38" s="139" t="n"/>
      <x:c r="D38" s="139" t="n"/>
      <x:c r="E38" s="139" t="n"/>
      <x:c r="F38" s="139" t="n"/>
      <x:c r="G38" s="139" t="n"/>
      <x:c r="H38" s="139" t="n"/>
      <x:c r="I38" s="139" t="n"/>
      <x:c r="J38" s="139" t="n"/>
      <x:c r="K38" s="139" t="n"/>
      <x:c r="L38" s="139" t="n"/>
      <x:c r="M38" s="139" t="n"/>
      <x:c r="N38" s="139" t="n"/>
      <x:c r="O38" s="139" t="n"/>
      <x:c r="P38" s="139" t="n"/>
      <x:c r="Q38" s="139" t="n"/>
      <x:c r="R38" s="139" t="n"/>
      <x:c r="S38" s="139" t="n"/>
      <x:c r="T38" s="139" t="n"/>
      <x:c r="U38" s="139" t="n"/>
    </x:row>
    <x:row r="39">
      <x:c r="A39" s="139" t="n"/>
      <x:c r="B39" s="139" t="n"/>
      <x:c r="C39" s="139" t="n"/>
      <x:c r="D39" s="139" t="n"/>
      <x:c r="E39" s="139" t="n"/>
      <x:c r="F39" s="139" t="n"/>
      <x:c r="G39" s="139" t="n"/>
      <x:c r="H39" s="139" t="n"/>
      <x:c r="I39" s="139" t="n"/>
      <x:c r="J39" s="139" t="n"/>
      <x:c r="K39" s="139" t="n"/>
      <x:c r="L39" s="139" t="n"/>
      <x:c r="M39" s="139" t="n"/>
      <x:c r="N39" s="139" t="n"/>
      <x:c r="O39" s="139" t="n"/>
      <x:c r="P39" s="139" t="n"/>
      <x:c r="Q39" s="139" t="n"/>
      <x:c r="R39" s="139" t="n"/>
      <x:c r="S39" s="139" t="n"/>
      <x:c r="T39" s="139" t="n"/>
      <x:c r="U39" s="139" t="n"/>
    </x:row>
    <x:row r="40">
      <x:c r="A40" s="139" t="n"/>
      <x:c r="B40" s="139" t="n"/>
      <x:c r="C40" s="139" t="n"/>
      <x:c r="D40" s="139" t="n"/>
      <x:c r="E40" s="139" t="n"/>
      <x:c r="F40" s="139" t="n"/>
      <x:c r="G40" s="139" t="n"/>
      <x:c r="H40" s="139" t="n"/>
      <x:c r="I40" s="139" t="n"/>
      <x:c r="J40" s="139" t="n"/>
      <x:c r="K40" s="139" t="n"/>
      <x:c r="L40" s="139" t="n"/>
      <x:c r="M40" s="139" t="n"/>
      <x:c r="N40" s="139" t="n"/>
      <x:c r="O40" s="139" t="n"/>
      <x:c r="P40" s="139" t="n"/>
      <x:c r="Q40" s="139" t="n"/>
      <x:c r="R40" s="139" t="n"/>
      <x:c r="S40" s="139" t="n"/>
      <x:c r="T40" s="139" t="n"/>
      <x:c r="U40" s="139" t="n"/>
    </x:row>
    <x:row r="41">
      <x:c r="A41" s="139" t="n"/>
      <x:c r="B41" s="139" t="n"/>
      <x:c r="C41" s="139" t="n"/>
      <x:c r="D41" s="139" t="n"/>
      <x:c r="E41" s="139" t="n"/>
      <x:c r="F41" s="139" t="n"/>
      <x:c r="G41" s="139" t="n"/>
      <x:c r="H41" s="139" t="n"/>
      <x:c r="I41" s="139" t="n"/>
      <x:c r="J41" s="139" t="n"/>
      <x:c r="K41" s="139" t="n"/>
      <x:c r="L41" s="139" t="n"/>
      <x:c r="M41" s="139" t="n"/>
      <x:c r="N41" s="139" t="n"/>
      <x:c r="O41" s="139" t="n"/>
      <x:c r="P41" s="139" t="n"/>
      <x:c r="Q41" s="139" t="n"/>
      <x:c r="R41" s="139" t="n"/>
      <x:c r="S41" s="139" t="n"/>
      <x:c r="T41" s="139" t="n"/>
      <x:c r="U41" s="139" t="n"/>
    </x:row>
    <x:row r="42">
      <x:c r="A42" s="139" t="n"/>
      <x:c r="B42" s="139" t="n"/>
      <x:c r="C42" s="139" t="n"/>
      <x:c r="D42" s="139" t="n"/>
      <x:c r="E42" s="139" t="n"/>
      <x:c r="F42" s="139" t="n"/>
      <x:c r="G42" s="139" t="n"/>
      <x:c r="H42" s="139" t="n"/>
      <x:c r="I42" s="139" t="n"/>
      <x:c r="J42" s="139" t="n"/>
      <x:c r="K42" s="139" t="n"/>
      <x:c r="L42" s="139" t="n"/>
      <x:c r="M42" s="139" t="n"/>
      <x:c r="N42" s="139" t="n"/>
      <x:c r="O42" s="139" t="n"/>
      <x:c r="P42" s="139" t="n"/>
      <x:c r="Q42" s="139" t="n"/>
      <x:c r="R42" s="139" t="n"/>
      <x:c r="S42" s="139" t="n"/>
      <x:c r="T42" s="139" t="n"/>
      <x:c r="U42" s="139" t="n"/>
    </x:row>
    <x:row r="43">
      <x:c r="A43" s="139" t="n"/>
      <x:c r="B43" s="139" t="n"/>
      <x:c r="C43" s="139" t="n"/>
      <x:c r="D43" s="139" t="n"/>
      <x:c r="E43" s="139" t="n"/>
      <x:c r="F43" s="139" t="n"/>
      <x:c r="G43" s="139" t="n"/>
      <x:c r="H43" s="139" t="n"/>
      <x:c r="I43" s="139" t="n"/>
      <x:c r="J43" s="139" t="n"/>
      <x:c r="K43" s="139" t="n"/>
      <x:c r="L43" s="139" t="n"/>
      <x:c r="M43" s="139" t="n"/>
      <x:c r="N43" s="139" t="n"/>
      <x:c r="O43" s="139" t="n"/>
      <x:c r="P43" s="139" t="n"/>
      <x:c r="Q43" s="139" t="n"/>
      <x:c r="R43" s="139" t="n"/>
      <x:c r="S43" s="139" t="n"/>
      <x:c r="T43" s="139" t="n"/>
      <x:c r="U43" s="139" t="n"/>
    </x:row>
    <x:row r="44">
      <x:c r="A44" s="139" t="n"/>
      <x:c r="B44" s="139" t="n"/>
      <x:c r="C44" s="139" t="n"/>
      <x:c r="D44" s="139" t="n"/>
      <x:c r="E44" s="139" t="n"/>
      <x:c r="F44" s="139" t="n"/>
      <x:c r="G44" s="139" t="n"/>
      <x:c r="H44" s="139" t="n"/>
      <x:c r="I44" s="139" t="n"/>
      <x:c r="J44" s="139" t="n"/>
      <x:c r="K44" s="139" t="n"/>
      <x:c r="L44" s="139" t="n"/>
      <x:c r="M44" s="139" t="n"/>
      <x:c r="N44" s="139" t="n"/>
      <x:c r="O44" s="139" t="n"/>
      <x:c r="P44" s="139" t="n"/>
      <x:c r="Q44" s="139" t="n"/>
      <x:c r="R44" s="139" t="n"/>
      <x:c r="S44" s="139" t="n"/>
      <x:c r="T44" s="139" t="n"/>
      <x:c r="U44" s="139" t="n"/>
    </x:row>
    <x:row r="45">
      <x:c r="A45" s="139" t="n"/>
      <x:c r="B45" s="139" t="n"/>
      <x:c r="C45" s="139" t="n"/>
      <x:c r="D45" s="139" t="n"/>
      <x:c r="E45" s="139" t="n"/>
      <x:c r="F45" s="139" t="n"/>
      <x:c r="G45" s="139" t="n"/>
      <x:c r="H45" s="139" t="n"/>
      <x:c r="I45" s="139" t="n"/>
      <x:c r="J45" s="139" t="n"/>
      <x:c r="K45" s="139" t="n"/>
      <x:c r="L45" s="139" t="n"/>
      <x:c r="M45" s="139" t="n"/>
      <x:c r="N45" s="139" t="n"/>
      <x:c r="O45" s="139" t="n"/>
      <x:c r="P45" s="139" t="n"/>
      <x:c r="Q45" s="139" t="n"/>
      <x:c r="R45" s="139" t="n"/>
      <x:c r="S45" s="139" t="n"/>
      <x:c r="T45" s="139" t="n"/>
      <x:c r="U45" s="139" t="n"/>
    </x:row>
    <x:row r="46">
      <x:c r="A46" s="139" t="n"/>
      <x:c r="B46" s="139" t="n"/>
      <x:c r="C46" s="139" t="n"/>
      <x:c r="D46" s="139" t="n"/>
      <x:c r="E46" s="139" t="n"/>
      <x:c r="F46" s="139" t="n"/>
      <x:c r="G46" s="139" t="n"/>
      <x:c r="H46" s="139" t="n"/>
      <x:c r="I46" s="139" t="n"/>
      <x:c r="J46" s="139" t="n"/>
      <x:c r="K46" s="139" t="n"/>
      <x:c r="L46" s="139" t="n"/>
      <x:c r="M46" s="139" t="n"/>
      <x:c r="N46" s="139" t="n"/>
      <x:c r="O46" s="139" t="n"/>
      <x:c r="P46" s="139" t="n"/>
      <x:c r="Q46" s="139" t="n"/>
      <x:c r="R46" s="139" t="n"/>
      <x:c r="S46" s="139" t="n"/>
      <x:c r="T46" s="139" t="n"/>
      <x:c r="U46" s="139" t="n"/>
    </x:row>
    <x:row r="47">
      <x:c r="A47" s="139" t="n"/>
      <x:c r="B47" s="139" t="n"/>
      <x:c r="C47" s="139" t="n"/>
      <x:c r="D47" s="139" t="n"/>
      <x:c r="E47" s="139" t="n"/>
      <x:c r="F47" s="139" t="n"/>
      <x:c r="G47" s="139" t="n"/>
      <x:c r="H47" s="139" t="n"/>
      <x:c r="I47" s="139" t="n"/>
      <x:c r="J47" s="139" t="n"/>
      <x:c r="K47" s="139" t="n"/>
      <x:c r="L47" s="139" t="n"/>
      <x:c r="M47" s="139" t="n"/>
      <x:c r="N47" s="139" t="n"/>
      <x:c r="O47" s="139" t="n"/>
      <x:c r="P47" s="139" t="n"/>
      <x:c r="Q47" s="139" t="n"/>
      <x:c r="R47" s="139" t="n"/>
      <x:c r="S47" s="139" t="n"/>
      <x:c r="T47" s="139" t="n"/>
      <x:c r="U47" s="139" t="n"/>
    </x:row>
    <x:row r="48">
      <x:c r="A48" s="139" t="n"/>
      <x:c r="B48" s="139" t="n"/>
      <x:c r="C48" s="139" t="n"/>
      <x:c r="D48" s="139" t="n"/>
      <x:c r="E48" s="139" t="n"/>
      <x:c r="F48" s="139" t="n"/>
      <x:c r="G48" s="139" t="n"/>
      <x:c r="H48" s="139" t="n"/>
      <x:c r="I48" s="139" t="n"/>
      <x:c r="J48" s="139" t="n"/>
      <x:c r="K48" s="139" t="n"/>
      <x:c r="L48" s="139" t="n"/>
      <x:c r="M48" s="139" t="n"/>
      <x:c r="N48" s="139" t="n"/>
      <x:c r="O48" s="139" t="n"/>
      <x:c r="P48" s="139" t="n"/>
      <x:c r="Q48" s="139" t="n"/>
      <x:c r="R48" s="139" t="n"/>
      <x:c r="S48" s="139" t="n"/>
      <x:c r="T48" s="139" t="n"/>
      <x:c r="U48" s="139" t="n"/>
    </x:row>
    <x:row r="49">
      <x:c r="A49" s="139" t="n"/>
      <x:c r="B49" s="139" t="n"/>
      <x:c r="C49" s="139" t="n"/>
      <x:c r="D49" s="139" t="n"/>
      <x:c r="E49" s="139" t="n"/>
      <x:c r="F49" s="139" t="n"/>
      <x:c r="G49" s="139" t="n"/>
      <x:c r="H49" s="139" t="n"/>
      <x:c r="I49" s="139" t="n"/>
      <x:c r="J49" s="139" t="n"/>
      <x:c r="K49" s="139" t="n"/>
      <x:c r="L49" s="139" t="n"/>
      <x:c r="M49" s="139" t="n"/>
      <x:c r="N49" s="139" t="n"/>
      <x:c r="O49" s="139" t="n"/>
      <x:c r="P49" s="139" t="n"/>
      <x:c r="Q49" s="139" t="n"/>
      <x:c r="R49" s="139" t="n"/>
      <x:c r="S49" s="139" t="n"/>
      <x:c r="T49" s="139" t="n"/>
      <x:c r="U49" s="139" t="n"/>
    </x:row>
    <x:row r="50">
      <x:c r="A50" s="139" t="n"/>
      <x:c r="B50" s="139" t="n"/>
      <x:c r="C50" s="139" t="n"/>
      <x:c r="D50" s="139" t="n"/>
      <x:c r="E50" s="139" t="n"/>
      <x:c r="F50" s="139" t="n"/>
      <x:c r="G50" s="139" t="n"/>
      <x:c r="H50" s="139" t="n"/>
      <x:c r="I50" s="139" t="n"/>
      <x:c r="J50" s="139" t="n"/>
      <x:c r="K50" s="139" t="n"/>
      <x:c r="L50" s="139" t="n"/>
      <x:c r="M50" s="139" t="n"/>
      <x:c r="N50" s="139" t="n"/>
      <x:c r="O50" s="139" t="n"/>
      <x:c r="P50" s="139" t="n"/>
      <x:c r="Q50" s="139" t="n"/>
      <x:c r="R50" s="139" t="n"/>
      <x:c r="S50" s="139" t="n"/>
      <x:c r="T50" s="139" t="n"/>
      <x:c r="U50" s="139" t="n"/>
    </x:row>
    <x:row r="51">
      <x:c r="A51" s="139" t="n"/>
      <x:c r="B51" s="139" t="n"/>
      <x:c r="C51" s="139" t="n"/>
      <x:c r="D51" s="139" t="n"/>
      <x:c r="E51" s="139" t="n"/>
      <x:c r="F51" s="139" t="n"/>
      <x:c r="G51" s="139" t="n"/>
      <x:c r="H51" s="139" t="n"/>
      <x:c r="I51" s="139" t="n"/>
      <x:c r="J51" s="139" t="n"/>
      <x:c r="K51" s="139" t="n"/>
      <x:c r="L51" s="139" t="n"/>
      <x:c r="M51" s="139" t="n"/>
      <x:c r="N51" s="139" t="n"/>
      <x:c r="O51" s="139" t="n"/>
      <x:c r="P51" s="139" t="n"/>
      <x:c r="Q51" s="139" t="n"/>
      <x:c r="R51" s="139" t="n"/>
      <x:c r="S51" s="139" t="n"/>
      <x:c r="T51" s="139" t="n"/>
      <x:c r="U51" s="139" t="n"/>
    </x:row>
    <x:row r="52">
      <x:c r="A52" s="139" t="n"/>
      <x:c r="B52" s="139" t="n"/>
      <x:c r="C52" s="139" t="n"/>
      <x:c r="D52" s="139" t="n"/>
      <x:c r="E52" s="139" t="n"/>
      <x:c r="F52" s="139" t="n"/>
      <x:c r="G52" s="139" t="n"/>
      <x:c r="H52" s="139" t="n"/>
      <x:c r="I52" s="139" t="n"/>
      <x:c r="J52" s="139" t="n"/>
      <x:c r="K52" s="139" t="n"/>
      <x:c r="L52" s="139" t="n"/>
      <x:c r="M52" s="139" t="n"/>
      <x:c r="N52" s="139" t="n"/>
      <x:c r="O52" s="139" t="n"/>
      <x:c r="P52" s="139" t="n"/>
      <x:c r="Q52" s="139" t="n"/>
      <x:c r="R52" s="139" t="n"/>
      <x:c r="S52" s="139" t="n"/>
      <x:c r="T52" s="139" t="n"/>
      <x:c r="U52" s="139" t="n"/>
    </x:row>
    <x:row r="53">
      <x:c r="A53" s="139" t="n"/>
      <x:c r="B53" s="139" t="n"/>
      <x:c r="C53" s="139" t="n"/>
      <x:c r="D53" s="139" t="n"/>
      <x:c r="E53" s="139" t="n"/>
      <x:c r="F53" s="139" t="n"/>
      <x:c r="G53" s="139" t="n"/>
      <x:c r="H53" s="139" t="n"/>
      <x:c r="I53" s="139" t="n"/>
      <x:c r="J53" s="139" t="n"/>
      <x:c r="K53" s="139" t="n"/>
      <x:c r="L53" s="139" t="n"/>
      <x:c r="M53" s="139" t="n"/>
      <x:c r="N53" s="139" t="n"/>
      <x:c r="O53" s="139" t="n"/>
      <x:c r="P53" s="139" t="n"/>
      <x:c r="Q53" s="139" t="n"/>
      <x:c r="R53" s="139" t="n"/>
      <x:c r="S53" s="139" t="n"/>
      <x:c r="T53" s="139" t="n"/>
      <x:c r="U53" s="139" t="n"/>
    </x:row>
    <x:row r="54">
      <x:c r="A54" s="139" t="n"/>
      <x:c r="B54" s="139" t="n"/>
      <x:c r="C54" s="139" t="n"/>
      <x:c r="D54" s="139" t="n"/>
      <x:c r="E54" s="139" t="n"/>
      <x:c r="F54" s="139" t="n"/>
      <x:c r="G54" s="139" t="n"/>
      <x:c r="H54" s="139" t="n"/>
      <x:c r="I54" s="139" t="n"/>
      <x:c r="J54" s="139" t="n"/>
      <x:c r="K54" s="139" t="n"/>
      <x:c r="L54" s="139" t="n"/>
      <x:c r="M54" s="139" t="n"/>
      <x:c r="N54" s="139" t="n"/>
      <x:c r="O54" s="139" t="n"/>
      <x:c r="P54" s="139" t="n"/>
      <x:c r="Q54" s="139" t="n"/>
      <x:c r="R54" s="139" t="n"/>
      <x:c r="S54" s="139" t="n"/>
      <x:c r="T54" s="139" t="n"/>
      <x:c r="U54" s="139" t="n"/>
    </x:row>
    <x:row r="55">
      <x:c r="A55" s="139" t="n"/>
      <x:c r="B55" s="139" t="n"/>
      <x:c r="C55" s="139" t="n"/>
      <x:c r="D55" s="139" t="n"/>
      <x:c r="E55" s="139" t="n"/>
      <x:c r="F55" s="139" t="n"/>
      <x:c r="G55" s="139" t="n"/>
      <x:c r="H55" s="139" t="n"/>
      <x:c r="I55" s="139" t="n"/>
      <x:c r="J55" s="139" t="n"/>
      <x:c r="K55" s="139" t="n"/>
      <x:c r="L55" s="139" t="n"/>
      <x:c r="M55" s="139" t="n"/>
      <x:c r="N55" s="139" t="n"/>
      <x:c r="O55" s="139" t="n"/>
      <x:c r="P55" s="139" t="n"/>
      <x:c r="Q55" s="139" t="n"/>
      <x:c r="R55" s="139" t="n"/>
      <x:c r="S55" s="139" t="n"/>
      <x:c r="T55" s="139" t="n"/>
      <x:c r="U55" s="139" t="n"/>
    </x:row>
    <x:row r="56">
      <x:c r="A56" s="139" t="n"/>
      <x:c r="B56" s="139" t="n"/>
      <x:c r="C56" s="139" t="n"/>
      <x:c r="D56" s="139" t="n"/>
      <x:c r="E56" s="139" t="n"/>
      <x:c r="F56" s="139" t="n"/>
      <x:c r="G56" s="139" t="n"/>
      <x:c r="H56" s="139" t="n"/>
      <x:c r="I56" s="139" t="n"/>
      <x:c r="J56" s="139" t="n"/>
      <x:c r="K56" s="139" t="n"/>
      <x:c r="L56" s="139" t="n"/>
      <x:c r="M56" s="139" t="n"/>
      <x:c r="N56" s="139" t="n"/>
      <x:c r="O56" s="139" t="n"/>
      <x:c r="P56" s="139" t="n"/>
      <x:c r="Q56" s="139" t="n"/>
      <x:c r="R56" s="139" t="n"/>
      <x:c r="S56" s="139" t="n"/>
      <x:c r="T56" s="139" t="n"/>
      <x:c r="U56" s="139" t="n"/>
    </x:row>
    <x:row r="57">
      <x:c r="A57" s="139" t="n"/>
      <x:c r="B57" s="139" t="n"/>
      <x:c r="C57" s="139" t="n"/>
      <x:c r="D57" s="139" t="n"/>
      <x:c r="E57" s="139" t="n"/>
      <x:c r="F57" s="139" t="n"/>
      <x:c r="G57" s="139" t="n"/>
      <x:c r="H57" s="139" t="n"/>
      <x:c r="I57" s="139" t="n"/>
      <x:c r="J57" s="139" t="n"/>
      <x:c r="K57" s="139" t="n"/>
      <x:c r="L57" s="139" t="n"/>
      <x:c r="M57" s="139" t="n"/>
      <x:c r="N57" s="139" t="n"/>
      <x:c r="O57" s="139" t="n"/>
      <x:c r="P57" s="139" t="n"/>
      <x:c r="Q57" s="139" t="n"/>
      <x:c r="R57" s="139" t="n"/>
      <x:c r="S57" s="139" t="n"/>
      <x:c r="T57" s="139" t="n"/>
      <x:c r="U57" s="139" t="n"/>
    </x:row>
    <x:row r="58">
      <x:c r="A58" s="139" t="n"/>
      <x:c r="B58" s="139" t="n"/>
      <x:c r="C58" s="139" t="n"/>
      <x:c r="D58" s="139" t="n"/>
      <x:c r="E58" s="139" t="n"/>
      <x:c r="F58" s="139" t="n"/>
      <x:c r="G58" s="139" t="n"/>
      <x:c r="H58" s="139" t="n"/>
      <x:c r="I58" s="139" t="n"/>
      <x:c r="J58" s="139" t="n"/>
      <x:c r="K58" s="139" t="n"/>
      <x:c r="L58" s="139" t="n"/>
      <x:c r="M58" s="139" t="n"/>
      <x:c r="N58" s="139" t="n"/>
      <x:c r="O58" s="139" t="n"/>
      <x:c r="P58" s="139" t="n"/>
      <x:c r="Q58" s="139" t="n"/>
      <x:c r="R58" s="139" t="n"/>
      <x:c r="S58" s="139" t="n"/>
      <x:c r="T58" s="139" t="n"/>
      <x:c r="U58" s="139" t="n"/>
    </x:row>
    <x:row r="59">
      <x:c r="A59" s="139" t="n"/>
      <x:c r="B59" s="139" t="n"/>
      <x:c r="C59" s="139" t="n"/>
      <x:c r="D59" s="139" t="n"/>
      <x:c r="E59" s="139" t="n"/>
      <x:c r="F59" s="139" t="n"/>
      <x:c r="G59" s="139" t="n"/>
      <x:c r="H59" s="139" t="n"/>
      <x:c r="I59" s="139" t="n"/>
      <x:c r="J59" s="139" t="n"/>
      <x:c r="K59" s="139" t="n"/>
      <x:c r="L59" s="139" t="n"/>
      <x:c r="M59" s="139" t="n"/>
      <x:c r="N59" s="139" t="n"/>
      <x:c r="O59" s="139" t="n"/>
      <x:c r="P59" s="139" t="n"/>
      <x:c r="Q59" s="139" t="n"/>
      <x:c r="R59" s="139" t="n"/>
      <x:c r="S59" s="139" t="n"/>
      <x:c r="T59" s="139" t="n"/>
      <x:c r="U59" s="139" t="n"/>
    </x:row>
    <x:row r="60">
      <x:c r="A60" s="139" t="n"/>
      <x:c r="B60" s="139" t="n"/>
      <x:c r="C60" s="139" t="n"/>
      <x:c r="D60" s="139" t="n"/>
      <x:c r="E60" s="139" t="n"/>
      <x:c r="F60" s="139" t="n"/>
      <x:c r="G60" s="139" t="n"/>
      <x:c r="H60" s="139" t="n"/>
      <x:c r="I60" s="139" t="n"/>
      <x:c r="J60" s="139" t="n"/>
      <x:c r="K60" s="139" t="n"/>
      <x:c r="L60" s="139" t="n"/>
      <x:c r="M60" s="139" t="n"/>
      <x:c r="N60" s="139" t="n"/>
      <x:c r="O60" s="139" t="n"/>
      <x:c r="P60" s="139" t="n"/>
      <x:c r="Q60" s="139" t="n"/>
      <x:c r="R60" s="139" t="n"/>
      <x:c r="S60" s="139" t="n"/>
      <x:c r="T60" s="139" t="n"/>
      <x:c r="U60" s="139" t="n"/>
    </x:row>
    <x:row r="61">
      <x:c r="A61" s="139" t="n"/>
      <x:c r="B61" s="139" t="n"/>
      <x:c r="C61" s="139" t="n"/>
      <x:c r="D61" s="139" t="n"/>
      <x:c r="E61" s="139" t="n"/>
      <x:c r="F61" s="139" t="n"/>
      <x:c r="G61" s="139" t="n"/>
      <x:c r="H61" s="139" t="n"/>
      <x:c r="I61" s="139" t="n"/>
      <x:c r="J61" s="139" t="n"/>
      <x:c r="K61" s="139" t="n"/>
      <x:c r="L61" s="139" t="n"/>
      <x:c r="M61" s="139" t="n"/>
      <x:c r="N61" s="139" t="n"/>
      <x:c r="O61" s="139" t="n"/>
      <x:c r="P61" s="139" t="n"/>
      <x:c r="Q61" s="139" t="n"/>
      <x:c r="R61" s="139" t="n"/>
      <x:c r="S61" s="139" t="n"/>
      <x:c r="T61" s="139" t="n"/>
      <x:c r="U61" s="139" t="n"/>
    </x:row>
    <x:row r="62">
      <x:c r="A62" s="139" t="n"/>
      <x:c r="B62" s="139" t="n"/>
      <x:c r="C62" s="139" t="n"/>
      <x:c r="D62" s="139" t="n"/>
      <x:c r="E62" s="139" t="n"/>
      <x:c r="F62" s="139" t="n"/>
      <x:c r="G62" s="139" t="n"/>
      <x:c r="H62" s="139" t="n"/>
      <x:c r="I62" s="139" t="n"/>
      <x:c r="J62" s="139" t="n"/>
      <x:c r="K62" s="139" t="n"/>
      <x:c r="L62" s="139" t="n"/>
      <x:c r="M62" s="139" t="n"/>
      <x:c r="N62" s="139" t="n"/>
      <x:c r="O62" s="139" t="n"/>
      <x:c r="P62" s="139" t="n"/>
      <x:c r="Q62" s="139" t="n"/>
      <x:c r="R62" s="139" t="n"/>
      <x:c r="S62" s="139" t="n"/>
      <x:c r="T62" s="139" t="n"/>
      <x:c r="U62" s="139" t="n"/>
    </x:row>
    <x:row r="63">
      <x:c r="A63" s="139" t="n"/>
      <x:c r="B63" s="139" t="n"/>
      <x:c r="C63" s="139" t="n"/>
      <x:c r="D63" s="139" t="n"/>
      <x:c r="E63" s="139" t="n"/>
      <x:c r="F63" s="139" t="n"/>
      <x:c r="G63" s="139" t="n"/>
      <x:c r="H63" s="139" t="n"/>
      <x:c r="I63" s="139" t="n"/>
      <x:c r="J63" s="139" t="n"/>
      <x:c r="K63" s="139" t="n"/>
      <x:c r="L63" s="139" t="n"/>
      <x:c r="M63" s="139" t="n"/>
      <x:c r="N63" s="139" t="n"/>
      <x:c r="O63" s="139" t="n"/>
      <x:c r="P63" s="139" t="n"/>
      <x:c r="Q63" s="139" t="n"/>
      <x:c r="R63" s="139" t="n"/>
      <x:c r="S63" s="139" t="n"/>
      <x:c r="T63" s="139" t="n"/>
      <x:c r="U63" s="139" t="n"/>
    </x:row>
    <x:row r="64">
      <x:c r="A64" s="139" t="n"/>
      <x:c r="B64" s="139" t="n"/>
      <x:c r="C64" s="139" t="n"/>
      <x:c r="D64" s="139" t="n"/>
      <x:c r="E64" s="139" t="n"/>
      <x:c r="F64" s="139" t="n"/>
      <x:c r="G64" s="139" t="n"/>
      <x:c r="H64" s="139" t="n"/>
      <x:c r="I64" s="139" t="n"/>
      <x:c r="J64" s="139" t="n"/>
      <x:c r="K64" s="139" t="n"/>
      <x:c r="L64" s="139" t="n"/>
      <x:c r="M64" s="139" t="n"/>
      <x:c r="N64" s="139" t="n"/>
      <x:c r="O64" s="139" t="n"/>
      <x:c r="P64" s="139" t="n"/>
      <x:c r="Q64" s="139" t="n"/>
      <x:c r="R64" s="139" t="n"/>
      <x:c r="S64" s="139" t="n"/>
      <x:c r="T64" s="139" t="n"/>
      <x:c r="U64" s="139" t="n"/>
    </x:row>
    <x:row r="65">
      <x:c r="A65" s="139" t="n"/>
      <x:c r="B65" s="139" t="n"/>
      <x:c r="C65" s="139" t="n"/>
      <x:c r="D65" s="139" t="n"/>
      <x:c r="E65" s="139" t="n"/>
      <x:c r="F65" s="139" t="n"/>
      <x:c r="G65" s="139" t="n"/>
      <x:c r="H65" s="139" t="n"/>
      <x:c r="I65" s="139" t="n"/>
      <x:c r="J65" s="139" t="n"/>
      <x:c r="K65" s="139" t="n"/>
      <x:c r="L65" s="139" t="n"/>
      <x:c r="M65" s="139" t="n"/>
      <x:c r="N65" s="139" t="n"/>
      <x:c r="O65" s="139" t="n"/>
      <x:c r="P65" s="139" t="n"/>
      <x:c r="Q65" s="139" t="n"/>
      <x:c r="R65" s="139" t="n"/>
      <x:c r="S65" s="139" t="n"/>
      <x:c r="T65" s="139" t="n"/>
      <x:c r="U65" s="139" t="n"/>
    </x:row>
    <x:row r="66">
      <x:c r="A66" s="139" t="n"/>
      <x:c r="B66" s="139" t="n"/>
      <x:c r="C66" s="139" t="n"/>
      <x:c r="D66" s="139" t="n"/>
      <x:c r="E66" s="139" t="n"/>
      <x:c r="F66" s="139" t="n"/>
      <x:c r="G66" s="139" t="n"/>
      <x:c r="H66" s="139" t="n"/>
      <x:c r="I66" s="139" t="n"/>
      <x:c r="J66" s="139" t="n"/>
      <x:c r="K66" s="139" t="n"/>
      <x:c r="L66" s="139" t="n"/>
      <x:c r="M66" s="139" t="n"/>
      <x:c r="N66" s="139" t="n"/>
      <x:c r="O66" s="139" t="n"/>
      <x:c r="P66" s="139" t="n"/>
      <x:c r="Q66" s="139" t="n"/>
      <x:c r="R66" s="139" t="n"/>
      <x:c r="S66" s="139" t="n"/>
      <x:c r="T66" s="139" t="n"/>
      <x:c r="U66" s="139" t="n"/>
    </x:row>
    <x:row r="67">
      <x:c r="A67" s="139" t="n"/>
      <x:c r="B67" s="139" t="n"/>
      <x:c r="C67" s="139" t="n"/>
      <x:c r="D67" s="139" t="n"/>
      <x:c r="E67" s="139" t="n"/>
      <x:c r="F67" s="139" t="n"/>
      <x:c r="G67" s="139" t="n"/>
      <x:c r="H67" s="139" t="n"/>
      <x:c r="I67" s="139" t="n"/>
      <x:c r="J67" s="139" t="n"/>
      <x:c r="K67" s="139" t="n"/>
      <x:c r="L67" s="139" t="n"/>
      <x:c r="M67" s="139" t="n"/>
      <x:c r="N67" s="139" t="n"/>
      <x:c r="O67" s="139" t="n"/>
      <x:c r="P67" s="139" t="n"/>
      <x:c r="Q67" s="139" t="n"/>
      <x:c r="R67" s="139" t="n"/>
      <x:c r="S67" s="139" t="n"/>
      <x:c r="T67" s="139" t="n"/>
      <x:c r="U67" s="139" t="n"/>
    </x:row>
    <x:row r="68">
      <x:c r="A68" s="139" t="n"/>
      <x:c r="B68" s="139" t="n"/>
      <x:c r="C68" s="139" t="n"/>
      <x:c r="D68" s="139" t="n"/>
      <x:c r="E68" s="139" t="n"/>
      <x:c r="F68" s="139" t="n"/>
      <x:c r="G68" s="139" t="n"/>
      <x:c r="H68" s="139" t="n"/>
      <x:c r="I68" s="139" t="n"/>
      <x:c r="J68" s="139" t="n"/>
      <x:c r="K68" s="139" t="n"/>
      <x:c r="L68" s="139" t="n"/>
      <x:c r="M68" s="139" t="n"/>
      <x:c r="N68" s="139" t="n"/>
      <x:c r="O68" s="139" t="n"/>
      <x:c r="P68" s="139" t="n"/>
      <x:c r="Q68" s="139" t="n"/>
      <x:c r="R68" s="139" t="n"/>
      <x:c r="S68" s="139" t="n"/>
      <x:c r="T68" s="139" t="n"/>
      <x:c r="U68" s="139" t="n"/>
    </x:row>
    <x:row r="69">
      <x:c r="A69" s="139" t="n"/>
      <x:c r="B69" s="139" t="n"/>
      <x:c r="C69" s="139" t="n"/>
      <x:c r="D69" s="139" t="n"/>
      <x:c r="E69" s="139" t="n"/>
      <x:c r="F69" s="139" t="n"/>
      <x:c r="G69" s="139" t="n"/>
      <x:c r="H69" s="139" t="n"/>
      <x:c r="I69" s="139" t="n"/>
      <x:c r="J69" s="139" t="n"/>
      <x:c r="K69" s="139" t="n"/>
      <x:c r="L69" s="139" t="n"/>
      <x:c r="M69" s="139" t="n"/>
      <x:c r="N69" s="139" t="n"/>
      <x:c r="O69" s="139" t="n"/>
      <x:c r="P69" s="139" t="n"/>
      <x:c r="Q69" s="139" t="n"/>
      <x:c r="R69" s="139" t="n"/>
      <x:c r="S69" s="139" t="n"/>
      <x:c r="T69" s="139" t="n"/>
      <x:c r="U69" s="139" t="n"/>
    </x:row>
    <x:row r="70">
      <x:c r="A70" s="139" t="n"/>
      <x:c r="B70" s="139" t="n"/>
      <x:c r="C70" s="139" t="n"/>
      <x:c r="D70" s="139" t="n"/>
      <x:c r="E70" s="139" t="n"/>
      <x:c r="F70" s="139" t="n"/>
      <x:c r="G70" s="139" t="n"/>
      <x:c r="H70" s="139" t="n"/>
      <x:c r="I70" s="139" t="n"/>
      <x:c r="J70" s="139" t="n"/>
      <x:c r="K70" s="139" t="n"/>
      <x:c r="L70" s="139" t="n"/>
      <x:c r="M70" s="139" t="n"/>
      <x:c r="N70" s="139" t="n"/>
      <x:c r="O70" s="139" t="n"/>
      <x:c r="P70" s="139" t="n"/>
      <x:c r="Q70" s="139" t="n"/>
      <x:c r="R70" s="139" t="n"/>
      <x:c r="S70" s="139" t="n"/>
      <x:c r="T70" s="139" t="n"/>
      <x:c r="U70" s="139" t="n"/>
    </x:row>
    <x:row r="71">
      <x:c r="A71" s="139" t="n"/>
      <x:c r="B71" s="139" t="n"/>
      <x:c r="C71" s="139" t="n"/>
      <x:c r="D71" s="139" t="n"/>
      <x:c r="E71" s="139" t="n"/>
      <x:c r="F71" s="139" t="n"/>
      <x:c r="G71" s="139" t="n"/>
      <x:c r="H71" s="139" t="n"/>
      <x:c r="I71" s="139" t="n"/>
      <x:c r="J71" s="139" t="n"/>
      <x:c r="K71" s="139" t="n"/>
      <x:c r="L71" s="139" t="n"/>
      <x:c r="M71" s="139" t="n"/>
      <x:c r="N71" s="139" t="n"/>
      <x:c r="O71" s="139" t="n"/>
      <x:c r="P71" s="139" t="n"/>
      <x:c r="Q71" s="139" t="n"/>
      <x:c r="R71" s="139" t="n"/>
      <x:c r="S71" s="139" t="n"/>
      <x:c r="T71" s="139" t="n"/>
      <x:c r="U71" s="139" t="n"/>
    </x:row>
    <x:row r="72">
      <x:c r="A72" s="139" t="n"/>
      <x:c r="B72" s="139" t="n"/>
      <x:c r="C72" s="139" t="n"/>
      <x:c r="D72" s="139" t="n"/>
      <x:c r="E72" s="139" t="n"/>
      <x:c r="F72" s="139" t="n"/>
      <x:c r="G72" s="139" t="n"/>
      <x:c r="H72" s="139" t="n"/>
      <x:c r="I72" s="139" t="n"/>
      <x:c r="J72" s="139" t="n"/>
      <x:c r="K72" s="139" t="n"/>
      <x:c r="L72" s="139" t="n"/>
      <x:c r="M72" s="139" t="n"/>
      <x:c r="N72" s="139" t="n"/>
      <x:c r="O72" s="139" t="n"/>
      <x:c r="P72" s="139" t="n"/>
      <x:c r="Q72" s="139" t="n"/>
      <x:c r="R72" s="139" t="n"/>
      <x:c r="S72" s="139" t="n"/>
      <x:c r="T72" s="139" t="n"/>
      <x:c r="U72" s="139" t="n"/>
    </x:row>
    <x:row r="73">
      <x:c r="A73" s="139" t="n"/>
      <x:c r="B73" s="139" t="n"/>
      <x:c r="C73" s="139" t="n"/>
      <x:c r="D73" s="139" t="n"/>
      <x:c r="E73" s="139" t="n"/>
      <x:c r="F73" s="139" t="n"/>
      <x:c r="G73" s="139" t="n"/>
      <x:c r="H73" s="139" t="n"/>
      <x:c r="I73" s="139" t="n"/>
      <x:c r="J73" s="139" t="n"/>
      <x:c r="K73" s="139" t="n"/>
      <x:c r="L73" s="139" t="n"/>
      <x:c r="M73" s="139" t="n"/>
      <x:c r="N73" s="139" t="n"/>
      <x:c r="O73" s="139" t="n"/>
      <x:c r="P73" s="139" t="n"/>
      <x:c r="Q73" s="139" t="n"/>
      <x:c r="R73" s="139" t="n"/>
      <x:c r="S73" s="139" t="n"/>
      <x:c r="T73" s="139" t="n"/>
      <x:c r="U73" s="139" t="n"/>
    </x:row>
    <x:row r="74">
      <x:c r="A74" s="139" t="n"/>
      <x:c r="B74" s="139" t="n"/>
      <x:c r="C74" s="139" t="n"/>
      <x:c r="D74" s="139" t="n"/>
      <x:c r="E74" s="139" t="n"/>
      <x:c r="F74" s="139" t="n"/>
      <x:c r="G74" s="139" t="n"/>
      <x:c r="H74" s="139" t="n"/>
      <x:c r="I74" s="139" t="n"/>
      <x:c r="J74" s="139" t="n"/>
      <x:c r="K74" s="139" t="n"/>
      <x:c r="L74" s="139" t="n"/>
      <x:c r="M74" s="139" t="n"/>
      <x:c r="N74" s="139" t="n"/>
      <x:c r="O74" s="139" t="n"/>
      <x:c r="P74" s="139" t="n"/>
      <x:c r="Q74" s="139" t="n"/>
      <x:c r="R74" s="139" t="n"/>
      <x:c r="S74" s="139" t="n"/>
      <x:c r="T74" s="139" t="n"/>
      <x:c r="U74" s="139" t="n"/>
    </x:row>
    <x:row r="75">
      <x:c r="A75" s="139" t="n"/>
      <x:c r="B75" s="139" t="n"/>
      <x:c r="C75" s="139" t="n"/>
      <x:c r="D75" s="139" t="n"/>
      <x:c r="E75" s="139" t="n"/>
      <x:c r="F75" s="139" t="n"/>
      <x:c r="G75" s="139" t="n"/>
      <x:c r="H75" s="139" t="n"/>
      <x:c r="I75" s="139" t="n"/>
      <x:c r="J75" s="139" t="n"/>
      <x:c r="K75" s="139" t="n"/>
      <x:c r="L75" s="139" t="n"/>
      <x:c r="M75" s="139" t="n"/>
      <x:c r="N75" s="139" t="n"/>
      <x:c r="O75" s="139" t="n"/>
      <x:c r="P75" s="139" t="n"/>
      <x:c r="Q75" s="139" t="n"/>
      <x:c r="R75" s="139" t="n"/>
      <x:c r="S75" s="139" t="n"/>
      <x:c r="T75" s="139" t="n"/>
      <x:c r="U75" s="139" t="n"/>
    </x:row>
    <x:row r="76">
      <x:c r="A76" s="139" t="n"/>
      <x:c r="B76" s="139" t="n"/>
      <x:c r="C76" s="139" t="n"/>
      <x:c r="D76" s="139" t="n"/>
      <x:c r="E76" s="139" t="n"/>
      <x:c r="F76" s="139" t="n"/>
      <x:c r="G76" s="139" t="n"/>
      <x:c r="H76" s="139" t="n"/>
      <x:c r="I76" s="139" t="n"/>
      <x:c r="J76" s="139" t="n"/>
      <x:c r="K76" s="139" t="n"/>
      <x:c r="L76" s="139" t="n"/>
      <x:c r="M76" s="139" t="n"/>
      <x:c r="N76" s="139" t="n"/>
      <x:c r="O76" s="139" t="n"/>
      <x:c r="P76" s="139" t="n"/>
      <x:c r="Q76" s="139" t="n"/>
      <x:c r="R76" s="139" t="n"/>
      <x:c r="S76" s="139" t="n"/>
      <x:c r="T76" s="139" t="n"/>
      <x:c r="U76" s="139" t="n"/>
    </x:row>
    <x:row r="77">
      <x:c r="A77" s="139" t="n"/>
      <x:c r="B77" s="139" t="n"/>
      <x:c r="C77" s="139" t="n"/>
      <x:c r="D77" s="139" t="n"/>
      <x:c r="E77" s="139" t="n"/>
      <x:c r="F77" s="139" t="n"/>
      <x:c r="G77" s="139" t="n"/>
      <x:c r="H77" s="139" t="n"/>
      <x:c r="I77" s="139" t="n"/>
      <x:c r="J77" s="139" t="n"/>
      <x:c r="K77" s="139" t="n"/>
      <x:c r="L77" s="139" t="n"/>
      <x:c r="M77" s="139" t="n"/>
      <x:c r="N77" s="139" t="n"/>
      <x:c r="O77" s="139" t="n"/>
      <x:c r="P77" s="139" t="n"/>
      <x:c r="Q77" s="139" t="n"/>
      <x:c r="R77" s="139" t="n"/>
      <x:c r="S77" s="139" t="n"/>
      <x:c r="T77" s="139" t="n"/>
      <x:c r="U77" s="139" t="n"/>
    </x:row>
    <x:row r="78">
      <x:c r="A78" s="139" t="n"/>
      <x:c r="B78" s="139" t="n"/>
      <x:c r="C78" s="139" t="n"/>
      <x:c r="D78" s="139" t="n"/>
      <x:c r="E78" s="139" t="n"/>
      <x:c r="F78" s="139" t="n"/>
      <x:c r="G78" s="139" t="n"/>
      <x:c r="H78" s="139" t="n"/>
      <x:c r="I78" s="139" t="n"/>
      <x:c r="J78" s="139" t="n"/>
      <x:c r="K78" s="139" t="n"/>
      <x:c r="L78" s="139" t="n"/>
      <x:c r="M78" s="139" t="n"/>
      <x:c r="N78" s="139" t="n"/>
      <x:c r="O78" s="139" t="n"/>
      <x:c r="P78" s="139" t="n"/>
      <x:c r="Q78" s="139" t="n"/>
      <x:c r="R78" s="139" t="n"/>
      <x:c r="S78" s="139" t="n"/>
      <x:c r="T78" s="139" t="n"/>
      <x:c r="U78" s="139" t="n"/>
    </x:row>
    <x:row r="79">
      <x:c r="A79" s="139" t="n"/>
      <x:c r="B79" s="139" t="n"/>
      <x:c r="C79" s="139" t="n"/>
      <x:c r="D79" s="139" t="n"/>
      <x:c r="E79" s="139" t="n"/>
      <x:c r="F79" s="139" t="n"/>
      <x:c r="G79" s="139" t="n"/>
      <x:c r="H79" s="139" t="n"/>
      <x:c r="I79" s="139" t="n"/>
      <x:c r="J79" s="139" t="n"/>
      <x:c r="K79" s="139" t="n"/>
      <x:c r="L79" s="139" t="n"/>
      <x:c r="M79" s="139" t="n"/>
      <x:c r="N79" s="139" t="n"/>
      <x:c r="O79" s="139" t="n"/>
      <x:c r="P79" s="139" t="n"/>
      <x:c r="Q79" s="139" t="n"/>
      <x:c r="R79" s="139" t="n"/>
      <x:c r="S79" s="139" t="n"/>
      <x:c r="T79" s="139" t="n"/>
      <x:c r="U79" s="139" t="n"/>
    </x:row>
    <x:row r="80">
      <x:c r="A80" s="139" t="n"/>
      <x:c r="B80" s="139" t="n"/>
      <x:c r="C80" s="139" t="n"/>
      <x:c r="D80" s="139" t="n"/>
      <x:c r="E80" s="139" t="n"/>
      <x:c r="F80" s="139" t="n"/>
      <x:c r="G80" s="139" t="n"/>
      <x:c r="H80" s="139" t="n"/>
      <x:c r="I80" s="139" t="n"/>
      <x:c r="J80" s="139" t="n"/>
      <x:c r="K80" s="139" t="n"/>
      <x:c r="L80" s="139" t="n"/>
      <x:c r="M80" s="139" t="n"/>
      <x:c r="N80" s="139" t="n"/>
      <x:c r="O80" s="139" t="n"/>
      <x:c r="P80" s="139" t="n"/>
      <x:c r="Q80" s="139" t="n"/>
      <x:c r="R80" s="139" t="n"/>
      <x:c r="S80" s="139" t="n"/>
      <x:c r="T80" s="139" t="n"/>
      <x:c r="U80" s="139" t="n"/>
    </x:row>
    <x:row r="81">
      <x:c r="A81" s="139" t="n"/>
      <x:c r="B81" s="139" t="n"/>
      <x:c r="C81" s="139" t="n"/>
      <x:c r="D81" s="139" t="n"/>
      <x:c r="E81" s="139" t="n"/>
      <x:c r="F81" s="139" t="n"/>
      <x:c r="G81" s="139" t="n"/>
      <x:c r="H81" s="139" t="n"/>
      <x:c r="I81" s="139" t="n"/>
      <x:c r="J81" s="139" t="n"/>
      <x:c r="K81" s="139" t="n"/>
      <x:c r="L81" s="139" t="n"/>
      <x:c r="M81" s="139" t="n"/>
      <x:c r="N81" s="139" t="n"/>
      <x:c r="O81" s="139" t="n"/>
      <x:c r="P81" s="139" t="n"/>
      <x:c r="Q81" s="139" t="n"/>
      <x:c r="R81" s="139" t="n"/>
      <x:c r="S81" s="139" t="n"/>
      <x:c r="T81" s="139" t="n"/>
      <x:c r="U81" s="139" t="n"/>
    </x:row>
    <x:row r="82">
      <x:c r="A82" s="139" t="n"/>
      <x:c r="B82" s="139" t="n"/>
      <x:c r="C82" s="139" t="n"/>
      <x:c r="D82" s="139" t="n"/>
      <x:c r="E82" s="139" t="n"/>
      <x:c r="F82" s="139" t="n"/>
      <x:c r="G82" s="139" t="n"/>
      <x:c r="H82" s="139" t="n"/>
      <x:c r="I82" s="139" t="n"/>
      <x:c r="J82" s="139" t="n"/>
      <x:c r="K82" s="139" t="n"/>
      <x:c r="L82" s="139" t="n"/>
      <x:c r="M82" s="139" t="n"/>
      <x:c r="N82" s="139" t="n"/>
      <x:c r="O82" s="139" t="n"/>
      <x:c r="P82" s="139" t="n"/>
      <x:c r="Q82" s="139" t="n"/>
      <x:c r="R82" s="139" t="n"/>
      <x:c r="S82" s="139" t="n"/>
      <x:c r="T82" s="139" t="n"/>
      <x:c r="U82" s="139" t="n"/>
    </x:row>
    <x:row r="83">
      <x:c r="A83" s="139" t="n"/>
      <x:c r="B83" s="139" t="n"/>
      <x:c r="C83" s="139" t="n"/>
      <x:c r="D83" s="139" t="n"/>
      <x:c r="E83" s="139" t="n"/>
      <x:c r="F83" s="139" t="n"/>
      <x:c r="G83" s="139" t="n"/>
      <x:c r="H83" s="139" t="n"/>
      <x:c r="I83" s="139" t="n"/>
      <x:c r="J83" s="139" t="n"/>
      <x:c r="K83" s="139" t="n"/>
      <x:c r="L83" s="139" t="n"/>
      <x:c r="M83" s="139" t="n"/>
      <x:c r="N83" s="139" t="n"/>
      <x:c r="O83" s="139" t="n"/>
      <x:c r="P83" s="139" t="n"/>
      <x:c r="Q83" s="139" t="n"/>
      <x:c r="R83" s="139" t="n"/>
      <x:c r="S83" s="139" t="n"/>
      <x:c r="T83" s="139" t="n"/>
      <x:c r="U83" s="139" t="n"/>
    </x:row>
    <x:row r="84">
      <x:c r="A84" s="139" t="n"/>
      <x:c r="B84" s="139" t="n"/>
      <x:c r="C84" s="139" t="n"/>
      <x:c r="D84" s="139" t="n"/>
      <x:c r="E84" s="139" t="n"/>
      <x:c r="F84" s="139" t="n"/>
      <x:c r="G84" s="139" t="n"/>
      <x:c r="H84" s="139" t="n"/>
      <x:c r="I84" s="139" t="n"/>
      <x:c r="J84" s="139" t="n"/>
      <x:c r="K84" s="139" t="n"/>
      <x:c r="L84" s="139" t="n"/>
      <x:c r="M84" s="139" t="n"/>
      <x:c r="N84" s="139" t="n"/>
      <x:c r="O84" s="139" t="n"/>
      <x:c r="P84" s="139" t="n"/>
      <x:c r="Q84" s="139" t="n"/>
      <x:c r="R84" s="139" t="n"/>
      <x:c r="S84" s="139" t="n"/>
      <x:c r="T84" s="139" t="n"/>
      <x:c r="U84" s="139" t="n"/>
    </x:row>
    <x:row r="85">
      <x:c r="A85" s="139" t="n"/>
      <x:c r="B85" s="139" t="n"/>
      <x:c r="C85" s="139" t="n"/>
      <x:c r="D85" s="139" t="n"/>
      <x:c r="E85" s="139" t="n"/>
      <x:c r="F85" s="139" t="n"/>
      <x:c r="G85" s="139" t="n"/>
      <x:c r="H85" s="139" t="n"/>
      <x:c r="I85" s="139" t="n"/>
      <x:c r="J85" s="139" t="n"/>
      <x:c r="K85" s="139" t="n"/>
      <x:c r="L85" s="139" t="n"/>
      <x:c r="M85" s="139" t="n"/>
      <x:c r="N85" s="139" t="n"/>
      <x:c r="O85" s="139" t="n"/>
      <x:c r="P85" s="139" t="n"/>
      <x:c r="Q85" s="139" t="n"/>
      <x:c r="R85" s="139" t="n"/>
      <x:c r="S85" s="139" t="n"/>
      <x:c r="T85" s="139" t="n"/>
      <x:c r="U85" s="139" t="n"/>
    </x:row>
    <x:row r="86">
      <x:c r="A86" s="139" t="n"/>
      <x:c r="B86" s="139" t="n"/>
      <x:c r="C86" s="139" t="n"/>
      <x:c r="D86" s="139" t="n"/>
      <x:c r="E86" s="139" t="n"/>
      <x:c r="F86" s="139" t="n"/>
      <x:c r="G86" s="139" t="n"/>
      <x:c r="H86" s="139" t="n"/>
      <x:c r="I86" s="139" t="n"/>
      <x:c r="J86" s="139" t="n"/>
      <x:c r="K86" s="139" t="n"/>
      <x:c r="L86" s="139" t="n"/>
      <x:c r="M86" s="139" t="n"/>
      <x:c r="N86" s="139" t="n"/>
      <x:c r="O86" s="139" t="n"/>
      <x:c r="P86" s="139" t="n"/>
      <x:c r="Q86" s="139" t="n"/>
      <x:c r="R86" s="139" t="n"/>
      <x:c r="S86" s="139" t="n"/>
      <x:c r="T86" s="139" t="n"/>
      <x:c r="U86" s="139" t="n"/>
    </x:row>
    <x:row r="87">
      <x:c r="A87" s="139" t="n"/>
      <x:c r="B87" s="139" t="n"/>
      <x:c r="C87" s="139" t="n"/>
      <x:c r="D87" s="139" t="n"/>
      <x:c r="E87" s="139" t="n"/>
      <x:c r="F87" s="139" t="n"/>
      <x:c r="G87" s="139" t="n"/>
      <x:c r="H87" s="139" t="n"/>
      <x:c r="I87" s="139" t="n"/>
      <x:c r="J87" s="139" t="n"/>
      <x:c r="K87" s="139" t="n"/>
      <x:c r="L87" s="139" t="n"/>
      <x:c r="M87" s="139" t="n"/>
      <x:c r="N87" s="139" t="n"/>
      <x:c r="O87" s="139" t="n"/>
      <x:c r="P87" s="139" t="n"/>
      <x:c r="Q87" s="139" t="n"/>
      <x:c r="R87" s="139" t="n"/>
      <x:c r="S87" s="139" t="n"/>
      <x:c r="T87" s="139" t="n"/>
      <x:c r="U87" s="139" t="n"/>
    </x:row>
    <x:row r="88">
      <x:c r="A88" s="139" t="n"/>
      <x:c r="B88" s="139" t="n"/>
      <x:c r="C88" s="139" t="n"/>
      <x:c r="D88" s="139" t="n"/>
      <x:c r="E88" s="139" t="n"/>
      <x:c r="F88" s="139" t="n"/>
      <x:c r="G88" s="139" t="n"/>
      <x:c r="H88" s="139" t="n"/>
      <x:c r="I88" s="139" t="n"/>
      <x:c r="J88" s="139" t="n"/>
      <x:c r="K88" s="139" t="n"/>
      <x:c r="L88" s="139" t="n"/>
      <x:c r="M88" s="139" t="n"/>
      <x:c r="N88" s="139" t="n"/>
      <x:c r="O88" s="139" t="n"/>
      <x:c r="P88" s="139" t="n"/>
      <x:c r="Q88" s="139" t="n"/>
      <x:c r="R88" s="139" t="n"/>
      <x:c r="S88" s="139" t="n"/>
      <x:c r="T88" s="139" t="n"/>
      <x:c r="U88" s="139" t="n"/>
    </x:row>
    <x:row r="89">
      <x:c r="A89" s="139" t="n"/>
      <x:c r="B89" s="139" t="n"/>
      <x:c r="C89" s="139" t="n"/>
      <x:c r="D89" s="139" t="n"/>
      <x:c r="E89" s="139" t="n"/>
      <x:c r="F89" s="139" t="n"/>
      <x:c r="G89" s="139" t="n"/>
      <x:c r="H89" s="139" t="n"/>
      <x:c r="I89" s="139" t="n"/>
      <x:c r="J89" s="139" t="n"/>
      <x:c r="K89" s="139" t="n"/>
      <x:c r="L89" s="139" t="n"/>
      <x:c r="M89" s="139" t="n"/>
      <x:c r="N89" s="139" t="n"/>
      <x:c r="O89" s="139" t="n"/>
      <x:c r="P89" s="139" t="n"/>
      <x:c r="Q89" s="139" t="n"/>
      <x:c r="R89" s="139" t="n"/>
      <x:c r="S89" s="139" t="n"/>
      <x:c r="T89" s="139" t="n"/>
      <x:c r="U89" s="139" t="n"/>
    </x:row>
    <x:row r="90">
      <x:c r="A90" s="139" t="n"/>
      <x:c r="B90" s="139" t="n"/>
      <x:c r="C90" s="139" t="n"/>
      <x:c r="D90" s="139" t="n"/>
      <x:c r="E90" s="139" t="n"/>
      <x:c r="F90" s="139" t="n"/>
      <x:c r="G90" s="139" t="n"/>
      <x:c r="H90" s="139" t="n"/>
      <x:c r="I90" s="139" t="n"/>
      <x:c r="J90" s="139" t="n"/>
      <x:c r="K90" s="139" t="n"/>
      <x:c r="L90" s="139" t="n"/>
      <x:c r="M90" s="139" t="n"/>
      <x:c r="N90" s="139" t="n"/>
      <x:c r="O90" s="139" t="n"/>
      <x:c r="P90" s="139" t="n"/>
      <x:c r="Q90" s="139" t="n"/>
      <x:c r="R90" s="139" t="n"/>
      <x:c r="S90" s="139" t="n"/>
      <x:c r="T90" s="139" t="n"/>
      <x:c r="U90" s="139" t="n"/>
    </x:row>
    <x:row r="91">
      <x:c r="A91" s="139" t="n"/>
      <x:c r="B91" s="139" t="n"/>
      <x:c r="C91" s="139" t="n"/>
      <x:c r="D91" s="139" t="n"/>
      <x:c r="E91" s="139" t="n"/>
      <x:c r="F91" s="139" t="n"/>
      <x:c r="G91" s="139" t="n"/>
      <x:c r="H91" s="139" t="n"/>
      <x:c r="I91" s="139" t="n"/>
      <x:c r="J91" s="139" t="n"/>
      <x:c r="K91" s="139" t="n"/>
      <x:c r="L91" s="139" t="n"/>
      <x:c r="M91" s="139" t="n"/>
      <x:c r="N91" s="139" t="n"/>
      <x:c r="O91" s="139" t="n"/>
      <x:c r="P91" s="139" t="n"/>
      <x:c r="Q91" s="139" t="n"/>
      <x:c r="R91" s="139" t="n"/>
      <x:c r="S91" s="139" t="n"/>
      <x:c r="T91" s="139" t="n"/>
      <x:c r="U91" s="139" t="n"/>
    </x:row>
    <x:row r="92">
      <x:c r="A92" s="139" t="n"/>
      <x:c r="B92" s="139" t="n"/>
      <x:c r="C92" s="139" t="n"/>
      <x:c r="D92" s="139" t="n"/>
      <x:c r="E92" s="139" t="n"/>
      <x:c r="F92" s="139" t="n"/>
      <x:c r="G92" s="139" t="n"/>
      <x:c r="H92" s="139" t="n"/>
      <x:c r="I92" s="139" t="n"/>
      <x:c r="J92" s="139" t="n"/>
      <x:c r="K92" s="139" t="n"/>
      <x:c r="L92" s="139" t="n"/>
      <x:c r="M92" s="139" t="n"/>
      <x:c r="N92" s="139" t="n"/>
      <x:c r="O92" s="139" t="n"/>
      <x:c r="P92" s="139" t="n"/>
      <x:c r="Q92" s="139" t="n"/>
      <x:c r="R92" s="139" t="n"/>
      <x:c r="S92" s="139" t="n"/>
      <x:c r="T92" s="139" t="n"/>
      <x:c r="U92" s="139" t="n"/>
    </x:row>
    <x:row r="93">
      <x:c r="A93" s="139" t="n"/>
      <x:c r="B93" s="139" t="n"/>
      <x:c r="C93" s="139" t="n"/>
      <x:c r="D93" s="139" t="n"/>
      <x:c r="E93" s="139" t="n"/>
      <x:c r="F93" s="139" t="n"/>
      <x:c r="G93" s="139" t="n"/>
      <x:c r="H93" s="139" t="n"/>
      <x:c r="I93" s="139" t="n"/>
      <x:c r="J93" s="139" t="n"/>
      <x:c r="K93" s="139" t="n"/>
      <x:c r="L93" s="139" t="n"/>
      <x:c r="M93" s="139" t="n"/>
      <x:c r="N93" s="139" t="n"/>
      <x:c r="O93" s="139" t="n"/>
      <x:c r="P93" s="139" t="n"/>
      <x:c r="Q93" s="139" t="n"/>
      <x:c r="R93" s="139" t="n"/>
      <x:c r="S93" s="139" t="n"/>
      <x:c r="T93" s="139" t="n"/>
      <x:c r="U93" s="139" t="n"/>
    </x:row>
    <x:row r="94">
      <x:c r="A94" s="139" t="n"/>
      <x:c r="B94" s="139" t="n"/>
      <x:c r="C94" s="139" t="n"/>
      <x:c r="D94" s="139" t="n"/>
      <x:c r="E94" s="139" t="n"/>
      <x:c r="F94" s="139" t="n"/>
      <x:c r="G94" s="139" t="n"/>
      <x:c r="H94" s="139" t="n"/>
      <x:c r="I94" s="139" t="n"/>
      <x:c r="J94" s="139" t="n"/>
      <x:c r="K94" s="139" t="n"/>
      <x:c r="L94" s="139" t="n"/>
      <x:c r="M94" s="139" t="n"/>
      <x:c r="N94" s="139" t="n"/>
      <x:c r="O94" s="139" t="n"/>
      <x:c r="P94" s="139" t="n"/>
      <x:c r="Q94" s="139" t="n"/>
      <x:c r="R94" s="139" t="n"/>
      <x:c r="S94" s="139" t="n"/>
      <x:c r="T94" s="139" t="n"/>
      <x:c r="U94" s="139" t="n"/>
    </x:row>
    <x:row r="95">
      <x:c r="A95" s="139" t="n"/>
      <x:c r="B95" s="139" t="n"/>
      <x:c r="C95" s="139" t="n"/>
      <x:c r="D95" s="139" t="n"/>
      <x:c r="E95" s="139" t="n"/>
      <x:c r="F95" s="139" t="n"/>
      <x:c r="G95" s="139" t="n"/>
      <x:c r="H95" s="139" t="n"/>
      <x:c r="I95" s="139" t="n"/>
      <x:c r="J95" s="139" t="n"/>
      <x:c r="K95" s="139" t="n"/>
      <x:c r="L95" s="139" t="n"/>
      <x:c r="M95" s="139" t="n"/>
      <x:c r="N95" s="139" t="n"/>
      <x:c r="O95" s="139" t="n"/>
      <x:c r="P95" s="139" t="n"/>
      <x:c r="Q95" s="139" t="n"/>
      <x:c r="R95" s="139" t="n"/>
      <x:c r="S95" s="139" t="n"/>
      <x:c r="T95" s="139" t="n"/>
      <x:c r="U95" s="139" t="n"/>
    </x:row>
    <x:row r="96">
      <x:c r="A96" s="139" t="n"/>
      <x:c r="B96" s="139" t="n"/>
      <x:c r="C96" s="139" t="n"/>
      <x:c r="D96" s="139" t="n"/>
      <x:c r="E96" s="139" t="n"/>
      <x:c r="F96" s="139" t="n"/>
      <x:c r="G96" s="139" t="n"/>
      <x:c r="H96" s="139" t="n"/>
      <x:c r="I96" s="139" t="n"/>
      <x:c r="J96" s="139" t="n"/>
      <x:c r="K96" s="139" t="n"/>
      <x:c r="L96" s="139" t="n"/>
      <x:c r="M96" s="139" t="n"/>
      <x:c r="N96" s="139" t="n"/>
      <x:c r="O96" s="139" t="n"/>
      <x:c r="P96" s="139" t="n"/>
      <x:c r="Q96" s="139" t="n"/>
      <x:c r="R96" s="139" t="n"/>
      <x:c r="S96" s="139" t="n"/>
      <x:c r="T96" s="139" t="n"/>
      <x:c r="U96" s="139" t="n"/>
    </x:row>
    <x:row r="97">
      <x:c r="A97" s="139" t="n"/>
      <x:c r="B97" s="139" t="n"/>
      <x:c r="C97" s="139" t="n"/>
      <x:c r="D97" s="139" t="n"/>
      <x:c r="E97" s="139" t="n"/>
      <x:c r="F97" s="139" t="n"/>
      <x:c r="G97" s="139" t="n"/>
      <x:c r="H97" s="139" t="n"/>
      <x:c r="I97" s="139" t="n"/>
      <x:c r="J97" s="139" t="n"/>
      <x:c r="K97" s="139" t="n"/>
      <x:c r="L97" s="139" t="n"/>
      <x:c r="M97" s="139" t="n"/>
      <x:c r="N97" s="139" t="n"/>
      <x:c r="O97" s="139" t="n"/>
      <x:c r="P97" s="139" t="n"/>
      <x:c r="Q97" s="139" t="n"/>
      <x:c r="R97" s="139" t="n"/>
      <x:c r="S97" s="139" t="n"/>
      <x:c r="T97" s="139" t="n"/>
      <x:c r="U97" s="139" t="n"/>
    </x:row>
    <x:row r="98">
      <x:c r="A98" s="139" t="n"/>
      <x:c r="B98" s="139" t="n"/>
      <x:c r="C98" s="139" t="n"/>
      <x:c r="D98" s="139" t="n"/>
      <x:c r="E98" s="139" t="n"/>
      <x:c r="F98" s="139" t="n"/>
      <x:c r="G98" s="139" t="n"/>
      <x:c r="H98" s="139" t="n"/>
      <x:c r="I98" s="139" t="n"/>
      <x:c r="J98" s="139" t="n"/>
      <x:c r="K98" s="139" t="n"/>
      <x:c r="L98" s="139" t="n"/>
      <x:c r="M98" s="139" t="n"/>
      <x:c r="N98" s="139" t="n"/>
      <x:c r="O98" s="139" t="n"/>
      <x:c r="P98" s="139" t="n"/>
      <x:c r="Q98" s="139" t="n"/>
      <x:c r="R98" s="139" t="n"/>
      <x:c r="S98" s="139" t="n"/>
      <x:c r="T98" s="139" t="n"/>
      <x:c r="U98" s="139" t="n"/>
    </x:row>
    <x:row r="99">
      <x:c r="A99" s="139" t="n"/>
      <x:c r="B99" s="139" t="n"/>
      <x:c r="C99" s="139" t="n"/>
      <x:c r="D99" s="139" t="n"/>
      <x:c r="E99" s="139" t="n"/>
      <x:c r="F99" s="139" t="n"/>
      <x:c r="G99" s="139" t="n"/>
      <x:c r="H99" s="139" t="n"/>
      <x:c r="I99" s="139" t="n"/>
      <x:c r="J99" s="139" t="n"/>
      <x:c r="K99" s="139" t="n"/>
      <x:c r="L99" s="139" t="n"/>
      <x:c r="M99" s="139" t="n"/>
      <x:c r="N99" s="139" t="n"/>
      <x:c r="O99" s="139" t="n"/>
      <x:c r="P99" s="139" t="n"/>
      <x:c r="Q99" s="139" t="n"/>
      <x:c r="R99" s="139" t="n"/>
      <x:c r="S99" s="139" t="n"/>
      <x:c r="T99" s="139" t="n"/>
      <x:c r="U99" s="139" t="n"/>
    </x:row>
    <x:row r="100">
      <x:c r="A100" s="139" t="n"/>
      <x:c r="B100" s="139" t="n"/>
      <x:c r="C100" s="139" t="n"/>
      <x:c r="D100" s="139" t="n"/>
      <x:c r="E100" s="139" t="n"/>
      <x:c r="F100" s="139" t="n"/>
      <x:c r="G100" s="139" t="n"/>
      <x:c r="H100" s="139" t="n"/>
      <x:c r="I100" s="139" t="n"/>
      <x:c r="J100" s="139" t="n"/>
      <x:c r="K100" s="139" t="n"/>
      <x:c r="L100" s="139" t="n"/>
      <x:c r="M100" s="139" t="n"/>
      <x:c r="N100" s="139" t="n"/>
      <x:c r="O100" s="139" t="n"/>
      <x:c r="P100" s="139" t="n"/>
      <x:c r="Q100" s="139" t="n"/>
      <x:c r="R100" s="139" t="n"/>
      <x:c r="S100" s="139" t="n"/>
      <x:c r="T100" s="139" t="n"/>
      <x:c r="U100" s="139" t="n"/>
    </x:row>
    <x:row r="101">
      <x:c r="A101" s="139" t="n"/>
      <x:c r="B101" s="139" t="n"/>
      <x:c r="C101" s="139" t="n"/>
      <x:c r="D101" s="139" t="n"/>
      <x:c r="E101" s="139" t="n"/>
      <x:c r="F101" s="139" t="n"/>
      <x:c r="G101" s="139" t="n"/>
      <x:c r="H101" s="139" t="n"/>
      <x:c r="I101" s="139" t="n"/>
      <x:c r="J101" s="139" t="n"/>
      <x:c r="K101" s="139" t="n"/>
      <x:c r="L101" s="139" t="n"/>
      <x:c r="M101" s="139" t="n"/>
      <x:c r="N101" s="139" t="n"/>
      <x:c r="O101" s="139" t="n"/>
      <x:c r="P101" s="139" t="n"/>
      <x:c r="Q101" s="139" t="n"/>
      <x:c r="R101" s="139" t="n"/>
      <x:c r="S101" s="139" t="n"/>
      <x:c r="T101" s="139" t="n"/>
      <x:c r="U101" s="139" t="n"/>
    </x:row>
    <x:row r="102">
      <x:c r="A102" s="139" t="n"/>
      <x:c r="B102" s="139" t="n"/>
      <x:c r="C102" s="139" t="n"/>
      <x:c r="D102" s="139" t="n"/>
      <x:c r="E102" s="139" t="n"/>
      <x:c r="F102" s="139" t="n"/>
      <x:c r="G102" s="139" t="n"/>
      <x:c r="H102" s="139" t="n"/>
      <x:c r="I102" s="139" t="n"/>
      <x:c r="J102" s="139" t="n"/>
      <x:c r="K102" s="139" t="n"/>
      <x:c r="L102" s="139" t="n"/>
      <x:c r="M102" s="139" t="n"/>
      <x:c r="N102" s="139" t="n"/>
      <x:c r="O102" s="139" t="n"/>
      <x:c r="P102" s="139" t="n"/>
      <x:c r="Q102" s="139" t="n"/>
      <x:c r="R102" s="139" t="n"/>
      <x:c r="S102" s="139" t="n"/>
      <x:c r="T102" s="139" t="n"/>
      <x:c r="U102" s="139" t="n"/>
    </x:row>
    <x:row r="103">
      <x:c r="A103" s="139" t="n"/>
      <x:c r="B103" s="139" t="n"/>
      <x:c r="C103" s="139" t="n"/>
      <x:c r="D103" s="139" t="n"/>
      <x:c r="E103" s="139" t="n"/>
      <x:c r="F103" s="139" t="n"/>
      <x:c r="G103" s="139" t="n"/>
      <x:c r="H103" s="139" t="n"/>
      <x:c r="I103" s="139" t="n"/>
      <x:c r="J103" s="139" t="n"/>
      <x:c r="K103" s="139" t="n"/>
      <x:c r="L103" s="139" t="n"/>
      <x:c r="M103" s="139" t="n"/>
      <x:c r="N103" s="139" t="n"/>
      <x:c r="O103" s="139" t="n"/>
      <x:c r="P103" s="139" t="n"/>
      <x:c r="Q103" s="139" t="n"/>
      <x:c r="R103" s="139" t="n"/>
      <x:c r="S103" s="139" t="n"/>
      <x:c r="T103" s="139" t="n"/>
      <x:c r="U103" s="139" t="n"/>
    </x:row>
    <x:row r="104">
      <x:c r="A104" s="139" t="n"/>
      <x:c r="B104" s="139" t="n"/>
      <x:c r="C104" s="139" t="n"/>
      <x:c r="D104" s="139" t="n"/>
      <x:c r="E104" s="139" t="n"/>
      <x:c r="F104" s="139" t="n"/>
      <x:c r="G104" s="139" t="n"/>
      <x:c r="H104" s="139" t="n"/>
      <x:c r="I104" s="139" t="n"/>
      <x:c r="J104" s="139" t="n"/>
      <x:c r="K104" s="139" t="n"/>
      <x:c r="L104" s="139" t="n"/>
      <x:c r="M104" s="139" t="n"/>
      <x:c r="N104" s="139" t="n"/>
      <x:c r="O104" s="139" t="n"/>
      <x:c r="P104" s="139" t="n"/>
      <x:c r="Q104" s="139" t="n"/>
      <x:c r="R104" s="139" t="n"/>
      <x:c r="S104" s="139" t="n"/>
      <x:c r="T104" s="139" t="n"/>
      <x:c r="U104" s="139" t="n"/>
    </x:row>
    <x:row r="105">
      <x:c r="A105" s="139" t="n"/>
      <x:c r="B105" s="139" t="n"/>
      <x:c r="C105" s="139" t="n"/>
      <x:c r="D105" s="139" t="n"/>
      <x:c r="E105" s="139" t="n"/>
      <x:c r="F105" s="139" t="n"/>
      <x:c r="G105" s="139" t="n"/>
      <x:c r="H105" s="139" t="n"/>
      <x:c r="I105" s="139" t="n"/>
      <x:c r="J105" s="139" t="n"/>
      <x:c r="K105" s="139" t="n"/>
      <x:c r="L105" s="139" t="n"/>
      <x:c r="M105" s="139" t="n"/>
      <x:c r="N105" s="139" t="n"/>
      <x:c r="O105" s="139" t="n"/>
      <x:c r="P105" s="139" t="n"/>
      <x:c r="Q105" s="139" t="n"/>
      <x:c r="R105" s="139" t="n"/>
      <x:c r="S105" s="139" t="n"/>
      <x:c r="T105" s="139" t="n"/>
      <x:c r="U105" s="139" t="n"/>
    </x:row>
    <x:row r="106">
      <x:c r="A106" s="139" t="n"/>
      <x:c r="B106" s="139" t="n"/>
      <x:c r="C106" s="139" t="n"/>
      <x:c r="D106" s="139" t="n"/>
      <x:c r="E106" s="139" t="n"/>
      <x:c r="F106" s="139" t="n"/>
      <x:c r="G106" s="139" t="n"/>
      <x:c r="H106" s="139" t="n"/>
      <x:c r="I106" s="139" t="n"/>
      <x:c r="J106" s="139" t="n"/>
      <x:c r="K106" s="139" t="n"/>
      <x:c r="L106" s="139" t="n"/>
      <x:c r="M106" s="139" t="n"/>
      <x:c r="N106" s="139" t="n"/>
      <x:c r="O106" s="139" t="n"/>
      <x:c r="P106" s="139" t="n"/>
      <x:c r="Q106" s="139" t="n"/>
      <x:c r="R106" s="139" t="n"/>
      <x:c r="S106" s="139" t="n"/>
      <x:c r="T106" s="139" t="n"/>
      <x:c r="U106" s="139" t="n"/>
    </x:row>
    <x:row r="107">
      <x:c r="A107" s="139" t="n"/>
      <x:c r="B107" s="139" t="n"/>
      <x:c r="C107" s="139" t="n"/>
      <x:c r="D107" s="139" t="n"/>
      <x:c r="E107" s="139" t="n"/>
      <x:c r="F107" s="139" t="n"/>
      <x:c r="G107" s="139" t="n"/>
      <x:c r="H107" s="139" t="n"/>
      <x:c r="I107" s="139" t="n"/>
      <x:c r="J107" s="139" t="n"/>
      <x:c r="K107" s="139" t="n"/>
      <x:c r="L107" s="139" t="n"/>
      <x:c r="M107" s="139" t="n"/>
      <x:c r="N107" s="139" t="n"/>
      <x:c r="O107" s="139" t="n"/>
      <x:c r="P107" s="139" t="n"/>
      <x:c r="Q107" s="139" t="n"/>
      <x:c r="R107" s="139" t="n"/>
      <x:c r="S107" s="139" t="n"/>
      <x:c r="T107" s="139" t="n"/>
      <x:c r="U107" s="139" t="n"/>
    </x:row>
    <x:row r="108">
      <x:c r="A108" s="139" t="n"/>
      <x:c r="B108" s="139" t="n"/>
      <x:c r="C108" s="139" t="n"/>
      <x:c r="D108" s="139" t="n"/>
      <x:c r="E108" s="139" t="n"/>
      <x:c r="F108" s="139" t="n"/>
      <x:c r="G108" s="139" t="n"/>
      <x:c r="H108" s="139" t="n"/>
      <x:c r="I108" s="139" t="n"/>
      <x:c r="J108" s="139" t="n"/>
      <x:c r="K108" s="139" t="n"/>
      <x:c r="L108" s="139" t="n"/>
      <x:c r="M108" s="139" t="n"/>
      <x:c r="N108" s="139" t="n"/>
      <x:c r="O108" s="139" t="n"/>
      <x:c r="P108" s="139" t="n"/>
      <x:c r="Q108" s="139" t="n"/>
      <x:c r="R108" s="139" t="n"/>
      <x:c r="S108" s="139" t="n"/>
      <x:c r="T108" s="139" t="n"/>
      <x:c r="U108" s="139" t="n"/>
    </x:row>
    <x:row r="109">
      <x:c r="A109" s="139" t="n"/>
      <x:c r="B109" s="139" t="n"/>
      <x:c r="C109" s="139" t="n"/>
      <x:c r="D109" s="139" t="n"/>
      <x:c r="E109" s="139" t="n"/>
      <x:c r="F109" s="139" t="n"/>
      <x:c r="G109" s="139" t="n"/>
      <x:c r="H109" s="139" t="n"/>
      <x:c r="I109" s="139" t="n"/>
      <x:c r="J109" s="139" t="n"/>
      <x:c r="K109" s="139" t="n"/>
      <x:c r="L109" s="139" t="n"/>
      <x:c r="M109" s="139" t="n"/>
      <x:c r="N109" s="139" t="n"/>
      <x:c r="O109" s="139" t="n"/>
      <x:c r="P109" s="139" t="n"/>
      <x:c r="Q109" s="139" t="n"/>
      <x:c r="R109" s="139" t="n"/>
      <x:c r="S109" s="139" t="n"/>
      <x:c r="T109" s="139" t="n"/>
      <x:c r="U109" s="139" t="n"/>
    </x:row>
    <x:row r="110">
      <x:c r="A110" s="139" t="n"/>
      <x:c r="B110" s="139" t="n"/>
      <x:c r="C110" s="139" t="n"/>
      <x:c r="D110" s="139" t="n"/>
      <x:c r="E110" s="139" t="n"/>
      <x:c r="F110" s="139" t="n"/>
      <x:c r="G110" s="139" t="n"/>
      <x:c r="H110" s="139" t="n"/>
      <x:c r="I110" s="139" t="n"/>
      <x:c r="J110" s="139" t="n"/>
      <x:c r="K110" s="139" t="n"/>
      <x:c r="L110" s="139" t="n"/>
      <x:c r="M110" s="139" t="n"/>
      <x:c r="N110" s="139" t="n"/>
      <x:c r="O110" s="139" t="n"/>
      <x:c r="P110" s="139" t="n"/>
      <x:c r="Q110" s="139" t="n"/>
      <x:c r="R110" s="139" t="n"/>
      <x:c r="S110" s="139" t="n"/>
      <x:c r="T110" s="139" t="n"/>
      <x:c r="U110" s="139" t="n"/>
    </x:row>
    <x:row r="111">
      <x:c r="A111" s="139" t="n"/>
      <x:c r="B111" s="139" t="n"/>
      <x:c r="C111" s="139" t="n"/>
      <x:c r="D111" s="139" t="n"/>
      <x:c r="E111" s="139" t="n"/>
      <x:c r="F111" s="139" t="n"/>
      <x:c r="G111" s="139" t="n"/>
      <x:c r="H111" s="139" t="n"/>
      <x:c r="I111" s="139" t="n"/>
      <x:c r="J111" s="139" t="n"/>
      <x:c r="K111" s="139" t="n"/>
      <x:c r="L111" s="139" t="n"/>
      <x:c r="M111" s="139" t="n"/>
      <x:c r="N111" s="139" t="n"/>
      <x:c r="O111" s="139" t="n"/>
      <x:c r="P111" s="139" t="n"/>
      <x:c r="Q111" s="139" t="n"/>
      <x:c r="R111" s="139" t="n"/>
      <x:c r="S111" s="139" t="n"/>
      <x:c r="T111" s="139" t="n"/>
      <x:c r="U111" s="139" t="n"/>
    </x:row>
    <x:row r="112">
      <x:c r="A112" s="139" t="n"/>
      <x:c r="B112" s="139" t="n"/>
      <x:c r="C112" s="139" t="n"/>
      <x:c r="D112" s="139" t="n"/>
      <x:c r="E112" s="139" t="n"/>
      <x:c r="F112" s="139" t="n"/>
      <x:c r="G112" s="139" t="n"/>
      <x:c r="H112" s="139" t="n"/>
      <x:c r="I112" s="139" t="n"/>
      <x:c r="J112" s="139" t="n"/>
      <x:c r="K112" s="139" t="n"/>
      <x:c r="L112" s="139" t="n"/>
      <x:c r="M112" s="139" t="n"/>
      <x:c r="N112" s="139" t="n"/>
      <x:c r="O112" s="139" t="n"/>
      <x:c r="P112" s="139" t="n"/>
      <x:c r="Q112" s="139" t="n"/>
      <x:c r="R112" s="139" t="n"/>
      <x:c r="S112" s="139" t="n"/>
      <x:c r="T112" s="139" t="n"/>
      <x:c r="U112" s="139" t="n"/>
    </x:row>
    <x:row r="113">
      <x:c r="A113" s="139" t="n"/>
      <x:c r="B113" s="139" t="n"/>
      <x:c r="C113" s="139" t="n"/>
      <x:c r="D113" s="139" t="n"/>
      <x:c r="E113" s="139" t="n"/>
      <x:c r="F113" s="139" t="n"/>
      <x:c r="G113" s="139" t="n"/>
      <x:c r="H113" s="139" t="n"/>
      <x:c r="I113" s="139" t="n"/>
      <x:c r="J113" s="139" t="n"/>
      <x:c r="K113" s="139" t="n"/>
      <x:c r="L113" s="139" t="n"/>
      <x:c r="M113" s="139" t="n"/>
      <x:c r="N113" s="139" t="n"/>
      <x:c r="O113" s="139" t="n"/>
      <x:c r="P113" s="139" t="n"/>
      <x:c r="Q113" s="139" t="n"/>
      <x:c r="R113" s="139" t="n"/>
      <x:c r="S113" s="139" t="n"/>
      <x:c r="T113" s="139" t="n"/>
      <x:c r="U113" s="139" t="n"/>
    </x:row>
    <x:row r="114">
      <x:c r="A114" s="139" t="n"/>
      <x:c r="B114" s="139" t="n"/>
      <x:c r="C114" s="139" t="n"/>
      <x:c r="D114" s="139" t="n"/>
      <x:c r="E114" s="139" t="n"/>
      <x:c r="F114" s="139" t="n"/>
      <x:c r="G114" s="139" t="n"/>
      <x:c r="H114" s="139" t="n"/>
      <x:c r="I114" s="139" t="n"/>
      <x:c r="J114" s="139" t="n"/>
      <x:c r="K114" s="139" t="n"/>
      <x:c r="L114" s="139" t="n"/>
      <x:c r="M114" s="139" t="n"/>
      <x:c r="N114" s="139" t="n"/>
      <x:c r="O114" s="139" t="n"/>
      <x:c r="P114" s="139" t="n"/>
      <x:c r="Q114" s="139" t="n"/>
      <x:c r="R114" s="139" t="n"/>
      <x:c r="S114" s="139" t="n"/>
      <x:c r="T114" s="139" t="n"/>
      <x:c r="U114" s="139" t="n"/>
    </x:row>
    <x:row r="115">
      <x:c r="A115" s="139" t="n"/>
      <x:c r="B115" s="139" t="n"/>
      <x:c r="C115" s="139" t="n"/>
      <x:c r="D115" s="139" t="n"/>
      <x:c r="E115" s="139" t="n"/>
      <x:c r="F115" s="139" t="n"/>
      <x:c r="G115" s="139" t="n"/>
      <x:c r="H115" s="139" t="n"/>
      <x:c r="I115" s="139" t="n"/>
      <x:c r="J115" s="139" t="n"/>
      <x:c r="K115" s="139" t="n"/>
      <x:c r="L115" s="139" t="n"/>
      <x:c r="M115" s="139" t="n"/>
      <x:c r="N115" s="139" t="n"/>
      <x:c r="O115" s="139" t="n"/>
      <x:c r="P115" s="139" t="n"/>
      <x:c r="Q115" s="139" t="n"/>
      <x:c r="R115" s="139" t="n"/>
      <x:c r="S115" s="139" t="n"/>
      <x:c r="T115" s="139" t="n"/>
      <x:c r="U115" s="139" t="n"/>
    </x:row>
    <x:row r="116">
      <x:c r="A116" s="139" t="n"/>
      <x:c r="B116" s="139" t="n"/>
      <x:c r="C116" s="139" t="n"/>
      <x:c r="D116" s="139" t="n"/>
      <x:c r="E116" s="139" t="n"/>
      <x:c r="F116" s="139" t="n"/>
      <x:c r="G116" s="139" t="n"/>
      <x:c r="H116" s="139" t="n"/>
      <x:c r="I116" s="139" t="n"/>
      <x:c r="J116" s="139" t="n"/>
      <x:c r="K116" s="139" t="n"/>
      <x:c r="L116" s="139" t="n"/>
      <x:c r="M116" s="139" t="n"/>
      <x:c r="N116" s="139" t="n"/>
      <x:c r="O116" s="139" t="n"/>
      <x:c r="P116" s="139" t="n"/>
      <x:c r="Q116" s="139" t="n"/>
      <x:c r="R116" s="139" t="n"/>
      <x:c r="S116" s="139" t="n"/>
      <x:c r="T116" s="139" t="n"/>
      <x:c r="U116" s="139" t="n"/>
    </x:row>
    <x:row r="117">
      <x:c r="A117" s="139" t="n"/>
      <x:c r="B117" s="139" t="n"/>
      <x:c r="C117" s="139" t="n"/>
      <x:c r="D117" s="139" t="n"/>
      <x:c r="E117" s="139" t="n"/>
      <x:c r="F117" s="139" t="n"/>
      <x:c r="G117" s="139" t="n"/>
      <x:c r="H117" s="139" t="n"/>
      <x:c r="I117" s="139" t="n"/>
      <x:c r="J117" s="139" t="n"/>
      <x:c r="K117" s="139" t="n"/>
      <x:c r="L117" s="139" t="n"/>
      <x:c r="M117" s="139" t="n"/>
      <x:c r="N117" s="139" t="n"/>
      <x:c r="O117" s="139" t="n"/>
      <x:c r="P117" s="139" t="n"/>
      <x:c r="Q117" s="139" t="n"/>
      <x:c r="R117" s="139" t="n"/>
      <x:c r="S117" s="139" t="n"/>
      <x:c r="T117" s="139" t="n"/>
      <x:c r="U117" s="139" t="n"/>
    </x:row>
    <x:row r="118">
      <x:c r="A118" s="139" t="n"/>
      <x:c r="B118" s="139" t="n"/>
      <x:c r="C118" s="139" t="n"/>
      <x:c r="D118" s="139" t="n"/>
      <x:c r="E118" s="139" t="n"/>
      <x:c r="F118" s="139" t="n"/>
      <x:c r="G118" s="139" t="n"/>
      <x:c r="H118" s="139" t="n"/>
      <x:c r="I118" s="139" t="n"/>
      <x:c r="J118" s="139" t="n"/>
      <x:c r="K118" s="139" t="n"/>
      <x:c r="L118" s="139" t="n"/>
      <x:c r="M118" s="139" t="n"/>
      <x:c r="N118" s="139" t="n"/>
      <x:c r="O118" s="139" t="n"/>
      <x:c r="P118" s="139" t="n"/>
      <x:c r="Q118" s="139" t="n"/>
      <x:c r="R118" s="139" t="n"/>
      <x:c r="S118" s="139" t="n"/>
      <x:c r="T118" s="139" t="n"/>
      <x:c r="U118" s="139" t="n"/>
    </x:row>
    <x:row r="119">
      <x:c r="A119" s="139" t="n"/>
      <x:c r="B119" s="139" t="n"/>
      <x:c r="C119" s="139" t="n"/>
      <x:c r="D119" s="139" t="n"/>
      <x:c r="E119" s="139" t="n"/>
      <x:c r="F119" s="139" t="n"/>
      <x:c r="G119" s="139" t="n"/>
      <x:c r="H119" s="139" t="n"/>
      <x:c r="I119" s="139" t="n"/>
      <x:c r="J119" s="139" t="n"/>
      <x:c r="K119" s="139" t="n"/>
      <x:c r="L119" s="139" t="n"/>
      <x:c r="M119" s="139" t="n"/>
      <x:c r="N119" s="139" t="n"/>
      <x:c r="O119" s="139" t="n"/>
      <x:c r="P119" s="139" t="n"/>
      <x:c r="Q119" s="139" t="n"/>
      <x:c r="R119" s="139" t="n"/>
      <x:c r="S119" s="139" t="n"/>
      <x:c r="T119" s="139" t="n"/>
      <x:c r="U119" s="139" t="n"/>
    </x:row>
    <x:row r="120">
      <x:c r="A120" s="139" t="n"/>
      <x:c r="B120" s="139" t="n"/>
      <x:c r="C120" s="139" t="n"/>
      <x:c r="D120" s="139" t="n"/>
      <x:c r="E120" s="139" t="n"/>
      <x:c r="F120" s="139" t="n"/>
      <x:c r="G120" s="139" t="n"/>
      <x:c r="H120" s="139" t="n"/>
      <x:c r="I120" s="139" t="n"/>
      <x:c r="J120" s="139" t="n"/>
      <x:c r="K120" s="139" t="n"/>
      <x:c r="L120" s="139" t="n"/>
      <x:c r="M120" s="139" t="n"/>
      <x:c r="N120" s="139" t="n"/>
      <x:c r="O120" s="139" t="n"/>
      <x:c r="P120" s="139" t="n"/>
      <x:c r="Q120" s="139" t="n"/>
      <x:c r="R120" s="139" t="n"/>
      <x:c r="S120" s="139" t="n"/>
      <x:c r="T120" s="139" t="n"/>
      <x:c r="U120" s="139" t="n"/>
    </x:row>
    <x:row r="121">
      <x:c r="A121" s="139" t="n"/>
      <x:c r="B121" s="139" t="n"/>
      <x:c r="C121" s="139" t="n"/>
      <x:c r="D121" s="139" t="n"/>
      <x:c r="E121" s="139" t="n"/>
      <x:c r="F121" s="139" t="n"/>
      <x:c r="G121" s="139" t="n"/>
      <x:c r="H121" s="139" t="n"/>
      <x:c r="I121" s="139" t="n"/>
      <x:c r="J121" s="139" t="n"/>
      <x:c r="K121" s="139" t="n"/>
      <x:c r="L121" s="139" t="n"/>
      <x:c r="M121" s="139" t="n"/>
      <x:c r="N121" s="139" t="n"/>
      <x:c r="O121" s="139" t="n"/>
      <x:c r="P121" s="139" t="n"/>
      <x:c r="Q121" s="139" t="n"/>
      <x:c r="R121" s="139" t="n"/>
      <x:c r="S121" s="139" t="n"/>
      <x:c r="T121" s="139" t="n"/>
      <x:c r="U121" s="139" t="n"/>
    </x:row>
    <x:row r="122">
      <x:c r="A122" s="139" t="n"/>
      <x:c r="B122" s="139" t="n"/>
      <x:c r="C122" s="139" t="n"/>
      <x:c r="D122" s="139" t="n"/>
      <x:c r="E122" s="139" t="n"/>
      <x:c r="F122" s="139" t="n"/>
      <x:c r="G122" s="139" t="n"/>
      <x:c r="H122" s="139" t="n"/>
      <x:c r="I122" s="139" t="n"/>
      <x:c r="J122" s="139" t="n"/>
      <x:c r="K122" s="139" t="n"/>
      <x:c r="L122" s="139" t="n"/>
      <x:c r="M122" s="139" t="n"/>
      <x:c r="N122" s="139" t="n"/>
      <x:c r="O122" s="139" t="n"/>
      <x:c r="P122" s="139" t="n"/>
      <x:c r="Q122" s="139" t="n"/>
      <x:c r="R122" s="139" t="n"/>
      <x:c r="S122" s="139" t="n"/>
      <x:c r="T122" s="139" t="n"/>
      <x:c r="U122" s="139" t="n"/>
    </x:row>
    <x:row r="123">
      <x:c r="A123" s="139" t="n"/>
      <x:c r="B123" s="139" t="n"/>
      <x:c r="C123" s="139" t="n"/>
      <x:c r="D123" s="139" t="n"/>
      <x:c r="E123" s="139" t="n"/>
      <x:c r="F123" s="139" t="n"/>
      <x:c r="G123" s="139" t="n"/>
      <x:c r="H123" s="139" t="n"/>
      <x:c r="I123" s="139" t="n"/>
      <x:c r="J123" s="139" t="n"/>
      <x:c r="K123" s="139" t="n"/>
      <x:c r="L123" s="139" t="n"/>
      <x:c r="M123" s="139" t="n"/>
      <x:c r="N123" s="139" t="n"/>
      <x:c r="O123" s="139" t="n"/>
      <x:c r="P123" s="139" t="n"/>
      <x:c r="Q123" s="139" t="n"/>
      <x:c r="R123" s="139" t="n"/>
      <x:c r="S123" s="139" t="n"/>
      <x:c r="T123" s="139" t="n"/>
      <x:c r="U123" s="139" t="n"/>
    </x:row>
    <x:row r="124">
      <x:c r="A124" s="139" t="n"/>
      <x:c r="B124" s="139" t="n"/>
      <x:c r="C124" s="139" t="n"/>
      <x:c r="D124" s="139" t="n"/>
      <x:c r="E124" s="139" t="n"/>
      <x:c r="F124" s="139" t="n"/>
      <x:c r="G124" s="139" t="n"/>
      <x:c r="H124" s="139" t="n"/>
      <x:c r="I124" s="139" t="n"/>
      <x:c r="J124" s="139" t="n"/>
      <x:c r="K124" s="139" t="n"/>
      <x:c r="L124" s="139" t="n"/>
      <x:c r="M124" s="139" t="n"/>
      <x:c r="N124" s="139" t="n"/>
      <x:c r="O124" s="139" t="n"/>
      <x:c r="P124" s="139" t="n"/>
      <x:c r="Q124" s="139" t="n"/>
      <x:c r="R124" s="139" t="n"/>
      <x:c r="S124" s="139" t="n"/>
      <x:c r="T124" s="139" t="n"/>
      <x:c r="U124" s="139" t="n"/>
    </x:row>
    <x:row r="125">
      <x:c r="A125" s="139" t="n"/>
      <x:c r="B125" s="139" t="n"/>
      <x:c r="C125" s="139" t="n"/>
      <x:c r="D125" s="139" t="n"/>
      <x:c r="E125" s="139" t="n"/>
      <x:c r="F125" s="139" t="n"/>
      <x:c r="G125" s="139" t="n"/>
      <x:c r="H125" s="139" t="n"/>
      <x:c r="I125" s="139" t="n"/>
      <x:c r="J125" s="139" t="n"/>
      <x:c r="K125" s="139" t="n"/>
      <x:c r="L125" s="139" t="n"/>
      <x:c r="M125" s="139" t="n"/>
      <x:c r="N125" s="139" t="n"/>
      <x:c r="O125" s="139" t="n"/>
      <x:c r="P125" s="139" t="n"/>
      <x:c r="Q125" s="139" t="n"/>
      <x:c r="R125" s="139" t="n"/>
      <x:c r="S125" s="139" t="n"/>
      <x:c r="T125" s="139" t="n"/>
      <x:c r="U125" s="139" t="n"/>
    </x:row>
    <x:row r="126">
      <x:c r="A126" s="139" t="n"/>
      <x:c r="B126" s="139" t="n"/>
      <x:c r="C126" s="139" t="n"/>
      <x:c r="D126" s="139" t="n"/>
      <x:c r="E126" s="139" t="n"/>
      <x:c r="F126" s="139" t="n"/>
      <x:c r="G126" s="139" t="n"/>
      <x:c r="H126" s="139" t="n"/>
      <x:c r="I126" s="139" t="n"/>
      <x:c r="J126" s="139" t="n"/>
      <x:c r="K126" s="139" t="n"/>
      <x:c r="L126" s="139" t="n"/>
      <x:c r="M126" s="139" t="n"/>
      <x:c r="N126" s="139" t="n"/>
      <x:c r="O126" s="139" t="n"/>
      <x:c r="P126" s="139" t="n"/>
      <x:c r="Q126" s="139" t="n"/>
      <x:c r="R126" s="139" t="n"/>
      <x:c r="S126" s="139" t="n"/>
      <x:c r="T126" s="139" t="n"/>
      <x:c r="U126" s="139" t="n"/>
    </x:row>
    <x:row r="127">
      <x:c r="A127" s="139" t="n"/>
      <x:c r="B127" s="139" t="n"/>
      <x:c r="C127" s="139" t="n"/>
      <x:c r="D127" s="139" t="n"/>
      <x:c r="E127" s="139" t="n"/>
      <x:c r="F127" s="139" t="n"/>
      <x:c r="G127" s="139" t="n"/>
      <x:c r="H127" s="139" t="n"/>
      <x:c r="I127" s="139" t="n"/>
      <x:c r="J127" s="139" t="n"/>
      <x:c r="K127" s="139" t="n"/>
      <x:c r="L127" s="139" t="n"/>
      <x:c r="M127" s="139" t="n"/>
      <x:c r="N127" s="139" t="n"/>
      <x:c r="O127" s="139" t="n"/>
      <x:c r="P127" s="139" t="n"/>
      <x:c r="Q127" s="139" t="n"/>
      <x:c r="R127" s="139" t="n"/>
      <x:c r="S127" s="139" t="n"/>
      <x:c r="T127" s="139" t="n"/>
      <x:c r="U127" s="139" t="n"/>
    </x:row>
    <x:row r="128">
      <x:c r="A128" s="139" t="n"/>
      <x:c r="B128" s="139" t="n"/>
      <x:c r="C128" s="139" t="n"/>
      <x:c r="D128" s="139" t="n"/>
      <x:c r="E128" s="139" t="n"/>
      <x:c r="F128" s="139" t="n"/>
      <x:c r="G128" s="139" t="n"/>
      <x:c r="H128" s="139" t="n"/>
      <x:c r="I128" s="139" t="n"/>
      <x:c r="J128" s="139" t="n"/>
      <x:c r="K128" s="139" t="n"/>
      <x:c r="L128" s="139" t="n"/>
      <x:c r="M128" s="139" t="n"/>
      <x:c r="N128" s="139" t="n"/>
      <x:c r="O128" s="139" t="n"/>
      <x:c r="P128" s="139" t="n"/>
      <x:c r="Q128" s="139" t="n"/>
      <x:c r="R128" s="139" t="n"/>
      <x:c r="S128" s="139" t="n"/>
      <x:c r="T128" s="139" t="n"/>
      <x:c r="U128" s="139" t="n"/>
    </x:row>
    <x:row r="129">
      <x:c r="A129" s="139" t="n"/>
      <x:c r="B129" s="139" t="n"/>
      <x:c r="C129" s="139" t="n"/>
      <x:c r="D129" s="139" t="n"/>
      <x:c r="E129" s="139" t="n"/>
      <x:c r="F129" s="139" t="n"/>
      <x:c r="G129" s="139" t="n"/>
      <x:c r="H129" s="139" t="n"/>
      <x:c r="I129" s="139" t="n"/>
      <x:c r="J129" s="139" t="n"/>
      <x:c r="K129" s="139" t="n"/>
      <x:c r="L129" s="139" t="n"/>
      <x:c r="M129" s="139" t="n"/>
      <x:c r="N129" s="139" t="n"/>
      <x:c r="O129" s="139" t="n"/>
      <x:c r="P129" s="139" t="n"/>
      <x:c r="Q129" s="139" t="n"/>
      <x:c r="R129" s="139" t="n"/>
      <x:c r="S129" s="139" t="n"/>
      <x:c r="T129" s="139" t="n"/>
      <x:c r="U129" s="139" t="n"/>
    </x:row>
    <x:row r="130">
      <x:c r="A130" s="139" t="n"/>
      <x:c r="B130" s="139" t="n"/>
      <x:c r="C130" s="139" t="n"/>
      <x:c r="D130" s="139" t="n"/>
      <x:c r="E130" s="139" t="n"/>
      <x:c r="F130" s="139" t="n"/>
      <x:c r="G130" s="139" t="n"/>
      <x:c r="H130" s="139" t="n"/>
      <x:c r="I130" s="139" t="n"/>
      <x:c r="J130" s="139" t="n"/>
      <x:c r="K130" s="139" t="n"/>
      <x:c r="L130" s="139" t="n"/>
      <x:c r="M130" s="139" t="n"/>
      <x:c r="N130" s="139" t="n"/>
      <x:c r="O130" s="139" t="n"/>
      <x:c r="P130" s="139" t="n"/>
      <x:c r="Q130" s="139" t="n"/>
      <x:c r="R130" s="139" t="n"/>
      <x:c r="S130" s="139" t="n"/>
      <x:c r="T130" s="139" t="n"/>
      <x:c r="U130" s="139" t="n"/>
    </x:row>
    <x:row r="131">
      <x:c r="A131" s="139" t="n"/>
      <x:c r="B131" s="139" t="n"/>
      <x:c r="C131" s="139" t="n"/>
      <x:c r="D131" s="139" t="n"/>
      <x:c r="E131" s="139" t="n"/>
      <x:c r="F131" s="139" t="n"/>
      <x:c r="G131" s="139" t="n"/>
      <x:c r="H131" s="139" t="n"/>
      <x:c r="I131" s="139" t="n"/>
      <x:c r="J131" s="139" t="n"/>
      <x:c r="K131" s="139" t="n"/>
      <x:c r="L131" s="139" t="n"/>
      <x:c r="M131" s="139" t="n"/>
      <x:c r="N131" s="139" t="n"/>
      <x:c r="O131" s="139" t="n"/>
      <x:c r="P131" s="139" t="n"/>
      <x:c r="Q131" s="139" t="n"/>
      <x:c r="R131" s="139" t="n"/>
      <x:c r="S131" s="139" t="n"/>
      <x:c r="T131" s="139" t="n"/>
      <x:c r="U131" s="139" t="n"/>
    </x:row>
    <x:row r="132">
      <x:c r="A132" s="139" t="n"/>
      <x:c r="B132" s="139" t="n"/>
      <x:c r="C132" s="139" t="n"/>
      <x:c r="D132" s="139" t="n"/>
      <x:c r="E132" s="139" t="n"/>
      <x:c r="F132" s="139" t="n"/>
      <x:c r="G132" s="139" t="n"/>
      <x:c r="H132" s="139" t="n"/>
      <x:c r="I132" s="139" t="n"/>
      <x:c r="J132" s="139" t="n"/>
      <x:c r="K132" s="139" t="n"/>
      <x:c r="L132" s="139" t="n"/>
      <x:c r="M132" s="139" t="n"/>
      <x:c r="N132" s="139" t="n"/>
      <x:c r="O132" s="139" t="n"/>
      <x:c r="P132" s="139" t="n"/>
      <x:c r="Q132" s="139" t="n"/>
      <x:c r="R132" s="139" t="n"/>
      <x:c r="S132" s="139" t="n"/>
      <x:c r="T132" s="139" t="n"/>
      <x:c r="U132" s="139" t="n"/>
    </x:row>
    <x:row r="133">
      <x:c r="A133" s="139" t="n"/>
      <x:c r="B133" s="139" t="n"/>
      <x:c r="C133" s="139" t="n"/>
      <x:c r="D133" s="139" t="n"/>
      <x:c r="E133" s="139" t="n"/>
      <x:c r="F133" s="139" t="n"/>
      <x:c r="G133" s="139" t="n"/>
      <x:c r="H133" s="139" t="n"/>
      <x:c r="I133" s="139" t="n"/>
      <x:c r="J133" s="139" t="n"/>
      <x:c r="K133" s="139" t="n"/>
      <x:c r="L133" s="139" t="n"/>
      <x:c r="M133" s="139" t="n"/>
      <x:c r="N133" s="139" t="n"/>
      <x:c r="O133" s="139" t="n"/>
      <x:c r="P133" s="139" t="n"/>
      <x:c r="Q133" s="139" t="n"/>
      <x:c r="R133" s="139" t="n"/>
      <x:c r="S133" s="139" t="n"/>
      <x:c r="T133" s="139" t="n"/>
      <x:c r="U133" s="139" t="n"/>
    </x:row>
    <x:row r="134">
      <x:c r="A134" s="139" t="n"/>
      <x:c r="B134" s="139" t="n"/>
      <x:c r="C134" s="139" t="n"/>
      <x:c r="D134" s="139" t="n"/>
      <x:c r="E134" s="139" t="n"/>
      <x:c r="F134" s="139" t="n"/>
      <x:c r="G134" s="139" t="n"/>
      <x:c r="H134" s="139" t="n"/>
      <x:c r="I134" s="139" t="n"/>
      <x:c r="J134" s="139" t="n"/>
      <x:c r="K134" s="139" t="n"/>
      <x:c r="L134" s="139" t="n"/>
      <x:c r="M134" s="139" t="n"/>
      <x:c r="N134" s="139" t="n"/>
      <x:c r="O134" s="139" t="n"/>
      <x:c r="P134" s="139" t="n"/>
      <x:c r="Q134" s="139" t="n"/>
      <x:c r="R134" s="139" t="n"/>
      <x:c r="S134" s="139" t="n"/>
      <x:c r="T134" s="139" t="n"/>
      <x:c r="U134" s="139" t="n"/>
    </x:row>
    <x:row r="135">
      <x:c r="A135" s="139" t="n"/>
      <x:c r="B135" s="139" t="n"/>
      <x:c r="C135" s="139" t="n"/>
      <x:c r="D135" s="139" t="n"/>
      <x:c r="E135" s="139" t="n"/>
      <x:c r="F135" s="139" t="n"/>
      <x:c r="G135" s="139" t="n"/>
      <x:c r="H135" s="139" t="n"/>
      <x:c r="I135" s="139" t="n"/>
      <x:c r="J135" s="139" t="n"/>
      <x:c r="K135" s="139" t="n"/>
      <x:c r="L135" s="139" t="n"/>
      <x:c r="M135" s="139" t="n"/>
      <x:c r="N135" s="139" t="n"/>
      <x:c r="O135" s="139" t="n"/>
      <x:c r="P135" s="139" t="n"/>
      <x:c r="Q135" s="139" t="n"/>
      <x:c r="R135" s="139" t="n"/>
      <x:c r="S135" s="139" t="n"/>
      <x:c r="T135" s="139" t="n"/>
      <x:c r="U135" s="139" t="n"/>
    </x:row>
    <x:row r="136">
      <x:c r="A136" s="139" t="n"/>
      <x:c r="B136" s="139" t="n"/>
      <x:c r="C136" s="139" t="n"/>
      <x:c r="D136" s="139" t="n"/>
      <x:c r="E136" s="139" t="n"/>
      <x:c r="F136" s="139" t="n"/>
      <x:c r="G136" s="139" t="n"/>
      <x:c r="H136" s="139" t="n"/>
      <x:c r="I136" s="139" t="n"/>
      <x:c r="J136" s="139" t="n"/>
      <x:c r="K136" s="139" t="n"/>
      <x:c r="L136" s="139" t="n"/>
      <x:c r="M136" s="139" t="n"/>
      <x:c r="N136" s="139" t="n"/>
      <x:c r="O136" s="139" t="n"/>
      <x:c r="P136" s="139" t="n"/>
      <x:c r="Q136" s="139" t="n"/>
      <x:c r="R136" s="139" t="n"/>
      <x:c r="S136" s="139" t="n"/>
      <x:c r="T136" s="139" t="n"/>
      <x:c r="U136" s="139" t="n"/>
    </x:row>
    <x:row r="137">
      <x:c r="A137" s="139" t="n"/>
      <x:c r="B137" s="139" t="n"/>
      <x:c r="C137" s="139" t="n"/>
      <x:c r="D137" s="139" t="n"/>
      <x:c r="E137" s="139" t="n"/>
      <x:c r="F137" s="139" t="n"/>
      <x:c r="G137" s="139" t="n"/>
      <x:c r="H137" s="139" t="n"/>
      <x:c r="I137" s="139" t="n"/>
      <x:c r="J137" s="139" t="n"/>
      <x:c r="K137" s="139" t="n"/>
      <x:c r="L137" s="139" t="n"/>
      <x:c r="M137" s="139" t="n"/>
      <x:c r="N137" s="139" t="n"/>
      <x:c r="O137" s="139" t="n"/>
      <x:c r="P137" s="139" t="n"/>
      <x:c r="Q137" s="139" t="n"/>
      <x:c r="R137" s="139" t="n"/>
      <x:c r="S137" s="139" t="n"/>
      <x:c r="T137" s="139" t="n"/>
      <x:c r="U137" s="139" t="n"/>
    </x:row>
    <x:row r="138">
      <x:c r="A138" s="139" t="n"/>
      <x:c r="B138" s="139" t="n"/>
      <x:c r="C138" s="139" t="n"/>
      <x:c r="D138" s="139" t="n"/>
      <x:c r="E138" s="139" t="n"/>
      <x:c r="F138" s="139" t="n"/>
      <x:c r="G138" s="139" t="n"/>
      <x:c r="H138" s="139" t="n"/>
      <x:c r="I138" s="139" t="n"/>
      <x:c r="J138" s="139" t="n"/>
      <x:c r="K138" s="139" t="n"/>
      <x:c r="L138" s="139" t="n"/>
      <x:c r="M138" s="139" t="n"/>
      <x:c r="N138" s="139" t="n"/>
      <x:c r="O138" s="139" t="n"/>
      <x:c r="P138" s="139" t="n"/>
      <x:c r="Q138" s="139" t="n"/>
      <x:c r="R138" s="139" t="n"/>
      <x:c r="S138" s="139" t="n"/>
      <x:c r="T138" s="139" t="n"/>
      <x:c r="U138" s="139" t="n"/>
    </x:row>
    <x:row r="139">
      <x:c r="A139" s="139" t="n"/>
      <x:c r="B139" s="139" t="n"/>
      <x:c r="C139" s="139" t="n"/>
      <x:c r="D139" s="139" t="n"/>
      <x:c r="E139" s="139" t="n"/>
      <x:c r="F139" s="139" t="n"/>
      <x:c r="G139" s="139" t="n"/>
      <x:c r="H139" s="139" t="n"/>
      <x:c r="I139" s="139" t="n"/>
      <x:c r="J139" s="139" t="n"/>
      <x:c r="K139" s="139" t="n"/>
      <x:c r="L139" s="139" t="n"/>
      <x:c r="M139" s="139" t="n"/>
      <x:c r="N139" s="139" t="n"/>
      <x:c r="O139" s="139" t="n"/>
      <x:c r="P139" s="139" t="n"/>
      <x:c r="Q139" s="139" t="n"/>
      <x:c r="R139" s="139" t="n"/>
      <x:c r="S139" s="139" t="n"/>
      <x:c r="T139" s="139" t="n"/>
      <x:c r="U139" s="139" t="n"/>
    </x:row>
    <x:row r="140">
      <x:c r="A140" s="139" t="n"/>
      <x:c r="B140" s="139" t="n"/>
      <x:c r="C140" s="139" t="n"/>
      <x:c r="D140" s="139" t="n"/>
      <x:c r="E140" s="139" t="n"/>
      <x:c r="F140" s="139" t="n"/>
      <x:c r="G140" s="139" t="n"/>
      <x:c r="H140" s="139" t="n"/>
      <x:c r="I140" s="139" t="n"/>
      <x:c r="J140" s="139" t="n"/>
      <x:c r="K140" s="139" t="n"/>
      <x:c r="L140" s="139" t="n"/>
      <x:c r="M140" s="139" t="n"/>
      <x:c r="N140" s="139" t="n"/>
      <x:c r="O140" s="139" t="n"/>
      <x:c r="P140" s="139" t="n"/>
      <x:c r="Q140" s="139" t="n"/>
      <x:c r="R140" s="139" t="n"/>
      <x:c r="S140" s="139" t="n"/>
      <x:c r="T140" s="139" t="n"/>
      <x:c r="U140" s="139" t="n"/>
    </x:row>
    <x:row r="141">
      <x:c r="A141" s="139" t="n"/>
      <x:c r="B141" s="139" t="n"/>
      <x:c r="C141" s="139" t="n"/>
      <x:c r="D141" s="139" t="n"/>
      <x:c r="E141" s="139" t="n"/>
      <x:c r="F141" s="139" t="n"/>
      <x:c r="G141" s="139" t="n"/>
      <x:c r="H141" s="139" t="n"/>
      <x:c r="I141" s="139" t="n"/>
      <x:c r="J141" s="139" t="n"/>
      <x:c r="K141" s="139" t="n"/>
      <x:c r="L141" s="139" t="n"/>
      <x:c r="M141" s="139" t="n"/>
      <x:c r="N141" s="139" t="n"/>
      <x:c r="O141" s="139" t="n"/>
      <x:c r="P141" s="139" t="n"/>
      <x:c r="Q141" s="139" t="n"/>
      <x:c r="R141" s="139" t="n"/>
      <x:c r="S141" s="139" t="n"/>
      <x:c r="T141" s="139" t="n"/>
      <x:c r="U141" s="139" t="n"/>
    </x:row>
    <x:row r="142">
      <x:c r="A142" s="139" t="n"/>
      <x:c r="B142" s="139" t="n"/>
      <x:c r="C142" s="139" t="n"/>
      <x:c r="D142" s="139" t="n"/>
      <x:c r="E142" s="139" t="n"/>
      <x:c r="F142" s="139" t="n"/>
      <x:c r="G142" s="139" t="n"/>
      <x:c r="H142" s="139" t="n"/>
      <x:c r="I142" s="139" t="n"/>
      <x:c r="J142" s="139" t="n"/>
      <x:c r="K142" s="139" t="n"/>
      <x:c r="L142" s="139" t="n"/>
      <x:c r="M142" s="139" t="n"/>
      <x:c r="N142" s="139" t="n"/>
      <x:c r="O142" s="139" t="n"/>
      <x:c r="P142" s="139" t="n"/>
      <x:c r="Q142" s="139" t="n"/>
      <x:c r="R142" s="139" t="n"/>
      <x:c r="S142" s="139" t="n"/>
      <x:c r="T142" s="139" t="n"/>
      <x:c r="U142" s="139" t="n"/>
    </x:row>
    <x:row r="143">
      <x:c r="A143" s="139" t="n"/>
      <x:c r="B143" s="139" t="n"/>
      <x:c r="C143" s="139" t="n"/>
      <x:c r="D143" s="139" t="n"/>
      <x:c r="E143" s="139" t="n"/>
      <x:c r="F143" s="139" t="n"/>
      <x:c r="G143" s="139" t="n"/>
      <x:c r="H143" s="139" t="n"/>
      <x:c r="I143" s="139" t="n"/>
      <x:c r="J143" s="139" t="n"/>
      <x:c r="K143" s="139" t="n"/>
      <x:c r="L143" s="139" t="n"/>
      <x:c r="M143" s="139" t="n"/>
      <x:c r="N143" s="139" t="n"/>
      <x:c r="O143" s="139" t="n"/>
      <x:c r="P143" s="139" t="n"/>
      <x:c r="Q143" s="139" t="n"/>
      <x:c r="R143" s="139" t="n"/>
      <x:c r="S143" s="139" t="n"/>
      <x:c r="T143" s="139" t="n"/>
      <x:c r="U143" s="139" t="n"/>
    </x:row>
    <x:row r="144">
      <x:c r="A144" s="139" t="n"/>
      <x:c r="B144" s="139" t="n"/>
      <x:c r="C144" s="139" t="n"/>
      <x:c r="D144" s="139" t="n"/>
      <x:c r="E144" s="139" t="n"/>
      <x:c r="F144" s="139" t="n"/>
      <x:c r="G144" s="139" t="n"/>
      <x:c r="H144" s="139" t="n"/>
      <x:c r="I144" s="139" t="n"/>
      <x:c r="J144" s="139" t="n"/>
      <x:c r="K144" s="139" t="n"/>
      <x:c r="L144" s="139" t="n"/>
      <x:c r="M144" s="139" t="n"/>
      <x:c r="N144" s="139" t="n"/>
      <x:c r="O144" s="139" t="n"/>
      <x:c r="P144" s="139" t="n"/>
      <x:c r="Q144" s="139" t="n"/>
      <x:c r="R144" s="139" t="n"/>
      <x:c r="S144" s="139" t="n"/>
      <x:c r="T144" s="139" t="n"/>
      <x:c r="U144" s="139" t="n"/>
    </x:row>
    <x:row r="145">
      <x:c r="A145" s="139" t="n"/>
      <x:c r="B145" s="139" t="n"/>
      <x:c r="C145" s="139" t="n"/>
      <x:c r="D145" s="139" t="n"/>
      <x:c r="E145" s="139" t="n"/>
      <x:c r="F145" s="139" t="n"/>
      <x:c r="G145" s="139" t="n"/>
      <x:c r="H145" s="139" t="n"/>
      <x:c r="I145" s="139" t="n"/>
      <x:c r="J145" s="139" t="n"/>
      <x:c r="K145" s="139" t="n"/>
      <x:c r="L145" s="139" t="n"/>
      <x:c r="M145" s="139" t="n"/>
      <x:c r="N145" s="139" t="n"/>
      <x:c r="O145" s="139" t="n"/>
      <x:c r="P145" s="139" t="n"/>
      <x:c r="Q145" s="139" t="n"/>
      <x:c r="R145" s="139" t="n"/>
      <x:c r="S145" s="139" t="n"/>
      <x:c r="T145" s="139" t="n"/>
      <x:c r="U145" s="139" t="n"/>
    </x:row>
    <x:row r="146">
      <x:c r="A146" s="139" t="n"/>
      <x:c r="B146" s="139" t="n"/>
      <x:c r="C146" s="139" t="n"/>
      <x:c r="D146" s="139" t="n"/>
      <x:c r="E146" s="139" t="n"/>
      <x:c r="F146" s="139" t="n"/>
      <x:c r="G146" s="139" t="n"/>
      <x:c r="H146" s="139" t="n"/>
      <x:c r="I146" s="139" t="n"/>
      <x:c r="J146" s="139" t="n"/>
      <x:c r="K146" s="139" t="n"/>
      <x:c r="L146" s="139" t="n"/>
      <x:c r="M146" s="139" t="n"/>
      <x:c r="N146" s="139" t="n"/>
      <x:c r="O146" s="139" t="n"/>
      <x:c r="P146" s="139" t="n"/>
      <x:c r="Q146" s="139" t="n"/>
      <x:c r="R146" s="139" t="n"/>
      <x:c r="S146" s="139" t="n"/>
      <x:c r="T146" s="139" t="n"/>
      <x:c r="U146" s="139" t="n"/>
    </x:row>
    <x:row r="147">
      <x:c r="A147" s="139" t="n"/>
      <x:c r="B147" s="139" t="n"/>
      <x:c r="C147" s="139" t="n"/>
      <x:c r="D147" s="139" t="n"/>
      <x:c r="E147" s="139" t="n"/>
      <x:c r="F147" s="139" t="n"/>
      <x:c r="G147" s="139" t="n"/>
      <x:c r="H147" s="139" t="n"/>
      <x:c r="I147" s="139" t="n"/>
      <x:c r="J147" s="139" t="n"/>
      <x:c r="K147" s="139" t="n"/>
      <x:c r="L147" s="139" t="n"/>
      <x:c r="M147" s="139" t="n"/>
      <x:c r="N147" s="139" t="n"/>
      <x:c r="O147" s="139" t="n"/>
      <x:c r="P147" s="139" t="n"/>
      <x:c r="Q147" s="139" t="n"/>
      <x:c r="R147" s="139" t="n"/>
      <x:c r="S147" s="139" t="n"/>
      <x:c r="T147" s="139" t="n"/>
      <x:c r="U147" s="139" t="n"/>
    </x:row>
    <x:row r="148">
      <x:c r="A148" s="139" t="n"/>
      <x:c r="B148" s="139" t="n"/>
      <x:c r="C148" s="139" t="n"/>
      <x:c r="D148" s="139" t="n"/>
      <x:c r="E148" s="139" t="n"/>
      <x:c r="F148" s="139" t="n"/>
      <x:c r="G148" s="139" t="n"/>
      <x:c r="H148" s="139" t="n"/>
      <x:c r="I148" s="139" t="n"/>
      <x:c r="J148" s="139" t="n"/>
      <x:c r="K148" s="139" t="n"/>
      <x:c r="L148" s="139" t="n"/>
      <x:c r="M148" s="139" t="n"/>
      <x:c r="N148" s="139" t="n"/>
      <x:c r="O148" s="139" t="n"/>
      <x:c r="P148" s="139" t="n"/>
      <x:c r="Q148" s="139" t="n"/>
      <x:c r="R148" s="139" t="n"/>
      <x:c r="S148" s="139" t="n"/>
      <x:c r="T148" s="139" t="n"/>
      <x:c r="U148" s="139" t="n"/>
    </x:row>
    <x:row r="149">
      <x:c r="A149" s="139" t="n"/>
      <x:c r="B149" s="139" t="n"/>
      <x:c r="C149" s="139" t="n"/>
      <x:c r="D149" s="139" t="n"/>
      <x:c r="E149" s="139" t="n"/>
      <x:c r="F149" s="139" t="n"/>
      <x:c r="G149" s="139" t="n"/>
      <x:c r="H149" s="139" t="n"/>
      <x:c r="I149" s="139" t="n"/>
      <x:c r="J149" s="139" t="n"/>
      <x:c r="K149" s="139" t="n"/>
      <x:c r="L149" s="139" t="n"/>
      <x:c r="M149" s="139" t="n"/>
      <x:c r="N149" s="139" t="n"/>
      <x:c r="O149" s="139" t="n"/>
      <x:c r="P149" s="139" t="n"/>
      <x:c r="Q149" s="139" t="n"/>
      <x:c r="R149" s="139" t="n"/>
      <x:c r="S149" s="139" t="n"/>
      <x:c r="T149" s="139" t="n"/>
      <x:c r="U149" s="139" t="n"/>
    </x:row>
    <x:row r="150">
      <x:c r="A150" s="139" t="n"/>
      <x:c r="B150" s="139" t="n"/>
      <x:c r="C150" s="139" t="n"/>
      <x:c r="D150" s="139" t="n"/>
      <x:c r="E150" s="139" t="n"/>
      <x:c r="F150" s="139" t="n"/>
      <x:c r="G150" s="139" t="n"/>
      <x:c r="H150" s="139" t="n"/>
      <x:c r="I150" s="139" t="n"/>
      <x:c r="J150" s="139" t="n"/>
      <x:c r="K150" s="139" t="n"/>
      <x:c r="L150" s="139" t="n"/>
      <x:c r="M150" s="139" t="n"/>
      <x:c r="N150" s="139" t="n"/>
      <x:c r="O150" s="139" t="n"/>
      <x:c r="P150" s="139" t="n"/>
      <x:c r="Q150" s="139" t="n"/>
      <x:c r="R150" s="139" t="n"/>
      <x:c r="S150" s="139" t="n"/>
      <x:c r="T150" s="139" t="n"/>
      <x:c r="U150" s="139" t="n"/>
    </x:row>
    <x:row r="151">
      <x:c r="A151" s="139" t="n"/>
      <x:c r="B151" s="139" t="n"/>
      <x:c r="C151" s="139" t="n"/>
      <x:c r="D151" s="139" t="n"/>
      <x:c r="E151" s="139" t="n"/>
      <x:c r="F151" s="139" t="n"/>
      <x:c r="G151" s="139" t="n"/>
      <x:c r="H151" s="139" t="n"/>
      <x:c r="I151" s="139" t="n"/>
      <x:c r="J151" s="139" t="n"/>
      <x:c r="K151" s="139" t="n"/>
      <x:c r="L151" s="139" t="n"/>
      <x:c r="M151" s="139" t="n"/>
      <x:c r="N151" s="139" t="n"/>
      <x:c r="O151" s="139" t="n"/>
      <x:c r="P151" s="139" t="n"/>
      <x:c r="Q151" s="139" t="n"/>
      <x:c r="R151" s="139" t="n"/>
      <x:c r="S151" s="139" t="n"/>
      <x:c r="T151" s="139" t="n"/>
      <x:c r="U151" s="139" t="n"/>
    </x:row>
    <x:row r="152">
      <x:c r="A152" s="139" t="n"/>
      <x:c r="B152" s="139" t="n"/>
      <x:c r="C152" s="139" t="n"/>
      <x:c r="D152" s="139" t="n"/>
      <x:c r="E152" s="139" t="n"/>
      <x:c r="F152" s="139" t="n"/>
      <x:c r="G152" s="139" t="n"/>
      <x:c r="H152" s="139" t="n"/>
      <x:c r="I152" s="139" t="n"/>
      <x:c r="J152" s="139" t="n"/>
      <x:c r="K152" s="139" t="n"/>
      <x:c r="L152" s="139" t="n"/>
      <x:c r="M152" s="139" t="n"/>
      <x:c r="N152" s="139" t="n"/>
      <x:c r="O152" s="139" t="n"/>
      <x:c r="P152" s="139" t="n"/>
      <x:c r="Q152" s="139" t="n"/>
      <x:c r="R152" s="139" t="n"/>
      <x:c r="S152" s="139" t="n"/>
      <x:c r="T152" s="139" t="n"/>
      <x:c r="U152" s="139" t="n"/>
    </x:row>
    <x:row r="153">
      <x:c r="A153" s="139" t="n"/>
      <x:c r="B153" s="139" t="n"/>
      <x:c r="C153" s="139" t="n"/>
      <x:c r="D153" s="139" t="n"/>
      <x:c r="E153" s="139" t="n"/>
      <x:c r="F153" s="139" t="n"/>
      <x:c r="G153" s="139" t="n"/>
      <x:c r="H153" s="139" t="n"/>
      <x:c r="I153" s="139" t="n"/>
      <x:c r="J153" s="139" t="n"/>
      <x:c r="K153" s="139" t="n"/>
      <x:c r="L153" s="139" t="n"/>
      <x:c r="M153" s="139" t="n"/>
      <x:c r="N153" s="139" t="n"/>
      <x:c r="O153" s="139" t="n"/>
      <x:c r="P153" s="139" t="n"/>
      <x:c r="Q153" s="139" t="n"/>
      <x:c r="R153" s="139" t="n"/>
      <x:c r="S153" s="139" t="n"/>
      <x:c r="T153" s="139" t="n"/>
      <x:c r="U153" s="139" t="n"/>
    </x:row>
    <x:row r="154">
      <x:c r="A154" s="139" t="n"/>
      <x:c r="B154" s="139" t="n"/>
      <x:c r="C154" s="139" t="n"/>
      <x:c r="D154" s="139" t="n"/>
      <x:c r="E154" s="139" t="n"/>
      <x:c r="F154" s="139" t="n"/>
      <x:c r="G154" s="139" t="n"/>
      <x:c r="H154" s="139" t="n"/>
      <x:c r="I154" s="139" t="n"/>
      <x:c r="J154" s="139" t="n"/>
      <x:c r="K154" s="139" t="n"/>
      <x:c r="L154" s="139" t="n"/>
      <x:c r="M154" s="139" t="n"/>
      <x:c r="N154" s="139" t="n"/>
      <x:c r="O154" s="139" t="n"/>
      <x:c r="P154" s="139" t="n"/>
      <x:c r="Q154" s="139" t="n"/>
      <x:c r="R154" s="139" t="n"/>
      <x:c r="S154" s="139" t="n"/>
      <x:c r="T154" s="139" t="n"/>
      <x:c r="U154" s="139" t="n"/>
    </x:row>
    <x:row r="155">
      <x:c r="A155" s="139" t="n"/>
      <x:c r="B155" s="139" t="n"/>
      <x:c r="C155" s="139" t="n"/>
      <x:c r="D155" s="139" t="n"/>
      <x:c r="E155" s="139" t="n"/>
      <x:c r="F155" s="139" t="n"/>
      <x:c r="G155" s="139" t="n"/>
      <x:c r="H155" s="139" t="n"/>
      <x:c r="I155" s="139" t="n"/>
      <x:c r="J155" s="139" t="n"/>
      <x:c r="K155" s="139" t="n"/>
      <x:c r="L155" s="139" t="n"/>
      <x:c r="M155" s="139" t="n"/>
      <x:c r="N155" s="139" t="n"/>
      <x:c r="O155" s="139" t="n"/>
      <x:c r="P155" s="139" t="n"/>
      <x:c r="Q155" s="139" t="n"/>
      <x:c r="R155" s="139" t="n"/>
      <x:c r="S155" s="139" t="n"/>
      <x:c r="T155" s="139" t="n"/>
      <x:c r="U155" s="139" t="n"/>
    </x:row>
    <x:row r="156">
      <x:c r="A156" s="139" t="n"/>
      <x:c r="B156" s="139" t="n"/>
      <x:c r="C156" s="139" t="n"/>
      <x:c r="D156" s="139" t="n"/>
      <x:c r="E156" s="139" t="n"/>
      <x:c r="F156" s="139" t="n"/>
      <x:c r="G156" s="139" t="n"/>
      <x:c r="H156" s="139" t="n"/>
      <x:c r="I156" s="139" t="n"/>
      <x:c r="J156" s="139" t="n"/>
      <x:c r="K156" s="139" t="n"/>
      <x:c r="L156" s="139" t="n"/>
      <x:c r="M156" s="139" t="n"/>
      <x:c r="N156" s="139" t="n"/>
      <x:c r="O156" s="139" t="n"/>
      <x:c r="P156" s="139" t="n"/>
      <x:c r="Q156" s="139" t="n"/>
      <x:c r="R156" s="139" t="n"/>
      <x:c r="S156" s="139" t="n"/>
      <x:c r="T156" s="139" t="n"/>
      <x:c r="U156" s="139" t="n"/>
    </x:row>
    <x:row r="157">
      <x:c r="A157" s="139" t="n"/>
      <x:c r="B157" s="139" t="n"/>
      <x:c r="C157" s="139" t="n"/>
      <x:c r="D157" s="139" t="n"/>
      <x:c r="E157" s="139" t="n"/>
      <x:c r="F157" s="139" t="n"/>
      <x:c r="G157" s="139" t="n"/>
      <x:c r="H157" s="139" t="n"/>
      <x:c r="I157" s="139" t="n"/>
      <x:c r="J157" s="139" t="n"/>
      <x:c r="K157" s="139" t="n"/>
      <x:c r="L157" s="139" t="n"/>
      <x:c r="M157" s="139" t="n"/>
      <x:c r="N157" s="139" t="n"/>
      <x:c r="O157" s="139" t="n"/>
      <x:c r="P157" s="139" t="n"/>
      <x:c r="Q157" s="139" t="n"/>
      <x:c r="R157" s="139" t="n"/>
      <x:c r="S157" s="139" t="n"/>
      <x:c r="T157" s="139" t="n"/>
      <x:c r="U157" s="139" t="n"/>
    </x:row>
    <x:row r="158">
      <x:c r="A158" s="139" t="n"/>
      <x:c r="B158" s="139" t="n"/>
      <x:c r="C158" s="139" t="n"/>
      <x:c r="D158" s="139" t="n"/>
      <x:c r="E158" s="139" t="n"/>
      <x:c r="F158" s="139" t="n"/>
      <x:c r="G158" s="139" t="n"/>
      <x:c r="H158" s="139" t="n"/>
      <x:c r="I158" s="139" t="n"/>
      <x:c r="J158" s="139" t="n"/>
      <x:c r="K158" s="139" t="n"/>
      <x:c r="L158" s="139" t="n"/>
      <x:c r="M158" s="139" t="n"/>
      <x:c r="N158" s="139" t="n"/>
      <x:c r="O158" s="139" t="n"/>
      <x:c r="P158" s="139" t="n"/>
      <x:c r="Q158" s="139" t="n"/>
      <x:c r="R158" s="139" t="n"/>
      <x:c r="S158" s="139" t="n"/>
      <x:c r="T158" s="139" t="n"/>
      <x:c r="U158" s="139" t="n"/>
    </x:row>
    <x:row r="159">
      <x:c r="A159" s="139" t="n"/>
      <x:c r="B159" s="139" t="n"/>
      <x:c r="C159" s="139" t="n"/>
      <x:c r="D159" s="139" t="n"/>
      <x:c r="E159" s="139" t="n"/>
      <x:c r="F159" s="139" t="n"/>
      <x:c r="G159" s="139" t="n"/>
      <x:c r="H159" s="139" t="n"/>
      <x:c r="I159" s="139" t="n"/>
      <x:c r="J159" s="139" t="n"/>
      <x:c r="K159" s="139" t="n"/>
      <x:c r="L159" s="139" t="n"/>
      <x:c r="M159" s="139" t="n"/>
      <x:c r="N159" s="139" t="n"/>
      <x:c r="O159" s="139" t="n"/>
      <x:c r="P159" s="139" t="n"/>
      <x:c r="Q159" s="139" t="n"/>
      <x:c r="R159" s="139" t="n"/>
      <x:c r="S159" s="139" t="n"/>
      <x:c r="T159" s="139" t="n"/>
      <x:c r="U159" s="139" t="n"/>
    </x:row>
    <x:row r="160">
      <x:c r="A160" s="139" t="n"/>
      <x:c r="B160" s="139" t="n"/>
      <x:c r="C160" s="139" t="n"/>
      <x:c r="D160" s="139" t="n"/>
      <x:c r="E160" s="139" t="n"/>
      <x:c r="F160" s="139" t="n"/>
      <x:c r="G160" s="139" t="n"/>
      <x:c r="H160" s="139" t="n"/>
      <x:c r="I160" s="139" t="n"/>
      <x:c r="J160" s="139" t="n"/>
      <x:c r="K160" s="139" t="n"/>
      <x:c r="L160" s="139" t="n"/>
      <x:c r="M160" s="139" t="n"/>
      <x:c r="N160" s="139" t="n"/>
      <x:c r="O160" s="139" t="n"/>
      <x:c r="P160" s="139" t="n"/>
      <x:c r="Q160" s="139" t="n"/>
      <x:c r="R160" s="139" t="n"/>
      <x:c r="S160" s="139" t="n"/>
      <x:c r="T160" s="139" t="n"/>
      <x:c r="U160" s="139" t="n"/>
    </x:row>
    <x:row r="161">
      <x:c r="A161" s="139" t="n"/>
      <x:c r="B161" s="139" t="n"/>
      <x:c r="C161" s="139" t="n"/>
      <x:c r="D161" s="139" t="n"/>
      <x:c r="E161" s="139" t="n"/>
      <x:c r="F161" s="139" t="n"/>
      <x:c r="G161" s="139" t="n"/>
      <x:c r="H161" s="139" t="n"/>
      <x:c r="I161" s="139" t="n"/>
      <x:c r="J161" s="139" t="n"/>
      <x:c r="K161" s="139" t="n"/>
      <x:c r="L161" s="139" t="n"/>
      <x:c r="M161" s="139" t="n"/>
      <x:c r="N161" s="139" t="n"/>
      <x:c r="O161" s="139" t="n"/>
      <x:c r="P161" s="139" t="n"/>
      <x:c r="Q161" s="139" t="n"/>
      <x:c r="R161" s="139" t="n"/>
      <x:c r="S161" s="139" t="n"/>
      <x:c r="T161" s="139" t="n"/>
      <x:c r="U161" s="139" t="n"/>
    </x:row>
    <x:row r="162">
      <x:c r="A162" s="139" t="n"/>
      <x:c r="B162" s="139" t="n"/>
      <x:c r="C162" s="139" t="n"/>
      <x:c r="D162" s="139" t="n"/>
      <x:c r="E162" s="139" t="n"/>
      <x:c r="F162" s="139" t="n"/>
      <x:c r="G162" s="139" t="n"/>
      <x:c r="H162" s="139" t="n"/>
      <x:c r="I162" s="139" t="n"/>
      <x:c r="J162" s="139" t="n"/>
      <x:c r="K162" s="139" t="n"/>
      <x:c r="L162" s="139" t="n"/>
      <x:c r="M162" s="139" t="n"/>
      <x:c r="N162" s="139" t="n"/>
      <x:c r="O162" s="139" t="n"/>
      <x:c r="P162" s="139" t="n"/>
      <x:c r="Q162" s="139" t="n"/>
      <x:c r="R162" s="139" t="n"/>
      <x:c r="S162" s="139" t="n"/>
      <x:c r="T162" s="139" t="n"/>
      <x:c r="U162" s="139" t="n"/>
    </x:row>
    <x:row r="163">
      <x:c r="A163" s="139" t="n"/>
      <x:c r="B163" s="139" t="n"/>
      <x:c r="C163" s="139" t="n"/>
      <x:c r="D163" s="139" t="n"/>
      <x:c r="E163" s="139" t="n"/>
      <x:c r="F163" s="139" t="n"/>
      <x:c r="G163" s="139" t="n"/>
      <x:c r="H163" s="139" t="n"/>
      <x:c r="I163" s="139" t="n"/>
      <x:c r="J163" s="139" t="n"/>
      <x:c r="K163" s="139" t="n"/>
      <x:c r="L163" s="139" t="n"/>
      <x:c r="M163" s="139" t="n"/>
      <x:c r="N163" s="139" t="n"/>
      <x:c r="O163" s="139" t="n"/>
      <x:c r="P163" s="139" t="n"/>
      <x:c r="Q163" s="139" t="n"/>
      <x:c r="R163" s="139" t="n"/>
      <x:c r="S163" s="139" t="n"/>
      <x:c r="T163" s="139" t="n"/>
      <x:c r="U163" s="139" t="n"/>
    </x:row>
    <x:row r="164">
      <x:c r="A164" s="139" t="n"/>
      <x:c r="B164" s="139" t="n"/>
      <x:c r="C164" s="139" t="n"/>
      <x:c r="D164" s="139" t="n"/>
      <x:c r="E164" s="139" t="n"/>
      <x:c r="F164" s="139" t="n"/>
      <x:c r="G164" s="139" t="n"/>
      <x:c r="H164" s="139" t="n"/>
      <x:c r="I164" s="139" t="n"/>
      <x:c r="J164" s="139" t="n"/>
      <x:c r="K164" s="139" t="n"/>
      <x:c r="L164" s="139" t="n"/>
      <x:c r="M164" s="139" t="n"/>
      <x:c r="N164" s="139" t="n"/>
      <x:c r="O164" s="139" t="n"/>
      <x:c r="P164" s="139" t="n"/>
      <x:c r="Q164" s="139" t="n"/>
      <x:c r="R164" s="139" t="n"/>
      <x:c r="S164" s="139" t="n"/>
      <x:c r="T164" s="139" t="n"/>
      <x:c r="U164" s="139" t="n"/>
    </x:row>
    <x:row r="165">
      <x:c r="A165" s="139" t="n"/>
      <x:c r="B165" s="139" t="n"/>
      <x:c r="C165" s="139" t="n"/>
      <x:c r="D165" s="139" t="n"/>
      <x:c r="E165" s="139" t="n"/>
      <x:c r="F165" s="139" t="n"/>
      <x:c r="G165" s="139" t="n"/>
      <x:c r="H165" s="139" t="n"/>
      <x:c r="I165" s="139" t="n"/>
      <x:c r="J165" s="139" t="n"/>
      <x:c r="K165" s="139" t="n"/>
      <x:c r="L165" s="139" t="n"/>
      <x:c r="M165" s="139" t="n"/>
      <x:c r="N165" s="139" t="n"/>
      <x:c r="O165" s="139" t="n"/>
      <x:c r="P165" s="139" t="n"/>
      <x:c r="Q165" s="139" t="n"/>
      <x:c r="R165" s="139" t="n"/>
      <x:c r="S165" s="139" t="n"/>
      <x:c r="T165" s="139" t="n"/>
      <x:c r="U165" s="139" t="n"/>
    </x:row>
    <x:row r="166">
      <x:c r="A166" s="139" t="n"/>
      <x:c r="B166" s="139" t="n"/>
      <x:c r="C166" s="139" t="n"/>
      <x:c r="D166" s="139" t="n"/>
      <x:c r="E166" s="139" t="n"/>
      <x:c r="F166" s="139" t="n"/>
      <x:c r="G166" s="139" t="n"/>
      <x:c r="H166" s="139" t="n"/>
      <x:c r="I166" s="139" t="n"/>
      <x:c r="J166" s="139" t="n"/>
      <x:c r="K166" s="139" t="n"/>
      <x:c r="L166" s="139" t="n"/>
      <x:c r="M166" s="139" t="n"/>
      <x:c r="N166" s="139" t="n"/>
      <x:c r="O166" s="139" t="n"/>
      <x:c r="P166" s="139" t="n"/>
      <x:c r="Q166" s="139" t="n"/>
      <x:c r="R166" s="139" t="n"/>
      <x:c r="S166" s="139" t="n"/>
      <x:c r="T166" s="139" t="n"/>
      <x:c r="U166" s="139" t="n"/>
    </x:row>
    <x:row r="167">
      <x:c r="A167" s="139" t="n"/>
      <x:c r="B167" s="139" t="n"/>
      <x:c r="C167" s="139" t="n"/>
      <x:c r="D167" s="139" t="n"/>
      <x:c r="E167" s="139" t="n"/>
      <x:c r="F167" s="139" t="n"/>
      <x:c r="G167" s="139" t="n"/>
      <x:c r="H167" s="139" t="n"/>
      <x:c r="I167" s="139" t="n"/>
      <x:c r="J167" s="139" t="n"/>
      <x:c r="K167" s="139" t="n"/>
      <x:c r="L167" s="139" t="n"/>
      <x:c r="M167" s="139" t="n"/>
      <x:c r="N167" s="139" t="n"/>
      <x:c r="O167" s="139" t="n"/>
      <x:c r="P167" s="139" t="n"/>
      <x:c r="Q167" s="139" t="n"/>
      <x:c r="R167" s="139" t="n"/>
      <x:c r="S167" s="139" t="n"/>
      <x:c r="T167" s="139" t="n"/>
      <x:c r="U167" s="139" t="n"/>
    </x:row>
    <x:row r="168">
      <x:c r="A168" s="139" t="n"/>
      <x:c r="B168" s="139" t="n"/>
      <x:c r="C168" s="139" t="n"/>
      <x:c r="D168" s="139" t="n"/>
      <x:c r="E168" s="139" t="n"/>
      <x:c r="F168" s="139" t="n"/>
      <x:c r="G168" s="139" t="n"/>
      <x:c r="H168" s="139" t="n"/>
      <x:c r="I168" s="139" t="n"/>
      <x:c r="J168" s="139" t="n"/>
      <x:c r="K168" s="139" t="n"/>
      <x:c r="L168" s="139" t="n"/>
      <x:c r="M168" s="139" t="n"/>
      <x:c r="N168" s="139" t="n"/>
      <x:c r="O168" s="139" t="n"/>
      <x:c r="P168" s="139" t="n"/>
      <x:c r="Q168" s="139" t="n"/>
      <x:c r="R168" s="139" t="n"/>
      <x:c r="S168" s="139" t="n"/>
      <x:c r="T168" s="139" t="n"/>
      <x:c r="U168" s="139" t="n"/>
    </x:row>
    <x:row r="169">
      <x:c r="A169" s="139" t="n"/>
      <x:c r="B169" s="139" t="n"/>
      <x:c r="C169" s="139" t="n"/>
      <x:c r="D169" s="139" t="n"/>
      <x:c r="E169" s="139" t="n"/>
      <x:c r="F169" s="139" t="n"/>
      <x:c r="G169" s="139" t="n"/>
      <x:c r="H169" s="139" t="n"/>
      <x:c r="I169" s="139" t="n"/>
      <x:c r="J169" s="139" t="n"/>
      <x:c r="K169" s="139" t="n"/>
      <x:c r="L169" s="139" t="n"/>
      <x:c r="M169" s="139" t="n"/>
      <x:c r="N169" s="139" t="n"/>
      <x:c r="O169" s="139" t="n"/>
      <x:c r="P169" s="139" t="n"/>
      <x:c r="Q169" s="139" t="n"/>
      <x:c r="R169" s="139" t="n"/>
      <x:c r="S169" s="139" t="n"/>
      <x:c r="T169" s="139" t="n"/>
      <x:c r="U169" s="139" t="n"/>
    </x:row>
    <x:row r="170">
      <x:c r="A170" s="139" t="n"/>
      <x:c r="B170" s="139" t="n"/>
      <x:c r="C170" s="139" t="n"/>
      <x:c r="D170" s="139" t="n"/>
      <x:c r="E170" s="139" t="n"/>
      <x:c r="F170" s="139" t="n"/>
      <x:c r="G170" s="139" t="n"/>
      <x:c r="H170" s="139" t="n"/>
      <x:c r="I170" s="139" t="n"/>
      <x:c r="J170" s="139" t="n"/>
      <x:c r="K170" s="139" t="n"/>
      <x:c r="L170" s="139" t="n"/>
      <x:c r="M170" s="139" t="n"/>
      <x:c r="N170" s="139" t="n"/>
      <x:c r="O170" s="139" t="n"/>
      <x:c r="P170" s="139" t="n"/>
      <x:c r="Q170" s="139" t="n"/>
      <x:c r="R170" s="139" t="n"/>
      <x:c r="S170" s="139" t="n"/>
      <x:c r="T170" s="139" t="n"/>
      <x:c r="U170" s="139" t="n"/>
    </x:row>
    <x:row r="171">
      <x:c r="A171" s="139" t="n"/>
      <x:c r="B171" s="139" t="n"/>
      <x:c r="C171" s="139" t="n"/>
      <x:c r="D171" s="139" t="n"/>
      <x:c r="E171" s="139" t="n"/>
      <x:c r="F171" s="139" t="n"/>
      <x:c r="G171" s="139" t="n"/>
      <x:c r="H171" s="139" t="n"/>
      <x:c r="I171" s="139" t="n"/>
      <x:c r="J171" s="139" t="n"/>
      <x:c r="K171" s="139" t="n"/>
      <x:c r="L171" s="139" t="n"/>
      <x:c r="M171" s="139" t="n"/>
      <x:c r="N171" s="139" t="n"/>
      <x:c r="O171" s="139" t="n"/>
      <x:c r="P171" s="139" t="n"/>
      <x:c r="Q171" s="139" t="n"/>
      <x:c r="R171" s="139" t="n"/>
      <x:c r="S171" s="139" t="n"/>
      <x:c r="T171" s="139" t="n"/>
      <x:c r="U171" s="139" t="n"/>
    </x:row>
    <x:row r="172">
      <x:c r="A172" s="139" t="n"/>
      <x:c r="B172" s="139" t="n"/>
      <x:c r="C172" s="139" t="n"/>
      <x:c r="D172" s="139" t="n"/>
      <x:c r="E172" s="139" t="n"/>
      <x:c r="F172" s="139" t="n"/>
      <x:c r="G172" s="139" t="n"/>
      <x:c r="H172" s="139" t="n"/>
      <x:c r="I172" s="139" t="n"/>
      <x:c r="J172" s="139" t="n"/>
      <x:c r="K172" s="139" t="n"/>
      <x:c r="L172" s="139" t="n"/>
      <x:c r="M172" s="139" t="n"/>
      <x:c r="N172" s="139" t="n"/>
      <x:c r="O172" s="139" t="n"/>
      <x:c r="P172" s="139" t="n"/>
      <x:c r="Q172" s="139" t="n"/>
      <x:c r="R172" s="139" t="n"/>
      <x:c r="S172" s="139" t="n"/>
      <x:c r="T172" s="139" t="n"/>
      <x:c r="U172" s="139" t="n"/>
    </x:row>
    <x:row r="173">
      <x:c r="A173" s="139" t="n"/>
      <x:c r="B173" s="139" t="n"/>
      <x:c r="C173" s="139" t="n"/>
      <x:c r="D173" s="139" t="n"/>
      <x:c r="E173" s="139" t="n"/>
      <x:c r="F173" s="139" t="n"/>
      <x:c r="G173" s="139" t="n"/>
      <x:c r="H173" s="139" t="n"/>
      <x:c r="I173" s="139" t="n"/>
      <x:c r="J173" s="139" t="n"/>
      <x:c r="K173" s="139" t="n"/>
      <x:c r="L173" s="139" t="n"/>
      <x:c r="M173" s="139" t="n"/>
      <x:c r="N173" s="139" t="n"/>
      <x:c r="O173" s="139" t="n"/>
      <x:c r="P173" s="139" t="n"/>
      <x:c r="Q173" s="139" t="n"/>
      <x:c r="R173" s="139" t="n"/>
      <x:c r="S173" s="139" t="n"/>
      <x:c r="T173" s="139" t="n"/>
      <x:c r="U173" s="139" t="n"/>
    </x:row>
    <x:row r="174">
      <x:c r="A174" s="139" t="n"/>
      <x:c r="B174" s="139" t="n"/>
      <x:c r="C174" s="139" t="n"/>
      <x:c r="D174" s="139" t="n"/>
      <x:c r="E174" s="139" t="n"/>
      <x:c r="F174" s="139" t="n"/>
      <x:c r="G174" s="139" t="n"/>
      <x:c r="H174" s="139" t="n"/>
      <x:c r="I174" s="139" t="n"/>
      <x:c r="J174" s="139" t="n"/>
      <x:c r="K174" s="139" t="n"/>
      <x:c r="L174" s="139" t="n"/>
      <x:c r="M174" s="139" t="n"/>
      <x:c r="N174" s="139" t="n"/>
      <x:c r="O174" s="139" t="n"/>
      <x:c r="P174" s="139" t="n"/>
      <x:c r="Q174" s="139" t="n"/>
      <x:c r="R174" s="139" t="n"/>
      <x:c r="S174" s="139" t="n"/>
      <x:c r="T174" s="139" t="n"/>
      <x:c r="U174" s="139" t="n"/>
    </x:row>
    <x:row r="175">
      <x:c r="A175" s="139" t="n"/>
      <x:c r="B175" s="139" t="n"/>
      <x:c r="C175" s="139" t="n"/>
      <x:c r="D175" s="139" t="n"/>
      <x:c r="E175" s="139" t="n"/>
      <x:c r="F175" s="139" t="n"/>
      <x:c r="G175" s="139" t="n"/>
      <x:c r="H175" s="139" t="n"/>
      <x:c r="I175" s="139" t="n"/>
      <x:c r="J175" s="139" t="n"/>
      <x:c r="K175" s="139" t="n"/>
      <x:c r="L175" s="139" t="n"/>
      <x:c r="M175" s="139" t="n"/>
      <x:c r="N175" s="139" t="n"/>
      <x:c r="O175" s="139" t="n"/>
      <x:c r="P175" s="139" t="n"/>
      <x:c r="Q175" s="139" t="n"/>
      <x:c r="R175" s="139" t="n"/>
      <x:c r="S175" s="139" t="n"/>
      <x:c r="T175" s="139" t="n"/>
      <x:c r="U175" s="139" t="n"/>
    </x:row>
    <x:row r="176">
      <x:c r="A176" s="139" t="n"/>
      <x:c r="B176" s="139" t="n"/>
      <x:c r="C176" s="139" t="n"/>
      <x:c r="D176" s="139" t="n"/>
      <x:c r="E176" s="139" t="n"/>
      <x:c r="F176" s="139" t="n"/>
      <x:c r="G176" s="139" t="n"/>
      <x:c r="H176" s="139" t="n"/>
      <x:c r="I176" s="139" t="n"/>
      <x:c r="J176" s="139" t="n"/>
      <x:c r="K176" s="139" t="n"/>
      <x:c r="L176" s="139" t="n"/>
      <x:c r="M176" s="139" t="n"/>
      <x:c r="N176" s="139" t="n"/>
      <x:c r="O176" s="139" t="n"/>
      <x:c r="P176" s="139" t="n"/>
      <x:c r="Q176" s="139" t="n"/>
      <x:c r="R176" s="139" t="n"/>
      <x:c r="S176" s="139" t="n"/>
      <x:c r="T176" s="139" t="n"/>
      <x:c r="U176" s="139" t="n"/>
    </x:row>
    <x:row r="177">
      <x:c r="A177" s="139" t="n"/>
      <x:c r="B177" s="139" t="n"/>
      <x:c r="C177" s="139" t="n"/>
      <x:c r="D177" s="139" t="n"/>
      <x:c r="E177" s="139" t="n"/>
      <x:c r="F177" s="139" t="n"/>
      <x:c r="G177" s="139" t="n"/>
      <x:c r="H177" s="139" t="n"/>
      <x:c r="I177" s="139" t="n"/>
      <x:c r="J177" s="139" t="n"/>
      <x:c r="K177" s="139" t="n"/>
      <x:c r="L177" s="139" t="n"/>
      <x:c r="M177" s="139" t="n"/>
      <x:c r="N177" s="139" t="n"/>
      <x:c r="O177" s="139" t="n"/>
      <x:c r="P177" s="139" t="n"/>
      <x:c r="Q177" s="139" t="n"/>
      <x:c r="R177" s="139" t="n"/>
      <x:c r="S177" s="139" t="n"/>
      <x:c r="T177" s="139" t="n"/>
      <x:c r="U177" s="139" t="n"/>
    </x:row>
    <x:row r="178">
      <x:c r="A178" s="139" t="n"/>
      <x:c r="B178" s="139" t="n"/>
      <x:c r="C178" s="139" t="n"/>
      <x:c r="D178" s="139" t="n"/>
      <x:c r="E178" s="139" t="n"/>
      <x:c r="F178" s="139" t="n"/>
      <x:c r="G178" s="139" t="n"/>
      <x:c r="H178" s="139" t="n"/>
      <x:c r="I178" s="139" t="n"/>
      <x:c r="J178" s="139" t="n"/>
      <x:c r="K178" s="139" t="n"/>
      <x:c r="L178" s="139" t="n"/>
      <x:c r="M178" s="139" t="n"/>
      <x:c r="N178" s="139" t="n"/>
      <x:c r="O178" s="139" t="n"/>
      <x:c r="P178" s="139" t="n"/>
      <x:c r="Q178" s="139" t="n"/>
      <x:c r="R178" s="139" t="n"/>
      <x:c r="S178" s="139" t="n"/>
      <x:c r="T178" s="139" t="n"/>
      <x:c r="U178" s="139" t="n"/>
    </x:row>
    <x:row r="179">
      <x:c r="A179" s="139" t="n"/>
      <x:c r="B179" s="139" t="n"/>
      <x:c r="C179" s="139" t="n"/>
      <x:c r="D179" s="139" t="n"/>
      <x:c r="E179" s="139" t="n"/>
      <x:c r="F179" s="139" t="n"/>
      <x:c r="G179" s="139" t="n"/>
      <x:c r="H179" s="139" t="n"/>
      <x:c r="I179" s="139" t="n"/>
      <x:c r="J179" s="139" t="n"/>
      <x:c r="K179" s="139" t="n"/>
      <x:c r="L179" s="139" t="n"/>
      <x:c r="M179" s="139" t="n"/>
      <x:c r="N179" s="139" t="n"/>
      <x:c r="O179" s="139" t="n"/>
      <x:c r="P179" s="139" t="n"/>
      <x:c r="Q179" s="139" t="n"/>
      <x:c r="R179" s="139" t="n"/>
      <x:c r="S179" s="139" t="n"/>
      <x:c r="T179" s="139" t="n"/>
      <x:c r="U179" s="139" t="n"/>
    </x:row>
    <x:row r="180">
      <x:c r="A180" s="139" t="n"/>
      <x:c r="B180" s="139" t="n"/>
      <x:c r="C180" s="139" t="n"/>
      <x:c r="D180" s="139" t="n"/>
      <x:c r="E180" s="139" t="n"/>
      <x:c r="F180" s="139" t="n"/>
      <x:c r="G180" s="139" t="n"/>
      <x:c r="H180" s="139" t="n"/>
      <x:c r="I180" s="139" t="n"/>
      <x:c r="J180" s="139" t="n"/>
      <x:c r="K180" s="139" t="n"/>
      <x:c r="L180" s="139" t="n"/>
      <x:c r="M180" s="139" t="n"/>
      <x:c r="N180" s="139" t="n"/>
      <x:c r="O180" s="139" t="n"/>
      <x:c r="P180" s="139" t="n"/>
      <x:c r="Q180" s="139" t="n"/>
      <x:c r="R180" s="139" t="n"/>
      <x:c r="S180" s="139" t="n"/>
      <x:c r="T180" s="139" t="n"/>
      <x:c r="U180" s="139" t="n"/>
    </x:row>
    <x:row r="181">
      <x:c r="A181" s="139" t="n"/>
      <x:c r="B181" s="139" t="n"/>
      <x:c r="C181" s="139" t="n"/>
      <x:c r="D181" s="139" t="n"/>
      <x:c r="E181" s="139" t="n"/>
      <x:c r="F181" s="139" t="n"/>
      <x:c r="G181" s="139" t="n"/>
      <x:c r="H181" s="139" t="n"/>
      <x:c r="I181" s="139" t="n"/>
      <x:c r="J181" s="139" t="n"/>
      <x:c r="K181" s="139" t="n"/>
      <x:c r="L181" s="139" t="n"/>
      <x:c r="M181" s="139" t="n"/>
      <x:c r="N181" s="139" t="n"/>
      <x:c r="O181" s="139" t="n"/>
      <x:c r="P181" s="139" t="n"/>
      <x:c r="Q181" s="139" t="n"/>
      <x:c r="R181" s="139" t="n"/>
      <x:c r="S181" s="139" t="n"/>
      <x:c r="T181" s="139" t="n"/>
      <x:c r="U181" s="139" t="n"/>
    </x:row>
    <x:row r="182">
      <x:c r="A182" s="139" t="n"/>
      <x:c r="B182" s="139" t="n"/>
      <x:c r="C182" s="139" t="n"/>
      <x:c r="D182" s="139" t="n"/>
      <x:c r="E182" s="139" t="n"/>
      <x:c r="F182" s="139" t="n"/>
      <x:c r="G182" s="139" t="n"/>
      <x:c r="H182" s="139" t="n"/>
      <x:c r="I182" s="139" t="n"/>
      <x:c r="J182" s="139" t="n"/>
      <x:c r="K182" s="139" t="n"/>
      <x:c r="L182" s="139" t="n"/>
      <x:c r="M182" s="139" t="n"/>
      <x:c r="N182" s="139" t="n"/>
      <x:c r="O182" s="139" t="n"/>
      <x:c r="P182" s="139" t="n"/>
      <x:c r="Q182" s="139" t="n"/>
      <x:c r="R182" s="139" t="n"/>
      <x:c r="S182" s="139" t="n"/>
      <x:c r="T182" s="139" t="n"/>
      <x:c r="U182" s="139" t="n"/>
    </x:row>
    <x:row r="183">
      <x:c r="A183" s="139" t="n"/>
      <x:c r="B183" s="139" t="n"/>
      <x:c r="C183" s="139" t="n"/>
      <x:c r="D183" s="139" t="n"/>
      <x:c r="E183" s="139" t="n"/>
      <x:c r="F183" s="139" t="n"/>
      <x:c r="G183" s="139" t="n"/>
      <x:c r="H183" s="139" t="n"/>
      <x:c r="I183" s="139" t="n"/>
      <x:c r="J183" s="139" t="n"/>
      <x:c r="K183" s="139" t="n"/>
      <x:c r="L183" s="139" t="n"/>
      <x:c r="M183" s="139" t="n"/>
      <x:c r="N183" s="139" t="n"/>
      <x:c r="O183" s="139" t="n"/>
      <x:c r="P183" s="139" t="n"/>
      <x:c r="Q183" s="139" t="n"/>
      <x:c r="R183" s="139" t="n"/>
      <x:c r="S183" s="139" t="n"/>
      <x:c r="T183" s="139" t="n"/>
      <x:c r="U183" s="139" t="n"/>
    </x:row>
    <x:row r="184">
      <x:c r="A184" s="139" t="n"/>
      <x:c r="B184" s="139" t="n"/>
      <x:c r="C184" s="139" t="n"/>
      <x:c r="D184" s="139" t="n"/>
      <x:c r="E184" s="139" t="n"/>
      <x:c r="F184" s="139" t="n"/>
      <x:c r="G184" s="139" t="n"/>
      <x:c r="H184" s="139" t="n"/>
      <x:c r="I184" s="139" t="n"/>
      <x:c r="J184" s="139" t="n"/>
      <x:c r="K184" s="139" t="n"/>
      <x:c r="L184" s="139" t="n"/>
      <x:c r="M184" s="139" t="n"/>
      <x:c r="N184" s="139" t="n"/>
      <x:c r="O184" s="139" t="n"/>
      <x:c r="P184" s="139" t="n"/>
      <x:c r="Q184" s="139" t="n"/>
      <x:c r="R184" s="139" t="n"/>
      <x:c r="S184" s="139" t="n"/>
      <x:c r="T184" s="139" t="n"/>
      <x:c r="U184" s="139" t="n"/>
    </x:row>
    <x:row r="185">
      <x:c r="A185" s="139" t="n"/>
      <x:c r="B185" s="139" t="n"/>
      <x:c r="C185" s="139" t="n"/>
      <x:c r="D185" s="139" t="n"/>
      <x:c r="E185" s="139" t="n"/>
      <x:c r="F185" s="139" t="n"/>
      <x:c r="G185" s="139" t="n"/>
      <x:c r="H185" s="139" t="n"/>
      <x:c r="I185" s="139" t="n"/>
      <x:c r="J185" s="139" t="n"/>
      <x:c r="K185" s="139" t="n"/>
      <x:c r="L185" s="139" t="n"/>
      <x:c r="M185" s="139" t="n"/>
      <x:c r="N185" s="139" t="n"/>
      <x:c r="O185" s="139" t="n"/>
      <x:c r="P185" s="139" t="n"/>
      <x:c r="Q185" s="139" t="n"/>
      <x:c r="R185" s="139" t="n"/>
      <x:c r="S185" s="139" t="n"/>
      <x:c r="T185" s="139" t="n"/>
      <x:c r="U185" s="139" t="n"/>
    </x:row>
    <x:row r="186">
      <x:c r="A186" s="139" t="n"/>
      <x:c r="B186" s="139" t="n"/>
      <x:c r="C186" s="139" t="n"/>
      <x:c r="D186" s="139" t="n"/>
      <x:c r="E186" s="139" t="n"/>
      <x:c r="F186" s="139" t="n"/>
      <x:c r="G186" s="139" t="n"/>
      <x:c r="H186" s="139" t="n"/>
      <x:c r="I186" s="139" t="n"/>
      <x:c r="J186" s="139" t="n"/>
      <x:c r="K186" s="139" t="n"/>
      <x:c r="L186" s="139" t="n"/>
      <x:c r="M186" s="139" t="n"/>
      <x:c r="N186" s="139" t="n"/>
      <x:c r="O186" s="139" t="n"/>
      <x:c r="P186" s="139" t="n"/>
      <x:c r="Q186" s="139" t="n"/>
      <x:c r="R186" s="139" t="n"/>
      <x:c r="S186" s="139" t="n"/>
      <x:c r="T186" s="139" t="n"/>
      <x:c r="U186" s="139" t="n"/>
    </x:row>
    <x:row r="187">
      <x:c r="A187" s="139" t="n"/>
      <x:c r="B187" s="139" t="n"/>
      <x:c r="C187" s="139" t="n"/>
      <x:c r="D187" s="139" t="n"/>
      <x:c r="E187" s="139" t="n"/>
      <x:c r="F187" s="139" t="n"/>
      <x:c r="G187" s="139" t="n"/>
      <x:c r="H187" s="139" t="n"/>
      <x:c r="I187" s="139" t="n"/>
      <x:c r="J187" s="139" t="n"/>
      <x:c r="K187" s="139" t="n"/>
      <x:c r="L187" s="139" t="n"/>
      <x:c r="M187" s="139" t="n"/>
      <x:c r="N187" s="139" t="n"/>
      <x:c r="O187" s="139" t="n"/>
      <x:c r="P187" s="139" t="n"/>
      <x:c r="Q187" s="139" t="n"/>
      <x:c r="R187" s="139" t="n"/>
      <x:c r="S187" s="139" t="n"/>
      <x:c r="T187" s="139" t="n"/>
      <x:c r="U187" s="139" t="n"/>
    </x:row>
    <x:row r="188">
      <x:c r="A188" s="139" t="n"/>
      <x:c r="B188" s="139" t="n"/>
      <x:c r="C188" s="139" t="n"/>
      <x:c r="D188" s="139" t="n"/>
      <x:c r="E188" s="139" t="n"/>
      <x:c r="F188" s="139" t="n"/>
      <x:c r="G188" s="139" t="n"/>
      <x:c r="H188" s="139" t="n"/>
      <x:c r="I188" s="139" t="n"/>
      <x:c r="J188" s="139" t="n"/>
      <x:c r="K188" s="139" t="n"/>
      <x:c r="L188" s="139" t="n"/>
      <x:c r="M188" s="139" t="n"/>
      <x:c r="N188" s="139" t="n"/>
      <x:c r="O188" s="139" t="n"/>
      <x:c r="P188" s="139" t="n"/>
      <x:c r="Q188" s="139" t="n"/>
      <x:c r="R188" s="139" t="n"/>
      <x:c r="S188" s="139" t="n"/>
      <x:c r="T188" s="139" t="n"/>
      <x:c r="U188" s="139" t="n"/>
    </x:row>
    <x:row r="189">
      <x:c r="A189" s="139" t="n"/>
      <x:c r="B189" s="139" t="n"/>
      <x:c r="C189" s="139" t="n"/>
      <x:c r="D189" s="139" t="n"/>
      <x:c r="E189" s="139" t="n"/>
      <x:c r="F189" s="139" t="n"/>
      <x:c r="G189" s="139" t="n"/>
      <x:c r="H189" s="139" t="n"/>
      <x:c r="I189" s="139" t="n"/>
      <x:c r="J189" s="139" t="n"/>
      <x:c r="K189" s="139" t="n"/>
      <x:c r="L189" s="139" t="n"/>
      <x:c r="M189" s="139" t="n"/>
      <x:c r="N189" s="139" t="n"/>
      <x:c r="O189" s="139" t="n"/>
      <x:c r="P189" s="139" t="n"/>
      <x:c r="Q189" s="139" t="n"/>
      <x:c r="R189" s="139" t="n"/>
      <x:c r="S189" s="139" t="n"/>
      <x:c r="T189" s="139" t="n"/>
      <x:c r="U189" s="139" t="n"/>
    </x:row>
    <x:row r="190">
      <x:c r="A190" s="139" t="n"/>
      <x:c r="B190" s="139" t="n"/>
      <x:c r="C190" s="139" t="n"/>
      <x:c r="D190" s="139" t="n"/>
      <x:c r="E190" s="139" t="n"/>
      <x:c r="F190" s="139" t="n"/>
      <x:c r="G190" s="139" t="n"/>
      <x:c r="H190" s="139" t="n"/>
      <x:c r="I190" s="139" t="n"/>
      <x:c r="J190" s="139" t="n"/>
      <x:c r="K190" s="139" t="n"/>
      <x:c r="L190" s="139" t="n"/>
      <x:c r="M190" s="139" t="n"/>
      <x:c r="N190" s="139" t="n"/>
      <x:c r="O190" s="139" t="n"/>
      <x:c r="P190" s="139" t="n"/>
      <x:c r="Q190" s="139" t="n"/>
      <x:c r="R190" s="139" t="n"/>
      <x:c r="S190" s="139" t="n"/>
      <x:c r="T190" s="139" t="n"/>
      <x:c r="U190" s="139" t="n"/>
    </x:row>
    <x:row r="191">
      <x:c r="A191" s="139" t="n"/>
      <x:c r="B191" s="139" t="n"/>
      <x:c r="C191" s="139" t="n"/>
      <x:c r="D191" s="139" t="n"/>
      <x:c r="E191" s="139" t="n"/>
      <x:c r="F191" s="139" t="n"/>
      <x:c r="G191" s="139" t="n"/>
      <x:c r="H191" s="139" t="n"/>
      <x:c r="I191" s="139" t="n"/>
      <x:c r="J191" s="139" t="n"/>
      <x:c r="K191" s="139" t="n"/>
      <x:c r="L191" s="139" t="n"/>
      <x:c r="M191" s="139" t="n"/>
      <x:c r="N191" s="139" t="n"/>
      <x:c r="O191" s="139" t="n"/>
      <x:c r="P191" s="139" t="n"/>
      <x:c r="Q191" s="139" t="n"/>
      <x:c r="R191" s="139" t="n"/>
      <x:c r="S191" s="139" t="n"/>
      <x:c r="T191" s="139" t="n"/>
      <x:c r="U191" s="139" t="n"/>
    </x:row>
    <x:row r="192">
      <x:c r="A192" s="139" t="n"/>
      <x:c r="B192" s="139" t="n"/>
      <x:c r="C192" s="139" t="n"/>
      <x:c r="D192" s="139" t="n"/>
      <x:c r="E192" s="139" t="n"/>
      <x:c r="F192" s="139" t="n"/>
      <x:c r="G192" s="139" t="n"/>
      <x:c r="H192" s="139" t="n"/>
      <x:c r="I192" s="139" t="n"/>
      <x:c r="J192" s="139" t="n"/>
      <x:c r="K192" s="139" t="n"/>
      <x:c r="L192" s="139" t="n"/>
      <x:c r="M192" s="139" t="n"/>
      <x:c r="N192" s="139" t="n"/>
      <x:c r="O192" s="139" t="n"/>
      <x:c r="P192" s="139" t="n"/>
      <x:c r="Q192" s="139" t="n"/>
      <x:c r="R192" s="139" t="n"/>
      <x:c r="S192" s="139" t="n"/>
      <x:c r="T192" s="139" t="n"/>
      <x:c r="U192" s="139" t="n"/>
    </x:row>
    <x:row r="193">
      <x:c r="A193" s="139" t="n"/>
      <x:c r="B193" s="139" t="n"/>
      <x:c r="C193" s="139" t="n"/>
      <x:c r="D193" s="139" t="n"/>
      <x:c r="E193" s="139" t="n"/>
      <x:c r="F193" s="139" t="n"/>
      <x:c r="G193" s="139" t="n"/>
      <x:c r="H193" s="139" t="n"/>
      <x:c r="I193" s="139" t="n"/>
      <x:c r="J193" s="139" t="n"/>
      <x:c r="K193" s="139" t="n"/>
      <x:c r="L193" s="139" t="n"/>
      <x:c r="M193" s="139" t="n"/>
      <x:c r="N193" s="139" t="n"/>
      <x:c r="O193" s="139" t="n"/>
      <x:c r="P193" s="139" t="n"/>
      <x:c r="Q193" s="139" t="n"/>
      <x:c r="R193" s="139" t="n"/>
      <x:c r="S193" s="139" t="n"/>
      <x:c r="T193" s="139" t="n"/>
      <x:c r="U193" s="139" t="n"/>
    </x:row>
    <x:row r="194">
      <x:c r="A194" s="139" t="n"/>
      <x:c r="B194" s="139" t="n"/>
      <x:c r="C194" s="139" t="n"/>
      <x:c r="D194" s="139" t="n"/>
      <x:c r="E194" s="139" t="n"/>
      <x:c r="F194" s="139" t="n"/>
      <x:c r="G194" s="139" t="n"/>
      <x:c r="H194" s="139" t="n"/>
      <x:c r="I194" s="139" t="n"/>
      <x:c r="J194" s="139" t="n"/>
      <x:c r="K194" s="139" t="n"/>
      <x:c r="L194" s="139" t="n"/>
      <x:c r="M194" s="139" t="n"/>
      <x:c r="N194" s="139" t="n"/>
      <x:c r="O194" s="139" t="n"/>
      <x:c r="P194" s="139" t="n"/>
      <x:c r="Q194" s="139" t="n"/>
      <x:c r="R194" s="139" t="n"/>
      <x:c r="S194" s="139" t="n"/>
      <x:c r="T194" s="139" t="n"/>
      <x:c r="U194" s="139" t="n"/>
    </x:row>
    <x:row r="195">
      <x:c r="A195" s="139" t="n"/>
      <x:c r="B195" s="139" t="n"/>
      <x:c r="C195" s="139" t="n"/>
      <x:c r="D195" s="139" t="n"/>
      <x:c r="E195" s="139" t="n"/>
      <x:c r="F195" s="139" t="n"/>
      <x:c r="G195" s="139" t="n"/>
      <x:c r="H195" s="139" t="n"/>
      <x:c r="I195" s="139" t="n"/>
      <x:c r="J195" s="139" t="n"/>
      <x:c r="K195" s="139" t="n"/>
      <x:c r="L195" s="139" t="n"/>
      <x:c r="M195" s="139" t="n"/>
      <x:c r="N195" s="139" t="n"/>
      <x:c r="O195" s="139" t="n"/>
      <x:c r="P195" s="139" t="n"/>
      <x:c r="Q195" s="139" t="n"/>
      <x:c r="R195" s="139" t="n"/>
      <x:c r="S195" s="139" t="n"/>
      <x:c r="T195" s="139" t="n"/>
      <x:c r="U195" s="139" t="n"/>
    </x:row>
    <x:row r="196">
      <x:c r="A196" s="139" t="n"/>
      <x:c r="B196" s="139" t="n"/>
      <x:c r="C196" s="139" t="n"/>
      <x:c r="D196" s="139" t="n"/>
      <x:c r="E196" s="139" t="n"/>
      <x:c r="F196" s="139" t="n"/>
      <x:c r="G196" s="139" t="n"/>
      <x:c r="H196" s="139" t="n"/>
      <x:c r="I196" s="139" t="n"/>
      <x:c r="J196" s="139" t="n"/>
      <x:c r="K196" s="139" t="n"/>
      <x:c r="L196" s="139" t="n"/>
      <x:c r="M196" s="139" t="n"/>
      <x:c r="N196" s="139" t="n"/>
      <x:c r="O196" s="139" t="n"/>
      <x:c r="P196" s="139" t="n"/>
      <x:c r="Q196" s="139" t="n"/>
      <x:c r="R196" s="139" t="n"/>
      <x:c r="S196" s="139" t="n"/>
      <x:c r="T196" s="139" t="n"/>
      <x:c r="U196" s="139" t="n"/>
    </x:row>
    <x:row r="197">
      <x:c r="A197" s="139" t="n"/>
      <x:c r="B197" s="139" t="n"/>
      <x:c r="C197" s="139" t="n"/>
      <x:c r="D197" s="139" t="n"/>
      <x:c r="E197" s="139" t="n"/>
      <x:c r="F197" s="139" t="n"/>
      <x:c r="G197" s="139" t="n"/>
      <x:c r="H197" s="139" t="n"/>
      <x:c r="I197" s="139" t="n"/>
      <x:c r="J197" s="139" t="n"/>
      <x:c r="K197" s="139" t="n"/>
      <x:c r="L197" s="139" t="n"/>
      <x:c r="M197" s="139" t="n"/>
      <x:c r="N197" s="139" t="n"/>
      <x:c r="O197" s="139" t="n"/>
      <x:c r="P197" s="139" t="n"/>
      <x:c r="Q197" s="139" t="n"/>
      <x:c r="R197" s="139" t="n"/>
      <x:c r="S197" s="139" t="n"/>
      <x:c r="T197" s="139" t="n"/>
      <x:c r="U197" s="139" t="n"/>
    </x:row>
    <x:row r="198">
      <x:c r="A198" s="139" t="n"/>
      <x:c r="B198" s="139" t="n"/>
      <x:c r="C198" s="139" t="n"/>
      <x:c r="D198" s="139" t="n"/>
      <x:c r="E198" s="139" t="n"/>
      <x:c r="F198" s="139" t="n"/>
      <x:c r="G198" s="139" t="n"/>
      <x:c r="H198" s="139" t="n"/>
      <x:c r="I198" s="139" t="n"/>
      <x:c r="J198" s="139" t="n"/>
      <x:c r="K198" s="139" t="n"/>
      <x:c r="L198" s="139" t="n"/>
      <x:c r="M198" s="139" t="n"/>
      <x:c r="N198" s="139" t="n"/>
      <x:c r="O198" s="139" t="n"/>
      <x:c r="P198" s="139" t="n"/>
      <x:c r="Q198" s="139" t="n"/>
      <x:c r="R198" s="139" t="n"/>
      <x:c r="S198" s="139" t="n"/>
      <x:c r="T198" s="139" t="n"/>
      <x:c r="U198" s="139" t="n"/>
    </x:row>
    <x:row r="199">
      <x:c r="A199" s="139" t="n"/>
      <x:c r="B199" s="139" t="n"/>
      <x:c r="C199" s="139" t="n"/>
      <x:c r="D199" s="139" t="n"/>
      <x:c r="E199" s="139" t="n"/>
      <x:c r="F199" s="139" t="n"/>
      <x:c r="G199" s="139" t="n"/>
      <x:c r="H199" s="139" t="n"/>
      <x:c r="I199" s="139" t="n"/>
      <x:c r="J199" s="139" t="n"/>
      <x:c r="K199" s="139" t="n"/>
      <x:c r="L199" s="139" t="n"/>
      <x:c r="M199" s="139" t="n"/>
      <x:c r="N199" s="139" t="n"/>
      <x:c r="O199" s="139" t="n"/>
      <x:c r="P199" s="139" t="n"/>
      <x:c r="Q199" s="139" t="n"/>
      <x:c r="R199" s="139" t="n"/>
      <x:c r="S199" s="139" t="n"/>
      <x:c r="T199" s="139" t="n"/>
      <x:c r="U199" s="139" t="n"/>
    </x:row>
    <x:row r="200">
      <x:c r="A200" s="139" t="n"/>
      <x:c r="B200" s="139" t="n"/>
      <x:c r="C200" s="139" t="n"/>
      <x:c r="D200" s="139" t="n"/>
      <x:c r="E200" s="139" t="n"/>
      <x:c r="F200" s="139" t="n"/>
      <x:c r="G200" s="139" t="n"/>
      <x:c r="H200" s="139" t="n"/>
      <x:c r="I200" s="139" t="n"/>
      <x:c r="J200" s="139" t="n"/>
      <x:c r="K200" s="139" t="n"/>
      <x:c r="L200" s="139" t="n"/>
      <x:c r="M200" s="139" t="n"/>
      <x:c r="N200" s="139" t="n"/>
      <x:c r="O200" s="139" t="n"/>
      <x:c r="P200" s="139" t="n"/>
      <x:c r="Q200" s="139" t="n"/>
      <x:c r="R200" s="139" t="n"/>
      <x:c r="S200" s="139" t="n"/>
      <x:c r="T200" s="139" t="n"/>
      <x:c r="U200" s="139" t="n"/>
    </x:row>
    <x:row r="201">
      <x:c r="A201" s="139" t="n"/>
      <x:c r="B201" s="139" t="n"/>
      <x:c r="C201" s="139" t="n"/>
      <x:c r="D201" s="139" t="n"/>
      <x:c r="E201" s="139" t="n"/>
      <x:c r="F201" s="139" t="n"/>
      <x:c r="G201" s="139" t="n"/>
      <x:c r="H201" s="139" t="n"/>
      <x:c r="I201" s="139" t="n"/>
      <x:c r="J201" s="139" t="n"/>
      <x:c r="K201" s="139" t="n"/>
      <x:c r="L201" s="139" t="n"/>
      <x:c r="M201" s="139" t="n"/>
      <x:c r="N201" s="139" t="n"/>
      <x:c r="O201" s="139" t="n"/>
      <x:c r="P201" s="139" t="n"/>
      <x:c r="Q201" s="139" t="n"/>
      <x:c r="R201" s="139" t="n"/>
      <x:c r="S201" s="139" t="n"/>
      <x:c r="T201" s="139" t="n"/>
      <x:c r="U201" s="139" t="n"/>
    </x:row>
    <x:row r="202">
      <x:c r="A202" s="139" t="n"/>
      <x:c r="B202" s="139" t="n"/>
      <x:c r="C202" s="139" t="n"/>
      <x:c r="D202" s="139" t="n"/>
      <x:c r="E202" s="139" t="n"/>
      <x:c r="F202" s="139" t="n"/>
      <x:c r="G202" s="139" t="n"/>
      <x:c r="H202" s="139" t="n"/>
      <x:c r="I202" s="139" t="n"/>
      <x:c r="J202" s="139" t="n"/>
      <x:c r="K202" s="139" t="n"/>
      <x:c r="L202" s="139" t="n"/>
      <x:c r="M202" s="139" t="n"/>
      <x:c r="N202" s="139" t="n"/>
      <x:c r="O202" s="139" t="n"/>
      <x:c r="P202" s="139" t="n"/>
      <x:c r="Q202" s="139" t="n"/>
      <x:c r="R202" s="139" t="n"/>
      <x:c r="S202" s="139" t="n"/>
      <x:c r="T202" s="139" t="n"/>
      <x:c r="U202" s="139" t="n"/>
    </x:row>
    <x:row r="203">
      <x:c r="A203" s="139" t="n"/>
      <x:c r="B203" s="139" t="n"/>
      <x:c r="C203" s="139" t="n"/>
      <x:c r="D203" s="139" t="n"/>
      <x:c r="E203" s="139" t="n"/>
      <x:c r="F203" s="139" t="n"/>
      <x:c r="G203" s="139" t="n"/>
      <x:c r="H203" s="139" t="n"/>
      <x:c r="I203" s="139" t="n"/>
      <x:c r="J203" s="139" t="n"/>
      <x:c r="K203" s="139" t="n"/>
      <x:c r="L203" s="139" t="n"/>
      <x:c r="M203" s="139" t="n"/>
      <x:c r="N203" s="139" t="n"/>
      <x:c r="O203" s="139" t="n"/>
      <x:c r="P203" s="139" t="n"/>
      <x:c r="Q203" s="139" t="n"/>
      <x:c r="R203" s="139" t="n"/>
      <x:c r="S203" s="139" t="n"/>
      <x:c r="T203" s="139" t="n"/>
      <x:c r="U203" s="139" t="n"/>
    </x:row>
    <x:row r="204">
      <x:c r="A204" s="139" t="n"/>
      <x:c r="B204" s="139" t="n"/>
      <x:c r="C204" s="139" t="n"/>
      <x:c r="D204" s="139" t="n"/>
      <x:c r="E204" s="139" t="n"/>
      <x:c r="F204" s="139" t="n"/>
      <x:c r="G204" s="139" t="n"/>
      <x:c r="H204" s="139" t="n"/>
      <x:c r="I204" s="139" t="n"/>
      <x:c r="J204" s="139" t="n"/>
      <x:c r="K204" s="139" t="n"/>
      <x:c r="L204" s="139" t="n"/>
      <x:c r="M204" s="139" t="n"/>
      <x:c r="N204" s="139" t="n"/>
      <x:c r="O204" s="139" t="n"/>
      <x:c r="P204" s="139" t="n"/>
      <x:c r="Q204" s="139" t="n"/>
      <x:c r="R204" s="139" t="n"/>
      <x:c r="S204" s="139" t="n"/>
      <x:c r="T204" s="139" t="n"/>
      <x:c r="U204" s="139" t="n"/>
    </x:row>
    <x:row r="205">
      <x:c r="A205" s="139" t="n"/>
      <x:c r="B205" s="139" t="n"/>
      <x:c r="C205" s="139" t="n"/>
      <x:c r="D205" s="139" t="n"/>
      <x:c r="E205" s="139" t="n"/>
      <x:c r="F205" s="139" t="n"/>
      <x:c r="G205" s="139" t="n"/>
      <x:c r="H205" s="139" t="n"/>
      <x:c r="I205" s="139" t="n"/>
      <x:c r="J205" s="139" t="n"/>
      <x:c r="K205" s="139" t="n"/>
      <x:c r="L205" s="139" t="n"/>
      <x:c r="M205" s="139" t="n"/>
      <x:c r="N205" s="139" t="n"/>
      <x:c r="O205" s="139" t="n"/>
      <x:c r="P205" s="139" t="n"/>
      <x:c r="Q205" s="139" t="n"/>
      <x:c r="R205" s="139" t="n"/>
      <x:c r="S205" s="139" t="n"/>
      <x:c r="T205" s="139" t="n"/>
      <x:c r="U205" s="139" t="n"/>
    </x:row>
    <x:row r="206">
      <x:c r="A206" s="139" t="n"/>
      <x:c r="B206" s="139" t="n"/>
      <x:c r="C206" s="139" t="n"/>
      <x:c r="D206" s="139" t="n"/>
      <x:c r="E206" s="139" t="n"/>
      <x:c r="F206" s="139" t="n"/>
      <x:c r="G206" s="139" t="n"/>
      <x:c r="H206" s="139" t="n"/>
      <x:c r="I206" s="139" t="n"/>
      <x:c r="J206" s="139" t="n"/>
      <x:c r="K206" s="139" t="n"/>
      <x:c r="L206" s="139" t="n"/>
      <x:c r="M206" s="139" t="n"/>
      <x:c r="N206" s="139" t="n"/>
      <x:c r="O206" s="139" t="n"/>
      <x:c r="P206" s="139" t="n"/>
      <x:c r="Q206" s="139" t="n"/>
      <x:c r="R206" s="139" t="n"/>
      <x:c r="S206" s="139" t="n"/>
      <x:c r="T206" s="139" t="n"/>
      <x:c r="U206" s="139" t="n"/>
    </x:row>
    <x:row r="207">
      <x:c r="A207" s="139" t="n"/>
      <x:c r="B207" s="139" t="n"/>
      <x:c r="C207" s="139" t="n"/>
      <x:c r="D207" s="139" t="n"/>
      <x:c r="E207" s="139" t="n"/>
      <x:c r="F207" s="139" t="n"/>
      <x:c r="G207" s="139" t="n"/>
      <x:c r="H207" s="139" t="n"/>
      <x:c r="I207" s="139" t="n"/>
      <x:c r="J207" s="139" t="n"/>
      <x:c r="K207" s="139" t="n"/>
      <x:c r="L207" s="139" t="n"/>
      <x:c r="M207" s="139" t="n"/>
      <x:c r="N207" s="139" t="n"/>
      <x:c r="O207" s="139" t="n"/>
      <x:c r="P207" s="139" t="n"/>
      <x:c r="Q207" s="139" t="n"/>
      <x:c r="R207" s="139" t="n"/>
      <x:c r="S207" s="139" t="n"/>
      <x:c r="T207" s="139" t="n"/>
      <x:c r="U207" s="139" t="n"/>
    </x:row>
    <x:row r="208">
      <x:c r="A208" s="139" t="n"/>
      <x:c r="B208" s="139" t="n"/>
      <x:c r="C208" s="139" t="n"/>
      <x:c r="D208" s="139" t="n"/>
      <x:c r="E208" s="139" t="n"/>
      <x:c r="F208" s="139" t="n"/>
      <x:c r="G208" s="139" t="n"/>
      <x:c r="H208" s="139" t="n"/>
      <x:c r="I208" s="139" t="n"/>
      <x:c r="J208" s="139" t="n"/>
      <x:c r="K208" s="139" t="n"/>
      <x:c r="L208" s="139" t="n"/>
      <x:c r="M208" s="139" t="n"/>
      <x:c r="N208" s="139" t="n"/>
      <x:c r="O208" s="139" t="n"/>
      <x:c r="P208" s="139" t="n"/>
      <x:c r="Q208" s="139" t="n"/>
      <x:c r="R208" s="139" t="n"/>
      <x:c r="S208" s="139" t="n"/>
      <x:c r="T208" s="139" t="n"/>
      <x:c r="U208" s="139" t="n"/>
    </x:row>
    <x:row r="209">
      <x:c r="A209" s="139" t="n"/>
      <x:c r="B209" s="139" t="n"/>
      <x:c r="C209" s="139" t="n"/>
      <x:c r="D209" s="139" t="n"/>
      <x:c r="E209" s="139" t="n"/>
      <x:c r="F209" s="139" t="n"/>
      <x:c r="G209" s="139" t="n"/>
      <x:c r="H209" s="139" t="n"/>
      <x:c r="I209" s="139" t="n"/>
      <x:c r="J209" s="139" t="n"/>
      <x:c r="K209" s="139" t="n"/>
      <x:c r="L209" s="139" t="n"/>
      <x:c r="M209" s="139" t="n"/>
      <x:c r="N209" s="139" t="n"/>
      <x:c r="O209" s="139" t="n"/>
      <x:c r="P209" s="139" t="n"/>
      <x:c r="Q209" s="139" t="n"/>
      <x:c r="R209" s="139" t="n"/>
      <x:c r="S209" s="139" t="n"/>
      <x:c r="T209" s="139" t="n"/>
      <x:c r="U209" s="139" t="n"/>
    </x:row>
    <x:row r="210">
      <x:c r="A210" s="139" t="n"/>
      <x:c r="B210" s="139" t="n"/>
      <x:c r="C210" s="139" t="n"/>
      <x:c r="D210" s="139" t="n"/>
      <x:c r="E210" s="139" t="n"/>
      <x:c r="F210" s="139" t="n"/>
      <x:c r="G210" s="139" t="n"/>
      <x:c r="H210" s="139" t="n"/>
      <x:c r="I210" s="139" t="n"/>
      <x:c r="J210" s="139" t="n"/>
      <x:c r="K210" s="139" t="n"/>
      <x:c r="L210" s="139" t="n"/>
      <x:c r="M210" s="139" t="n"/>
      <x:c r="N210" s="139" t="n"/>
      <x:c r="O210" s="139" t="n"/>
      <x:c r="P210" s="139" t="n"/>
      <x:c r="Q210" s="139" t="n"/>
      <x:c r="R210" s="139" t="n"/>
      <x:c r="S210" s="139" t="n"/>
      <x:c r="T210" s="139" t="n"/>
      <x:c r="U210" s="139" t="n"/>
    </x:row>
    <x:row r="211">
      <x:c r="A211" s="139" t="n"/>
      <x:c r="B211" s="139" t="n"/>
      <x:c r="C211" s="139" t="n"/>
      <x:c r="D211" s="139" t="n"/>
      <x:c r="E211" s="139" t="n"/>
      <x:c r="F211" s="139" t="n"/>
      <x:c r="G211" s="139" t="n"/>
      <x:c r="H211" s="139" t="n"/>
      <x:c r="I211" s="139" t="n"/>
      <x:c r="J211" s="139" t="n"/>
      <x:c r="K211" s="139" t="n"/>
      <x:c r="L211" s="139" t="n"/>
      <x:c r="M211" s="139" t="n"/>
      <x:c r="N211" s="139" t="n"/>
      <x:c r="O211" s="139" t="n"/>
      <x:c r="P211" s="139" t="n"/>
      <x:c r="Q211" s="139" t="n"/>
      <x:c r="R211" s="139" t="n"/>
      <x:c r="S211" s="139" t="n"/>
      <x:c r="T211" s="139" t="n"/>
      <x:c r="U211" s="139" t="n"/>
    </x:row>
    <x:row r="212">
      <x:c r="A212" s="139" t="n"/>
      <x:c r="B212" s="139" t="n"/>
      <x:c r="C212" s="139" t="n"/>
      <x:c r="D212" s="139" t="n"/>
      <x:c r="E212" s="139" t="n"/>
      <x:c r="F212" s="139" t="n"/>
      <x:c r="G212" s="139" t="n"/>
      <x:c r="H212" s="139" t="n"/>
      <x:c r="I212" s="139" t="n"/>
      <x:c r="J212" s="139" t="n"/>
      <x:c r="K212" s="139" t="n"/>
      <x:c r="L212" s="139" t="n"/>
      <x:c r="M212" s="139" t="n"/>
      <x:c r="N212" s="139" t="n"/>
      <x:c r="O212" s="139" t="n"/>
      <x:c r="P212" s="139" t="n"/>
      <x:c r="Q212" s="139" t="n"/>
      <x:c r="R212" s="139" t="n"/>
      <x:c r="S212" s="139" t="n"/>
      <x:c r="T212" s="139" t="n"/>
      <x:c r="U212" s="139" t="n"/>
    </x:row>
    <x:row r="213">
      <x:c r="A213" s="139" t="n"/>
      <x:c r="B213" s="139" t="n"/>
      <x:c r="C213" s="139" t="n"/>
      <x:c r="D213" s="139" t="n"/>
      <x:c r="E213" s="139" t="n"/>
      <x:c r="F213" s="139" t="n"/>
      <x:c r="G213" s="139" t="n"/>
      <x:c r="H213" s="139" t="n"/>
      <x:c r="I213" s="139" t="n"/>
      <x:c r="J213" s="139" t="n"/>
      <x:c r="K213" s="139" t="n"/>
      <x:c r="L213" s="139" t="n"/>
      <x:c r="M213" s="139" t="n"/>
      <x:c r="N213" s="139" t="n"/>
      <x:c r="O213" s="139" t="n"/>
      <x:c r="P213" s="139" t="n"/>
      <x:c r="Q213" s="139" t="n"/>
      <x:c r="R213" s="139" t="n"/>
      <x:c r="S213" s="139" t="n"/>
      <x:c r="T213" s="139" t="n"/>
      <x:c r="U213" s="139" t="n"/>
    </x:row>
    <x:row r="214">
      <x:c r="A214" s="139" t="n"/>
      <x:c r="B214" s="139" t="n"/>
      <x:c r="C214" s="139" t="n"/>
      <x:c r="D214" s="139" t="n"/>
      <x:c r="E214" s="139" t="n"/>
      <x:c r="F214" s="139" t="n"/>
      <x:c r="G214" s="139" t="n"/>
      <x:c r="H214" s="139" t="n"/>
      <x:c r="I214" s="139" t="n"/>
      <x:c r="J214" s="139" t="n"/>
      <x:c r="K214" s="139" t="n"/>
      <x:c r="L214" s="139" t="n"/>
      <x:c r="M214" s="139" t="n"/>
      <x:c r="N214" s="139" t="n"/>
      <x:c r="O214" s="139" t="n"/>
      <x:c r="P214" s="139" t="n"/>
      <x:c r="Q214" s="139" t="n"/>
      <x:c r="R214" s="139" t="n"/>
      <x:c r="S214" s="139" t="n"/>
      <x:c r="T214" s="139" t="n"/>
      <x:c r="U214" s="139" t="n"/>
    </x:row>
    <x:row r="215">
      <x:c r="A215" s="139" t="n"/>
      <x:c r="B215" s="139" t="n"/>
      <x:c r="C215" s="139" t="n"/>
      <x:c r="D215" s="139" t="n"/>
      <x:c r="E215" s="139" t="n"/>
      <x:c r="F215" s="139" t="n"/>
      <x:c r="G215" s="139" t="n"/>
      <x:c r="H215" s="139" t="n"/>
      <x:c r="I215" s="139" t="n"/>
      <x:c r="J215" s="139" t="n"/>
      <x:c r="K215" s="139" t="n"/>
      <x:c r="L215" s="139" t="n"/>
      <x:c r="M215" s="139" t="n"/>
      <x:c r="N215" s="139" t="n"/>
      <x:c r="O215" s="139" t="n"/>
      <x:c r="P215" s="139" t="n"/>
      <x:c r="Q215" s="139" t="n"/>
      <x:c r="R215" s="139" t="n"/>
      <x:c r="S215" s="139" t="n"/>
      <x:c r="T215" s="139" t="n"/>
      <x:c r="U215" s="139" t="n"/>
    </x:row>
    <x:row r="216">
      <x:c r="A216" s="139" t="n"/>
      <x:c r="B216" s="139" t="n"/>
      <x:c r="C216" s="139" t="n"/>
      <x:c r="D216" s="139" t="n"/>
      <x:c r="E216" s="139" t="n"/>
      <x:c r="F216" s="139" t="n"/>
      <x:c r="G216" s="139" t="n"/>
      <x:c r="H216" s="139" t="n"/>
      <x:c r="I216" s="139" t="n"/>
      <x:c r="J216" s="139" t="n"/>
      <x:c r="K216" s="139" t="n"/>
      <x:c r="L216" s="139" t="n"/>
      <x:c r="M216" s="139" t="n"/>
      <x:c r="N216" s="139" t="n"/>
      <x:c r="O216" s="139" t="n"/>
      <x:c r="P216" s="139" t="n"/>
      <x:c r="Q216" s="139" t="n"/>
      <x:c r="R216" s="139" t="n"/>
      <x:c r="S216" s="139" t="n"/>
      <x:c r="T216" s="139" t="n"/>
      <x:c r="U216" s="139" t="n"/>
    </x:row>
    <x:row r="217">
      <x:c r="A217" s="139" t="n"/>
      <x:c r="B217" s="139" t="n"/>
      <x:c r="C217" s="139" t="n"/>
      <x:c r="D217" s="139" t="n"/>
      <x:c r="E217" s="139" t="n"/>
      <x:c r="F217" s="139" t="n"/>
      <x:c r="G217" s="139" t="n"/>
      <x:c r="H217" s="139" t="n"/>
      <x:c r="I217" s="139" t="n"/>
      <x:c r="J217" s="139" t="n"/>
      <x:c r="K217" s="139" t="n"/>
      <x:c r="L217" s="139" t="n"/>
      <x:c r="M217" s="139" t="n"/>
      <x:c r="N217" s="139" t="n"/>
      <x:c r="O217" s="139" t="n"/>
      <x:c r="P217" s="139" t="n"/>
      <x:c r="Q217" s="139" t="n"/>
      <x:c r="R217" s="139" t="n"/>
      <x:c r="S217" s="139" t="n"/>
      <x:c r="T217" s="139" t="n"/>
      <x:c r="U217" s="139" t="n"/>
    </x:row>
    <x:row r="218">
      <x:c r="A218" s="139" t="n"/>
      <x:c r="B218" s="139" t="n"/>
      <x:c r="C218" s="139" t="n"/>
      <x:c r="D218" s="139" t="n"/>
      <x:c r="E218" s="139" t="n"/>
      <x:c r="F218" s="139" t="n"/>
      <x:c r="G218" s="139" t="n"/>
      <x:c r="H218" s="139" t="n"/>
      <x:c r="I218" s="139" t="n"/>
      <x:c r="J218" s="139" t="n"/>
      <x:c r="K218" s="139" t="n"/>
      <x:c r="L218" s="139" t="n"/>
      <x:c r="M218" s="139" t="n"/>
      <x:c r="N218" s="139" t="n"/>
      <x:c r="O218" s="139" t="n"/>
      <x:c r="P218" s="139" t="n"/>
      <x:c r="Q218" s="139" t="n"/>
      <x:c r="R218" s="139" t="n"/>
      <x:c r="S218" s="139" t="n"/>
      <x:c r="T218" s="139" t="n"/>
      <x:c r="U218" s="139" t="n"/>
    </x:row>
    <x:row r="219">
      <x:c r="A219" s="139" t="n"/>
      <x:c r="B219" s="139" t="n"/>
      <x:c r="C219" s="139" t="n"/>
      <x:c r="D219" s="139" t="n"/>
      <x:c r="E219" s="139" t="n"/>
      <x:c r="F219" s="139" t="n"/>
      <x:c r="G219" s="139" t="n"/>
      <x:c r="H219" s="139" t="n"/>
      <x:c r="I219" s="139" t="n"/>
      <x:c r="J219" s="139" t="n"/>
      <x:c r="K219" s="139" t="n"/>
      <x:c r="L219" s="139" t="n"/>
      <x:c r="M219" s="139" t="n"/>
      <x:c r="N219" s="139" t="n"/>
      <x:c r="O219" s="139" t="n"/>
      <x:c r="P219" s="139" t="n"/>
      <x:c r="Q219" s="139" t="n"/>
      <x:c r="R219" s="139" t="n"/>
      <x:c r="S219" s="139" t="n"/>
      <x:c r="T219" s="139" t="n"/>
      <x:c r="U219" s="139" t="n"/>
    </x:row>
    <x:row r="220">
      <x:c r="A220" s="139" t="n"/>
      <x:c r="B220" s="139" t="n"/>
      <x:c r="C220" s="139" t="n"/>
      <x:c r="D220" s="139" t="n"/>
      <x:c r="E220" s="139" t="n"/>
      <x:c r="F220" s="139" t="n"/>
      <x:c r="G220" s="139" t="n"/>
      <x:c r="H220" s="139" t="n"/>
      <x:c r="I220" s="139" t="n"/>
      <x:c r="J220" s="139" t="n"/>
      <x:c r="K220" s="139" t="n"/>
      <x:c r="L220" s="139" t="n"/>
      <x:c r="M220" s="139" t="n"/>
      <x:c r="N220" s="139" t="n"/>
      <x:c r="O220" s="139" t="n"/>
      <x:c r="P220" s="139" t="n"/>
      <x:c r="Q220" s="139" t="n"/>
      <x:c r="R220" s="139" t="n"/>
      <x:c r="S220" s="139" t="n"/>
      <x:c r="T220" s="139" t="n"/>
      <x:c r="U220" s="139" t="n"/>
    </x:row>
    <x:row r="221">
      <x:c r="A221" s="139" t="n"/>
      <x:c r="B221" s="139" t="n"/>
      <x:c r="C221" s="139" t="n"/>
      <x:c r="D221" s="139" t="n"/>
      <x:c r="E221" s="139" t="n"/>
      <x:c r="F221" s="139" t="n"/>
      <x:c r="G221" s="139" t="n"/>
      <x:c r="H221" s="139" t="n"/>
      <x:c r="I221" s="139" t="n"/>
      <x:c r="J221" s="139" t="n"/>
      <x:c r="K221" s="139" t="n"/>
      <x:c r="L221" s="139" t="n"/>
      <x:c r="M221" s="139" t="n"/>
      <x:c r="N221" s="139" t="n"/>
      <x:c r="O221" s="139" t="n"/>
      <x:c r="P221" s="139" t="n"/>
      <x:c r="Q221" s="139" t="n"/>
      <x:c r="R221" s="139" t="n"/>
      <x:c r="S221" s="139" t="n"/>
      <x:c r="T221" s="139" t="n"/>
      <x:c r="U221" s="139" t="n"/>
    </x:row>
    <x:row r="222">
      <x:c r="A222" s="139" t="n"/>
      <x:c r="B222" s="139" t="n"/>
      <x:c r="C222" s="139" t="n"/>
      <x:c r="D222" s="139" t="n"/>
      <x:c r="E222" s="139" t="n"/>
      <x:c r="F222" s="139" t="n"/>
      <x:c r="G222" s="139" t="n"/>
      <x:c r="H222" s="139" t="n"/>
      <x:c r="I222" s="139" t="n"/>
      <x:c r="J222" s="139" t="n"/>
      <x:c r="K222" s="139" t="n"/>
      <x:c r="L222" s="139" t="n"/>
      <x:c r="M222" s="139" t="n"/>
      <x:c r="N222" s="139" t="n"/>
      <x:c r="O222" s="139" t="n"/>
      <x:c r="P222" s="139" t="n"/>
      <x:c r="Q222" s="139" t="n"/>
      <x:c r="R222" s="139" t="n"/>
      <x:c r="S222" s="139" t="n"/>
      <x:c r="T222" s="139" t="n"/>
      <x:c r="U222" s="139" t="n"/>
    </x:row>
    <x:row r="223">
      <x:c r="A223" s="139" t="n"/>
      <x:c r="B223" s="139" t="n"/>
      <x:c r="C223" s="139" t="n"/>
      <x:c r="D223" s="139" t="n"/>
      <x:c r="E223" s="139" t="n"/>
      <x:c r="F223" s="139" t="n"/>
      <x:c r="G223" s="139" t="n"/>
      <x:c r="H223" s="139" t="n"/>
      <x:c r="I223" s="139" t="n"/>
      <x:c r="J223" s="139" t="n"/>
      <x:c r="K223" s="139" t="n"/>
      <x:c r="L223" s="139" t="n"/>
      <x:c r="M223" s="139" t="n"/>
      <x:c r="N223" s="139" t="n"/>
      <x:c r="O223" s="139" t="n"/>
      <x:c r="P223" s="139" t="n"/>
      <x:c r="Q223" s="139" t="n"/>
      <x:c r="R223" s="139" t="n"/>
      <x:c r="S223" s="139" t="n"/>
      <x:c r="T223" s="139" t="n"/>
      <x:c r="U223" s="139" t="n"/>
    </x:row>
    <x:row r="224">
      <x:c r="A224" s="139" t="n"/>
      <x:c r="B224" s="139" t="n"/>
      <x:c r="C224" s="139" t="n"/>
      <x:c r="D224" s="139" t="n"/>
      <x:c r="E224" s="139" t="n"/>
      <x:c r="F224" s="139" t="n"/>
      <x:c r="G224" s="139" t="n"/>
      <x:c r="H224" s="139" t="n"/>
      <x:c r="I224" s="139" t="n"/>
      <x:c r="J224" s="139" t="n"/>
      <x:c r="K224" s="139" t="n"/>
      <x:c r="L224" s="139" t="n"/>
      <x:c r="M224" s="139" t="n"/>
      <x:c r="N224" s="139" t="n"/>
      <x:c r="O224" s="139" t="n"/>
      <x:c r="P224" s="139" t="n"/>
      <x:c r="Q224" s="139" t="n"/>
      <x:c r="R224" s="139" t="n"/>
      <x:c r="S224" s="139" t="n"/>
      <x:c r="T224" s="139" t="n"/>
      <x:c r="U224" s="139" t="n"/>
    </x:row>
    <x:row r="225">
      <x:c r="A225" s="139" t="n"/>
      <x:c r="B225" s="139" t="n"/>
      <x:c r="C225" s="139" t="n"/>
      <x:c r="D225" s="139" t="n"/>
      <x:c r="E225" s="139" t="n"/>
      <x:c r="F225" s="139" t="n"/>
      <x:c r="G225" s="139" t="n"/>
      <x:c r="H225" s="139" t="n"/>
      <x:c r="I225" s="139" t="n"/>
      <x:c r="J225" s="139" t="n"/>
      <x:c r="K225" s="139" t="n"/>
      <x:c r="L225" s="139" t="n"/>
      <x:c r="M225" s="139" t="n"/>
      <x:c r="N225" s="139" t="n"/>
      <x:c r="O225" s="139" t="n"/>
      <x:c r="P225" s="139" t="n"/>
      <x:c r="Q225" s="139" t="n"/>
      <x:c r="R225" s="139" t="n"/>
      <x:c r="S225" s="139" t="n"/>
      <x:c r="T225" s="139" t="n"/>
      <x:c r="U225" s="139" t="n"/>
    </x:row>
    <x:row r="226">
      <x:c r="A226" s="139" t="n"/>
      <x:c r="B226" s="139" t="n"/>
      <x:c r="C226" s="139" t="n"/>
      <x:c r="D226" s="139" t="n"/>
      <x:c r="E226" s="139" t="n"/>
      <x:c r="F226" s="139" t="n"/>
      <x:c r="G226" s="139" t="n"/>
      <x:c r="H226" s="139" t="n"/>
      <x:c r="I226" s="139" t="n"/>
      <x:c r="J226" s="139" t="n"/>
      <x:c r="K226" s="139" t="n"/>
      <x:c r="L226" s="139" t="n"/>
      <x:c r="M226" s="139" t="n"/>
      <x:c r="N226" s="139" t="n"/>
      <x:c r="O226" s="139" t="n"/>
      <x:c r="P226" s="139" t="n"/>
      <x:c r="Q226" s="139" t="n"/>
      <x:c r="R226" s="139" t="n"/>
      <x:c r="S226" s="139" t="n"/>
      <x:c r="T226" s="139" t="n"/>
      <x:c r="U226" s="139" t="n"/>
    </x:row>
    <x:row r="227">
      <x:c r="A227" s="139" t="n"/>
      <x:c r="B227" s="139" t="n"/>
      <x:c r="C227" s="139" t="n"/>
      <x:c r="D227" s="139" t="n"/>
      <x:c r="E227" s="139" t="n"/>
      <x:c r="F227" s="139" t="n"/>
      <x:c r="G227" s="139" t="n"/>
      <x:c r="H227" s="139" t="n"/>
      <x:c r="I227" s="139" t="n"/>
      <x:c r="J227" s="139" t="n"/>
      <x:c r="K227" s="139" t="n"/>
      <x:c r="L227" s="139" t="n"/>
      <x:c r="M227" s="139" t="n"/>
      <x:c r="N227" s="139" t="n"/>
      <x:c r="O227" s="139" t="n"/>
      <x:c r="P227" s="139" t="n"/>
      <x:c r="Q227" s="139" t="n"/>
      <x:c r="R227" s="139" t="n"/>
      <x:c r="S227" s="139" t="n"/>
      <x:c r="T227" s="139" t="n"/>
      <x:c r="U227" s="139" t="n"/>
    </x:row>
    <x:row r="228">
      <x:c r="A228" s="139" t="n"/>
      <x:c r="B228" s="139" t="n"/>
      <x:c r="C228" s="139" t="n"/>
      <x:c r="D228" s="139" t="n"/>
      <x:c r="E228" s="139" t="n"/>
      <x:c r="F228" s="139" t="n"/>
      <x:c r="G228" s="139" t="n"/>
      <x:c r="H228" s="139" t="n"/>
      <x:c r="I228" s="139" t="n"/>
      <x:c r="J228" s="139" t="n"/>
      <x:c r="K228" s="139" t="n"/>
      <x:c r="L228" s="139" t="n"/>
      <x:c r="M228" s="139" t="n"/>
      <x:c r="N228" s="139" t="n"/>
      <x:c r="O228" s="139" t="n"/>
      <x:c r="P228" s="139" t="n"/>
      <x:c r="Q228" s="139" t="n"/>
      <x:c r="R228" s="139" t="n"/>
      <x:c r="S228" s="139" t="n"/>
      <x:c r="T228" s="139" t="n"/>
      <x:c r="U228" s="139" t="n"/>
    </x:row>
    <x:row r="229">
      <x:c r="A229" s="139" t="n"/>
      <x:c r="B229" s="139" t="n"/>
      <x:c r="C229" s="139" t="n"/>
      <x:c r="D229" s="139" t="n"/>
      <x:c r="E229" s="139" t="n"/>
      <x:c r="F229" s="139" t="n"/>
      <x:c r="G229" s="139" t="n"/>
      <x:c r="H229" s="139" t="n"/>
      <x:c r="I229" s="139" t="n"/>
      <x:c r="J229" s="139" t="n"/>
      <x:c r="K229" s="139" t="n"/>
      <x:c r="L229" s="139" t="n"/>
      <x:c r="M229" s="139" t="n"/>
      <x:c r="N229" s="139" t="n"/>
      <x:c r="O229" s="139" t="n"/>
      <x:c r="P229" s="139" t="n"/>
      <x:c r="Q229" s="139" t="n"/>
      <x:c r="R229" s="139" t="n"/>
      <x:c r="S229" s="139" t="n"/>
      <x:c r="T229" s="139" t="n"/>
      <x:c r="U229" s="139" t="n"/>
    </x:row>
    <x:row r="230">
      <x:c r="A230" s="139" t="n"/>
      <x:c r="B230" s="139" t="n"/>
      <x:c r="C230" s="139" t="n"/>
      <x:c r="D230" s="139" t="n"/>
      <x:c r="E230" s="139" t="n"/>
      <x:c r="F230" s="139" t="n"/>
      <x:c r="G230" s="139" t="n"/>
      <x:c r="H230" s="139" t="n"/>
      <x:c r="I230" s="139" t="n"/>
      <x:c r="J230" s="139" t="n"/>
      <x:c r="K230" s="139" t="n"/>
      <x:c r="L230" s="139" t="n"/>
      <x:c r="M230" s="139" t="n"/>
      <x:c r="N230" s="139" t="n"/>
      <x:c r="O230" s="139" t="n"/>
      <x:c r="P230" s="139" t="n"/>
      <x:c r="Q230" s="139" t="n"/>
      <x:c r="R230" s="139" t="n"/>
      <x:c r="S230" s="139" t="n"/>
      <x:c r="T230" s="139" t="n"/>
      <x:c r="U230" s="139" t="n"/>
    </x:row>
    <x:row r="231">
      <x:c r="A231" s="139" t="n"/>
      <x:c r="B231" s="139" t="n"/>
      <x:c r="C231" s="139" t="n"/>
      <x:c r="D231" s="139" t="n"/>
      <x:c r="E231" s="139" t="n"/>
      <x:c r="F231" s="139" t="n"/>
      <x:c r="G231" s="139" t="n"/>
      <x:c r="H231" s="139" t="n"/>
      <x:c r="I231" s="139" t="n"/>
      <x:c r="J231" s="139" t="n"/>
      <x:c r="K231" s="139" t="n"/>
      <x:c r="L231" s="139" t="n"/>
      <x:c r="M231" s="139" t="n"/>
      <x:c r="N231" s="139" t="n"/>
      <x:c r="O231" s="139" t="n"/>
      <x:c r="P231" s="139" t="n"/>
      <x:c r="Q231" s="139" t="n"/>
      <x:c r="R231" s="139" t="n"/>
      <x:c r="S231" s="139" t="n"/>
      <x:c r="T231" s="139" t="n"/>
      <x:c r="U231" s="139" t="n"/>
    </x:row>
    <x:row r="232">
      <x:c r="A232" s="139" t="n"/>
      <x:c r="B232" s="139" t="n"/>
      <x:c r="C232" s="139" t="n"/>
      <x:c r="D232" s="139" t="n"/>
      <x:c r="E232" s="139" t="n"/>
      <x:c r="F232" s="139" t="n"/>
      <x:c r="G232" s="139" t="n"/>
      <x:c r="H232" s="139" t="n"/>
      <x:c r="I232" s="139" t="n"/>
      <x:c r="J232" s="139" t="n"/>
      <x:c r="K232" s="139" t="n"/>
      <x:c r="L232" s="139" t="n"/>
      <x:c r="M232" s="139" t="n"/>
      <x:c r="N232" s="139" t="n"/>
      <x:c r="O232" s="139" t="n"/>
      <x:c r="P232" s="139" t="n"/>
      <x:c r="Q232" s="139" t="n"/>
      <x:c r="R232" s="139" t="n"/>
      <x:c r="S232" s="139" t="n"/>
      <x:c r="T232" s="139" t="n"/>
      <x:c r="U232" s="139" t="n"/>
    </x:row>
    <x:row r="233">
      <x:c r="A233" s="139" t="n"/>
      <x:c r="B233" s="139" t="n"/>
      <x:c r="C233" s="139" t="n"/>
      <x:c r="D233" s="139" t="n"/>
      <x:c r="E233" s="139" t="n"/>
      <x:c r="F233" s="139" t="n"/>
      <x:c r="G233" s="139" t="n"/>
      <x:c r="H233" s="139" t="n"/>
      <x:c r="I233" s="139" t="n"/>
      <x:c r="J233" s="139" t="n"/>
      <x:c r="K233" s="139" t="n"/>
      <x:c r="L233" s="139" t="n"/>
      <x:c r="M233" s="139" t="n"/>
      <x:c r="N233" s="139" t="n"/>
      <x:c r="O233" s="139" t="n"/>
      <x:c r="P233" s="139" t="n"/>
      <x:c r="Q233" s="139" t="n"/>
      <x:c r="R233" s="139" t="n"/>
      <x:c r="S233" s="139" t="n"/>
      <x:c r="T233" s="139" t="n"/>
      <x:c r="U233" s="139" t="n"/>
    </x:row>
    <x:row r="234">
      <x:c r="A234" s="139" t="n"/>
      <x:c r="B234" s="139" t="n"/>
      <x:c r="C234" s="139" t="n"/>
      <x:c r="D234" s="139" t="n"/>
      <x:c r="E234" s="139" t="n"/>
      <x:c r="F234" s="139" t="n"/>
      <x:c r="G234" s="139" t="n"/>
      <x:c r="H234" s="139" t="n"/>
      <x:c r="I234" s="139" t="n"/>
      <x:c r="J234" s="139" t="n"/>
      <x:c r="K234" s="139" t="n"/>
      <x:c r="L234" s="139" t="n"/>
      <x:c r="M234" s="139" t="n"/>
      <x:c r="N234" s="139" t="n"/>
      <x:c r="O234" s="139" t="n"/>
      <x:c r="P234" s="139" t="n"/>
      <x:c r="Q234" s="139" t="n"/>
      <x:c r="R234" s="139" t="n"/>
      <x:c r="S234" s="139" t="n"/>
      <x:c r="T234" s="139" t="n"/>
      <x:c r="U234" s="139" t="n"/>
    </x:row>
    <x:row r="235">
      <x:c r="A235" s="139" t="n"/>
      <x:c r="B235" s="139" t="n"/>
      <x:c r="C235" s="139" t="n"/>
      <x:c r="D235" s="139" t="n"/>
      <x:c r="E235" s="139" t="n"/>
      <x:c r="F235" s="139" t="n"/>
      <x:c r="G235" s="139" t="n"/>
      <x:c r="H235" s="139" t="n"/>
      <x:c r="I235" s="139" t="n"/>
      <x:c r="J235" s="139" t="n"/>
      <x:c r="K235" s="139" t="n"/>
      <x:c r="L235" s="139" t="n"/>
      <x:c r="M235" s="139" t="n"/>
      <x:c r="N235" s="139" t="n"/>
      <x:c r="O235" s="139" t="n"/>
      <x:c r="P235" s="139" t="n"/>
      <x:c r="Q235" s="139" t="n"/>
      <x:c r="R235" s="139" t="n"/>
      <x:c r="S235" s="139" t="n"/>
      <x:c r="T235" s="139" t="n"/>
      <x:c r="U235" s="139" t="n"/>
    </x:row>
    <x:row r="236">
      <x:c r="A236" s="139" t="n"/>
      <x:c r="B236" s="139" t="n"/>
      <x:c r="C236" s="139" t="n"/>
      <x:c r="D236" s="139" t="n"/>
      <x:c r="E236" s="139" t="n"/>
      <x:c r="F236" s="139" t="n"/>
      <x:c r="G236" s="139" t="n"/>
      <x:c r="H236" s="139" t="n"/>
      <x:c r="I236" s="139" t="n"/>
      <x:c r="J236" s="139" t="n"/>
      <x:c r="K236" s="139" t="n"/>
      <x:c r="L236" s="139" t="n"/>
      <x:c r="M236" s="139" t="n"/>
      <x:c r="N236" s="139" t="n"/>
      <x:c r="O236" s="139" t="n"/>
      <x:c r="P236" s="139" t="n"/>
      <x:c r="Q236" s="139" t="n"/>
      <x:c r="R236" s="139" t="n"/>
      <x:c r="S236" s="139" t="n"/>
      <x:c r="T236" s="139" t="n"/>
      <x:c r="U236" s="139" t="n"/>
    </x:row>
    <x:row r="237">
      <x:c r="A237" s="139" t="n"/>
      <x:c r="B237" s="139" t="n"/>
      <x:c r="C237" s="139" t="n"/>
      <x:c r="D237" s="139" t="n"/>
      <x:c r="E237" s="139" t="n"/>
      <x:c r="F237" s="139" t="n"/>
      <x:c r="G237" s="139" t="n"/>
      <x:c r="H237" s="139" t="n"/>
      <x:c r="I237" s="139" t="n"/>
      <x:c r="J237" s="139" t="n"/>
      <x:c r="K237" s="139" t="n"/>
      <x:c r="L237" s="139" t="n"/>
      <x:c r="M237" s="139" t="n"/>
      <x:c r="N237" s="139" t="n"/>
      <x:c r="O237" s="139" t="n"/>
      <x:c r="P237" s="139" t="n"/>
      <x:c r="Q237" s="139" t="n"/>
      <x:c r="R237" s="139" t="n"/>
      <x:c r="S237" s="139" t="n"/>
      <x:c r="T237" s="139" t="n"/>
      <x:c r="U237" s="139" t="n"/>
    </x:row>
    <x:row r="238">
      <x:c r="A238" s="139" t="n"/>
      <x:c r="B238" s="139" t="n"/>
      <x:c r="C238" s="139" t="n"/>
      <x:c r="D238" s="139" t="n"/>
      <x:c r="E238" s="139" t="n"/>
      <x:c r="F238" s="139" t="n"/>
      <x:c r="G238" s="139" t="n"/>
      <x:c r="H238" s="139" t="n"/>
      <x:c r="I238" s="139" t="n"/>
      <x:c r="J238" s="139" t="n"/>
      <x:c r="K238" s="139" t="n"/>
      <x:c r="L238" s="139" t="n"/>
      <x:c r="M238" s="139" t="n"/>
      <x:c r="N238" s="139" t="n"/>
      <x:c r="O238" s="139" t="n"/>
      <x:c r="P238" s="139" t="n"/>
      <x:c r="Q238" s="139" t="n"/>
      <x:c r="R238" s="139" t="n"/>
      <x:c r="S238" s="139" t="n"/>
      <x:c r="T238" s="139" t="n"/>
      <x:c r="U238" s="139" t="n"/>
    </x:row>
    <x:row r="239">
      <x:c r="A239" s="139" t="n"/>
      <x:c r="B239" s="139" t="n"/>
      <x:c r="C239" s="139" t="n"/>
      <x:c r="D239" s="139" t="n"/>
      <x:c r="E239" s="139" t="n"/>
      <x:c r="F239" s="139" t="n"/>
      <x:c r="G239" s="139" t="n"/>
      <x:c r="H239" s="139" t="n"/>
      <x:c r="I239" s="139" t="n"/>
      <x:c r="J239" s="139" t="n"/>
      <x:c r="K239" s="139" t="n"/>
      <x:c r="L239" s="139" t="n"/>
      <x:c r="M239" s="139" t="n"/>
      <x:c r="N239" s="139" t="n"/>
      <x:c r="O239" s="139" t="n"/>
      <x:c r="P239" s="139" t="n"/>
      <x:c r="Q239" s="139" t="n"/>
      <x:c r="R239" s="139" t="n"/>
      <x:c r="S239" s="139" t="n"/>
      <x:c r="T239" s="139" t="n"/>
      <x:c r="U239" s="139" t="n"/>
    </x:row>
    <x:row r="240">
      <x:c r="A240" s="139" t="n"/>
      <x:c r="B240" s="139" t="n"/>
      <x:c r="C240" s="139" t="n"/>
      <x:c r="D240" s="139" t="n"/>
      <x:c r="E240" s="139" t="n"/>
      <x:c r="F240" s="139" t="n"/>
      <x:c r="G240" s="139" t="n"/>
      <x:c r="H240" s="139" t="n"/>
      <x:c r="I240" s="139" t="n"/>
      <x:c r="J240" s="139" t="n"/>
      <x:c r="K240" s="139" t="n"/>
      <x:c r="L240" s="139" t="n"/>
      <x:c r="M240" s="139" t="n"/>
      <x:c r="N240" s="139" t="n"/>
      <x:c r="O240" s="139" t="n"/>
      <x:c r="P240" s="139" t="n"/>
      <x:c r="Q240" s="139" t="n"/>
      <x:c r="R240" s="139" t="n"/>
      <x:c r="S240" s="139" t="n"/>
      <x:c r="T240" s="139" t="n"/>
      <x:c r="U240" s="139" t="n"/>
    </x:row>
    <x:row r="241">
      <x:c r="A241" s="139" t="n"/>
      <x:c r="B241" s="139" t="n"/>
      <x:c r="C241" s="139" t="n"/>
      <x:c r="D241" s="139" t="n"/>
      <x:c r="E241" s="139" t="n"/>
      <x:c r="F241" s="139" t="n"/>
      <x:c r="G241" s="139" t="n"/>
      <x:c r="H241" s="139" t="n"/>
      <x:c r="I241" s="139" t="n"/>
      <x:c r="J241" s="139" t="n"/>
      <x:c r="K241" s="139" t="n"/>
      <x:c r="L241" s="139" t="n"/>
      <x:c r="M241" s="139" t="n"/>
      <x:c r="N241" s="139" t="n"/>
      <x:c r="O241" s="139" t="n"/>
      <x:c r="P241" s="139" t="n"/>
      <x:c r="Q241" s="139" t="n"/>
      <x:c r="R241" s="139" t="n"/>
      <x:c r="S241" s="139" t="n"/>
      <x:c r="T241" s="139" t="n"/>
      <x:c r="U241" s="139" t="n"/>
    </x:row>
    <x:row r="242">
      <x:c r="A242" s="139" t="n"/>
      <x:c r="B242" s="139" t="n"/>
      <x:c r="C242" s="139" t="n"/>
      <x:c r="D242" s="139" t="n"/>
      <x:c r="E242" s="139" t="n"/>
      <x:c r="F242" s="139" t="n"/>
      <x:c r="G242" s="139" t="n"/>
      <x:c r="H242" s="139" t="n"/>
      <x:c r="I242" s="139" t="n"/>
      <x:c r="J242" s="139" t="n"/>
      <x:c r="K242" s="139" t="n"/>
      <x:c r="L242" s="139" t="n"/>
      <x:c r="M242" s="139" t="n"/>
      <x:c r="N242" s="139" t="n"/>
      <x:c r="O242" s="139" t="n"/>
      <x:c r="P242" s="139" t="n"/>
      <x:c r="Q242" s="139" t="n"/>
      <x:c r="R242" s="139" t="n"/>
      <x:c r="S242" s="139" t="n"/>
      <x:c r="T242" s="139" t="n"/>
      <x:c r="U242" s="139" t="n"/>
    </x:row>
    <x:row r="243">
      <x:c r="A243" s="139" t="n"/>
      <x:c r="B243" s="139" t="n"/>
      <x:c r="C243" s="139" t="n"/>
      <x:c r="D243" s="139" t="n"/>
      <x:c r="E243" s="139" t="n"/>
      <x:c r="F243" s="139" t="n"/>
      <x:c r="G243" s="139" t="n"/>
      <x:c r="H243" s="139" t="n"/>
      <x:c r="I243" s="139" t="n"/>
      <x:c r="J243" s="139" t="n"/>
      <x:c r="K243" s="139" t="n"/>
      <x:c r="L243" s="139" t="n"/>
      <x:c r="M243" s="139" t="n"/>
      <x:c r="N243" s="139" t="n"/>
      <x:c r="O243" s="139" t="n"/>
      <x:c r="P243" s="139" t="n"/>
      <x:c r="Q243" s="139" t="n"/>
      <x:c r="R243" s="139" t="n"/>
      <x:c r="S243" s="139" t="n"/>
      <x:c r="T243" s="139" t="n"/>
      <x:c r="U243" s="139" t="n"/>
    </x:row>
    <x:row r="244">
      <x:c r="A244" s="139" t="n"/>
      <x:c r="B244" s="139" t="n"/>
      <x:c r="C244" s="139" t="n"/>
      <x:c r="D244" s="139" t="n"/>
      <x:c r="E244" s="139" t="n"/>
      <x:c r="F244" s="139" t="n"/>
      <x:c r="G244" s="139" t="n"/>
      <x:c r="H244" s="139" t="n"/>
      <x:c r="I244" s="139" t="n"/>
      <x:c r="J244" s="139" t="n"/>
      <x:c r="K244" s="139" t="n"/>
      <x:c r="L244" s="139" t="n"/>
      <x:c r="M244" s="139" t="n"/>
      <x:c r="N244" s="139" t="n"/>
      <x:c r="O244" s="139" t="n"/>
      <x:c r="P244" s="139" t="n"/>
      <x:c r="Q244" s="139" t="n"/>
      <x:c r="R244" s="139" t="n"/>
      <x:c r="S244" s="139" t="n"/>
      <x:c r="T244" s="139" t="n"/>
      <x:c r="U244" s="139" t="n"/>
    </x:row>
    <x:row r="245">
      <x:c r="A245" s="139" t="n"/>
      <x:c r="B245" s="139" t="n"/>
      <x:c r="C245" s="139" t="n"/>
      <x:c r="D245" s="139" t="n"/>
      <x:c r="E245" s="139" t="n"/>
      <x:c r="F245" s="139" t="n"/>
      <x:c r="G245" s="139" t="n"/>
      <x:c r="H245" s="139" t="n"/>
      <x:c r="I245" s="139" t="n"/>
      <x:c r="J245" s="139" t="n"/>
      <x:c r="K245" s="139" t="n"/>
      <x:c r="L245" s="139" t="n"/>
      <x:c r="M245" s="139" t="n"/>
      <x:c r="N245" s="139" t="n"/>
      <x:c r="O245" s="139" t="n"/>
      <x:c r="P245" s="139" t="n"/>
      <x:c r="Q245" s="139" t="n"/>
      <x:c r="R245" s="139" t="n"/>
      <x:c r="S245" s="139" t="n"/>
      <x:c r="T245" s="139" t="n"/>
      <x:c r="U245" s="139" t="n"/>
    </x:row>
    <x:row r="246">
      <x:c r="A246" s="139" t="n"/>
      <x:c r="B246" s="139" t="n"/>
      <x:c r="C246" s="139" t="n"/>
      <x:c r="D246" s="139" t="n"/>
      <x:c r="E246" s="139" t="n"/>
      <x:c r="F246" s="139" t="n"/>
      <x:c r="G246" s="139" t="n"/>
      <x:c r="H246" s="139" t="n"/>
      <x:c r="I246" s="139" t="n"/>
      <x:c r="J246" s="139" t="n"/>
      <x:c r="K246" s="139" t="n"/>
      <x:c r="L246" s="139" t="n"/>
      <x:c r="M246" s="139" t="n"/>
      <x:c r="N246" s="139" t="n"/>
      <x:c r="O246" s="139" t="n"/>
      <x:c r="P246" s="139" t="n"/>
      <x:c r="Q246" s="139" t="n"/>
      <x:c r="R246" s="139" t="n"/>
      <x:c r="S246" s="139" t="n"/>
      <x:c r="T246" s="139" t="n"/>
      <x:c r="U246" s="139" t="n"/>
    </x:row>
    <x:row r="247">
      <x:c r="A247" s="139" t="n"/>
      <x:c r="B247" s="139" t="n"/>
      <x:c r="C247" s="139" t="n"/>
      <x:c r="D247" s="139" t="n"/>
      <x:c r="E247" s="139" t="n"/>
      <x:c r="F247" s="139" t="n"/>
      <x:c r="G247" s="139" t="n"/>
      <x:c r="H247" s="139" t="n"/>
      <x:c r="I247" s="139" t="n"/>
      <x:c r="J247" s="139" t="n"/>
      <x:c r="K247" s="139" t="n"/>
      <x:c r="L247" s="139" t="n"/>
      <x:c r="M247" s="139" t="n"/>
      <x:c r="N247" s="139" t="n"/>
      <x:c r="O247" s="139" t="n"/>
      <x:c r="P247" s="139" t="n"/>
      <x:c r="Q247" s="139" t="n"/>
      <x:c r="R247" s="139" t="n"/>
      <x:c r="S247" s="139" t="n"/>
      <x:c r="T247" s="139" t="n"/>
      <x:c r="U247" s="139" t="n"/>
    </x:row>
    <x:row r="248">
      <x:c r="A248" s="139" t="n"/>
      <x:c r="B248" s="139" t="n"/>
      <x:c r="C248" s="139" t="n"/>
      <x:c r="D248" s="139" t="n"/>
      <x:c r="E248" s="139" t="n"/>
      <x:c r="F248" s="139" t="n"/>
      <x:c r="G248" s="139" t="n"/>
      <x:c r="H248" s="139" t="n"/>
      <x:c r="I248" s="139" t="n"/>
      <x:c r="J248" s="139" t="n"/>
      <x:c r="K248" s="139" t="n"/>
      <x:c r="L248" s="139" t="n"/>
      <x:c r="M248" s="139" t="n"/>
      <x:c r="N248" s="139" t="n"/>
      <x:c r="O248" s="139" t="n"/>
      <x:c r="P248" s="139" t="n"/>
      <x:c r="Q248" s="139" t="n"/>
      <x:c r="R248" s="139" t="n"/>
      <x:c r="S248" s="139" t="n"/>
      <x:c r="T248" s="139" t="n"/>
      <x:c r="U248" s="139" t="n"/>
    </x:row>
    <x:row r="249">
      <x:c r="A249" s="139" t="n"/>
      <x:c r="B249" s="139" t="n"/>
      <x:c r="C249" s="139" t="n"/>
      <x:c r="D249" s="139" t="n"/>
      <x:c r="E249" s="139" t="n"/>
      <x:c r="F249" s="139" t="n"/>
      <x:c r="G249" s="139" t="n"/>
      <x:c r="H249" s="139" t="n"/>
      <x:c r="I249" s="139" t="n"/>
      <x:c r="J249" s="139" t="n"/>
      <x:c r="K249" s="139" t="n"/>
      <x:c r="L249" s="139" t="n"/>
      <x:c r="M249" s="139" t="n"/>
      <x:c r="N249" s="139" t="n"/>
      <x:c r="O249" s="139" t="n"/>
      <x:c r="P249" s="139" t="n"/>
      <x:c r="Q249" s="139" t="n"/>
      <x:c r="R249" s="139" t="n"/>
      <x:c r="S249" s="139" t="n"/>
      <x:c r="T249" s="139" t="n"/>
      <x:c r="U249" s="139" t="n"/>
    </x:row>
    <x:row r="250">
      <x:c r="A250" s="139" t="n"/>
      <x:c r="B250" s="139" t="n"/>
      <x:c r="C250" s="139" t="n"/>
      <x:c r="D250" s="139" t="n"/>
      <x:c r="E250" s="139" t="n"/>
      <x:c r="F250" s="139" t="n"/>
      <x:c r="G250" s="139" t="n"/>
      <x:c r="H250" s="139" t="n"/>
      <x:c r="I250" s="139" t="n"/>
      <x:c r="J250" s="139" t="n"/>
      <x:c r="K250" s="139" t="n"/>
      <x:c r="L250" s="139" t="n"/>
      <x:c r="M250" s="139" t="n"/>
      <x:c r="N250" s="139" t="n"/>
      <x:c r="O250" s="139" t="n"/>
      <x:c r="P250" s="139" t="n"/>
      <x:c r="Q250" s="139" t="n"/>
      <x:c r="R250" s="139" t="n"/>
      <x:c r="S250" s="139" t="n"/>
      <x:c r="T250" s="139" t="n"/>
      <x:c r="U250" s="139" t="n"/>
    </x:row>
    <x:row r="251">
      <x:c r="A251" s="139" t="n"/>
      <x:c r="B251" s="139" t="n"/>
      <x:c r="C251" s="139" t="n"/>
      <x:c r="D251" s="139" t="n"/>
      <x:c r="E251" s="139" t="n"/>
      <x:c r="F251" s="139" t="n"/>
      <x:c r="G251" s="139" t="n"/>
      <x:c r="H251" s="139" t="n"/>
      <x:c r="I251" s="139" t="n"/>
      <x:c r="J251" s="139" t="n"/>
      <x:c r="K251" s="139" t="n"/>
      <x:c r="L251" s="139" t="n"/>
      <x:c r="M251" s="139" t="n"/>
      <x:c r="N251" s="139" t="n"/>
      <x:c r="O251" s="139" t="n"/>
      <x:c r="P251" s="139" t="n"/>
      <x:c r="Q251" s="139" t="n"/>
      <x:c r="R251" s="139" t="n"/>
      <x:c r="S251" s="139" t="n"/>
      <x:c r="T251" s="139" t="n"/>
      <x:c r="U251" s="139" t="n"/>
    </x:row>
    <x:row r="252">
      <x:c r="A252" s="139" t="n"/>
      <x:c r="B252" s="139" t="n"/>
      <x:c r="C252" s="139" t="n"/>
      <x:c r="D252" s="139" t="n"/>
      <x:c r="E252" s="139" t="n"/>
      <x:c r="F252" s="139" t="n"/>
      <x:c r="G252" s="139" t="n"/>
      <x:c r="H252" s="139" t="n"/>
      <x:c r="I252" s="139" t="n"/>
      <x:c r="J252" s="139" t="n"/>
      <x:c r="K252" s="139" t="n"/>
      <x:c r="L252" s="139" t="n"/>
      <x:c r="M252" s="139" t="n"/>
      <x:c r="N252" s="139" t="n"/>
      <x:c r="O252" s="139" t="n"/>
      <x:c r="P252" s="139" t="n"/>
      <x:c r="Q252" s="139" t="n"/>
      <x:c r="R252" s="139" t="n"/>
      <x:c r="S252" s="139" t="n"/>
      <x:c r="T252" s="139" t="n"/>
      <x:c r="U252" s="139" t="n"/>
    </x:row>
    <x:row r="253">
      <x:c r="A253" s="139" t="n"/>
      <x:c r="B253" s="139" t="n"/>
      <x:c r="C253" s="139" t="n"/>
      <x:c r="D253" s="139" t="n"/>
      <x:c r="E253" s="139" t="n"/>
      <x:c r="F253" s="139" t="n"/>
      <x:c r="G253" s="139" t="n"/>
      <x:c r="H253" s="139" t="n"/>
      <x:c r="I253" s="139" t="n"/>
      <x:c r="J253" s="139" t="n"/>
      <x:c r="K253" s="139" t="n"/>
      <x:c r="L253" s="139" t="n"/>
      <x:c r="M253" s="139" t="n"/>
      <x:c r="N253" s="139" t="n"/>
      <x:c r="O253" s="139" t="n"/>
      <x:c r="P253" s="139" t="n"/>
      <x:c r="Q253" s="139" t="n"/>
      <x:c r="R253" s="139" t="n"/>
      <x:c r="S253" s="139" t="n"/>
      <x:c r="T253" s="139" t="n"/>
      <x:c r="U253" s="139" t="n"/>
    </x:row>
    <x:row r="254">
      <x:c r="A254" s="139" t="n"/>
      <x:c r="B254" s="139" t="n"/>
      <x:c r="C254" s="139" t="n"/>
      <x:c r="D254" s="139" t="n"/>
      <x:c r="E254" s="139" t="n"/>
      <x:c r="F254" s="139" t="n"/>
      <x:c r="G254" s="139" t="n"/>
      <x:c r="H254" s="139" t="n"/>
      <x:c r="I254" s="139" t="n"/>
      <x:c r="J254" s="139" t="n"/>
      <x:c r="K254" s="139" t="n"/>
      <x:c r="L254" s="139" t="n"/>
      <x:c r="M254" s="139" t="n"/>
      <x:c r="N254" s="139" t="n"/>
      <x:c r="O254" s="139" t="n"/>
      <x:c r="P254" s="139" t="n"/>
      <x:c r="Q254" s="139" t="n"/>
      <x:c r="R254" s="139" t="n"/>
      <x:c r="S254" s="139" t="n"/>
      <x:c r="T254" s="139" t="n"/>
      <x:c r="U254" s="139" t="n"/>
    </x:row>
    <x:row r="255">
      <x:c r="A255" s="139" t="n"/>
      <x:c r="B255" s="139" t="n"/>
      <x:c r="C255" s="139" t="n"/>
      <x:c r="D255" s="139" t="n"/>
      <x:c r="E255" s="139" t="n"/>
      <x:c r="F255" s="139" t="n"/>
      <x:c r="G255" s="139" t="n"/>
      <x:c r="H255" s="139" t="n"/>
      <x:c r="I255" s="139" t="n"/>
      <x:c r="J255" s="139" t="n"/>
      <x:c r="K255" s="139" t="n"/>
      <x:c r="L255" s="139" t="n"/>
      <x:c r="M255" s="139" t="n"/>
      <x:c r="N255" s="139" t="n"/>
      <x:c r="O255" s="139" t="n"/>
      <x:c r="P255" s="139" t="n"/>
      <x:c r="Q255" s="139" t="n"/>
      <x:c r="R255" s="139" t="n"/>
      <x:c r="S255" s="139" t="n"/>
      <x:c r="T255" s="139" t="n"/>
      <x:c r="U255" s="139" t="n"/>
    </x:row>
    <x:row r="256">
      <x:c r="A256" s="139" t="n"/>
      <x:c r="B256" s="139" t="n"/>
      <x:c r="C256" s="139" t="n"/>
      <x:c r="D256" s="139" t="n"/>
      <x:c r="E256" s="139" t="n"/>
      <x:c r="F256" s="139" t="n"/>
      <x:c r="G256" s="139" t="n"/>
      <x:c r="H256" s="139" t="n"/>
      <x:c r="I256" s="139" t="n"/>
      <x:c r="J256" s="139" t="n"/>
      <x:c r="K256" s="139" t="n"/>
      <x:c r="L256" s="139" t="n"/>
      <x:c r="M256" s="139" t="n"/>
      <x:c r="N256" s="139" t="n"/>
      <x:c r="O256" s="139" t="n"/>
      <x:c r="P256" s="139" t="n"/>
      <x:c r="Q256" s="139" t="n"/>
      <x:c r="R256" s="139" t="n"/>
      <x:c r="S256" s="139" t="n"/>
      <x:c r="T256" s="139" t="n"/>
      <x:c r="U256" s="139" t="n"/>
    </x:row>
    <x:row r="257">
      <x:c r="A257" s="139" t="n"/>
      <x:c r="B257" s="139" t="n"/>
      <x:c r="C257" s="139" t="n"/>
      <x:c r="D257" s="139" t="n"/>
      <x:c r="E257" s="139" t="n"/>
      <x:c r="F257" s="139" t="n"/>
      <x:c r="G257" s="139" t="n"/>
      <x:c r="H257" s="139" t="n"/>
      <x:c r="I257" s="139" t="n"/>
      <x:c r="J257" s="139" t="n"/>
      <x:c r="K257" s="139" t="n"/>
      <x:c r="L257" s="139" t="n"/>
      <x:c r="M257" s="139" t="n"/>
      <x:c r="N257" s="139" t="n"/>
      <x:c r="O257" s="139" t="n"/>
      <x:c r="P257" s="139" t="n"/>
      <x:c r="Q257" s="139" t="n"/>
      <x:c r="R257" s="139" t="n"/>
      <x:c r="S257" s="139" t="n"/>
      <x:c r="T257" s="139" t="n"/>
      <x:c r="U257" s="139" t="n"/>
    </x:row>
    <x:row r="258">
      <x:c r="A258" s="139" t="n"/>
      <x:c r="B258" s="139" t="n"/>
      <x:c r="C258" s="139" t="n"/>
      <x:c r="D258" s="139" t="n"/>
      <x:c r="E258" s="139" t="n"/>
      <x:c r="F258" s="139" t="n"/>
      <x:c r="G258" s="139" t="n"/>
      <x:c r="H258" s="139" t="n"/>
      <x:c r="I258" s="139" t="n"/>
      <x:c r="J258" s="139" t="n"/>
      <x:c r="K258" s="139" t="n"/>
      <x:c r="L258" s="139" t="n"/>
      <x:c r="M258" s="139" t="n"/>
      <x:c r="N258" s="139" t="n"/>
      <x:c r="O258" s="139" t="n"/>
      <x:c r="P258" s="139" t="n"/>
      <x:c r="Q258" s="139" t="n"/>
      <x:c r="R258" s="139" t="n"/>
      <x:c r="S258" s="139" t="n"/>
      <x:c r="T258" s="139" t="n"/>
      <x:c r="U258" s="139" t="n"/>
    </x:row>
    <x:row r="259">
      <x:c r="A259" s="139" t="n"/>
      <x:c r="B259" s="139" t="n"/>
      <x:c r="C259" s="139" t="n"/>
      <x:c r="D259" s="139" t="n"/>
      <x:c r="E259" s="139" t="n"/>
      <x:c r="F259" s="139" t="n"/>
      <x:c r="G259" s="139" t="n"/>
      <x:c r="H259" s="139" t="n"/>
      <x:c r="I259" s="139" t="n"/>
      <x:c r="J259" s="139" t="n"/>
      <x:c r="K259" s="139" t="n"/>
      <x:c r="L259" s="139" t="n"/>
      <x:c r="M259" s="139" t="n"/>
      <x:c r="N259" s="139" t="n"/>
      <x:c r="O259" s="139" t="n"/>
      <x:c r="P259" s="139" t="n"/>
      <x:c r="Q259" s="139" t="n"/>
      <x:c r="R259" s="139" t="n"/>
      <x:c r="S259" s="139" t="n"/>
      <x:c r="T259" s="139" t="n"/>
      <x:c r="U259" s="139" t="n"/>
    </x:row>
    <x:row r="260">
      <x:c r="A260" s="139" t="n"/>
      <x:c r="B260" s="139" t="n"/>
      <x:c r="C260" s="139" t="n"/>
      <x:c r="D260" s="139" t="n"/>
      <x:c r="E260" s="139" t="n"/>
      <x:c r="F260" s="139" t="n"/>
      <x:c r="G260" s="139" t="n"/>
      <x:c r="H260" s="139" t="n"/>
      <x:c r="I260" s="139" t="n"/>
      <x:c r="J260" s="139" t="n"/>
      <x:c r="K260" s="139" t="n"/>
      <x:c r="L260" s="139" t="n"/>
      <x:c r="M260" s="139" t="n"/>
      <x:c r="N260" s="139" t="n"/>
      <x:c r="O260" s="139" t="n"/>
      <x:c r="P260" s="139" t="n"/>
      <x:c r="Q260" s="139" t="n"/>
      <x:c r="R260" s="139" t="n"/>
      <x:c r="S260" s="139" t="n"/>
      <x:c r="T260" s="139" t="n"/>
      <x:c r="U260" s="139" t="n"/>
    </x:row>
    <x:row r="261">
      <x:c r="A261" s="139" t="n"/>
      <x:c r="B261" s="139" t="n"/>
      <x:c r="C261" s="139" t="n"/>
      <x:c r="D261" s="139" t="n"/>
      <x:c r="E261" s="139" t="n"/>
      <x:c r="F261" s="139" t="n"/>
      <x:c r="G261" s="139" t="n"/>
      <x:c r="H261" s="139" t="n"/>
      <x:c r="I261" s="139" t="n"/>
      <x:c r="J261" s="139" t="n"/>
      <x:c r="K261" s="139" t="n"/>
      <x:c r="L261" s="139" t="n"/>
      <x:c r="M261" s="139" t="n"/>
      <x:c r="N261" s="139" t="n"/>
      <x:c r="O261" s="139" t="n"/>
      <x:c r="P261" s="139" t="n"/>
      <x:c r="Q261" s="139" t="n"/>
      <x:c r="R261" s="139" t="n"/>
      <x:c r="S261" s="139" t="n"/>
      <x:c r="T261" s="139" t="n"/>
      <x:c r="U261" s="139" t="n"/>
    </x:row>
    <x:row r="262">
      <x:c r="A262" s="139" t="n"/>
      <x:c r="B262" s="139" t="n"/>
      <x:c r="C262" s="139" t="n"/>
      <x:c r="D262" s="139" t="n"/>
      <x:c r="E262" s="139" t="n"/>
      <x:c r="F262" s="139" t="n"/>
      <x:c r="G262" s="139" t="n"/>
      <x:c r="H262" s="139" t="n"/>
      <x:c r="I262" s="139" t="n"/>
      <x:c r="J262" s="139" t="n"/>
      <x:c r="K262" s="139" t="n"/>
      <x:c r="L262" s="139" t="n"/>
      <x:c r="M262" s="139" t="n"/>
      <x:c r="N262" s="139" t="n"/>
      <x:c r="O262" s="139" t="n"/>
      <x:c r="P262" s="139" t="n"/>
      <x:c r="Q262" s="139" t="n"/>
      <x:c r="R262" s="139" t="n"/>
      <x:c r="S262" s="139" t="n"/>
      <x:c r="T262" s="139" t="n"/>
      <x:c r="U262" s="139" t="n"/>
    </x:row>
    <x:row r="263">
      <x:c r="A263" s="139" t="n"/>
      <x:c r="B263" s="139" t="n"/>
      <x:c r="C263" s="139" t="n"/>
      <x:c r="D263" s="139" t="n"/>
      <x:c r="E263" s="139" t="n"/>
      <x:c r="F263" s="139" t="n"/>
      <x:c r="G263" s="139" t="n"/>
      <x:c r="H263" s="139" t="n"/>
      <x:c r="I263" s="139" t="n"/>
      <x:c r="J263" s="139" t="n"/>
      <x:c r="K263" s="139" t="n"/>
      <x:c r="L263" s="139" t="n"/>
      <x:c r="M263" s="139" t="n"/>
      <x:c r="N263" s="139" t="n"/>
      <x:c r="O263" s="139" t="n"/>
      <x:c r="P263" s="139" t="n"/>
      <x:c r="Q263" s="139" t="n"/>
      <x:c r="R263" s="139" t="n"/>
      <x:c r="S263" s="139" t="n"/>
      <x:c r="T263" s="139" t="n"/>
      <x:c r="U263" s="139" t="n"/>
    </x:row>
    <x:row r="264">
      <x:c r="A264" s="139" t="n"/>
      <x:c r="B264" s="139" t="n"/>
      <x:c r="C264" s="139" t="n"/>
      <x:c r="D264" s="139" t="n"/>
      <x:c r="E264" s="139" t="n"/>
      <x:c r="F264" s="139" t="n"/>
      <x:c r="G264" s="139" t="n"/>
      <x:c r="H264" s="139" t="n"/>
      <x:c r="I264" s="139" t="n"/>
      <x:c r="J264" s="139" t="n"/>
      <x:c r="K264" s="139" t="n"/>
      <x:c r="L264" s="139" t="n"/>
      <x:c r="M264" s="139" t="n"/>
      <x:c r="N264" s="139" t="n"/>
      <x:c r="O264" s="139" t="n"/>
      <x:c r="P264" s="139" t="n"/>
      <x:c r="Q264" s="139" t="n"/>
      <x:c r="R264" s="139" t="n"/>
      <x:c r="S264" s="139" t="n"/>
      <x:c r="T264" s="139" t="n"/>
      <x:c r="U264" s="139" t="n"/>
    </x:row>
    <x:row r="265">
      <x:c r="A265" s="139" t="n"/>
      <x:c r="B265" s="139" t="n"/>
      <x:c r="C265" s="139" t="n"/>
      <x:c r="D265" s="139" t="n"/>
      <x:c r="E265" s="139" t="n"/>
      <x:c r="F265" s="139" t="n"/>
      <x:c r="G265" s="139" t="n"/>
      <x:c r="H265" s="139" t="n"/>
      <x:c r="I265" s="139" t="n"/>
      <x:c r="J265" s="139" t="n"/>
      <x:c r="K265" s="139" t="n"/>
      <x:c r="L265" s="139" t="n"/>
      <x:c r="M265" s="139" t="n"/>
      <x:c r="N265" s="139" t="n"/>
      <x:c r="O265" s="139" t="n"/>
      <x:c r="P265" s="139" t="n"/>
      <x:c r="Q265" s="139" t="n"/>
      <x:c r="R265" s="139" t="n"/>
      <x:c r="S265" s="139" t="n"/>
      <x:c r="T265" s="139" t="n"/>
      <x:c r="U265" s="139" t="n"/>
    </x:row>
    <x:row r="266">
      <x:c r="A266" s="139" t="n"/>
      <x:c r="B266" s="139" t="n"/>
      <x:c r="C266" s="139" t="n"/>
      <x:c r="D266" s="139" t="n"/>
      <x:c r="E266" s="139" t="n"/>
      <x:c r="F266" s="139" t="n"/>
      <x:c r="G266" s="139" t="n"/>
      <x:c r="H266" s="139" t="n"/>
      <x:c r="I266" s="139" t="n"/>
      <x:c r="J266" s="139" t="n"/>
      <x:c r="K266" s="139" t="n"/>
      <x:c r="L266" s="139" t="n"/>
      <x:c r="M266" s="139" t="n"/>
      <x:c r="N266" s="139" t="n"/>
      <x:c r="O266" s="139" t="n"/>
      <x:c r="P266" s="139" t="n"/>
      <x:c r="Q266" s="139" t="n"/>
      <x:c r="R266" s="139" t="n"/>
      <x:c r="S266" s="139" t="n"/>
      <x:c r="T266" s="139" t="n"/>
      <x:c r="U266" s="139" t="n"/>
    </x:row>
    <x:row r="267">
      <x:c r="A267" s="139" t="n"/>
      <x:c r="B267" s="139" t="n"/>
      <x:c r="C267" s="139" t="n"/>
      <x:c r="D267" s="139" t="n"/>
      <x:c r="E267" s="139" t="n"/>
      <x:c r="F267" s="139" t="n"/>
      <x:c r="G267" s="139" t="n"/>
      <x:c r="H267" s="139" t="n"/>
      <x:c r="I267" s="139" t="n"/>
      <x:c r="J267" s="139" t="n"/>
      <x:c r="K267" s="139" t="n"/>
      <x:c r="L267" s="139" t="n"/>
      <x:c r="M267" s="139" t="n"/>
      <x:c r="N267" s="139" t="n"/>
      <x:c r="O267" s="139" t="n"/>
      <x:c r="P267" s="139" t="n"/>
      <x:c r="Q267" s="139" t="n"/>
      <x:c r="R267" s="139" t="n"/>
      <x:c r="S267" s="139" t="n"/>
      <x:c r="T267" s="139" t="n"/>
      <x:c r="U267" s="139" t="n"/>
    </x:row>
    <x:row r="268">
      <x:c r="A268" s="139" t="n"/>
      <x:c r="B268" s="139" t="n"/>
      <x:c r="C268" s="139" t="n"/>
      <x:c r="D268" s="139" t="n"/>
      <x:c r="E268" s="139" t="n"/>
      <x:c r="F268" s="139" t="n"/>
      <x:c r="G268" s="139" t="n"/>
      <x:c r="H268" s="139" t="n"/>
      <x:c r="I268" s="139" t="n"/>
      <x:c r="J268" s="139" t="n"/>
      <x:c r="K268" s="139" t="n"/>
      <x:c r="L268" s="139" t="n"/>
      <x:c r="M268" s="139" t="n"/>
      <x:c r="N268" s="139" t="n"/>
      <x:c r="O268" s="139" t="n"/>
      <x:c r="P268" s="139" t="n"/>
      <x:c r="Q268" s="139" t="n"/>
      <x:c r="R268" s="139" t="n"/>
      <x:c r="S268" s="139" t="n"/>
      <x:c r="T268" s="139" t="n"/>
      <x:c r="U268" s="139" t="n"/>
    </x:row>
    <x:row r="269">
      <x:c r="A269" s="139" t="n"/>
      <x:c r="B269" s="139" t="n"/>
      <x:c r="C269" s="139" t="n"/>
      <x:c r="D269" s="139" t="n"/>
      <x:c r="E269" s="139" t="n"/>
      <x:c r="F269" s="139" t="n"/>
      <x:c r="G269" s="139" t="n"/>
      <x:c r="H269" s="139" t="n"/>
      <x:c r="I269" s="139" t="n"/>
      <x:c r="J269" s="139" t="n"/>
      <x:c r="K269" s="139" t="n"/>
      <x:c r="L269" s="139" t="n"/>
      <x:c r="M269" s="139" t="n"/>
      <x:c r="N269" s="139" t="n"/>
      <x:c r="O269" s="139" t="n"/>
      <x:c r="P269" s="139" t="n"/>
      <x:c r="Q269" s="139" t="n"/>
      <x:c r="R269" s="139" t="n"/>
      <x:c r="S269" s="139" t="n"/>
      <x:c r="T269" s="139" t="n"/>
      <x:c r="U269" s="139" t="n"/>
    </x:row>
    <x:row r="270">
      <x:c r="A270" s="139" t="n"/>
      <x:c r="B270" s="139" t="n"/>
      <x:c r="C270" s="139" t="n"/>
      <x:c r="D270" s="139" t="n"/>
      <x:c r="E270" s="139" t="n"/>
      <x:c r="F270" s="139" t="n"/>
      <x:c r="G270" s="139" t="n"/>
      <x:c r="H270" s="139" t="n"/>
      <x:c r="I270" s="139" t="n"/>
      <x:c r="J270" s="139" t="n"/>
      <x:c r="K270" s="139" t="n"/>
      <x:c r="L270" s="139" t="n"/>
      <x:c r="M270" s="139" t="n"/>
      <x:c r="N270" s="139" t="n"/>
      <x:c r="O270" s="139" t="n"/>
      <x:c r="P270" s="139" t="n"/>
      <x:c r="Q270" s="139" t="n"/>
      <x:c r="R270" s="139" t="n"/>
      <x:c r="S270" s="139" t="n"/>
      <x:c r="T270" s="139" t="n"/>
      <x:c r="U270" s="139" t="n"/>
    </x:row>
    <x:row r="271">
      <x:c r="A271" s="139" t="n"/>
      <x:c r="B271" s="139" t="n"/>
      <x:c r="C271" s="139" t="n"/>
      <x:c r="D271" s="139" t="n"/>
      <x:c r="E271" s="139" t="n"/>
      <x:c r="F271" s="139" t="n"/>
      <x:c r="G271" s="139" t="n"/>
      <x:c r="H271" s="139" t="n"/>
      <x:c r="I271" s="139" t="n"/>
      <x:c r="J271" s="139" t="n"/>
      <x:c r="K271" s="139" t="n"/>
      <x:c r="L271" s="139" t="n"/>
      <x:c r="M271" s="139" t="n"/>
      <x:c r="N271" s="139" t="n"/>
      <x:c r="O271" s="139" t="n"/>
      <x:c r="P271" s="139" t="n"/>
      <x:c r="Q271" s="139" t="n"/>
      <x:c r="R271" s="139" t="n"/>
      <x:c r="S271" s="139" t="n"/>
      <x:c r="T271" s="139" t="n"/>
      <x:c r="U271" s="139" t="n"/>
    </x:row>
    <x:row r="272">
      <x:c r="A272" s="139" t="n"/>
      <x:c r="B272" s="139" t="n"/>
      <x:c r="C272" s="139" t="n"/>
      <x:c r="D272" s="139" t="n"/>
      <x:c r="E272" s="139" t="n"/>
      <x:c r="F272" s="139" t="n"/>
      <x:c r="G272" s="139" t="n"/>
      <x:c r="H272" s="139" t="n"/>
      <x:c r="I272" s="139" t="n"/>
      <x:c r="J272" s="139" t="n"/>
      <x:c r="K272" s="139" t="n"/>
      <x:c r="L272" s="139" t="n"/>
      <x:c r="M272" s="139" t="n"/>
      <x:c r="N272" s="139" t="n"/>
      <x:c r="O272" s="139" t="n"/>
      <x:c r="P272" s="139" t="n"/>
      <x:c r="Q272" s="139" t="n"/>
      <x:c r="R272" s="139" t="n"/>
      <x:c r="S272" s="139" t="n"/>
      <x:c r="T272" s="139" t="n"/>
      <x:c r="U272" s="139" t="n"/>
    </x:row>
    <x:row r="273">
      <x:c r="A273" s="139" t="n"/>
      <x:c r="B273" s="139" t="n"/>
      <x:c r="C273" s="139" t="n"/>
      <x:c r="D273" s="139" t="n"/>
      <x:c r="E273" s="139" t="n"/>
      <x:c r="F273" s="139" t="n"/>
      <x:c r="G273" s="139" t="n"/>
      <x:c r="H273" s="139" t="n"/>
      <x:c r="I273" s="139" t="n"/>
      <x:c r="J273" s="139" t="n"/>
      <x:c r="K273" s="139" t="n"/>
      <x:c r="L273" s="139" t="n"/>
      <x:c r="M273" s="139" t="n"/>
      <x:c r="N273" s="139" t="n"/>
      <x:c r="O273" s="139" t="n"/>
      <x:c r="P273" s="139" t="n"/>
      <x:c r="Q273" s="139" t="n"/>
      <x:c r="R273" s="139" t="n"/>
      <x:c r="S273" s="139" t="n"/>
      <x:c r="T273" s="139" t="n"/>
      <x:c r="U273" s="139" t="n"/>
    </x:row>
    <x:row r="274">
      <x:c r="A274" s="139" t="n"/>
      <x:c r="B274" s="139" t="n"/>
      <x:c r="C274" s="139" t="n"/>
      <x:c r="D274" s="139" t="n"/>
      <x:c r="E274" s="139" t="n"/>
      <x:c r="F274" s="139" t="n"/>
      <x:c r="G274" s="139" t="n"/>
      <x:c r="H274" s="139" t="n"/>
      <x:c r="I274" s="139" t="n"/>
      <x:c r="J274" s="139" t="n"/>
      <x:c r="K274" s="139" t="n"/>
      <x:c r="L274" s="139" t="n"/>
      <x:c r="M274" s="139" t="n"/>
      <x:c r="N274" s="139" t="n"/>
      <x:c r="O274" s="139" t="n"/>
      <x:c r="P274" s="139" t="n"/>
      <x:c r="Q274" s="139" t="n"/>
      <x:c r="R274" s="139" t="n"/>
      <x:c r="S274" s="139" t="n"/>
      <x:c r="T274" s="139" t="n"/>
      <x:c r="U274" s="139" t="n"/>
    </x:row>
    <x:row r="275">
      <x:c r="A275" s="139" t="n"/>
      <x:c r="B275" s="139" t="n"/>
      <x:c r="C275" s="139" t="n"/>
      <x:c r="D275" s="139" t="n"/>
      <x:c r="E275" s="139" t="n"/>
      <x:c r="F275" s="139" t="n"/>
      <x:c r="G275" s="139" t="n"/>
      <x:c r="H275" s="139" t="n"/>
      <x:c r="I275" s="139" t="n"/>
      <x:c r="J275" s="139" t="n"/>
      <x:c r="K275" s="139" t="n"/>
      <x:c r="L275" s="139" t="n"/>
      <x:c r="M275" s="139" t="n"/>
      <x:c r="N275" s="139" t="n"/>
      <x:c r="O275" s="139" t="n"/>
      <x:c r="P275" s="139" t="n"/>
      <x:c r="Q275" s="139" t="n"/>
      <x:c r="R275" s="139" t="n"/>
      <x:c r="S275" s="139" t="n"/>
      <x:c r="T275" s="139" t="n"/>
      <x:c r="U275" s="139" t="n"/>
    </x:row>
    <x:row r="276">
      <x:c r="A276" s="139" t="n"/>
      <x:c r="B276" s="139" t="n"/>
      <x:c r="C276" s="139" t="n"/>
      <x:c r="D276" s="139" t="n"/>
      <x:c r="E276" s="139" t="n"/>
      <x:c r="F276" s="139" t="n"/>
      <x:c r="G276" s="139" t="n"/>
      <x:c r="H276" s="139" t="n"/>
      <x:c r="I276" s="139" t="n"/>
      <x:c r="J276" s="139" t="n"/>
      <x:c r="K276" s="139" t="n"/>
      <x:c r="L276" s="139" t="n"/>
      <x:c r="M276" s="139" t="n"/>
      <x:c r="N276" s="139" t="n"/>
      <x:c r="O276" s="139" t="n"/>
      <x:c r="P276" s="139" t="n"/>
      <x:c r="Q276" s="139" t="n"/>
      <x:c r="R276" s="139" t="n"/>
      <x:c r="S276" s="139" t="n"/>
      <x:c r="T276" s="139" t="n"/>
      <x:c r="U276" s="139" t="n"/>
    </x:row>
    <x:row r="277">
      <x:c r="A277" s="139" t="n"/>
      <x:c r="B277" s="139" t="n"/>
      <x:c r="C277" s="139" t="n"/>
      <x:c r="D277" s="139" t="n"/>
      <x:c r="E277" s="139" t="n"/>
      <x:c r="F277" s="139" t="n"/>
      <x:c r="G277" s="139" t="n"/>
      <x:c r="H277" s="139" t="n"/>
      <x:c r="I277" s="139" t="n"/>
      <x:c r="J277" s="139" t="n"/>
      <x:c r="K277" s="139" t="n"/>
      <x:c r="L277" s="139" t="n"/>
      <x:c r="M277" s="139" t="n"/>
      <x:c r="N277" s="139" t="n"/>
      <x:c r="O277" s="139" t="n"/>
      <x:c r="P277" s="139" t="n"/>
      <x:c r="Q277" s="139" t="n"/>
      <x:c r="R277" s="139" t="n"/>
      <x:c r="S277" s="139" t="n"/>
      <x:c r="T277" s="139" t="n"/>
      <x:c r="U277" s="139" t="n"/>
    </x:row>
    <x:row r="278">
      <x:c r="A278" s="139" t="n"/>
      <x:c r="B278" s="139" t="n"/>
      <x:c r="C278" s="139" t="n"/>
      <x:c r="D278" s="139" t="n"/>
      <x:c r="E278" s="139" t="n"/>
      <x:c r="F278" s="139" t="n"/>
      <x:c r="G278" s="139" t="n"/>
      <x:c r="H278" s="139" t="n"/>
      <x:c r="I278" s="139" t="n"/>
      <x:c r="J278" s="139" t="n"/>
      <x:c r="K278" s="139" t="n"/>
      <x:c r="L278" s="139" t="n"/>
      <x:c r="M278" s="139" t="n"/>
      <x:c r="N278" s="139" t="n"/>
      <x:c r="O278" s="139" t="n"/>
      <x:c r="P278" s="139" t="n"/>
      <x:c r="Q278" s="139" t="n"/>
      <x:c r="R278" s="139" t="n"/>
      <x:c r="S278" s="139" t="n"/>
      <x:c r="T278" s="139" t="n"/>
      <x:c r="U278" s="139" t="n"/>
    </x:row>
    <x:row r="279">
      <x:c r="A279" s="139" t="n"/>
      <x:c r="B279" s="139" t="n"/>
      <x:c r="C279" s="139" t="n"/>
      <x:c r="D279" s="139" t="n"/>
      <x:c r="E279" s="139" t="n"/>
      <x:c r="F279" s="139" t="n"/>
      <x:c r="G279" s="139" t="n"/>
      <x:c r="H279" s="139" t="n"/>
      <x:c r="I279" s="139" t="n"/>
      <x:c r="J279" s="139" t="n"/>
      <x:c r="K279" s="139" t="n"/>
      <x:c r="L279" s="139" t="n"/>
      <x:c r="M279" s="139" t="n"/>
      <x:c r="N279" s="139" t="n"/>
      <x:c r="O279" s="139" t="n"/>
      <x:c r="P279" s="139" t="n"/>
      <x:c r="Q279" s="139" t="n"/>
      <x:c r="R279" s="139" t="n"/>
      <x:c r="S279" s="139" t="n"/>
      <x:c r="T279" s="139" t="n"/>
      <x:c r="U279" s="139" t="n"/>
    </x:row>
    <x:row r="280">
      <x:c r="A280" s="139" t="n"/>
      <x:c r="B280" s="139" t="n"/>
      <x:c r="C280" s="139" t="n"/>
      <x:c r="D280" s="139" t="n"/>
      <x:c r="E280" s="139" t="n"/>
      <x:c r="F280" s="139" t="n"/>
      <x:c r="G280" s="139" t="n"/>
      <x:c r="H280" s="139" t="n"/>
      <x:c r="I280" s="139" t="n"/>
      <x:c r="J280" s="139" t="n"/>
      <x:c r="K280" s="139" t="n"/>
      <x:c r="L280" s="139" t="n"/>
      <x:c r="M280" s="139" t="n"/>
      <x:c r="N280" s="139" t="n"/>
      <x:c r="O280" s="139" t="n"/>
      <x:c r="P280" s="139" t="n"/>
      <x:c r="Q280" s="139" t="n"/>
      <x:c r="R280" s="139" t="n"/>
      <x:c r="S280" s="139" t="n"/>
      <x:c r="T280" s="139" t="n"/>
      <x:c r="U280" s="139" t="n"/>
    </x:row>
    <x:row r="281">
      <x:c r="A281" s="139" t="n"/>
      <x:c r="B281" s="139" t="n"/>
      <x:c r="C281" s="139" t="n"/>
      <x:c r="D281" s="139" t="n"/>
      <x:c r="E281" s="139" t="n"/>
      <x:c r="F281" s="139" t="n"/>
      <x:c r="G281" s="139" t="n"/>
      <x:c r="H281" s="139" t="n"/>
      <x:c r="I281" s="139" t="n"/>
      <x:c r="J281" s="139" t="n"/>
      <x:c r="K281" s="139" t="n"/>
      <x:c r="L281" s="139" t="n"/>
      <x:c r="M281" s="139" t="n"/>
      <x:c r="N281" s="139" t="n"/>
      <x:c r="O281" s="139" t="n"/>
      <x:c r="P281" s="139" t="n"/>
      <x:c r="Q281" s="139" t="n"/>
      <x:c r="R281" s="139" t="n"/>
      <x:c r="S281" s="139" t="n"/>
      <x:c r="T281" s="139" t="n"/>
      <x:c r="U281" s="139" t="n"/>
    </x:row>
    <x:row r="282">
      <x:c r="A282" s="139" t="n"/>
      <x:c r="B282" s="139" t="n"/>
      <x:c r="C282" s="139" t="n"/>
      <x:c r="D282" s="139" t="n"/>
      <x:c r="E282" s="139" t="n"/>
      <x:c r="F282" s="139" t="n"/>
      <x:c r="G282" s="139" t="n"/>
      <x:c r="H282" s="139" t="n"/>
      <x:c r="I282" s="139" t="n"/>
      <x:c r="J282" s="139" t="n"/>
      <x:c r="K282" s="139" t="n"/>
      <x:c r="L282" s="139" t="n"/>
      <x:c r="M282" s="139" t="n"/>
      <x:c r="N282" s="139" t="n"/>
      <x:c r="O282" s="139" t="n"/>
      <x:c r="P282" s="139" t="n"/>
      <x:c r="Q282" s="139" t="n"/>
      <x:c r="R282" s="139" t="n"/>
      <x:c r="S282" s="139" t="n"/>
      <x:c r="T282" s="139" t="n"/>
      <x:c r="U282" s="139" t="n"/>
    </x:row>
    <x:row r="283">
      <x:c r="A283" s="139" t="n"/>
      <x:c r="B283" s="139" t="n"/>
      <x:c r="C283" s="139" t="n"/>
      <x:c r="D283" s="139" t="n"/>
      <x:c r="E283" s="139" t="n"/>
      <x:c r="F283" s="139" t="n"/>
      <x:c r="G283" s="139" t="n"/>
      <x:c r="H283" s="139" t="n"/>
      <x:c r="I283" s="139" t="n"/>
      <x:c r="J283" s="139" t="n"/>
      <x:c r="K283" s="139" t="n"/>
      <x:c r="L283" s="139" t="n"/>
      <x:c r="M283" s="139" t="n"/>
      <x:c r="N283" s="139" t="n"/>
      <x:c r="O283" s="139" t="n"/>
      <x:c r="P283" s="139" t="n"/>
      <x:c r="Q283" s="139" t="n"/>
      <x:c r="R283" s="139" t="n"/>
      <x:c r="S283" s="139" t="n"/>
      <x:c r="T283" s="139" t="n"/>
      <x:c r="U283" s="139" t="n"/>
    </x:row>
    <x:row r="284">
      <x:c r="A284" s="139" t="n"/>
      <x:c r="B284" s="139" t="n"/>
      <x:c r="C284" s="139" t="n"/>
      <x:c r="D284" s="139" t="n"/>
      <x:c r="E284" s="139" t="n"/>
      <x:c r="F284" s="139" t="n"/>
      <x:c r="G284" s="139" t="n"/>
      <x:c r="H284" s="139" t="n"/>
      <x:c r="I284" s="139" t="n"/>
      <x:c r="J284" s="139" t="n"/>
      <x:c r="K284" s="139" t="n"/>
      <x:c r="L284" s="139" t="n"/>
      <x:c r="M284" s="139" t="n"/>
      <x:c r="N284" s="139" t="n"/>
      <x:c r="O284" s="139" t="n"/>
      <x:c r="P284" s="139" t="n"/>
      <x:c r="Q284" s="139" t="n"/>
      <x:c r="R284" s="139" t="n"/>
      <x:c r="S284" s="139" t="n"/>
      <x:c r="T284" s="139" t="n"/>
      <x:c r="U284" s="139" t="n"/>
    </x:row>
    <x:row r="285">
      <x:c r="A285" s="139" t="n"/>
      <x:c r="B285" s="139" t="n"/>
      <x:c r="C285" s="139" t="n"/>
      <x:c r="D285" s="139" t="n"/>
      <x:c r="E285" s="139" t="n"/>
      <x:c r="F285" s="139" t="n"/>
      <x:c r="G285" s="139" t="n"/>
      <x:c r="H285" s="139" t="n"/>
      <x:c r="I285" s="139" t="n"/>
      <x:c r="J285" s="139" t="n"/>
      <x:c r="K285" s="139" t="n"/>
      <x:c r="L285" s="139" t="n"/>
      <x:c r="M285" s="139" t="n"/>
      <x:c r="N285" s="139" t="n"/>
      <x:c r="O285" s="139" t="n"/>
      <x:c r="P285" s="139" t="n"/>
      <x:c r="Q285" s="139" t="n"/>
      <x:c r="R285" s="139" t="n"/>
      <x:c r="S285" s="139" t="n"/>
      <x:c r="T285" s="139" t="n"/>
      <x:c r="U285" s="139" t="n"/>
    </x:row>
    <x:row r="286">
      <x:c r="A286" s="139" t="n"/>
      <x:c r="B286" s="139" t="n"/>
      <x:c r="C286" s="139" t="n"/>
      <x:c r="D286" s="139" t="n"/>
      <x:c r="E286" s="139" t="n"/>
      <x:c r="F286" s="139" t="n"/>
      <x:c r="G286" s="139" t="n"/>
      <x:c r="H286" s="139" t="n"/>
      <x:c r="I286" s="139" t="n"/>
      <x:c r="J286" s="139" t="n"/>
      <x:c r="K286" s="139" t="n"/>
      <x:c r="L286" s="139" t="n"/>
      <x:c r="M286" s="139" t="n"/>
      <x:c r="N286" s="139" t="n"/>
      <x:c r="O286" s="139" t="n"/>
      <x:c r="P286" s="139" t="n"/>
      <x:c r="Q286" s="139" t="n"/>
      <x:c r="R286" s="139" t="n"/>
      <x:c r="S286" s="139" t="n"/>
      <x:c r="T286" s="139" t="n"/>
      <x:c r="U286" s="139" t="n"/>
    </x:row>
    <x:row r="287">
      <x:c r="A287" s="139" t="n"/>
      <x:c r="B287" s="139" t="n"/>
      <x:c r="C287" s="139" t="n"/>
      <x:c r="D287" s="139" t="n"/>
      <x:c r="E287" s="139" t="n"/>
      <x:c r="F287" s="139" t="n"/>
      <x:c r="G287" s="139" t="n"/>
      <x:c r="H287" s="139" t="n"/>
      <x:c r="I287" s="139" t="n"/>
      <x:c r="J287" s="139" t="n"/>
      <x:c r="K287" s="139" t="n"/>
      <x:c r="L287" s="139" t="n"/>
      <x:c r="M287" s="139" t="n"/>
      <x:c r="N287" s="139" t="n"/>
      <x:c r="O287" s="139" t="n"/>
      <x:c r="P287" s="139" t="n"/>
      <x:c r="Q287" s="139" t="n"/>
      <x:c r="R287" s="139" t="n"/>
      <x:c r="S287" s="139" t="n"/>
      <x:c r="T287" s="139" t="n"/>
      <x:c r="U287" s="139" t="n"/>
    </x:row>
    <x:row r="288">
      <x:c r="A288" s="139" t="n"/>
      <x:c r="B288" s="139" t="n"/>
      <x:c r="C288" s="139" t="n"/>
      <x:c r="D288" s="139" t="n"/>
      <x:c r="E288" s="139" t="n"/>
      <x:c r="F288" s="139" t="n"/>
      <x:c r="G288" s="139" t="n"/>
      <x:c r="H288" s="139" t="n"/>
      <x:c r="I288" s="139" t="n"/>
      <x:c r="J288" s="139" t="n"/>
      <x:c r="K288" s="139" t="n"/>
      <x:c r="L288" s="139" t="n"/>
      <x:c r="M288" s="139" t="n"/>
      <x:c r="N288" s="139" t="n"/>
      <x:c r="O288" s="139" t="n"/>
      <x:c r="P288" s="139" t="n"/>
      <x:c r="Q288" s="139" t="n"/>
      <x:c r="R288" s="139" t="n"/>
      <x:c r="S288" s="139" t="n"/>
      <x:c r="T288" s="139" t="n"/>
      <x:c r="U288" s="139" t="n"/>
    </x:row>
    <x:row r="289">
      <x:c r="A289" s="139" t="n"/>
      <x:c r="B289" s="139" t="n"/>
      <x:c r="C289" s="139" t="n"/>
      <x:c r="D289" s="139" t="n"/>
      <x:c r="E289" s="139" t="n"/>
      <x:c r="F289" s="139" t="n"/>
      <x:c r="G289" s="139" t="n"/>
      <x:c r="H289" s="139" t="n"/>
      <x:c r="I289" s="139" t="n"/>
      <x:c r="J289" s="139" t="n"/>
      <x:c r="K289" s="139" t="n"/>
      <x:c r="L289" s="139" t="n"/>
      <x:c r="M289" s="139" t="n"/>
      <x:c r="N289" s="139" t="n"/>
      <x:c r="O289" s="139" t="n"/>
      <x:c r="P289" s="139" t="n"/>
      <x:c r="Q289" s="139" t="n"/>
      <x:c r="R289" s="139" t="n"/>
      <x:c r="S289" s="139" t="n"/>
      <x:c r="T289" s="139" t="n"/>
      <x:c r="U289" s="139" t="n"/>
    </x:row>
    <x:row r="290">
      <x:c r="A290" s="139" t="n"/>
      <x:c r="B290" s="139" t="n"/>
      <x:c r="C290" s="139" t="n"/>
      <x:c r="D290" s="139" t="n"/>
      <x:c r="E290" s="139" t="n"/>
      <x:c r="F290" s="139" t="n"/>
      <x:c r="G290" s="139" t="n"/>
      <x:c r="H290" s="139" t="n"/>
      <x:c r="I290" s="139" t="n"/>
      <x:c r="J290" s="139" t="n"/>
      <x:c r="K290" s="139" t="n"/>
      <x:c r="L290" s="139" t="n"/>
      <x:c r="M290" s="139" t="n"/>
      <x:c r="N290" s="139" t="n"/>
      <x:c r="O290" s="139" t="n"/>
      <x:c r="P290" s="139" t="n"/>
      <x:c r="Q290" s="139" t="n"/>
      <x:c r="R290" s="139" t="n"/>
      <x:c r="S290" s="139" t="n"/>
      <x:c r="T290" s="139" t="n"/>
      <x:c r="U290" s="139" t="n"/>
    </x:row>
    <x:row r="291">
      <x:c r="A291" s="139" t="n"/>
      <x:c r="B291" s="139" t="n"/>
      <x:c r="C291" s="139" t="n"/>
      <x:c r="D291" s="139" t="n"/>
      <x:c r="E291" s="139" t="n"/>
      <x:c r="F291" s="139" t="n"/>
      <x:c r="G291" s="139" t="n"/>
      <x:c r="H291" s="139" t="n"/>
      <x:c r="I291" s="139" t="n"/>
      <x:c r="J291" s="139" t="n"/>
      <x:c r="K291" s="139" t="n"/>
      <x:c r="L291" s="139" t="n"/>
      <x:c r="M291" s="139" t="n"/>
      <x:c r="N291" s="139" t="n"/>
      <x:c r="O291" s="139" t="n"/>
      <x:c r="P291" s="139" t="n"/>
      <x:c r="Q291" s="139" t="n"/>
      <x:c r="R291" s="139" t="n"/>
      <x:c r="S291" s="139" t="n"/>
      <x:c r="T291" s="139" t="n"/>
      <x:c r="U291" s="139" t="n"/>
    </x:row>
    <x:row r="292">
      <x:c r="A292" s="139" t="n"/>
      <x:c r="B292" s="139" t="n"/>
      <x:c r="C292" s="139" t="n"/>
      <x:c r="D292" s="139" t="n"/>
      <x:c r="E292" s="139" t="n"/>
      <x:c r="F292" s="139" t="n"/>
      <x:c r="G292" s="139" t="n"/>
      <x:c r="H292" s="139" t="n"/>
      <x:c r="I292" s="139" t="n"/>
      <x:c r="J292" s="139" t="n"/>
      <x:c r="K292" s="139" t="n"/>
      <x:c r="L292" s="139" t="n"/>
      <x:c r="M292" s="139" t="n"/>
      <x:c r="N292" s="139" t="n"/>
      <x:c r="O292" s="139" t="n"/>
      <x:c r="P292" s="139" t="n"/>
      <x:c r="Q292" s="139" t="n"/>
      <x:c r="R292" s="139" t="n"/>
      <x:c r="S292" s="139" t="n"/>
      <x:c r="T292" s="139" t="n"/>
      <x:c r="U292" s="139" t="n"/>
    </x:row>
    <x:row r="293">
      <x:c r="A293" s="139" t="n"/>
      <x:c r="B293" s="139" t="n"/>
      <x:c r="C293" s="139" t="n"/>
      <x:c r="D293" s="139" t="n"/>
      <x:c r="E293" s="139" t="n"/>
      <x:c r="F293" s="139" t="n"/>
      <x:c r="G293" s="139" t="n"/>
      <x:c r="H293" s="139" t="n"/>
      <x:c r="I293" s="139" t="n"/>
      <x:c r="J293" s="139" t="n"/>
      <x:c r="K293" s="139" t="n"/>
      <x:c r="L293" s="139" t="n"/>
      <x:c r="M293" s="139" t="n"/>
      <x:c r="N293" s="139" t="n"/>
      <x:c r="O293" s="139" t="n"/>
      <x:c r="P293" s="139" t="n"/>
      <x:c r="Q293" s="139" t="n"/>
      <x:c r="R293" s="139" t="n"/>
      <x:c r="S293" s="139" t="n"/>
      <x:c r="T293" s="139" t="n"/>
      <x:c r="U293" s="139" t="n"/>
    </x:row>
    <x:row r="294">
      <x:c r="A294" s="139" t="n"/>
      <x:c r="B294" s="139" t="n"/>
      <x:c r="C294" s="139" t="n"/>
      <x:c r="D294" s="139" t="n"/>
      <x:c r="E294" s="139" t="n"/>
      <x:c r="F294" s="139" t="n"/>
      <x:c r="G294" s="139" t="n"/>
      <x:c r="H294" s="139" t="n"/>
      <x:c r="I294" s="139" t="n"/>
      <x:c r="J294" s="139" t="n"/>
      <x:c r="K294" s="139" t="n"/>
      <x:c r="L294" s="139" t="n"/>
      <x:c r="M294" s="139" t="n"/>
      <x:c r="N294" s="139" t="n"/>
      <x:c r="O294" s="139" t="n"/>
      <x:c r="P294" s="139" t="n"/>
      <x:c r="Q294" s="139" t="n"/>
      <x:c r="R294" s="139" t="n"/>
      <x:c r="S294" s="139" t="n"/>
      <x:c r="T294" s="139" t="n"/>
      <x:c r="U294" s="139" t="n"/>
    </x:row>
    <x:row r="295">
      <x:c r="A295" s="139" t="n"/>
      <x:c r="B295" s="139" t="n"/>
      <x:c r="C295" s="139" t="n"/>
      <x:c r="D295" s="139" t="n"/>
      <x:c r="E295" s="139" t="n"/>
      <x:c r="F295" s="139" t="n"/>
      <x:c r="G295" s="139" t="n"/>
      <x:c r="H295" s="139" t="n"/>
      <x:c r="I295" s="139" t="n"/>
      <x:c r="J295" s="139" t="n"/>
      <x:c r="K295" s="139" t="n"/>
      <x:c r="L295" s="139" t="n"/>
      <x:c r="M295" s="139" t="n"/>
      <x:c r="N295" s="139" t="n"/>
      <x:c r="O295" s="139" t="n"/>
      <x:c r="P295" s="139" t="n"/>
      <x:c r="Q295" s="139" t="n"/>
      <x:c r="R295" s="139" t="n"/>
      <x:c r="S295" s="139" t="n"/>
      <x:c r="T295" s="139" t="n"/>
      <x:c r="U295" s="139" t="n"/>
    </x:row>
    <x:row r="296">
      <x:c r="A296" s="139" t="n"/>
      <x:c r="B296" s="139" t="n"/>
      <x:c r="C296" s="139" t="n"/>
      <x:c r="D296" s="139" t="n"/>
      <x:c r="E296" s="139" t="n"/>
      <x:c r="F296" s="139" t="n"/>
      <x:c r="G296" s="139" t="n"/>
      <x:c r="H296" s="139" t="n"/>
      <x:c r="I296" s="139" t="n"/>
      <x:c r="J296" s="139" t="n"/>
      <x:c r="K296" s="139" t="n"/>
      <x:c r="L296" s="139" t="n"/>
      <x:c r="M296" s="139" t="n"/>
      <x:c r="N296" s="139" t="n"/>
      <x:c r="O296" s="139" t="n"/>
      <x:c r="P296" s="139" t="n"/>
      <x:c r="Q296" s="139" t="n"/>
      <x:c r="R296" s="139" t="n"/>
      <x:c r="S296" s="139" t="n"/>
      <x:c r="T296" s="139" t="n"/>
      <x:c r="U296" s="139" t="n"/>
    </x:row>
    <x:row r="297">
      <x:c r="A297" s="139" t="n"/>
      <x:c r="B297" s="139" t="n"/>
      <x:c r="C297" s="139" t="n"/>
      <x:c r="D297" s="139" t="n"/>
      <x:c r="E297" s="139" t="n"/>
      <x:c r="F297" s="139" t="n"/>
      <x:c r="G297" s="139" t="n"/>
      <x:c r="H297" s="139" t="n"/>
      <x:c r="I297" s="139" t="n"/>
      <x:c r="J297" s="139" t="n"/>
      <x:c r="K297" s="139" t="n"/>
      <x:c r="L297" s="139" t="n"/>
      <x:c r="M297" s="139" t="n"/>
      <x:c r="N297" s="139" t="n"/>
      <x:c r="O297" s="139" t="n"/>
      <x:c r="P297" s="139" t="n"/>
      <x:c r="Q297" s="139" t="n"/>
      <x:c r="R297" s="139" t="n"/>
      <x:c r="S297" s="139" t="n"/>
      <x:c r="T297" s="139" t="n"/>
      <x:c r="U297" s="139" t="n"/>
    </x:row>
    <x:row r="298">
      <x:c r="A298" s="139" t="n"/>
      <x:c r="B298" s="139" t="n"/>
      <x:c r="C298" s="139" t="n"/>
      <x:c r="D298" s="139" t="n"/>
      <x:c r="E298" s="139" t="n"/>
      <x:c r="F298" s="139" t="n"/>
      <x:c r="G298" s="139" t="n"/>
      <x:c r="H298" s="139" t="n"/>
      <x:c r="I298" s="139" t="n"/>
      <x:c r="J298" s="139" t="n"/>
      <x:c r="K298" s="139" t="n"/>
      <x:c r="L298" s="139" t="n"/>
      <x:c r="M298" s="139" t="n"/>
      <x:c r="N298" s="139" t="n"/>
      <x:c r="O298" s="139" t="n"/>
      <x:c r="P298" s="139" t="n"/>
      <x:c r="Q298" s="139" t="n"/>
      <x:c r="R298" s="139" t="n"/>
      <x:c r="S298" s="139" t="n"/>
      <x:c r="T298" s="139" t="n"/>
      <x:c r="U298" s="139" t="n"/>
    </x:row>
    <x:row r="299">
      <x:c r="A299" s="139" t="n"/>
      <x:c r="B299" s="139" t="n"/>
      <x:c r="C299" s="139" t="n"/>
      <x:c r="D299" s="139" t="n"/>
      <x:c r="E299" s="139" t="n"/>
      <x:c r="F299" s="139" t="n"/>
      <x:c r="G299" s="139" t="n"/>
      <x:c r="H299" s="139" t="n"/>
      <x:c r="I299" s="139" t="n"/>
      <x:c r="J299" s="139" t="n"/>
      <x:c r="K299" s="139" t="n"/>
      <x:c r="L299" s="139" t="n"/>
      <x:c r="M299" s="139" t="n"/>
      <x:c r="N299" s="139" t="n"/>
      <x:c r="O299" s="139" t="n"/>
      <x:c r="P299" s="139" t="n"/>
      <x:c r="Q299" s="139" t="n"/>
      <x:c r="R299" s="139" t="n"/>
      <x:c r="S299" s="139" t="n"/>
      <x:c r="T299" s="139" t="n"/>
      <x:c r="U299" s="139" t="n"/>
    </x:row>
    <x:row r="300">
      <x:c r="A300" s="139" t="n"/>
      <x:c r="B300" s="139" t="n"/>
      <x:c r="C300" s="139" t="n"/>
      <x:c r="D300" s="139" t="n"/>
      <x:c r="E300" s="139" t="n"/>
      <x:c r="F300" s="139" t="n"/>
      <x:c r="G300" s="139" t="n"/>
      <x:c r="H300" s="139" t="n"/>
      <x:c r="I300" s="139" t="n"/>
      <x:c r="J300" s="139" t="n"/>
      <x:c r="K300" s="139" t="n"/>
      <x:c r="L300" s="139" t="n"/>
      <x:c r="M300" s="139" t="n"/>
      <x:c r="N300" s="139" t="n"/>
      <x:c r="O300" s="139" t="n"/>
      <x:c r="P300" s="139" t="n"/>
      <x:c r="Q300" s="139" t="n"/>
      <x:c r="R300" s="139" t="n"/>
      <x:c r="S300" s="139" t="n"/>
      <x:c r="T300" s="139" t="n"/>
      <x:c r="U300" s="139" t="n"/>
    </x:row>
    <x:row r="301">
      <x:c r="A301" s="139" t="n"/>
      <x:c r="B301" s="139" t="n"/>
      <x:c r="C301" s="139" t="n"/>
      <x:c r="D301" s="139" t="n"/>
      <x:c r="E301" s="139" t="n"/>
      <x:c r="F301" s="139" t="n"/>
      <x:c r="G301" s="139" t="n"/>
      <x:c r="H301" s="139" t="n"/>
      <x:c r="I301" s="139" t="n"/>
      <x:c r="J301" s="139" t="n"/>
      <x:c r="K301" s="139" t="n"/>
      <x:c r="L301" s="139" t="n"/>
      <x:c r="M301" s="139" t="n"/>
      <x:c r="N301" s="139" t="n"/>
      <x:c r="O301" s="139" t="n"/>
      <x:c r="P301" s="139" t="n"/>
      <x:c r="Q301" s="139" t="n"/>
      <x:c r="R301" s="139" t="n"/>
      <x:c r="S301" s="139" t="n"/>
      <x:c r="T301" s="139" t="n"/>
      <x:c r="U301" s="139" t="n"/>
    </x:row>
    <x:row r="302">
      <x:c r="A302" s="139" t="n"/>
      <x:c r="B302" s="139" t="n"/>
      <x:c r="C302" s="139" t="n"/>
      <x:c r="D302" s="139" t="n"/>
      <x:c r="E302" s="139" t="n"/>
      <x:c r="F302" s="139" t="n"/>
      <x:c r="G302" s="139" t="n"/>
      <x:c r="H302" s="139" t="n"/>
      <x:c r="I302" s="139" t="n"/>
      <x:c r="J302" s="139" t="n"/>
      <x:c r="K302" s="139" t="n"/>
      <x:c r="L302" s="139" t="n"/>
      <x:c r="M302" s="139" t="n"/>
      <x:c r="N302" s="139" t="n"/>
      <x:c r="O302" s="139" t="n"/>
      <x:c r="P302" s="139" t="n"/>
      <x:c r="Q302" s="139" t="n"/>
      <x:c r="R302" s="139" t="n"/>
      <x:c r="S302" s="139" t="n"/>
      <x:c r="T302" s="139" t="n"/>
      <x:c r="U302" s="139" t="n"/>
    </x:row>
    <x:row r="303">
      <x:c r="A303" s="139" t="n"/>
      <x:c r="B303" s="139" t="n"/>
      <x:c r="C303" s="139" t="n"/>
      <x:c r="D303" s="139" t="n"/>
      <x:c r="E303" s="139" t="n"/>
      <x:c r="F303" s="139" t="n"/>
      <x:c r="G303" s="139" t="n"/>
      <x:c r="H303" s="139" t="n"/>
      <x:c r="I303" s="139" t="n"/>
      <x:c r="J303" s="139" t="n"/>
      <x:c r="K303" s="139" t="n"/>
      <x:c r="L303" s="139" t="n"/>
      <x:c r="M303" s="139" t="n"/>
      <x:c r="N303" s="139" t="n"/>
      <x:c r="O303" s="139" t="n"/>
      <x:c r="P303" s="139" t="n"/>
      <x:c r="Q303" s="139" t="n"/>
      <x:c r="R303" s="139" t="n"/>
      <x:c r="S303" s="139" t="n"/>
      <x:c r="T303" s="139" t="n"/>
      <x:c r="U303" s="139" t="n"/>
    </x:row>
    <x:row r="304">
      <x:c r="A304" s="139" t="n"/>
      <x:c r="B304" s="139" t="n"/>
      <x:c r="C304" s="139" t="n"/>
      <x:c r="D304" s="139" t="n"/>
      <x:c r="E304" s="139" t="n"/>
      <x:c r="F304" s="139" t="n"/>
      <x:c r="G304" s="139" t="n"/>
      <x:c r="H304" s="139" t="n"/>
      <x:c r="I304" s="139" t="n"/>
      <x:c r="J304" s="139" t="n"/>
      <x:c r="K304" s="139" t="n"/>
      <x:c r="L304" s="139" t="n"/>
      <x:c r="M304" s="139" t="n"/>
      <x:c r="N304" s="139" t="n"/>
      <x:c r="O304" s="139" t="n"/>
      <x:c r="P304" s="139" t="n"/>
      <x:c r="Q304" s="139" t="n"/>
      <x:c r="R304" s="139" t="n"/>
      <x:c r="S304" s="139" t="n"/>
      <x:c r="T304" s="139" t="n"/>
      <x:c r="U304" s="139" t="n"/>
    </x:row>
    <x:row r="305">
      <x:c r="A305" s="139" t="n"/>
      <x:c r="B305" s="139" t="n"/>
      <x:c r="C305" s="139" t="n"/>
      <x:c r="D305" s="139" t="n"/>
      <x:c r="E305" s="139" t="n"/>
      <x:c r="F305" s="139" t="n"/>
      <x:c r="G305" s="139" t="n"/>
      <x:c r="H305" s="139" t="n"/>
      <x:c r="I305" s="139" t="n"/>
      <x:c r="J305" s="139" t="n"/>
      <x:c r="K305" s="139" t="n"/>
      <x:c r="L305" s="139" t="n"/>
      <x:c r="M305" s="139" t="n"/>
      <x:c r="N305" s="139" t="n"/>
      <x:c r="O305" s="139" t="n"/>
      <x:c r="P305" s="139" t="n"/>
      <x:c r="Q305" s="139" t="n"/>
      <x:c r="R305" s="139" t="n"/>
      <x:c r="S305" s="139" t="n"/>
      <x:c r="T305" s="139" t="n"/>
      <x:c r="U305" s="139" t="n"/>
    </x:row>
    <x:row r="306">
      <x:c r="A306" s="139" t="n"/>
      <x:c r="B306" s="139" t="n"/>
      <x:c r="C306" s="139" t="n"/>
      <x:c r="D306" s="139" t="n"/>
      <x:c r="E306" s="139" t="n"/>
      <x:c r="F306" s="139" t="n"/>
      <x:c r="G306" s="139" t="n"/>
      <x:c r="H306" s="139" t="n"/>
      <x:c r="I306" s="139" t="n"/>
      <x:c r="J306" s="139" t="n"/>
      <x:c r="K306" s="139" t="n"/>
      <x:c r="L306" s="139" t="n"/>
      <x:c r="M306" s="139" t="n"/>
      <x:c r="N306" s="139" t="n"/>
      <x:c r="O306" s="139" t="n"/>
      <x:c r="P306" s="139" t="n"/>
      <x:c r="Q306" s="139" t="n"/>
      <x:c r="R306" s="139" t="n"/>
      <x:c r="S306" s="139" t="n"/>
      <x:c r="T306" s="139" t="n"/>
      <x:c r="U306" s="139" t="n"/>
    </x:row>
    <x:row r="307">
      <x:c r="A307" s="139" t="n"/>
      <x:c r="B307" s="139" t="n"/>
      <x:c r="C307" s="139" t="n"/>
      <x:c r="D307" s="139" t="n"/>
      <x:c r="E307" s="139" t="n"/>
      <x:c r="F307" s="139" t="n"/>
      <x:c r="G307" s="139" t="n"/>
      <x:c r="H307" s="139" t="n"/>
      <x:c r="I307" s="139" t="n"/>
      <x:c r="J307" s="139" t="n"/>
      <x:c r="K307" s="139" t="n"/>
      <x:c r="L307" s="139" t="n"/>
      <x:c r="M307" s="139" t="n"/>
      <x:c r="N307" s="139" t="n"/>
      <x:c r="O307" s="139" t="n"/>
      <x:c r="P307" s="139" t="n"/>
      <x:c r="Q307" s="139" t="n"/>
      <x:c r="R307" s="139" t="n"/>
      <x:c r="S307" s="139" t="n"/>
      <x:c r="T307" s="139" t="n"/>
      <x:c r="U307" s="139" t="n"/>
    </x:row>
    <x:row r="308">
      <x:c r="A308" s="139" t="n"/>
      <x:c r="B308" s="139" t="n"/>
      <x:c r="C308" s="139" t="n"/>
      <x:c r="D308" s="139" t="n"/>
      <x:c r="E308" s="139" t="n"/>
      <x:c r="F308" s="139" t="n"/>
      <x:c r="G308" s="139" t="n"/>
      <x:c r="H308" s="139" t="n"/>
      <x:c r="I308" s="139" t="n"/>
      <x:c r="J308" s="139" t="n"/>
      <x:c r="K308" s="139" t="n"/>
      <x:c r="L308" s="139" t="n"/>
      <x:c r="M308" s="139" t="n"/>
      <x:c r="N308" s="139" t="n"/>
      <x:c r="O308" s="139" t="n"/>
      <x:c r="P308" s="139" t="n"/>
      <x:c r="Q308" s="139" t="n"/>
      <x:c r="R308" s="139" t="n"/>
      <x:c r="S308" s="139" t="n"/>
      <x:c r="T308" s="139" t="n"/>
      <x:c r="U308" s="139" t="n"/>
    </x:row>
    <x:row r="309">
      <x:c r="A309" s="139" t="n"/>
      <x:c r="B309" s="139" t="n"/>
      <x:c r="C309" s="139" t="n"/>
      <x:c r="D309" s="139" t="n"/>
      <x:c r="E309" s="139" t="n"/>
      <x:c r="F309" s="139" t="n"/>
      <x:c r="G309" s="139" t="n"/>
      <x:c r="H309" s="139" t="n"/>
      <x:c r="I309" s="139" t="n"/>
      <x:c r="J309" s="139" t="n"/>
      <x:c r="K309" s="139" t="n"/>
      <x:c r="L309" s="139" t="n"/>
      <x:c r="M309" s="139" t="n"/>
      <x:c r="N309" s="139" t="n"/>
      <x:c r="O309" s="139" t="n"/>
      <x:c r="P309" s="139" t="n"/>
      <x:c r="Q309" s="139" t="n"/>
      <x:c r="R309" s="139" t="n"/>
      <x:c r="S309" s="139" t="n"/>
      <x:c r="T309" s="139" t="n"/>
      <x:c r="U309" s="139" t="n"/>
    </x:row>
    <x:row r="310">
      <x:c r="A310" s="139" t="n"/>
      <x:c r="B310" s="139" t="n"/>
      <x:c r="C310" s="139" t="n"/>
      <x:c r="D310" s="139" t="n"/>
      <x:c r="E310" s="139" t="n"/>
      <x:c r="F310" s="139" t="n"/>
      <x:c r="G310" s="139" t="n"/>
      <x:c r="H310" s="139" t="n"/>
      <x:c r="I310" s="139" t="n"/>
      <x:c r="J310" s="139" t="n"/>
      <x:c r="K310" s="139" t="n"/>
      <x:c r="L310" s="139" t="n"/>
      <x:c r="M310" s="139" t="n"/>
      <x:c r="N310" s="139" t="n"/>
      <x:c r="O310" s="139" t="n"/>
      <x:c r="P310" s="139" t="n"/>
      <x:c r="Q310" s="139" t="n"/>
      <x:c r="R310" s="139" t="n"/>
      <x:c r="S310" s="139" t="n"/>
      <x:c r="T310" s="139" t="n"/>
      <x:c r="U310" s="139" t="n"/>
    </x:row>
    <x:row r="311">
      <x:c r="A311" s="139" t="n"/>
      <x:c r="B311" s="139" t="n"/>
      <x:c r="C311" s="139" t="n"/>
      <x:c r="D311" s="139" t="n"/>
      <x:c r="E311" s="139" t="n"/>
      <x:c r="F311" s="139" t="n"/>
      <x:c r="G311" s="139" t="n"/>
      <x:c r="H311" s="139" t="n"/>
      <x:c r="I311" s="139" t="n"/>
      <x:c r="J311" s="139" t="n"/>
      <x:c r="K311" s="139" t="n"/>
      <x:c r="L311" s="139" t="n"/>
      <x:c r="M311" s="139" t="n"/>
      <x:c r="N311" s="139" t="n"/>
      <x:c r="O311" s="139" t="n"/>
      <x:c r="P311" s="139" t="n"/>
      <x:c r="Q311" s="139" t="n"/>
      <x:c r="R311" s="139" t="n"/>
      <x:c r="S311" s="139" t="n"/>
      <x:c r="T311" s="139" t="n"/>
      <x:c r="U311" s="139" t="n"/>
    </x:row>
    <x:row r="312">
      <x:c r="A312" s="139" t="n"/>
      <x:c r="B312" s="139" t="n"/>
      <x:c r="C312" s="139" t="n"/>
      <x:c r="D312" s="139" t="n"/>
      <x:c r="E312" s="139" t="n"/>
      <x:c r="F312" s="139" t="n"/>
      <x:c r="G312" s="139" t="n"/>
      <x:c r="H312" s="139" t="n"/>
      <x:c r="I312" s="139" t="n"/>
      <x:c r="J312" s="139" t="n"/>
      <x:c r="K312" s="139" t="n"/>
      <x:c r="L312" s="139" t="n"/>
      <x:c r="M312" s="139" t="n"/>
      <x:c r="N312" s="139" t="n"/>
      <x:c r="O312" s="139" t="n"/>
      <x:c r="P312" s="139" t="n"/>
      <x:c r="Q312" s="139" t="n"/>
      <x:c r="R312" s="139" t="n"/>
      <x:c r="S312" s="139" t="n"/>
      <x:c r="T312" s="139" t="n"/>
      <x:c r="U312" s="139" t="n"/>
    </x:row>
    <x:row r="313">
      <x:c r="A313" s="139" t="n"/>
      <x:c r="B313" s="139" t="n"/>
      <x:c r="C313" s="139" t="n"/>
      <x:c r="D313" s="139" t="n"/>
      <x:c r="E313" s="139" t="n"/>
      <x:c r="F313" s="139" t="n"/>
      <x:c r="G313" s="139" t="n"/>
      <x:c r="H313" s="139" t="n"/>
      <x:c r="I313" s="139" t="n"/>
      <x:c r="J313" s="139" t="n"/>
      <x:c r="K313" s="139" t="n"/>
      <x:c r="L313" s="139" t="n"/>
      <x:c r="M313" s="139" t="n"/>
      <x:c r="N313" s="139" t="n"/>
      <x:c r="O313" s="139" t="n"/>
      <x:c r="P313" s="139" t="n"/>
      <x:c r="Q313" s="139" t="n"/>
      <x:c r="R313" s="139" t="n"/>
      <x:c r="S313" s="139" t="n"/>
      <x:c r="T313" s="139" t="n"/>
      <x:c r="U313" s="139" t="n"/>
    </x:row>
    <x:row r="314">
      <x:c r="A314" s="139" t="n"/>
      <x:c r="B314" s="139" t="n"/>
      <x:c r="C314" s="139" t="n"/>
      <x:c r="D314" s="139" t="n"/>
      <x:c r="E314" s="139" t="n"/>
      <x:c r="F314" s="139" t="n"/>
      <x:c r="G314" s="139" t="n"/>
      <x:c r="H314" s="139" t="n"/>
      <x:c r="I314" s="139" t="n"/>
      <x:c r="J314" s="139" t="n"/>
      <x:c r="K314" s="139" t="n"/>
      <x:c r="L314" s="139" t="n"/>
      <x:c r="M314" s="139" t="n"/>
      <x:c r="N314" s="139" t="n"/>
      <x:c r="O314" s="139" t="n"/>
      <x:c r="P314" s="139" t="n"/>
      <x:c r="Q314" s="139" t="n"/>
      <x:c r="R314" s="139" t="n"/>
      <x:c r="S314" s="139" t="n"/>
      <x:c r="T314" s="139" t="n"/>
      <x:c r="U314" s="139" t="n"/>
    </x:row>
    <x:row r="315">
      <x:c r="A315" s="139" t="n"/>
      <x:c r="B315" s="139" t="n"/>
      <x:c r="C315" s="139" t="n"/>
      <x:c r="D315" s="139" t="n"/>
      <x:c r="E315" s="139" t="n"/>
      <x:c r="F315" s="139" t="n"/>
      <x:c r="G315" s="139" t="n"/>
      <x:c r="H315" s="139" t="n"/>
      <x:c r="I315" s="139" t="n"/>
      <x:c r="J315" s="139" t="n"/>
      <x:c r="K315" s="139" t="n"/>
      <x:c r="L315" s="139" t="n"/>
      <x:c r="M315" s="139" t="n"/>
      <x:c r="N315" s="139" t="n"/>
      <x:c r="O315" s="139" t="n"/>
      <x:c r="P315" s="139" t="n"/>
      <x:c r="Q315" s="139" t="n"/>
      <x:c r="R315" s="139" t="n"/>
      <x:c r="S315" s="139" t="n"/>
      <x:c r="T315" s="139" t="n"/>
      <x:c r="U315" s="139" t="n"/>
    </x:row>
    <x:row r="316">
      <x:c r="A316" s="139" t="n"/>
      <x:c r="B316" s="139" t="n"/>
      <x:c r="C316" s="139" t="n"/>
      <x:c r="D316" s="139" t="n"/>
      <x:c r="E316" s="139" t="n"/>
      <x:c r="F316" s="139" t="n"/>
      <x:c r="G316" s="139" t="n"/>
      <x:c r="H316" s="139" t="n"/>
      <x:c r="I316" s="139" t="n"/>
      <x:c r="J316" s="139" t="n"/>
      <x:c r="K316" s="139" t="n"/>
      <x:c r="L316" s="139" t="n"/>
      <x:c r="M316" s="139" t="n"/>
      <x:c r="N316" s="139" t="n"/>
      <x:c r="O316" s="139" t="n"/>
      <x:c r="P316" s="139" t="n"/>
      <x:c r="Q316" s="139" t="n"/>
      <x:c r="R316" s="139" t="n"/>
      <x:c r="S316" s="139" t="n"/>
      <x:c r="T316" s="139" t="n"/>
      <x:c r="U316" s="139" t="n"/>
    </x:row>
    <x:row r="317">
      <x:c r="A317" s="139" t="n"/>
      <x:c r="B317" s="139" t="n"/>
      <x:c r="C317" s="139" t="n"/>
      <x:c r="D317" s="139" t="n"/>
      <x:c r="E317" s="139" t="n"/>
      <x:c r="F317" s="139" t="n"/>
      <x:c r="G317" s="139" t="n"/>
      <x:c r="H317" s="139" t="n"/>
      <x:c r="I317" s="139" t="n"/>
      <x:c r="J317" s="139" t="n"/>
      <x:c r="K317" s="139" t="n"/>
      <x:c r="L317" s="139" t="n"/>
      <x:c r="M317" s="139" t="n"/>
      <x:c r="N317" s="139" t="n"/>
      <x:c r="O317" s="139" t="n"/>
      <x:c r="P317" s="139" t="n"/>
      <x:c r="Q317" s="139" t="n"/>
      <x:c r="R317" s="139" t="n"/>
      <x:c r="S317" s="139" t="n"/>
      <x:c r="T317" s="139" t="n"/>
      <x:c r="U317" s="139" t="n"/>
    </x:row>
    <x:row r="318">
      <x:c r="A318" s="139" t="n"/>
      <x:c r="B318" s="139" t="n"/>
      <x:c r="C318" s="139" t="n"/>
      <x:c r="D318" s="139" t="n"/>
      <x:c r="E318" s="139" t="n"/>
      <x:c r="F318" s="139" t="n"/>
      <x:c r="G318" s="139" t="n"/>
      <x:c r="H318" s="139" t="n"/>
      <x:c r="I318" s="139" t="n"/>
      <x:c r="J318" s="139" t="n"/>
      <x:c r="K318" s="139" t="n"/>
      <x:c r="L318" s="139" t="n"/>
      <x:c r="M318" s="139" t="n"/>
      <x:c r="N318" s="139" t="n"/>
      <x:c r="O318" s="139" t="n"/>
      <x:c r="P318" s="139" t="n"/>
      <x:c r="Q318" s="139" t="n"/>
      <x:c r="R318" s="139" t="n"/>
      <x:c r="S318" s="139" t="n"/>
      <x:c r="T318" s="139" t="n"/>
      <x:c r="U318" s="139" t="n"/>
    </x:row>
    <x:row r="319">
      <x:c r="A319" s="139" t="n"/>
      <x:c r="B319" s="139" t="n"/>
      <x:c r="C319" s="139" t="n"/>
      <x:c r="D319" s="139" t="n"/>
      <x:c r="E319" s="139" t="n"/>
      <x:c r="F319" s="139" t="n"/>
      <x:c r="G319" s="139" t="n"/>
      <x:c r="H319" s="139" t="n"/>
      <x:c r="I319" s="139" t="n"/>
      <x:c r="J319" s="139" t="n"/>
      <x:c r="K319" s="139" t="n"/>
      <x:c r="L319" s="139" t="n"/>
      <x:c r="M319" s="139" t="n"/>
      <x:c r="N319" s="139" t="n"/>
      <x:c r="O319" s="139" t="n"/>
      <x:c r="P319" s="139" t="n"/>
      <x:c r="Q319" s="139" t="n"/>
      <x:c r="R319" s="139" t="n"/>
      <x:c r="S319" s="139" t="n"/>
      <x:c r="T319" s="139" t="n"/>
      <x:c r="U319" s="139" t="n"/>
    </x:row>
    <x:row r="320">
      <x:c r="A320" s="139" t="n"/>
      <x:c r="B320" s="139" t="n"/>
      <x:c r="C320" s="139" t="n"/>
      <x:c r="D320" s="139" t="n"/>
      <x:c r="E320" s="139" t="n"/>
      <x:c r="F320" s="139" t="n"/>
      <x:c r="G320" s="139" t="n"/>
      <x:c r="H320" s="139" t="n"/>
      <x:c r="I320" s="139" t="n"/>
      <x:c r="J320" s="139" t="n"/>
      <x:c r="K320" s="139" t="n"/>
      <x:c r="L320" s="139" t="n"/>
      <x:c r="M320" s="139" t="n"/>
      <x:c r="N320" s="139" t="n"/>
      <x:c r="O320" s="139" t="n"/>
      <x:c r="P320" s="139" t="n"/>
      <x:c r="Q320" s="139" t="n"/>
      <x:c r="R320" s="139" t="n"/>
      <x:c r="S320" s="139" t="n"/>
      <x:c r="T320" s="139" t="n"/>
      <x:c r="U320" s="139" t="n"/>
    </x:row>
    <x:row r="321">
      <x:c r="A321" s="139" t="n"/>
      <x:c r="B321" s="139" t="n"/>
      <x:c r="C321" s="139" t="n"/>
      <x:c r="D321" s="139" t="n"/>
      <x:c r="E321" s="139" t="n"/>
      <x:c r="F321" s="139" t="n"/>
      <x:c r="G321" s="139" t="n"/>
      <x:c r="H321" s="139" t="n"/>
      <x:c r="I321" s="139" t="n"/>
      <x:c r="J321" s="139" t="n"/>
      <x:c r="K321" s="139" t="n"/>
      <x:c r="L321" s="139" t="n"/>
      <x:c r="M321" s="139" t="n"/>
      <x:c r="N321" s="139" t="n"/>
      <x:c r="O321" s="139" t="n"/>
      <x:c r="P321" s="139" t="n"/>
      <x:c r="Q321" s="139" t="n"/>
      <x:c r="R321" s="139" t="n"/>
      <x:c r="S321" s="139" t="n"/>
      <x:c r="T321" s="139" t="n"/>
      <x:c r="U321" s="139" t="n"/>
    </x:row>
    <x:row r="322">
      <x:c r="A322" s="139" t="n"/>
      <x:c r="B322" s="139" t="n"/>
      <x:c r="C322" s="139" t="n"/>
      <x:c r="D322" s="139" t="n"/>
      <x:c r="E322" s="139" t="n"/>
      <x:c r="F322" s="139" t="n"/>
      <x:c r="G322" s="139" t="n"/>
      <x:c r="H322" s="139" t="n"/>
      <x:c r="I322" s="139" t="n"/>
      <x:c r="J322" s="139" t="n"/>
      <x:c r="K322" s="139" t="n"/>
      <x:c r="L322" s="139" t="n"/>
      <x:c r="M322" s="139" t="n"/>
      <x:c r="N322" s="139" t="n"/>
      <x:c r="O322" s="139" t="n"/>
      <x:c r="P322" s="139" t="n"/>
      <x:c r="Q322" s="139" t="n"/>
      <x:c r="R322" s="139" t="n"/>
      <x:c r="S322" s="139" t="n"/>
      <x:c r="T322" s="139" t="n"/>
      <x:c r="U322" s="139" t="n"/>
    </x:row>
    <x:row r="323">
      <x:c r="A323" s="139" t="n"/>
      <x:c r="B323" s="139" t="n"/>
      <x:c r="C323" s="139" t="n"/>
      <x:c r="D323" s="139" t="n"/>
      <x:c r="E323" s="139" t="n"/>
      <x:c r="F323" s="139" t="n"/>
      <x:c r="G323" s="139" t="n"/>
      <x:c r="H323" s="139" t="n"/>
      <x:c r="I323" s="139" t="n"/>
      <x:c r="J323" s="139" t="n"/>
      <x:c r="K323" s="139" t="n"/>
      <x:c r="L323" s="139" t="n"/>
      <x:c r="M323" s="139" t="n"/>
      <x:c r="N323" s="139" t="n"/>
      <x:c r="O323" s="139" t="n"/>
      <x:c r="P323" s="139" t="n"/>
      <x:c r="Q323" s="139" t="n"/>
      <x:c r="R323" s="139" t="n"/>
      <x:c r="S323" s="139" t="n"/>
      <x:c r="T323" s="139" t="n"/>
      <x:c r="U323" s="139" t="n"/>
    </x:row>
    <x:row r="324">
      <x:c r="A324" s="139" t="n"/>
      <x:c r="B324" s="139" t="n"/>
      <x:c r="C324" s="139" t="n"/>
      <x:c r="D324" s="139" t="n"/>
      <x:c r="E324" s="139" t="n"/>
      <x:c r="F324" s="139" t="n"/>
      <x:c r="G324" s="139" t="n"/>
      <x:c r="H324" s="139" t="n"/>
      <x:c r="I324" s="139" t="n"/>
      <x:c r="J324" s="139" t="n"/>
      <x:c r="K324" s="139" t="n"/>
      <x:c r="L324" s="139" t="n"/>
      <x:c r="M324" s="139" t="n"/>
      <x:c r="N324" s="139" t="n"/>
      <x:c r="O324" s="139" t="n"/>
      <x:c r="P324" s="139" t="n"/>
      <x:c r="Q324" s="139" t="n"/>
      <x:c r="R324" s="139" t="n"/>
      <x:c r="S324" s="139" t="n"/>
      <x:c r="T324" s="139" t="n"/>
      <x:c r="U324" s="139" t="n"/>
    </x:row>
    <x:row r="325">
      <x:c r="A325" s="139" t="n"/>
      <x:c r="B325" s="139" t="n"/>
      <x:c r="C325" s="139" t="n"/>
      <x:c r="D325" s="139" t="n"/>
      <x:c r="E325" s="139" t="n"/>
      <x:c r="F325" s="139" t="n"/>
      <x:c r="G325" s="139" t="n"/>
      <x:c r="H325" s="139" t="n"/>
      <x:c r="I325" s="139" t="n"/>
      <x:c r="J325" s="139" t="n"/>
      <x:c r="K325" s="139" t="n"/>
      <x:c r="L325" s="139" t="n"/>
      <x:c r="M325" s="139" t="n"/>
      <x:c r="N325" s="139" t="n"/>
      <x:c r="O325" s="139" t="n"/>
      <x:c r="P325" s="139" t="n"/>
      <x:c r="Q325" s="139" t="n"/>
      <x:c r="R325" s="139" t="n"/>
      <x:c r="S325" s="139" t="n"/>
      <x:c r="T325" s="139" t="n"/>
      <x:c r="U325" s="139" t="n"/>
    </x:row>
    <x:row r="326">
      <x:c r="A326" s="139" t="n"/>
      <x:c r="B326" s="139" t="n"/>
      <x:c r="C326" s="139" t="n"/>
      <x:c r="D326" s="139" t="n"/>
      <x:c r="E326" s="139" t="n"/>
      <x:c r="F326" s="139" t="n"/>
      <x:c r="G326" s="139" t="n"/>
      <x:c r="H326" s="139" t="n"/>
      <x:c r="I326" s="139" t="n"/>
      <x:c r="J326" s="139" t="n"/>
      <x:c r="K326" s="139" t="n"/>
      <x:c r="L326" s="139" t="n"/>
      <x:c r="M326" s="139" t="n"/>
      <x:c r="N326" s="139" t="n"/>
      <x:c r="O326" s="139" t="n"/>
      <x:c r="P326" s="139" t="n"/>
      <x:c r="Q326" s="139" t="n"/>
      <x:c r="R326" s="139" t="n"/>
      <x:c r="S326" s="139" t="n"/>
      <x:c r="T326" s="139" t="n"/>
      <x:c r="U326" s="139" t="n"/>
    </x:row>
    <x:row r="327">
      <x:c r="A327" s="139" t="n"/>
      <x:c r="B327" s="139" t="n"/>
      <x:c r="C327" s="139" t="n"/>
      <x:c r="D327" s="139" t="n"/>
      <x:c r="E327" s="139" t="n"/>
      <x:c r="F327" s="139" t="n"/>
      <x:c r="G327" s="139" t="n"/>
      <x:c r="H327" s="139" t="n"/>
      <x:c r="I327" s="139" t="n"/>
      <x:c r="J327" s="139" t="n"/>
      <x:c r="K327" s="139" t="n"/>
      <x:c r="L327" s="139" t="n"/>
      <x:c r="M327" s="139" t="n"/>
      <x:c r="N327" s="139" t="n"/>
      <x:c r="O327" s="139" t="n"/>
      <x:c r="P327" s="139" t="n"/>
      <x:c r="Q327" s="139" t="n"/>
      <x:c r="R327" s="139" t="n"/>
      <x:c r="S327" s="139" t="n"/>
      <x:c r="T327" s="139" t="n"/>
      <x:c r="U327" s="139" t="n"/>
    </x:row>
    <x:row r="328">
      <x:c r="A328" s="139" t="n"/>
      <x:c r="B328" s="139" t="n"/>
      <x:c r="C328" s="139" t="n"/>
      <x:c r="D328" s="139" t="n"/>
      <x:c r="E328" s="139" t="n"/>
      <x:c r="F328" s="139" t="n"/>
      <x:c r="G328" s="139" t="n"/>
      <x:c r="H328" s="139" t="n"/>
      <x:c r="I328" s="139" t="n"/>
      <x:c r="J328" s="139" t="n"/>
      <x:c r="K328" s="139" t="n"/>
      <x:c r="L328" s="139" t="n"/>
      <x:c r="M328" s="139" t="n"/>
      <x:c r="N328" s="139" t="n"/>
      <x:c r="O328" s="139" t="n"/>
      <x:c r="P328" s="139" t="n"/>
      <x:c r="Q328" s="139" t="n"/>
      <x:c r="R328" s="139" t="n"/>
      <x:c r="S328" s="139" t="n"/>
      <x:c r="T328" s="139" t="n"/>
      <x:c r="U328" s="139" t="n"/>
    </x:row>
    <x:row r="329">
      <x:c r="A329" s="139" t="n"/>
      <x:c r="B329" s="139" t="n"/>
      <x:c r="C329" s="139" t="n"/>
      <x:c r="D329" s="139" t="n"/>
      <x:c r="E329" s="139" t="n"/>
      <x:c r="F329" s="139" t="n"/>
      <x:c r="G329" s="139" t="n"/>
      <x:c r="H329" s="139" t="n"/>
      <x:c r="I329" s="139" t="n"/>
      <x:c r="J329" s="139" t="n"/>
      <x:c r="K329" s="139" t="n"/>
      <x:c r="L329" s="139" t="n"/>
      <x:c r="M329" s="139" t="n"/>
      <x:c r="N329" s="139" t="n"/>
      <x:c r="O329" s="139" t="n"/>
      <x:c r="P329" s="139" t="n"/>
      <x:c r="Q329" s="139" t="n"/>
      <x:c r="R329" s="139" t="n"/>
      <x:c r="S329" s="139" t="n"/>
      <x:c r="T329" s="139" t="n"/>
      <x:c r="U329" s="139" t="n"/>
    </x:row>
    <x:row r="330">
      <x:c r="A330" s="139" t="n"/>
      <x:c r="B330" s="139" t="n"/>
      <x:c r="C330" s="139" t="n"/>
      <x:c r="D330" s="139" t="n"/>
      <x:c r="E330" s="139" t="n"/>
      <x:c r="F330" s="139" t="n"/>
      <x:c r="G330" s="139" t="n"/>
      <x:c r="H330" s="139" t="n"/>
      <x:c r="I330" s="139" t="n"/>
      <x:c r="J330" s="139" t="n"/>
      <x:c r="K330" s="139" t="n"/>
      <x:c r="L330" s="139" t="n"/>
      <x:c r="M330" s="139" t="n"/>
      <x:c r="N330" s="139" t="n"/>
      <x:c r="O330" s="139" t="n"/>
      <x:c r="P330" s="139" t="n"/>
      <x:c r="Q330" s="139" t="n"/>
      <x:c r="R330" s="139" t="n"/>
      <x:c r="S330" s="139" t="n"/>
      <x:c r="T330" s="139" t="n"/>
      <x:c r="U330" s="139" t="n"/>
    </x:row>
    <x:row r="331">
      <x:c r="A331" s="139" t="n"/>
      <x:c r="B331" s="139" t="n"/>
      <x:c r="C331" s="139" t="n"/>
      <x:c r="D331" s="139" t="n"/>
      <x:c r="E331" s="139" t="n"/>
      <x:c r="F331" s="139" t="n"/>
      <x:c r="G331" s="139" t="n"/>
      <x:c r="H331" s="139" t="n"/>
      <x:c r="I331" s="139" t="n"/>
      <x:c r="J331" s="139" t="n"/>
      <x:c r="K331" s="139" t="n"/>
      <x:c r="L331" s="139" t="n"/>
      <x:c r="M331" s="139" t="n"/>
      <x:c r="N331" s="139" t="n"/>
      <x:c r="O331" s="139" t="n"/>
      <x:c r="P331" s="139" t="n"/>
      <x:c r="Q331" s="139" t="n"/>
      <x:c r="R331" s="139" t="n"/>
      <x:c r="S331" s="139" t="n"/>
      <x:c r="T331" s="139" t="n"/>
      <x:c r="U331" s="139" t="n"/>
    </x:row>
    <x:row r="332">
      <x:c r="A332" s="139" t="n"/>
      <x:c r="B332" s="139" t="n"/>
      <x:c r="C332" s="139" t="n"/>
      <x:c r="D332" s="139" t="n"/>
      <x:c r="E332" s="139" t="n"/>
      <x:c r="F332" s="139" t="n"/>
      <x:c r="G332" s="139" t="n"/>
      <x:c r="H332" s="139" t="n"/>
      <x:c r="I332" s="139" t="n"/>
      <x:c r="J332" s="139" t="n"/>
      <x:c r="K332" s="139" t="n"/>
      <x:c r="L332" s="139" t="n"/>
      <x:c r="M332" s="139" t="n"/>
      <x:c r="N332" s="139" t="n"/>
      <x:c r="O332" s="139" t="n"/>
      <x:c r="P332" s="139" t="n"/>
      <x:c r="Q332" s="139" t="n"/>
      <x:c r="R332" s="139" t="n"/>
      <x:c r="S332" s="139" t="n"/>
      <x:c r="T332" s="139" t="n"/>
      <x:c r="U332" s="139" t="n"/>
    </x:row>
    <x:row r="333">
      <x:c r="A333" s="139" t="n"/>
      <x:c r="B333" s="139" t="n"/>
      <x:c r="C333" s="139" t="n"/>
      <x:c r="D333" s="139" t="n"/>
      <x:c r="E333" s="139" t="n"/>
      <x:c r="F333" s="139" t="n"/>
      <x:c r="G333" s="139" t="n"/>
      <x:c r="H333" s="139" t="n"/>
      <x:c r="I333" s="139" t="n"/>
      <x:c r="J333" s="139" t="n"/>
      <x:c r="K333" s="139" t="n"/>
      <x:c r="L333" s="139" t="n"/>
      <x:c r="M333" s="139" t="n"/>
      <x:c r="N333" s="139" t="n"/>
      <x:c r="O333" s="139" t="n"/>
      <x:c r="P333" s="139" t="n"/>
      <x:c r="Q333" s="139" t="n"/>
      <x:c r="R333" s="139" t="n"/>
      <x:c r="S333" s="139" t="n"/>
      <x:c r="T333" s="139" t="n"/>
      <x:c r="U333" s="139" t="n"/>
    </x:row>
    <x:row r="334">
      <x:c r="A334" s="139" t="n"/>
      <x:c r="B334" s="139" t="n"/>
      <x:c r="C334" s="139" t="n"/>
      <x:c r="D334" s="139" t="n"/>
      <x:c r="E334" s="139" t="n"/>
      <x:c r="F334" s="139" t="n"/>
      <x:c r="G334" s="139" t="n"/>
      <x:c r="H334" s="139" t="n"/>
      <x:c r="I334" s="139" t="n"/>
      <x:c r="J334" s="139" t="n"/>
      <x:c r="K334" s="139" t="n"/>
      <x:c r="L334" s="139" t="n"/>
      <x:c r="M334" s="139" t="n"/>
      <x:c r="N334" s="139" t="n"/>
      <x:c r="O334" s="139" t="n"/>
      <x:c r="P334" s="139" t="n"/>
      <x:c r="Q334" s="139" t="n"/>
      <x:c r="R334" s="139" t="n"/>
      <x:c r="S334" s="139" t="n"/>
      <x:c r="T334" s="139" t="n"/>
      <x:c r="U334" s="139" t="n"/>
    </x:row>
    <x:row r="335">
      <x:c r="A335" s="139" t="n"/>
      <x:c r="B335" s="139" t="n"/>
      <x:c r="C335" s="139" t="n"/>
      <x:c r="D335" s="139" t="n"/>
      <x:c r="E335" s="139" t="n"/>
      <x:c r="F335" s="139" t="n"/>
      <x:c r="G335" s="139" t="n"/>
      <x:c r="H335" s="139" t="n"/>
      <x:c r="I335" s="139" t="n"/>
      <x:c r="J335" s="139" t="n"/>
      <x:c r="K335" s="139" t="n"/>
      <x:c r="L335" s="139" t="n"/>
      <x:c r="M335" s="139" t="n"/>
      <x:c r="N335" s="139" t="n"/>
      <x:c r="O335" s="139" t="n"/>
      <x:c r="P335" s="139" t="n"/>
      <x:c r="Q335" s="139" t="n"/>
      <x:c r="R335" s="139" t="n"/>
      <x:c r="S335" s="139" t="n"/>
      <x:c r="T335" s="139" t="n"/>
      <x:c r="U335" s="139" t="n"/>
    </x:row>
    <x:row r="336">
      <x:c r="A336" s="139" t="n"/>
      <x:c r="B336" s="139" t="n"/>
      <x:c r="C336" s="139" t="n"/>
      <x:c r="D336" s="139" t="n"/>
      <x:c r="E336" s="139" t="n"/>
      <x:c r="F336" s="139" t="n"/>
      <x:c r="G336" s="139" t="n"/>
      <x:c r="H336" s="139" t="n"/>
      <x:c r="I336" s="139" t="n"/>
      <x:c r="J336" s="139" t="n"/>
      <x:c r="K336" s="139" t="n"/>
      <x:c r="L336" s="139" t="n"/>
      <x:c r="M336" s="139" t="n"/>
      <x:c r="N336" s="139" t="n"/>
      <x:c r="O336" s="139" t="n"/>
      <x:c r="P336" s="139" t="n"/>
      <x:c r="Q336" s="139" t="n"/>
      <x:c r="R336" s="139" t="n"/>
      <x:c r="S336" s="139" t="n"/>
      <x:c r="T336" s="139" t="n"/>
      <x:c r="U336" s="139" t="n"/>
    </x:row>
    <x:row r="337">
      <x:c r="A337" s="139" t="n"/>
      <x:c r="B337" s="139" t="n"/>
      <x:c r="C337" s="139" t="n"/>
      <x:c r="D337" s="139" t="n"/>
      <x:c r="E337" s="139" t="n"/>
      <x:c r="F337" s="139" t="n"/>
      <x:c r="G337" s="139" t="n"/>
      <x:c r="H337" s="139" t="n"/>
      <x:c r="I337" s="139" t="n"/>
      <x:c r="J337" s="139" t="n"/>
      <x:c r="K337" s="139" t="n"/>
      <x:c r="L337" s="139" t="n"/>
      <x:c r="M337" s="139" t="n"/>
      <x:c r="N337" s="139" t="n"/>
      <x:c r="O337" s="139" t="n"/>
      <x:c r="P337" s="139" t="n"/>
      <x:c r="Q337" s="139" t="n"/>
      <x:c r="R337" s="139" t="n"/>
      <x:c r="S337" s="139" t="n"/>
      <x:c r="T337" s="139" t="n"/>
      <x:c r="U337" s="139" t="n"/>
    </x:row>
    <x:row r="338">
      <x:c r="A338" s="139" t="n"/>
      <x:c r="B338" s="139" t="n"/>
      <x:c r="C338" s="139" t="n"/>
      <x:c r="D338" s="139" t="n"/>
      <x:c r="E338" s="139" t="n"/>
      <x:c r="F338" s="139" t="n"/>
      <x:c r="G338" s="139" t="n"/>
      <x:c r="H338" s="139" t="n"/>
      <x:c r="I338" s="139" t="n"/>
      <x:c r="J338" s="139" t="n"/>
      <x:c r="K338" s="139" t="n"/>
      <x:c r="L338" s="139" t="n"/>
      <x:c r="M338" s="139" t="n"/>
      <x:c r="N338" s="139" t="n"/>
      <x:c r="O338" s="139" t="n"/>
      <x:c r="P338" s="139" t="n"/>
      <x:c r="Q338" s="139" t="n"/>
      <x:c r="R338" s="139" t="n"/>
      <x:c r="S338" s="139" t="n"/>
      <x:c r="T338" s="139" t="n"/>
      <x:c r="U338" s="139" t="n"/>
    </x:row>
    <x:row r="339">
      <x:c r="A339" s="139" t="n"/>
      <x:c r="B339" s="139" t="n"/>
      <x:c r="C339" s="139" t="n"/>
      <x:c r="D339" s="139" t="n"/>
      <x:c r="E339" s="139" t="n"/>
      <x:c r="F339" s="139" t="n"/>
      <x:c r="G339" s="139" t="n"/>
      <x:c r="H339" s="139" t="n"/>
      <x:c r="I339" s="139" t="n"/>
      <x:c r="J339" s="139" t="n"/>
      <x:c r="K339" s="139" t="n"/>
      <x:c r="L339" s="139" t="n"/>
      <x:c r="M339" s="139" t="n"/>
      <x:c r="N339" s="139" t="n"/>
      <x:c r="O339" s="139" t="n"/>
      <x:c r="P339" s="139" t="n"/>
      <x:c r="Q339" s="139" t="n"/>
      <x:c r="R339" s="139" t="n"/>
      <x:c r="S339" s="139" t="n"/>
      <x:c r="T339" s="139" t="n"/>
      <x:c r="U339" s="139" t="n"/>
    </x:row>
    <x:row r="340">
      <x:c r="A340" s="139" t="n"/>
      <x:c r="B340" s="139" t="n"/>
      <x:c r="C340" s="139" t="n"/>
      <x:c r="D340" s="139" t="n"/>
      <x:c r="E340" s="139" t="n"/>
      <x:c r="F340" s="139" t="n"/>
      <x:c r="G340" s="139" t="n"/>
      <x:c r="H340" s="139" t="n"/>
      <x:c r="I340" s="139" t="n"/>
      <x:c r="J340" s="139" t="n"/>
      <x:c r="K340" s="139" t="n"/>
      <x:c r="L340" s="139" t="n"/>
      <x:c r="M340" s="139" t="n"/>
      <x:c r="N340" s="139" t="n"/>
      <x:c r="O340" s="139" t="n"/>
      <x:c r="P340" s="139" t="n"/>
      <x:c r="Q340" s="139" t="n"/>
      <x:c r="R340" s="139" t="n"/>
      <x:c r="S340" s="139" t="n"/>
      <x:c r="T340" s="139" t="n"/>
      <x:c r="U340" s="139" t="n"/>
    </x:row>
    <x:row r="341">
      <x:c r="A341" s="139" t="n"/>
      <x:c r="B341" s="139" t="n"/>
      <x:c r="C341" s="139" t="n"/>
      <x:c r="D341" s="139" t="n"/>
      <x:c r="E341" s="139" t="n"/>
      <x:c r="F341" s="139" t="n"/>
      <x:c r="G341" s="139" t="n"/>
      <x:c r="H341" s="139" t="n"/>
      <x:c r="I341" s="139" t="n"/>
      <x:c r="J341" s="139" t="n"/>
      <x:c r="K341" s="139" t="n"/>
      <x:c r="L341" s="139" t="n"/>
      <x:c r="M341" s="139" t="n"/>
      <x:c r="N341" s="139" t="n"/>
      <x:c r="O341" s="139" t="n"/>
      <x:c r="P341" s="139" t="n"/>
      <x:c r="Q341" s="139" t="n"/>
      <x:c r="R341" s="139" t="n"/>
      <x:c r="S341" s="139" t="n"/>
      <x:c r="T341" s="139" t="n"/>
      <x:c r="U341" s="139" t="n"/>
    </x:row>
    <x:row r="342">
      <x:c r="A342" s="139" t="n"/>
      <x:c r="B342" s="139" t="n"/>
      <x:c r="C342" s="139" t="n"/>
      <x:c r="D342" s="139" t="n"/>
      <x:c r="E342" s="139" t="n"/>
      <x:c r="F342" s="139" t="n"/>
      <x:c r="G342" s="139" t="n"/>
      <x:c r="H342" s="139" t="n"/>
      <x:c r="I342" s="139" t="n"/>
      <x:c r="J342" s="139" t="n"/>
      <x:c r="K342" s="139" t="n"/>
      <x:c r="L342" s="139" t="n"/>
      <x:c r="M342" s="139" t="n"/>
      <x:c r="N342" s="139" t="n"/>
      <x:c r="O342" s="139" t="n"/>
      <x:c r="P342" s="139" t="n"/>
      <x:c r="Q342" s="139" t="n"/>
      <x:c r="R342" s="139" t="n"/>
      <x:c r="S342" s="139" t="n"/>
      <x:c r="T342" s="139" t="n"/>
      <x:c r="U342" s="139" t="n"/>
    </x:row>
    <x:row r="343">
      <x:c r="A343" s="139" t="n"/>
      <x:c r="B343" s="139" t="n"/>
      <x:c r="C343" s="139" t="n"/>
      <x:c r="D343" s="139" t="n"/>
      <x:c r="E343" s="139" t="n"/>
      <x:c r="F343" s="139" t="n"/>
      <x:c r="G343" s="139" t="n"/>
      <x:c r="H343" s="139" t="n"/>
      <x:c r="I343" s="139" t="n"/>
      <x:c r="J343" s="139" t="n"/>
      <x:c r="K343" s="139" t="n"/>
      <x:c r="L343" s="139" t="n"/>
      <x:c r="M343" s="139" t="n"/>
      <x:c r="N343" s="139" t="n"/>
      <x:c r="O343" s="139" t="n"/>
      <x:c r="P343" s="139" t="n"/>
      <x:c r="Q343" s="139" t="n"/>
      <x:c r="R343" s="139" t="n"/>
      <x:c r="S343" s="139" t="n"/>
      <x:c r="T343" s="139" t="n"/>
      <x:c r="U343" s="139" t="n"/>
    </x:row>
    <x:row r="344">
      <x:c r="A344" s="139" t="n"/>
      <x:c r="B344" s="139" t="n"/>
      <x:c r="C344" s="139" t="n"/>
      <x:c r="D344" s="139" t="n"/>
      <x:c r="E344" s="139" t="n"/>
      <x:c r="F344" s="139" t="n"/>
      <x:c r="G344" s="139" t="n"/>
      <x:c r="H344" s="139" t="n"/>
      <x:c r="I344" s="139" t="n"/>
      <x:c r="J344" s="139" t="n"/>
      <x:c r="K344" s="139" t="n"/>
      <x:c r="L344" s="139" t="n"/>
      <x:c r="M344" s="139" t="n"/>
      <x:c r="N344" s="139" t="n"/>
      <x:c r="O344" s="139" t="n"/>
      <x:c r="P344" s="139" t="n"/>
      <x:c r="Q344" s="139" t="n"/>
      <x:c r="R344" s="139" t="n"/>
      <x:c r="S344" s="139" t="n"/>
      <x:c r="T344" s="139" t="n"/>
      <x:c r="U344" s="139" t="n"/>
    </x:row>
    <x:row r="345">
      <x:c r="A345" s="139" t="n"/>
      <x:c r="B345" s="139" t="n"/>
      <x:c r="C345" s="139" t="n"/>
      <x:c r="D345" s="139" t="n"/>
      <x:c r="E345" s="139" t="n"/>
      <x:c r="F345" s="139" t="n"/>
      <x:c r="G345" s="139" t="n"/>
      <x:c r="H345" s="139" t="n"/>
      <x:c r="I345" s="139" t="n"/>
      <x:c r="J345" s="139" t="n"/>
      <x:c r="K345" s="139" t="n"/>
      <x:c r="L345" s="139" t="n"/>
      <x:c r="M345" s="139" t="n"/>
      <x:c r="N345" s="139" t="n"/>
      <x:c r="O345" s="139" t="n"/>
      <x:c r="P345" s="139" t="n"/>
      <x:c r="Q345" s="139" t="n"/>
      <x:c r="R345" s="139" t="n"/>
      <x:c r="S345" s="139" t="n"/>
      <x:c r="T345" s="139" t="n"/>
      <x:c r="U345" s="139" t="n"/>
    </x:row>
    <x:row r="346">
      <x:c r="A346" s="139" t="n"/>
      <x:c r="B346" s="139" t="n"/>
      <x:c r="C346" s="139" t="n"/>
      <x:c r="D346" s="139" t="n"/>
      <x:c r="E346" s="139" t="n"/>
      <x:c r="F346" s="139" t="n"/>
      <x:c r="G346" s="139" t="n"/>
      <x:c r="H346" s="139" t="n"/>
      <x:c r="I346" s="139" t="n"/>
      <x:c r="J346" s="139" t="n"/>
      <x:c r="K346" s="139" t="n"/>
      <x:c r="L346" s="139" t="n"/>
      <x:c r="M346" s="139" t="n"/>
      <x:c r="N346" s="139" t="n"/>
      <x:c r="O346" s="139" t="n"/>
      <x:c r="P346" s="139" t="n"/>
      <x:c r="Q346" s="139" t="n"/>
      <x:c r="R346" s="139" t="n"/>
      <x:c r="S346" s="139" t="n"/>
      <x:c r="T346" s="139" t="n"/>
      <x:c r="U346" s="139" t="n"/>
    </x:row>
    <x:row r="347">
      <x:c r="A347" s="139" t="n"/>
      <x:c r="B347" s="139" t="n"/>
      <x:c r="C347" s="139" t="n"/>
      <x:c r="D347" s="139" t="n"/>
      <x:c r="E347" s="139" t="n"/>
      <x:c r="F347" s="139" t="n"/>
      <x:c r="G347" s="139" t="n"/>
      <x:c r="H347" s="139" t="n"/>
      <x:c r="I347" s="139" t="n"/>
      <x:c r="J347" s="139" t="n"/>
      <x:c r="K347" s="139" t="n"/>
      <x:c r="L347" s="139" t="n"/>
      <x:c r="M347" s="139" t="n"/>
      <x:c r="N347" s="139" t="n"/>
      <x:c r="O347" s="139" t="n"/>
      <x:c r="P347" s="139" t="n"/>
      <x:c r="Q347" s="139" t="n"/>
      <x:c r="R347" s="139" t="n"/>
      <x:c r="S347" s="139" t="n"/>
      <x:c r="T347" s="139" t="n"/>
      <x:c r="U347" s="139" t="n"/>
    </x:row>
    <x:row r="348">
      <x:c r="A348" s="139" t="n"/>
      <x:c r="B348" s="139" t="n"/>
      <x:c r="C348" s="139" t="n"/>
      <x:c r="D348" s="139" t="n"/>
      <x:c r="E348" s="139" t="n"/>
      <x:c r="F348" s="139" t="n"/>
      <x:c r="G348" s="139" t="n"/>
      <x:c r="H348" s="139" t="n"/>
      <x:c r="I348" s="139" t="n"/>
      <x:c r="J348" s="139" t="n"/>
      <x:c r="K348" s="139" t="n"/>
      <x:c r="L348" s="139" t="n"/>
      <x:c r="M348" s="139" t="n"/>
      <x:c r="N348" s="139" t="n"/>
      <x:c r="O348" s="139" t="n"/>
      <x:c r="P348" s="139" t="n"/>
      <x:c r="Q348" s="139" t="n"/>
      <x:c r="R348" s="139" t="n"/>
      <x:c r="S348" s="139" t="n"/>
      <x:c r="T348" s="139" t="n"/>
      <x:c r="U348" s="139" t="n"/>
    </x:row>
    <x:row r="349">
      <x:c r="A349" s="139" t="n"/>
      <x:c r="B349" s="139" t="n"/>
      <x:c r="C349" s="139" t="n"/>
      <x:c r="D349" s="139" t="n"/>
      <x:c r="E349" s="139" t="n"/>
      <x:c r="F349" s="139" t="n"/>
      <x:c r="G349" s="139" t="n"/>
      <x:c r="H349" s="139" t="n"/>
      <x:c r="I349" s="139" t="n"/>
      <x:c r="J349" s="139" t="n"/>
      <x:c r="K349" s="139" t="n"/>
      <x:c r="L349" s="139" t="n"/>
      <x:c r="M349" s="139" t="n"/>
      <x:c r="N349" s="139" t="n"/>
      <x:c r="O349" s="139" t="n"/>
      <x:c r="P349" s="139" t="n"/>
      <x:c r="Q349" s="139" t="n"/>
      <x:c r="R349" s="139" t="n"/>
      <x:c r="S349" s="139" t="n"/>
      <x:c r="T349" s="139" t="n"/>
      <x:c r="U349" s="139" t="n"/>
    </x:row>
    <x:row r="350">
      <x:c r="A350" s="139" t="n"/>
      <x:c r="B350" s="139" t="n"/>
      <x:c r="C350" s="139" t="n"/>
      <x:c r="D350" s="139" t="n"/>
      <x:c r="E350" s="139" t="n"/>
      <x:c r="F350" s="139" t="n"/>
      <x:c r="G350" s="139" t="n"/>
      <x:c r="H350" s="139" t="n"/>
      <x:c r="I350" s="139" t="n"/>
      <x:c r="J350" s="139" t="n"/>
      <x:c r="K350" s="139" t="n"/>
      <x:c r="L350" s="139" t="n"/>
      <x:c r="M350" s="139" t="n"/>
      <x:c r="N350" s="139" t="n"/>
      <x:c r="O350" s="139" t="n"/>
      <x:c r="P350" s="139" t="n"/>
      <x:c r="Q350" s="139" t="n"/>
      <x:c r="R350" s="139" t="n"/>
      <x:c r="S350" s="139" t="n"/>
      <x:c r="T350" s="139" t="n"/>
      <x:c r="U350" s="139" t="n"/>
    </x:row>
    <x:row r="351">
      <x:c r="A351" s="139" t="n"/>
      <x:c r="B351" s="139" t="n"/>
      <x:c r="C351" s="139" t="n"/>
      <x:c r="D351" s="139" t="n"/>
      <x:c r="E351" s="139" t="n"/>
      <x:c r="F351" s="139" t="n"/>
      <x:c r="G351" s="139" t="n"/>
      <x:c r="H351" s="139" t="n"/>
      <x:c r="I351" s="139" t="n"/>
      <x:c r="J351" s="139" t="n"/>
      <x:c r="K351" s="139" t="n"/>
      <x:c r="L351" s="139" t="n"/>
      <x:c r="M351" s="139" t="n"/>
      <x:c r="N351" s="139" t="n"/>
      <x:c r="O351" s="139" t="n"/>
      <x:c r="P351" s="139" t="n"/>
      <x:c r="Q351" s="139" t="n"/>
      <x:c r="R351" s="139" t="n"/>
      <x:c r="S351" s="139" t="n"/>
      <x:c r="T351" s="139" t="n"/>
      <x:c r="U351" s="139" t="n"/>
    </x:row>
    <x:row r="352">
      <x:c r="A352" s="139" t="n"/>
      <x:c r="B352" s="139" t="n"/>
      <x:c r="C352" s="139" t="n"/>
      <x:c r="D352" s="139" t="n"/>
      <x:c r="E352" s="139" t="n"/>
      <x:c r="F352" s="139" t="n"/>
      <x:c r="G352" s="139" t="n"/>
      <x:c r="H352" s="139" t="n"/>
      <x:c r="I352" s="139" t="n"/>
      <x:c r="J352" s="139" t="n"/>
      <x:c r="K352" s="139" t="n"/>
      <x:c r="L352" s="139" t="n"/>
      <x:c r="M352" s="139" t="n"/>
      <x:c r="N352" s="139" t="n"/>
      <x:c r="O352" s="139" t="n"/>
      <x:c r="P352" s="139" t="n"/>
      <x:c r="Q352" s="139" t="n"/>
      <x:c r="R352" s="139" t="n"/>
      <x:c r="S352" s="139" t="n"/>
      <x:c r="T352" s="139" t="n"/>
      <x:c r="U352" s="139" t="n"/>
    </x:row>
    <x:row r="353">
      <x:c r="A353" s="139" t="n"/>
      <x:c r="B353" s="139" t="n"/>
      <x:c r="C353" s="139" t="n"/>
      <x:c r="D353" s="139" t="n"/>
      <x:c r="E353" s="139" t="n"/>
      <x:c r="F353" s="139" t="n"/>
      <x:c r="G353" s="139" t="n"/>
      <x:c r="H353" s="139" t="n"/>
      <x:c r="I353" s="139" t="n"/>
      <x:c r="J353" s="139" t="n"/>
      <x:c r="K353" s="139" t="n"/>
      <x:c r="L353" s="139" t="n"/>
      <x:c r="M353" s="139" t="n"/>
      <x:c r="N353" s="139" t="n"/>
      <x:c r="O353" s="139" t="n"/>
      <x:c r="P353" s="139" t="n"/>
      <x:c r="Q353" s="139" t="n"/>
      <x:c r="R353" s="139" t="n"/>
      <x:c r="S353" s="139" t="n"/>
      <x:c r="T353" s="139" t="n"/>
      <x:c r="U353" s="139" t="n"/>
    </x:row>
    <x:row r="354">
      <x:c r="A354" s="139" t="n"/>
      <x:c r="B354" s="139" t="n"/>
      <x:c r="C354" s="139" t="n"/>
      <x:c r="D354" s="139" t="n"/>
      <x:c r="E354" s="139" t="n"/>
      <x:c r="F354" s="139" t="n"/>
      <x:c r="G354" s="139" t="n"/>
      <x:c r="H354" s="139" t="n"/>
      <x:c r="I354" s="139" t="n"/>
      <x:c r="J354" s="139" t="n"/>
      <x:c r="K354" s="139" t="n"/>
      <x:c r="L354" s="139" t="n"/>
      <x:c r="M354" s="139" t="n"/>
      <x:c r="N354" s="139" t="n"/>
      <x:c r="O354" s="139" t="n"/>
      <x:c r="P354" s="139" t="n"/>
      <x:c r="Q354" s="139" t="n"/>
      <x:c r="R354" s="139" t="n"/>
      <x:c r="S354" s="139" t="n"/>
      <x:c r="T354" s="139" t="n"/>
      <x:c r="U354" s="139" t="n"/>
    </x:row>
    <x:row r="355">
      <x:c r="A355" s="139" t="n"/>
      <x:c r="B355" s="139" t="n"/>
      <x:c r="C355" s="139" t="n"/>
      <x:c r="D355" s="139" t="n"/>
      <x:c r="E355" s="139" t="n"/>
      <x:c r="F355" s="139" t="n"/>
      <x:c r="G355" s="139" t="n"/>
      <x:c r="H355" s="139" t="n"/>
      <x:c r="I355" s="139" t="n"/>
      <x:c r="J355" s="139" t="n"/>
      <x:c r="K355" s="139" t="n"/>
      <x:c r="L355" s="139" t="n"/>
      <x:c r="M355" s="139" t="n"/>
      <x:c r="N355" s="139" t="n"/>
      <x:c r="O355" s="139" t="n"/>
      <x:c r="P355" s="139" t="n"/>
      <x:c r="Q355" s="139" t="n"/>
      <x:c r="R355" s="139" t="n"/>
      <x:c r="S355" s="139" t="n"/>
      <x:c r="T355" s="139" t="n"/>
      <x:c r="U355" s="139" t="n"/>
    </x:row>
    <x:row r="356">
      <x:c r="A356" s="139" t="n"/>
      <x:c r="B356" s="139" t="n"/>
      <x:c r="C356" s="139" t="n"/>
      <x:c r="D356" s="139" t="n"/>
      <x:c r="E356" s="139" t="n"/>
      <x:c r="F356" s="139" t="n"/>
      <x:c r="G356" s="139" t="n"/>
      <x:c r="H356" s="139" t="n"/>
      <x:c r="I356" s="139" t="n"/>
      <x:c r="J356" s="139" t="n"/>
      <x:c r="K356" s="139" t="n"/>
      <x:c r="L356" s="139" t="n"/>
      <x:c r="M356" s="139" t="n"/>
      <x:c r="N356" s="139" t="n"/>
      <x:c r="O356" s="139" t="n"/>
      <x:c r="P356" s="139" t="n"/>
      <x:c r="Q356" s="139" t="n"/>
      <x:c r="R356" s="139" t="n"/>
      <x:c r="S356" s="139" t="n"/>
      <x:c r="T356" s="139" t="n"/>
      <x:c r="U356" s="139" t="n"/>
    </x:row>
    <x:row r="357">
      <x:c r="A357" s="139" t="n"/>
      <x:c r="B357" s="139" t="n"/>
      <x:c r="C357" s="139" t="n"/>
      <x:c r="D357" s="139" t="n"/>
      <x:c r="E357" s="139" t="n"/>
      <x:c r="F357" s="139" t="n"/>
      <x:c r="G357" s="139" t="n"/>
      <x:c r="H357" s="139" t="n"/>
      <x:c r="I357" s="139" t="n"/>
      <x:c r="J357" s="139" t="n"/>
      <x:c r="K357" s="139" t="n"/>
      <x:c r="L357" s="139" t="n"/>
      <x:c r="M357" s="139" t="n"/>
      <x:c r="N357" s="139" t="n"/>
      <x:c r="O357" s="139" t="n"/>
      <x:c r="P357" s="139" t="n"/>
      <x:c r="Q357" s="139" t="n"/>
      <x:c r="R357" s="139" t="n"/>
      <x:c r="S357" s="139" t="n"/>
      <x:c r="T357" s="139" t="n"/>
      <x:c r="U357" s="139" t="n"/>
    </x:row>
    <x:row r="358">
      <x:c r="A358" s="139" t="n"/>
      <x:c r="B358" s="139" t="n"/>
      <x:c r="C358" s="139" t="n"/>
      <x:c r="D358" s="139" t="n"/>
      <x:c r="E358" s="139" t="n"/>
      <x:c r="F358" s="139" t="n"/>
      <x:c r="G358" s="139" t="n"/>
      <x:c r="H358" s="139" t="n"/>
      <x:c r="I358" s="139" t="n"/>
      <x:c r="J358" s="139" t="n"/>
      <x:c r="K358" s="139" t="n"/>
      <x:c r="L358" s="139" t="n"/>
      <x:c r="M358" s="139" t="n"/>
      <x:c r="N358" s="139" t="n"/>
      <x:c r="O358" s="139" t="n"/>
      <x:c r="P358" s="139" t="n"/>
      <x:c r="Q358" s="139" t="n"/>
      <x:c r="R358" s="139" t="n"/>
      <x:c r="S358" s="139" t="n"/>
      <x:c r="T358" s="139" t="n"/>
      <x:c r="U358" s="139" t="n"/>
    </x:row>
    <x:row r="359">
      <x:c r="A359" s="139" t="n"/>
      <x:c r="B359" s="139" t="n"/>
      <x:c r="C359" s="139" t="n"/>
      <x:c r="D359" s="139" t="n"/>
      <x:c r="E359" s="139" t="n"/>
      <x:c r="F359" s="139" t="n"/>
      <x:c r="G359" s="139" t="n"/>
      <x:c r="H359" s="139" t="n"/>
      <x:c r="I359" s="139" t="n"/>
      <x:c r="J359" s="139" t="n"/>
      <x:c r="K359" s="139" t="n"/>
      <x:c r="L359" s="139" t="n"/>
      <x:c r="M359" s="139" t="n"/>
      <x:c r="N359" s="139" t="n"/>
      <x:c r="O359" s="139" t="n"/>
      <x:c r="P359" s="139" t="n"/>
      <x:c r="Q359" s="139" t="n"/>
      <x:c r="R359" s="139" t="n"/>
      <x:c r="S359" s="139" t="n"/>
      <x:c r="T359" s="139" t="n"/>
      <x:c r="U359" s="139" t="n"/>
    </x:row>
    <x:row r="360">
      <x:c r="A360" s="139" t="n"/>
      <x:c r="B360" s="139" t="n"/>
      <x:c r="C360" s="139" t="n"/>
      <x:c r="D360" s="139" t="n"/>
      <x:c r="E360" s="139" t="n"/>
      <x:c r="F360" s="139" t="n"/>
      <x:c r="G360" s="139" t="n"/>
      <x:c r="H360" s="139" t="n"/>
      <x:c r="I360" s="139" t="n"/>
      <x:c r="J360" s="139" t="n"/>
      <x:c r="K360" s="139" t="n"/>
      <x:c r="L360" s="139" t="n"/>
      <x:c r="M360" s="139" t="n"/>
      <x:c r="N360" s="139" t="n"/>
      <x:c r="O360" s="139" t="n"/>
      <x:c r="P360" s="139" t="n"/>
      <x:c r="Q360" s="139" t="n"/>
      <x:c r="R360" s="139" t="n"/>
      <x:c r="S360" s="139" t="n"/>
      <x:c r="T360" s="139" t="n"/>
      <x:c r="U360" s="139" t="n"/>
    </x:row>
    <x:row r="361">
      <x:c r="A361" s="139" t="n"/>
      <x:c r="B361" s="139" t="n"/>
      <x:c r="C361" s="139" t="n"/>
      <x:c r="D361" s="139" t="n"/>
      <x:c r="E361" s="139" t="n"/>
      <x:c r="F361" s="139" t="n"/>
      <x:c r="G361" s="139" t="n"/>
      <x:c r="H361" s="139" t="n"/>
      <x:c r="I361" s="139" t="n"/>
      <x:c r="J361" s="139" t="n"/>
      <x:c r="K361" s="139" t="n"/>
      <x:c r="L361" s="139" t="n"/>
      <x:c r="M361" s="139" t="n"/>
      <x:c r="N361" s="139" t="n"/>
      <x:c r="O361" s="139" t="n"/>
      <x:c r="P361" s="139" t="n"/>
      <x:c r="Q361" s="139" t="n"/>
      <x:c r="R361" s="139" t="n"/>
      <x:c r="S361" s="139" t="n"/>
      <x:c r="T361" s="139" t="n"/>
      <x:c r="U361" s="139" t="n"/>
    </x:row>
    <x:row r="362">
      <x:c r="A362" s="139" t="n"/>
      <x:c r="B362" s="139" t="n"/>
      <x:c r="C362" s="139" t="n"/>
      <x:c r="D362" s="139" t="n"/>
      <x:c r="E362" s="139" t="n"/>
      <x:c r="F362" s="139" t="n"/>
      <x:c r="G362" s="139" t="n"/>
      <x:c r="H362" s="139" t="n"/>
      <x:c r="I362" s="139" t="n"/>
      <x:c r="J362" s="139" t="n"/>
      <x:c r="K362" s="139" t="n"/>
      <x:c r="L362" s="139" t="n"/>
      <x:c r="M362" s="139" t="n"/>
      <x:c r="N362" s="139" t="n"/>
      <x:c r="O362" s="139" t="n"/>
      <x:c r="P362" s="139" t="n"/>
      <x:c r="Q362" s="139" t="n"/>
      <x:c r="R362" s="139" t="n"/>
      <x:c r="S362" s="139" t="n"/>
      <x:c r="T362" s="139" t="n"/>
      <x:c r="U362" s="139" t="n"/>
    </x:row>
    <x:row r="363">
      <x:c r="A363" s="139" t="n"/>
      <x:c r="B363" s="139" t="n"/>
      <x:c r="C363" s="139" t="n"/>
      <x:c r="D363" s="139" t="n"/>
      <x:c r="E363" s="139" t="n"/>
      <x:c r="F363" s="139" t="n"/>
      <x:c r="G363" s="139" t="n"/>
      <x:c r="H363" s="139" t="n"/>
      <x:c r="I363" s="139" t="n"/>
      <x:c r="J363" s="139" t="n"/>
      <x:c r="K363" s="139" t="n"/>
      <x:c r="L363" s="139" t="n"/>
      <x:c r="M363" s="139" t="n"/>
      <x:c r="N363" s="139" t="n"/>
      <x:c r="O363" s="139" t="n"/>
      <x:c r="P363" s="139" t="n"/>
      <x:c r="Q363" s="139" t="n"/>
      <x:c r="R363" s="139" t="n"/>
      <x:c r="S363" s="139" t="n"/>
      <x:c r="T363" s="139" t="n"/>
      <x:c r="U363" s="139" t="n"/>
    </x:row>
    <x:row r="364">
      <x:c r="A364" s="139" t="n"/>
      <x:c r="B364" s="139" t="n"/>
      <x:c r="C364" s="139" t="n"/>
      <x:c r="D364" s="139" t="n"/>
      <x:c r="E364" s="139" t="n"/>
      <x:c r="F364" s="139" t="n"/>
      <x:c r="G364" s="139" t="n"/>
      <x:c r="H364" s="139" t="n"/>
      <x:c r="I364" s="139" t="n"/>
      <x:c r="J364" s="139" t="n"/>
      <x:c r="K364" s="139" t="n"/>
      <x:c r="L364" s="139" t="n"/>
      <x:c r="M364" s="139" t="n"/>
      <x:c r="N364" s="139" t="n"/>
      <x:c r="O364" s="139" t="n"/>
      <x:c r="P364" s="139" t="n"/>
      <x:c r="Q364" s="139" t="n"/>
      <x:c r="R364" s="139" t="n"/>
      <x:c r="S364" s="139" t="n"/>
      <x:c r="T364" s="139" t="n"/>
      <x:c r="U364" s="139" t="n"/>
    </x:row>
    <x:row r="365">
      <x:c r="A365" s="139" t="n"/>
      <x:c r="B365" s="139" t="n"/>
      <x:c r="C365" s="139" t="n"/>
      <x:c r="D365" s="139" t="n"/>
      <x:c r="E365" s="139" t="n"/>
      <x:c r="F365" s="139" t="n"/>
      <x:c r="G365" s="139" t="n"/>
      <x:c r="H365" s="139" t="n"/>
      <x:c r="I365" s="139" t="n"/>
      <x:c r="J365" s="139" t="n"/>
      <x:c r="K365" s="139" t="n"/>
      <x:c r="L365" s="139" t="n"/>
      <x:c r="M365" s="139" t="n"/>
      <x:c r="N365" s="139" t="n"/>
      <x:c r="O365" s="139" t="n"/>
      <x:c r="P365" s="139" t="n"/>
      <x:c r="Q365" s="139" t="n"/>
      <x:c r="R365" s="139" t="n"/>
      <x:c r="S365" s="139" t="n"/>
      <x:c r="T365" s="139" t="n"/>
      <x:c r="U365" s="139" t="n"/>
    </x:row>
    <x:row r="366">
      <x:c r="A366" s="139" t="n"/>
      <x:c r="B366" s="139" t="n"/>
      <x:c r="C366" s="139" t="n"/>
      <x:c r="D366" s="139" t="n"/>
      <x:c r="E366" s="139" t="n"/>
      <x:c r="F366" s="139" t="n"/>
      <x:c r="G366" s="139" t="n"/>
      <x:c r="H366" s="139" t="n"/>
      <x:c r="I366" s="139" t="n"/>
      <x:c r="J366" s="139" t="n"/>
      <x:c r="K366" s="139" t="n"/>
      <x:c r="L366" s="139" t="n"/>
      <x:c r="M366" s="139" t="n"/>
      <x:c r="N366" s="139" t="n"/>
      <x:c r="O366" s="139" t="n"/>
      <x:c r="P366" s="139" t="n"/>
      <x:c r="Q366" s="139" t="n"/>
      <x:c r="R366" s="139" t="n"/>
      <x:c r="S366" s="139" t="n"/>
      <x:c r="T366" s="139" t="n"/>
      <x:c r="U366" s="139" t="n"/>
    </x:row>
    <x:row r="367">
      <x:c r="A367" s="139" t="n"/>
      <x:c r="B367" s="139" t="n"/>
      <x:c r="C367" s="139" t="n"/>
      <x:c r="D367" s="139" t="n"/>
      <x:c r="E367" s="139" t="n"/>
      <x:c r="F367" s="139" t="n"/>
      <x:c r="G367" s="139" t="n"/>
      <x:c r="H367" s="139" t="n"/>
      <x:c r="I367" s="139" t="n"/>
      <x:c r="J367" s="139" t="n"/>
      <x:c r="K367" s="139" t="n"/>
      <x:c r="L367" s="139" t="n"/>
      <x:c r="M367" s="139" t="n"/>
      <x:c r="N367" s="139" t="n"/>
      <x:c r="O367" s="139" t="n"/>
      <x:c r="P367" s="139" t="n"/>
      <x:c r="Q367" s="139" t="n"/>
      <x:c r="R367" s="139" t="n"/>
      <x:c r="S367" s="139" t="n"/>
      <x:c r="T367" s="139" t="n"/>
      <x:c r="U367" s="139" t="n"/>
    </x:row>
    <x:row r="368">
      <x:c r="A368" s="139" t="n"/>
      <x:c r="B368" s="139" t="n"/>
      <x:c r="C368" s="139" t="n"/>
      <x:c r="D368" s="139" t="n"/>
      <x:c r="E368" s="139" t="n"/>
      <x:c r="F368" s="139" t="n"/>
      <x:c r="G368" s="139" t="n"/>
      <x:c r="H368" s="139" t="n"/>
      <x:c r="I368" s="139" t="n"/>
      <x:c r="J368" s="139" t="n"/>
      <x:c r="K368" s="139" t="n"/>
      <x:c r="L368" s="139" t="n"/>
      <x:c r="M368" s="139" t="n"/>
      <x:c r="N368" s="139" t="n"/>
      <x:c r="O368" s="139" t="n"/>
      <x:c r="P368" s="139" t="n"/>
      <x:c r="Q368" s="139" t="n"/>
      <x:c r="R368" s="139" t="n"/>
      <x:c r="S368" s="139" t="n"/>
      <x:c r="T368" s="139" t="n"/>
      <x:c r="U368" s="139" t="n"/>
    </x:row>
    <x:row r="369">
      <x:c r="A369" s="139" t="n"/>
      <x:c r="B369" s="139" t="n"/>
      <x:c r="C369" s="139" t="n"/>
      <x:c r="D369" s="139" t="n"/>
      <x:c r="E369" s="139" t="n"/>
      <x:c r="F369" s="139" t="n"/>
      <x:c r="G369" s="139" t="n"/>
      <x:c r="H369" s="139" t="n"/>
      <x:c r="I369" s="139" t="n"/>
      <x:c r="J369" s="139" t="n"/>
      <x:c r="K369" s="139" t="n"/>
      <x:c r="L369" s="139" t="n"/>
      <x:c r="M369" s="139" t="n"/>
      <x:c r="N369" s="139" t="n"/>
      <x:c r="O369" s="139" t="n"/>
      <x:c r="P369" s="139" t="n"/>
      <x:c r="Q369" s="139" t="n"/>
      <x:c r="R369" s="139" t="n"/>
      <x:c r="S369" s="139" t="n"/>
      <x:c r="T369" s="139" t="n"/>
      <x:c r="U369" s="139" t="n"/>
    </x:row>
    <x:row r="370">
      <x:c r="A370" s="139" t="n"/>
      <x:c r="B370" s="139" t="n"/>
      <x:c r="C370" s="139" t="n"/>
      <x:c r="D370" s="139" t="n"/>
      <x:c r="E370" s="139" t="n"/>
      <x:c r="F370" s="139" t="n"/>
      <x:c r="G370" s="139" t="n"/>
      <x:c r="H370" s="139" t="n"/>
      <x:c r="I370" s="139" t="n"/>
      <x:c r="J370" s="139" t="n"/>
      <x:c r="K370" s="139" t="n"/>
      <x:c r="L370" s="139" t="n"/>
      <x:c r="M370" s="139" t="n"/>
      <x:c r="N370" s="139" t="n"/>
      <x:c r="O370" s="139" t="n"/>
      <x:c r="P370" s="139" t="n"/>
      <x:c r="Q370" s="139" t="n"/>
      <x:c r="R370" s="139" t="n"/>
      <x:c r="S370" s="139" t="n"/>
      <x:c r="T370" s="139" t="n"/>
      <x:c r="U370" s="139" t="n"/>
    </x:row>
    <x:row r="371">
      <x:c r="A371" s="139" t="n"/>
      <x:c r="B371" s="139" t="n"/>
      <x:c r="C371" s="139" t="n"/>
      <x:c r="D371" s="139" t="n"/>
      <x:c r="E371" s="139" t="n"/>
      <x:c r="F371" s="139" t="n"/>
      <x:c r="G371" s="139" t="n"/>
      <x:c r="H371" s="139" t="n"/>
      <x:c r="I371" s="139" t="n"/>
      <x:c r="J371" s="139" t="n"/>
      <x:c r="K371" s="139" t="n"/>
      <x:c r="L371" s="139" t="n"/>
      <x:c r="M371" s="139" t="n"/>
      <x:c r="N371" s="139" t="n"/>
      <x:c r="O371" s="139" t="n"/>
      <x:c r="P371" s="139" t="n"/>
      <x:c r="Q371" s="139" t="n"/>
      <x:c r="R371" s="139" t="n"/>
      <x:c r="S371" s="139" t="n"/>
      <x:c r="T371" s="139" t="n"/>
      <x:c r="U371" s="139" t="n"/>
    </x:row>
    <x:row r="372">
      <x:c r="A372" s="139" t="n"/>
      <x:c r="B372" s="139" t="n"/>
      <x:c r="C372" s="139" t="n"/>
      <x:c r="D372" s="139" t="n"/>
      <x:c r="E372" s="139" t="n"/>
      <x:c r="F372" s="139" t="n"/>
      <x:c r="G372" s="139" t="n"/>
      <x:c r="H372" s="139" t="n"/>
      <x:c r="I372" s="139" t="n"/>
      <x:c r="J372" s="139" t="n"/>
      <x:c r="K372" s="139" t="n"/>
      <x:c r="L372" s="139" t="n"/>
      <x:c r="M372" s="139" t="n"/>
      <x:c r="N372" s="139" t="n"/>
      <x:c r="O372" s="139" t="n"/>
      <x:c r="P372" s="139" t="n"/>
      <x:c r="Q372" s="139" t="n"/>
      <x:c r="R372" s="139" t="n"/>
      <x:c r="S372" s="139" t="n"/>
      <x:c r="T372" s="139" t="n"/>
      <x:c r="U372" s="139" t="n"/>
    </x:row>
    <x:row r="373">
      <x:c r="A373" s="139" t="n"/>
      <x:c r="B373" s="139" t="n"/>
      <x:c r="C373" s="139" t="n"/>
      <x:c r="D373" s="139" t="n"/>
      <x:c r="E373" s="139" t="n"/>
      <x:c r="F373" s="139" t="n"/>
      <x:c r="G373" s="139" t="n"/>
      <x:c r="H373" s="139" t="n"/>
      <x:c r="I373" s="139" t="n"/>
      <x:c r="J373" s="139" t="n"/>
      <x:c r="K373" s="139" t="n"/>
      <x:c r="L373" s="139" t="n"/>
      <x:c r="M373" s="139" t="n"/>
      <x:c r="N373" s="139" t="n"/>
      <x:c r="O373" s="139" t="n"/>
      <x:c r="P373" s="139" t="n"/>
      <x:c r="Q373" s="139" t="n"/>
      <x:c r="R373" s="139" t="n"/>
      <x:c r="S373" s="139" t="n"/>
      <x:c r="T373" s="139" t="n"/>
      <x:c r="U373" s="139" t="n"/>
    </x:row>
    <x:row r="374">
      <x:c r="A374" s="139" t="n"/>
      <x:c r="B374" s="139" t="n"/>
      <x:c r="C374" s="139" t="n"/>
      <x:c r="D374" s="139" t="n"/>
      <x:c r="E374" s="139" t="n"/>
      <x:c r="F374" s="139" t="n"/>
      <x:c r="G374" s="139" t="n"/>
      <x:c r="H374" s="139" t="n"/>
      <x:c r="I374" s="139" t="n"/>
      <x:c r="J374" s="139" t="n"/>
      <x:c r="K374" s="139" t="n"/>
      <x:c r="L374" s="139" t="n"/>
      <x:c r="M374" s="139" t="n"/>
      <x:c r="N374" s="139" t="n"/>
      <x:c r="O374" s="139" t="n"/>
      <x:c r="P374" s="139" t="n"/>
      <x:c r="Q374" s="139" t="n"/>
      <x:c r="R374" s="139" t="n"/>
      <x:c r="S374" s="139" t="n"/>
      <x:c r="T374" s="139" t="n"/>
      <x:c r="U374" s="139" t="n"/>
    </x:row>
    <x:row r="375">
      <x:c r="A375" s="139" t="n"/>
      <x:c r="B375" s="139" t="n"/>
      <x:c r="C375" s="139" t="n"/>
      <x:c r="D375" s="139" t="n"/>
      <x:c r="E375" s="139" t="n"/>
      <x:c r="F375" s="139" t="n"/>
      <x:c r="G375" s="139" t="n"/>
      <x:c r="H375" s="139" t="n"/>
      <x:c r="I375" s="139" t="n"/>
      <x:c r="J375" s="139" t="n"/>
      <x:c r="K375" s="139" t="n"/>
      <x:c r="L375" s="139" t="n"/>
      <x:c r="M375" s="139" t="n"/>
      <x:c r="N375" s="139" t="n"/>
      <x:c r="O375" s="139" t="n"/>
      <x:c r="P375" s="139" t="n"/>
      <x:c r="Q375" s="139" t="n"/>
      <x:c r="R375" s="139" t="n"/>
      <x:c r="S375" s="139" t="n"/>
      <x:c r="T375" s="139" t="n"/>
      <x:c r="U375" s="139" t="n"/>
    </x:row>
    <x:row r="376">
      <x:c r="A376" s="139" t="n"/>
      <x:c r="B376" s="139" t="n"/>
      <x:c r="C376" s="139" t="n"/>
      <x:c r="D376" s="139" t="n"/>
      <x:c r="E376" s="139" t="n"/>
      <x:c r="F376" s="139" t="n"/>
      <x:c r="G376" s="139" t="n"/>
      <x:c r="H376" s="139" t="n"/>
      <x:c r="I376" s="139" t="n"/>
      <x:c r="J376" s="139" t="n"/>
      <x:c r="K376" s="139" t="n"/>
      <x:c r="L376" s="139" t="n"/>
      <x:c r="M376" s="139" t="n"/>
      <x:c r="N376" s="139" t="n"/>
      <x:c r="O376" s="139" t="n"/>
      <x:c r="P376" s="139" t="n"/>
      <x:c r="Q376" s="139" t="n"/>
      <x:c r="R376" s="139" t="n"/>
      <x:c r="S376" s="139" t="n"/>
      <x:c r="T376" s="139" t="n"/>
      <x:c r="U376" s="139" t="n"/>
    </x:row>
    <x:row r="377">
      <x:c r="A377" s="139" t="n"/>
      <x:c r="B377" s="139" t="n"/>
      <x:c r="C377" s="139" t="n"/>
      <x:c r="D377" s="139" t="n"/>
      <x:c r="E377" s="139" t="n"/>
      <x:c r="F377" s="139" t="n"/>
      <x:c r="G377" s="139" t="n"/>
      <x:c r="H377" s="139" t="n"/>
      <x:c r="I377" s="139" t="n"/>
      <x:c r="J377" s="139" t="n"/>
      <x:c r="K377" s="139" t="n"/>
      <x:c r="L377" s="139" t="n"/>
      <x:c r="M377" s="139" t="n"/>
      <x:c r="N377" s="139" t="n"/>
      <x:c r="O377" s="139" t="n"/>
      <x:c r="P377" s="139" t="n"/>
      <x:c r="Q377" s="139" t="n"/>
      <x:c r="R377" s="139" t="n"/>
      <x:c r="S377" s="139" t="n"/>
      <x:c r="T377" s="139" t="n"/>
      <x:c r="U377" s="139" t="n"/>
    </x:row>
    <x:row r="378">
      <x:c r="A378" s="139" t="n"/>
      <x:c r="B378" s="139" t="n"/>
      <x:c r="C378" s="139" t="n"/>
      <x:c r="D378" s="139" t="n"/>
      <x:c r="E378" s="139" t="n"/>
      <x:c r="F378" s="139" t="n"/>
      <x:c r="G378" s="139" t="n"/>
      <x:c r="H378" s="139" t="n"/>
      <x:c r="I378" s="139" t="n"/>
      <x:c r="J378" s="139" t="n"/>
      <x:c r="K378" s="139" t="n"/>
      <x:c r="L378" s="139" t="n"/>
      <x:c r="M378" s="139" t="n"/>
      <x:c r="N378" s="139" t="n"/>
      <x:c r="O378" s="139" t="n"/>
      <x:c r="P378" s="139" t="n"/>
      <x:c r="Q378" s="139" t="n"/>
      <x:c r="R378" s="139" t="n"/>
      <x:c r="S378" s="139" t="n"/>
      <x:c r="T378" s="139" t="n"/>
      <x:c r="U378" s="139" t="n"/>
    </x:row>
    <x:row r="379">
      <x:c r="A379" s="139" t="n"/>
      <x:c r="B379" s="139" t="n"/>
      <x:c r="C379" s="139" t="n"/>
      <x:c r="D379" s="139" t="n"/>
      <x:c r="E379" s="139" t="n"/>
      <x:c r="F379" s="139" t="n"/>
      <x:c r="G379" s="139" t="n"/>
      <x:c r="H379" s="139" t="n"/>
      <x:c r="I379" s="139" t="n"/>
      <x:c r="J379" s="139" t="n"/>
      <x:c r="K379" s="139" t="n"/>
      <x:c r="L379" s="139" t="n"/>
      <x:c r="M379" s="139" t="n"/>
      <x:c r="N379" s="139" t="n"/>
      <x:c r="O379" s="139" t="n"/>
      <x:c r="P379" s="139" t="n"/>
      <x:c r="Q379" s="139" t="n"/>
      <x:c r="R379" s="139" t="n"/>
      <x:c r="S379" s="139" t="n"/>
      <x:c r="T379" s="139" t="n"/>
      <x:c r="U379" s="139" t="n"/>
    </x:row>
    <x:row r="380">
      <x:c r="A380" s="139" t="n"/>
      <x:c r="B380" s="139" t="n"/>
      <x:c r="C380" s="139" t="n"/>
      <x:c r="D380" s="139" t="n"/>
      <x:c r="E380" s="139" t="n"/>
      <x:c r="F380" s="139" t="n"/>
      <x:c r="G380" s="139" t="n"/>
      <x:c r="H380" s="139" t="n"/>
      <x:c r="I380" s="139" t="n"/>
      <x:c r="J380" s="139" t="n"/>
      <x:c r="K380" s="139" t="n"/>
      <x:c r="L380" s="139" t="n"/>
      <x:c r="M380" s="139" t="n"/>
      <x:c r="N380" s="139" t="n"/>
      <x:c r="O380" s="139" t="n"/>
      <x:c r="P380" s="139" t="n"/>
      <x:c r="Q380" s="139" t="n"/>
      <x:c r="R380" s="139" t="n"/>
      <x:c r="S380" s="139" t="n"/>
      <x:c r="T380" s="139" t="n"/>
      <x:c r="U380" s="139" t="n"/>
    </x:row>
    <x:row r="381">
      <x:c r="A381" s="139" t="n"/>
      <x:c r="B381" s="139" t="n"/>
      <x:c r="C381" s="139" t="n"/>
      <x:c r="D381" s="139" t="n"/>
      <x:c r="E381" s="139" t="n"/>
      <x:c r="F381" s="139" t="n"/>
      <x:c r="G381" s="139" t="n"/>
      <x:c r="H381" s="139" t="n"/>
      <x:c r="I381" s="139" t="n"/>
      <x:c r="J381" s="139" t="n"/>
      <x:c r="K381" s="139" t="n"/>
      <x:c r="L381" s="139" t="n"/>
      <x:c r="M381" s="139" t="n"/>
      <x:c r="N381" s="139" t="n"/>
      <x:c r="O381" s="139" t="n"/>
      <x:c r="P381" s="139" t="n"/>
      <x:c r="Q381" s="139" t="n"/>
      <x:c r="R381" s="139" t="n"/>
      <x:c r="S381" s="139" t="n"/>
      <x:c r="T381" s="139" t="n"/>
      <x:c r="U381" s="139" t="n"/>
    </x:row>
    <x:row r="382">
      <x:c r="A382" s="139" t="n"/>
      <x:c r="B382" s="139" t="n"/>
      <x:c r="C382" s="139" t="n"/>
      <x:c r="D382" s="139" t="n"/>
      <x:c r="E382" s="139" t="n"/>
      <x:c r="F382" s="139" t="n"/>
      <x:c r="G382" s="139" t="n"/>
      <x:c r="H382" s="139" t="n"/>
      <x:c r="I382" s="139" t="n"/>
      <x:c r="J382" s="139" t="n"/>
      <x:c r="K382" s="139" t="n"/>
      <x:c r="L382" s="139" t="n"/>
      <x:c r="M382" s="139" t="n"/>
      <x:c r="N382" s="139" t="n"/>
      <x:c r="O382" s="139" t="n"/>
      <x:c r="P382" s="139" t="n"/>
      <x:c r="Q382" s="139" t="n"/>
      <x:c r="R382" s="139" t="n"/>
      <x:c r="S382" s="139" t="n"/>
      <x:c r="T382" s="139" t="n"/>
      <x:c r="U382" s="139" t="n"/>
    </x:row>
    <x:row r="383">
      <x:c r="A383" s="139" t="n"/>
      <x:c r="B383" s="139" t="n"/>
      <x:c r="C383" s="139" t="n"/>
      <x:c r="D383" s="139" t="n"/>
      <x:c r="E383" s="139" t="n"/>
      <x:c r="F383" s="139" t="n"/>
      <x:c r="G383" s="139" t="n"/>
      <x:c r="H383" s="139" t="n"/>
      <x:c r="I383" s="139" t="n"/>
      <x:c r="J383" s="139" t="n"/>
      <x:c r="K383" s="139" t="n"/>
      <x:c r="L383" s="139" t="n"/>
      <x:c r="M383" s="139" t="n"/>
      <x:c r="N383" s="139" t="n"/>
      <x:c r="O383" s="139" t="n"/>
      <x:c r="P383" s="139" t="n"/>
      <x:c r="Q383" s="139" t="n"/>
      <x:c r="R383" s="139" t="n"/>
      <x:c r="S383" s="139" t="n"/>
      <x:c r="T383" s="139" t="n"/>
      <x:c r="U383" s="139" t="n"/>
    </x:row>
    <x:row r="384">
      <x:c r="A384" s="139" t="n"/>
      <x:c r="B384" s="139" t="n"/>
      <x:c r="C384" s="139" t="n"/>
      <x:c r="D384" s="139" t="n"/>
      <x:c r="E384" s="139" t="n"/>
      <x:c r="F384" s="139" t="n"/>
      <x:c r="G384" s="139" t="n"/>
      <x:c r="H384" s="139" t="n"/>
      <x:c r="I384" s="139" t="n"/>
      <x:c r="J384" s="139" t="n"/>
      <x:c r="K384" s="139" t="n"/>
      <x:c r="L384" s="139" t="n"/>
      <x:c r="M384" s="139" t="n"/>
      <x:c r="N384" s="139" t="n"/>
      <x:c r="O384" s="139" t="n"/>
      <x:c r="P384" s="139" t="n"/>
      <x:c r="Q384" s="139" t="n"/>
      <x:c r="R384" s="139" t="n"/>
      <x:c r="S384" s="139" t="n"/>
      <x:c r="T384" s="139" t="n"/>
      <x:c r="U384" s="139" t="n"/>
    </x:row>
    <x:row r="385">
      <x:c r="A385" s="139" t="n"/>
      <x:c r="B385" s="139" t="n"/>
      <x:c r="C385" s="139" t="n"/>
      <x:c r="D385" s="139" t="n"/>
      <x:c r="E385" s="139" t="n"/>
      <x:c r="F385" s="139" t="n"/>
      <x:c r="G385" s="139" t="n"/>
      <x:c r="H385" s="139" t="n"/>
      <x:c r="I385" s="139" t="n"/>
      <x:c r="J385" s="139" t="n"/>
      <x:c r="K385" s="139" t="n"/>
      <x:c r="L385" s="139" t="n"/>
      <x:c r="M385" s="139" t="n"/>
      <x:c r="N385" s="139" t="n"/>
      <x:c r="O385" s="139" t="n"/>
      <x:c r="P385" s="139" t="n"/>
      <x:c r="Q385" s="139" t="n"/>
      <x:c r="R385" s="139" t="n"/>
      <x:c r="S385" s="139" t="n"/>
      <x:c r="T385" s="139" t="n"/>
      <x:c r="U385" s="139" t="n"/>
    </x:row>
    <x:row r="386">
      <x:c r="A386" s="139" t="n"/>
      <x:c r="B386" s="139" t="n"/>
      <x:c r="C386" s="139" t="n"/>
      <x:c r="D386" s="139" t="n"/>
      <x:c r="E386" s="139" t="n"/>
      <x:c r="F386" s="139" t="n"/>
      <x:c r="G386" s="139" t="n"/>
      <x:c r="H386" s="139" t="n"/>
      <x:c r="I386" s="139" t="n"/>
      <x:c r="J386" s="139" t="n"/>
      <x:c r="K386" s="139" t="n"/>
      <x:c r="L386" s="139" t="n"/>
      <x:c r="M386" s="139" t="n"/>
      <x:c r="N386" s="139" t="n"/>
      <x:c r="O386" s="139" t="n"/>
      <x:c r="P386" s="139" t="n"/>
      <x:c r="Q386" s="139" t="n"/>
      <x:c r="R386" s="139" t="n"/>
      <x:c r="S386" s="139" t="n"/>
      <x:c r="T386" s="139" t="n"/>
      <x:c r="U386" s="139" t="n"/>
    </x:row>
    <x:row r="387">
      <x:c r="A387" s="139" t="n"/>
      <x:c r="B387" s="139" t="n"/>
      <x:c r="C387" s="139" t="n"/>
      <x:c r="D387" s="139" t="n"/>
      <x:c r="E387" s="139" t="n"/>
      <x:c r="F387" s="139" t="n"/>
      <x:c r="G387" s="139" t="n"/>
      <x:c r="H387" s="139" t="n"/>
      <x:c r="I387" s="139" t="n"/>
      <x:c r="J387" s="139" t="n"/>
      <x:c r="K387" s="139" t="n"/>
      <x:c r="L387" s="139" t="n"/>
      <x:c r="M387" s="139" t="n"/>
      <x:c r="N387" s="139" t="n"/>
      <x:c r="O387" s="139" t="n"/>
      <x:c r="P387" s="139" t="n"/>
      <x:c r="Q387" s="139" t="n"/>
      <x:c r="R387" s="139" t="n"/>
      <x:c r="S387" s="139" t="n"/>
      <x:c r="T387" s="139" t="n"/>
      <x:c r="U387" s="139" t="n"/>
    </x:row>
    <x:row r="388">
      <x:c r="A388" s="139" t="n"/>
      <x:c r="B388" s="139" t="n"/>
      <x:c r="C388" s="139" t="n"/>
      <x:c r="D388" s="139" t="n"/>
      <x:c r="E388" s="139" t="n"/>
      <x:c r="F388" s="139" t="n"/>
      <x:c r="G388" s="139" t="n"/>
      <x:c r="H388" s="139" t="n"/>
      <x:c r="I388" s="139" t="n"/>
      <x:c r="J388" s="139" t="n"/>
      <x:c r="K388" s="139" t="n"/>
      <x:c r="L388" s="139" t="n"/>
      <x:c r="M388" s="139" t="n"/>
      <x:c r="N388" s="139" t="n"/>
      <x:c r="O388" s="139" t="n"/>
      <x:c r="P388" s="139" t="n"/>
      <x:c r="Q388" s="139" t="n"/>
      <x:c r="R388" s="139" t="n"/>
      <x:c r="S388" s="139" t="n"/>
      <x:c r="T388" s="139" t="n"/>
      <x:c r="U388" s="139" t="n"/>
    </x:row>
    <x:row r="389">
      <x:c r="A389" s="139" t="n"/>
      <x:c r="B389" s="139" t="n"/>
      <x:c r="C389" s="139" t="n"/>
      <x:c r="D389" s="139" t="n"/>
      <x:c r="E389" s="139" t="n"/>
      <x:c r="F389" s="139" t="n"/>
      <x:c r="G389" s="139" t="n"/>
      <x:c r="H389" s="139" t="n"/>
      <x:c r="I389" s="139" t="n"/>
      <x:c r="J389" s="139" t="n"/>
      <x:c r="K389" s="139" t="n"/>
      <x:c r="L389" s="139" t="n"/>
      <x:c r="M389" s="139" t="n"/>
      <x:c r="N389" s="139" t="n"/>
      <x:c r="O389" s="139" t="n"/>
      <x:c r="P389" s="139" t="n"/>
      <x:c r="Q389" s="139" t="n"/>
      <x:c r="R389" s="139" t="n"/>
      <x:c r="S389" s="139" t="n"/>
      <x:c r="T389" s="139" t="n"/>
      <x:c r="U389" s="139" t="n"/>
    </x:row>
    <x:row r="390">
      <x:c r="A390" s="139" t="n"/>
      <x:c r="B390" s="139" t="n"/>
      <x:c r="C390" s="139" t="n"/>
      <x:c r="D390" s="139" t="n"/>
      <x:c r="E390" s="139" t="n"/>
      <x:c r="F390" s="139" t="n"/>
      <x:c r="G390" s="139" t="n"/>
      <x:c r="H390" s="139" t="n"/>
      <x:c r="I390" s="139" t="n"/>
      <x:c r="J390" s="139" t="n"/>
      <x:c r="K390" s="139" t="n"/>
      <x:c r="L390" s="139" t="n"/>
      <x:c r="M390" s="139" t="n"/>
      <x:c r="N390" s="139" t="n"/>
      <x:c r="O390" s="139" t="n"/>
      <x:c r="P390" s="139" t="n"/>
      <x:c r="Q390" s="139" t="n"/>
      <x:c r="R390" s="139" t="n"/>
      <x:c r="S390" s="139" t="n"/>
      <x:c r="T390" s="139" t="n"/>
      <x:c r="U390" s="139" t="n"/>
    </x:row>
    <x:row r="391">
      <x:c r="A391" s="139" t="n"/>
      <x:c r="B391" s="139" t="n"/>
      <x:c r="C391" s="139" t="n"/>
      <x:c r="D391" s="139" t="n"/>
      <x:c r="E391" s="139" t="n"/>
      <x:c r="F391" s="139" t="n"/>
      <x:c r="G391" s="139" t="n"/>
      <x:c r="H391" s="139" t="n"/>
      <x:c r="I391" s="139" t="n"/>
      <x:c r="J391" s="139" t="n"/>
      <x:c r="K391" s="139" t="n"/>
      <x:c r="L391" s="139" t="n"/>
      <x:c r="M391" s="139" t="n"/>
      <x:c r="N391" s="139" t="n"/>
      <x:c r="O391" s="139" t="n"/>
      <x:c r="P391" s="139" t="n"/>
      <x:c r="Q391" s="139" t="n"/>
      <x:c r="R391" s="139" t="n"/>
      <x:c r="S391" s="139" t="n"/>
      <x:c r="T391" s="139" t="n"/>
      <x:c r="U391" s="139" t="n"/>
    </x:row>
    <x:row r="392">
      <x:c r="A392" s="139" t="n"/>
      <x:c r="B392" s="139" t="n"/>
      <x:c r="C392" s="139" t="n"/>
      <x:c r="D392" s="139" t="n"/>
      <x:c r="E392" s="139" t="n"/>
      <x:c r="F392" s="139" t="n"/>
      <x:c r="G392" s="139" t="n"/>
      <x:c r="H392" s="139" t="n"/>
      <x:c r="I392" s="139" t="n"/>
      <x:c r="J392" s="139" t="n"/>
      <x:c r="K392" s="139" t="n"/>
      <x:c r="L392" s="139" t="n"/>
      <x:c r="M392" s="139" t="n"/>
      <x:c r="N392" s="139" t="n"/>
      <x:c r="O392" s="139" t="n"/>
      <x:c r="P392" s="139" t="n"/>
      <x:c r="Q392" s="139" t="n"/>
      <x:c r="R392" s="139" t="n"/>
      <x:c r="S392" s="139" t="n"/>
      <x:c r="T392" s="139" t="n"/>
      <x:c r="U392" s="139" t="n"/>
    </x:row>
    <x:row r="393">
      <x:c r="A393" s="139" t="n"/>
      <x:c r="B393" s="139" t="n"/>
      <x:c r="C393" s="139" t="n"/>
      <x:c r="D393" s="139" t="n"/>
      <x:c r="E393" s="139" t="n"/>
      <x:c r="F393" s="139" t="n"/>
      <x:c r="G393" s="139" t="n"/>
      <x:c r="H393" s="139" t="n"/>
      <x:c r="I393" s="139" t="n"/>
      <x:c r="J393" s="139" t="n"/>
      <x:c r="K393" s="139" t="n"/>
      <x:c r="L393" s="139" t="n"/>
      <x:c r="M393" s="139" t="n"/>
      <x:c r="N393" s="139" t="n"/>
      <x:c r="O393" s="139" t="n"/>
      <x:c r="P393" s="139" t="n"/>
      <x:c r="Q393" s="139" t="n"/>
      <x:c r="R393" s="139" t="n"/>
      <x:c r="S393" s="139" t="n"/>
      <x:c r="T393" s="139" t="n"/>
      <x:c r="U393" s="139" t="n"/>
    </x:row>
    <x:row r="394">
      <x:c r="A394" s="139" t="n"/>
      <x:c r="B394" s="139" t="n"/>
      <x:c r="C394" s="139" t="n"/>
      <x:c r="D394" s="139" t="n"/>
      <x:c r="E394" s="139" t="n"/>
      <x:c r="F394" s="139" t="n"/>
      <x:c r="G394" s="139" t="n"/>
      <x:c r="H394" s="139" t="n"/>
      <x:c r="I394" s="139" t="n"/>
      <x:c r="J394" s="139" t="n"/>
      <x:c r="K394" s="139" t="n"/>
      <x:c r="L394" s="139" t="n"/>
      <x:c r="M394" s="139" t="n"/>
      <x:c r="N394" s="139" t="n"/>
      <x:c r="O394" s="139" t="n"/>
      <x:c r="P394" s="139" t="n"/>
      <x:c r="Q394" s="139" t="n"/>
      <x:c r="R394" s="139" t="n"/>
      <x:c r="S394" s="139" t="n"/>
      <x:c r="T394" s="139" t="n"/>
      <x:c r="U394" s="139" t="n"/>
    </x:row>
    <x:row r="395">
      <x:c r="A395" s="139" t="n"/>
      <x:c r="B395" s="139" t="n"/>
      <x:c r="C395" s="139" t="n"/>
      <x:c r="D395" s="139" t="n"/>
      <x:c r="E395" s="139" t="n"/>
      <x:c r="F395" s="139" t="n"/>
      <x:c r="G395" s="139" t="n"/>
      <x:c r="H395" s="139" t="n"/>
      <x:c r="I395" s="139" t="n"/>
      <x:c r="J395" s="139" t="n"/>
      <x:c r="K395" s="139" t="n"/>
      <x:c r="L395" s="139" t="n"/>
      <x:c r="M395" s="139" t="n"/>
      <x:c r="N395" s="139" t="n"/>
      <x:c r="O395" s="139" t="n"/>
      <x:c r="P395" s="139" t="n"/>
      <x:c r="Q395" s="139" t="n"/>
      <x:c r="R395" s="139" t="n"/>
      <x:c r="S395" s="139" t="n"/>
      <x:c r="T395" s="139" t="n"/>
      <x:c r="U395" s="139" t="n"/>
    </x:row>
    <x:row r="396">
      <x:c r="A396" s="139" t="n"/>
      <x:c r="B396" s="139" t="n"/>
      <x:c r="C396" s="139" t="n"/>
      <x:c r="D396" s="139" t="n"/>
      <x:c r="E396" s="139" t="n"/>
      <x:c r="F396" s="139" t="n"/>
      <x:c r="G396" s="139" t="n"/>
      <x:c r="H396" s="139" t="n"/>
      <x:c r="I396" s="139" t="n"/>
      <x:c r="J396" s="139" t="n"/>
      <x:c r="K396" s="139" t="n"/>
      <x:c r="L396" s="139" t="n"/>
      <x:c r="M396" s="139" t="n"/>
      <x:c r="N396" s="139" t="n"/>
      <x:c r="O396" s="139" t="n"/>
      <x:c r="P396" s="139" t="n"/>
      <x:c r="Q396" s="139" t="n"/>
      <x:c r="R396" s="139" t="n"/>
      <x:c r="S396" s="139" t="n"/>
      <x:c r="T396" s="139" t="n"/>
      <x:c r="U396" s="139" t="n"/>
    </x:row>
    <x:row r="397">
      <x:c r="A397" s="139" t="n"/>
      <x:c r="B397" s="139" t="n"/>
      <x:c r="C397" s="139" t="n"/>
      <x:c r="D397" s="139" t="n"/>
      <x:c r="E397" s="139" t="n"/>
      <x:c r="F397" s="139" t="n"/>
      <x:c r="G397" s="139" t="n"/>
      <x:c r="H397" s="139" t="n"/>
      <x:c r="I397" s="139" t="n"/>
      <x:c r="J397" s="139" t="n"/>
      <x:c r="K397" s="139" t="n"/>
      <x:c r="L397" s="139" t="n"/>
      <x:c r="M397" s="139" t="n"/>
      <x:c r="N397" s="139" t="n"/>
      <x:c r="O397" s="139" t="n"/>
      <x:c r="P397" s="139" t="n"/>
      <x:c r="Q397" s="139" t="n"/>
      <x:c r="R397" s="139" t="n"/>
      <x:c r="S397" s="139" t="n"/>
      <x:c r="T397" s="139" t="n"/>
      <x:c r="U397" s="139" t="n"/>
    </x:row>
    <x:row r="398">
      <x:c r="A398" s="139" t="n"/>
      <x:c r="B398" s="139" t="n"/>
      <x:c r="C398" s="139" t="n"/>
      <x:c r="D398" s="139" t="n"/>
      <x:c r="E398" s="139" t="n"/>
      <x:c r="F398" s="139" t="n"/>
      <x:c r="G398" s="139" t="n"/>
      <x:c r="H398" s="139" t="n"/>
      <x:c r="I398" s="139" t="n"/>
      <x:c r="J398" s="139" t="n"/>
      <x:c r="K398" s="139" t="n"/>
      <x:c r="L398" s="139" t="n"/>
      <x:c r="M398" s="139" t="n"/>
      <x:c r="N398" s="139" t="n"/>
      <x:c r="O398" s="139" t="n"/>
      <x:c r="P398" s="139" t="n"/>
      <x:c r="Q398" s="139" t="n"/>
      <x:c r="R398" s="139" t="n"/>
      <x:c r="S398" s="139" t="n"/>
      <x:c r="T398" s="139" t="n"/>
      <x:c r="U398" s="139" t="n"/>
    </x:row>
    <x:row r="399">
      <x:c r="A399" s="139" t="n"/>
      <x:c r="B399" s="139" t="n"/>
      <x:c r="C399" s="139" t="n"/>
      <x:c r="D399" s="139" t="n"/>
      <x:c r="E399" s="139" t="n"/>
      <x:c r="F399" s="139" t="n"/>
      <x:c r="G399" s="139" t="n"/>
      <x:c r="H399" s="139" t="n"/>
      <x:c r="I399" s="139" t="n"/>
      <x:c r="J399" s="139" t="n"/>
      <x:c r="K399" s="139" t="n"/>
      <x:c r="L399" s="139" t="n"/>
      <x:c r="M399" s="139" t="n"/>
      <x:c r="N399" s="139" t="n"/>
      <x:c r="O399" s="139" t="n"/>
      <x:c r="P399" s="139" t="n"/>
      <x:c r="Q399" s="139" t="n"/>
      <x:c r="R399" s="139" t="n"/>
      <x:c r="S399" s="139" t="n"/>
      <x:c r="T399" s="139" t="n"/>
      <x:c r="U399" s="139" t="n"/>
    </x:row>
    <x:row r="400">
      <x:c r="A400" s="139" t="n"/>
      <x:c r="B400" s="139" t="n"/>
      <x:c r="C400" s="139" t="n"/>
      <x:c r="D400" s="139" t="n"/>
      <x:c r="E400" s="139" t="n"/>
      <x:c r="F400" s="139" t="n"/>
      <x:c r="G400" s="139" t="n"/>
      <x:c r="H400" s="139" t="n"/>
      <x:c r="I400" s="139" t="n"/>
      <x:c r="J400" s="139" t="n"/>
      <x:c r="K400" s="139" t="n"/>
      <x:c r="L400" s="139" t="n"/>
      <x:c r="M400" s="139" t="n"/>
      <x:c r="N400" s="139" t="n"/>
      <x:c r="O400" s="139" t="n"/>
      <x:c r="P400" s="139" t="n"/>
      <x:c r="Q400" s="139" t="n"/>
      <x:c r="R400" s="139" t="n"/>
      <x:c r="S400" s="139" t="n"/>
      <x:c r="T400" s="139" t="n"/>
      <x:c r="U400" s="139" t="n"/>
    </x:row>
    <x:row r="401">
      <x:c r="A401" s="139" t="n"/>
      <x:c r="B401" s="139" t="n"/>
      <x:c r="C401" s="139" t="n"/>
      <x:c r="D401" s="139" t="n"/>
      <x:c r="E401" s="139" t="n"/>
      <x:c r="F401" s="139" t="n"/>
      <x:c r="G401" s="139" t="n"/>
      <x:c r="H401" s="139" t="n"/>
      <x:c r="I401" s="139" t="n"/>
      <x:c r="J401" s="139" t="n"/>
      <x:c r="K401" s="139" t="n"/>
      <x:c r="L401" s="139" t="n"/>
      <x:c r="M401" s="139" t="n"/>
      <x:c r="N401" s="139" t="n"/>
      <x:c r="O401" s="139" t="n"/>
      <x:c r="P401" s="139" t="n"/>
      <x:c r="Q401" s="139" t="n"/>
      <x:c r="R401" s="139" t="n"/>
      <x:c r="S401" s="139" t="n"/>
      <x:c r="T401" s="139" t="n"/>
      <x:c r="U401" s="139" t="n"/>
    </x:row>
    <x:row r="402">
      <x:c r="A402" s="139" t="n"/>
      <x:c r="B402" s="139" t="n"/>
      <x:c r="C402" s="139" t="n"/>
      <x:c r="D402" s="139" t="n"/>
      <x:c r="E402" s="139" t="n"/>
      <x:c r="F402" s="139" t="n"/>
      <x:c r="G402" s="139" t="n"/>
      <x:c r="H402" s="139" t="n"/>
      <x:c r="I402" s="139" t="n"/>
      <x:c r="J402" s="139" t="n"/>
      <x:c r="K402" s="139" t="n"/>
      <x:c r="L402" s="139" t="n"/>
      <x:c r="M402" s="139" t="n"/>
      <x:c r="N402" s="139" t="n"/>
      <x:c r="O402" s="139" t="n"/>
      <x:c r="P402" s="139" t="n"/>
      <x:c r="Q402" s="139" t="n"/>
      <x:c r="R402" s="139" t="n"/>
      <x:c r="S402" s="139" t="n"/>
      <x:c r="T402" s="139" t="n"/>
      <x:c r="U402" s="139" t="n"/>
    </x:row>
    <x:row r="403">
      <x:c r="A403" s="139" t="n"/>
      <x:c r="B403" s="139" t="n"/>
      <x:c r="C403" s="139" t="n"/>
      <x:c r="D403" s="139" t="n"/>
      <x:c r="E403" s="139" t="n"/>
      <x:c r="F403" s="139" t="n"/>
      <x:c r="G403" s="139" t="n"/>
      <x:c r="H403" s="139" t="n"/>
      <x:c r="I403" s="139" t="n"/>
      <x:c r="J403" s="139" t="n"/>
      <x:c r="K403" s="139" t="n"/>
      <x:c r="L403" s="139" t="n"/>
      <x:c r="M403" s="139" t="n"/>
      <x:c r="N403" s="139" t="n"/>
      <x:c r="O403" s="139" t="n"/>
      <x:c r="P403" s="139" t="n"/>
      <x:c r="Q403" s="139" t="n"/>
      <x:c r="R403" s="139" t="n"/>
      <x:c r="S403" s="139" t="n"/>
      <x:c r="T403" s="139" t="n"/>
      <x:c r="U403" s="139" t="n"/>
    </x:row>
    <x:row r="404">
      <x:c r="A404" s="139" t="n"/>
      <x:c r="B404" s="139" t="n"/>
      <x:c r="C404" s="139" t="n"/>
      <x:c r="D404" s="139" t="n"/>
      <x:c r="E404" s="139" t="n"/>
      <x:c r="F404" s="139" t="n"/>
      <x:c r="G404" s="139" t="n"/>
      <x:c r="H404" s="139" t="n"/>
      <x:c r="I404" s="139" t="n"/>
      <x:c r="J404" s="139" t="n"/>
      <x:c r="K404" s="139" t="n"/>
      <x:c r="L404" s="139" t="n"/>
      <x:c r="M404" s="139" t="n"/>
      <x:c r="N404" s="139" t="n"/>
      <x:c r="O404" s="139" t="n"/>
      <x:c r="P404" s="139" t="n"/>
      <x:c r="Q404" s="139" t="n"/>
      <x:c r="R404" s="139" t="n"/>
      <x:c r="S404" s="139" t="n"/>
      <x:c r="T404" s="139" t="n"/>
      <x:c r="U404" s="139" t="n"/>
    </x:row>
    <x:row r="405">
      <x:c r="A405" s="139" t="n"/>
      <x:c r="B405" s="139" t="n"/>
      <x:c r="C405" s="139" t="n"/>
      <x:c r="D405" s="139" t="n"/>
      <x:c r="E405" s="139" t="n"/>
      <x:c r="F405" s="139" t="n"/>
      <x:c r="G405" s="139" t="n"/>
      <x:c r="H405" s="139" t="n"/>
      <x:c r="I405" s="139" t="n"/>
      <x:c r="J405" s="139" t="n"/>
      <x:c r="K405" s="139" t="n"/>
      <x:c r="L405" s="139" t="n"/>
      <x:c r="M405" s="139" t="n"/>
      <x:c r="N405" s="139" t="n"/>
      <x:c r="O405" s="139" t="n"/>
      <x:c r="P405" s="139" t="n"/>
      <x:c r="Q405" s="139" t="n"/>
      <x:c r="R405" s="139" t="n"/>
      <x:c r="S405" s="139" t="n"/>
      <x:c r="T405" s="139" t="n"/>
      <x:c r="U405" s="139" t="n"/>
    </x:row>
    <x:row r="406">
      <x:c r="A406" s="139" t="n"/>
      <x:c r="B406" s="139" t="n"/>
      <x:c r="C406" s="139" t="n"/>
      <x:c r="D406" s="139" t="n"/>
      <x:c r="E406" s="139" t="n"/>
      <x:c r="F406" s="139" t="n"/>
      <x:c r="G406" s="139" t="n"/>
      <x:c r="H406" s="139" t="n"/>
      <x:c r="I406" s="139" t="n"/>
      <x:c r="J406" s="139" t="n"/>
      <x:c r="K406" s="139" t="n"/>
      <x:c r="L406" s="139" t="n"/>
      <x:c r="M406" s="139" t="n"/>
      <x:c r="N406" s="139" t="n"/>
      <x:c r="O406" s="139" t="n"/>
      <x:c r="P406" s="139" t="n"/>
      <x:c r="Q406" s="139" t="n"/>
      <x:c r="R406" s="139" t="n"/>
      <x:c r="S406" s="139" t="n"/>
      <x:c r="T406" s="139" t="n"/>
      <x:c r="U406" s="139" t="n"/>
    </x:row>
    <x:row r="407">
      <x:c r="A407" s="139" t="n"/>
      <x:c r="B407" s="139" t="n"/>
      <x:c r="C407" s="139" t="n"/>
      <x:c r="D407" s="139" t="n"/>
      <x:c r="E407" s="139" t="n"/>
      <x:c r="F407" s="139" t="n"/>
      <x:c r="G407" s="139" t="n"/>
      <x:c r="H407" s="139" t="n"/>
      <x:c r="I407" s="139" t="n"/>
      <x:c r="J407" s="139" t="n"/>
      <x:c r="K407" s="139" t="n"/>
      <x:c r="L407" s="139" t="n"/>
      <x:c r="M407" s="139" t="n"/>
      <x:c r="N407" s="139" t="n"/>
      <x:c r="O407" s="139" t="n"/>
      <x:c r="P407" s="139" t="n"/>
      <x:c r="Q407" s="139" t="n"/>
      <x:c r="R407" s="139" t="n"/>
      <x:c r="S407" s="139" t="n"/>
      <x:c r="T407" s="139" t="n"/>
      <x:c r="U407" s="139" t="n"/>
    </x:row>
    <x:row r="408">
      <x:c r="A408" s="139" t="n"/>
      <x:c r="B408" s="139" t="n"/>
      <x:c r="C408" s="139" t="n"/>
      <x:c r="D408" s="139" t="n"/>
      <x:c r="E408" s="139" t="n"/>
      <x:c r="F408" s="139" t="n"/>
      <x:c r="G408" s="139" t="n"/>
      <x:c r="H408" s="139" t="n"/>
      <x:c r="I408" s="139" t="n"/>
      <x:c r="J408" s="139" t="n"/>
      <x:c r="K408" s="139" t="n"/>
      <x:c r="L408" s="139" t="n"/>
      <x:c r="M408" s="139" t="n"/>
      <x:c r="N408" s="139" t="n"/>
      <x:c r="O408" s="139" t="n"/>
      <x:c r="P408" s="139" t="n"/>
      <x:c r="Q408" s="139" t="n"/>
      <x:c r="R408" s="139" t="n"/>
      <x:c r="S408" s="139" t="n"/>
      <x:c r="T408" s="139" t="n"/>
      <x:c r="U408" s="139" t="n"/>
    </x:row>
    <x:row r="409">
      <x:c r="A409" s="139" t="n"/>
      <x:c r="B409" s="139" t="n"/>
      <x:c r="C409" s="139" t="n"/>
      <x:c r="D409" s="139" t="n"/>
      <x:c r="E409" s="139" t="n"/>
      <x:c r="F409" s="139" t="n"/>
      <x:c r="G409" s="139" t="n"/>
      <x:c r="H409" s="139" t="n"/>
      <x:c r="I409" s="139" t="n"/>
      <x:c r="J409" s="139" t="n"/>
      <x:c r="K409" s="139" t="n"/>
      <x:c r="L409" s="139" t="n"/>
      <x:c r="M409" s="139" t="n"/>
      <x:c r="N409" s="139" t="n"/>
      <x:c r="O409" s="139" t="n"/>
      <x:c r="P409" s="139" t="n"/>
      <x:c r="Q409" s="139" t="n"/>
      <x:c r="R409" s="139" t="n"/>
      <x:c r="S409" s="139" t="n"/>
      <x:c r="T409" s="139" t="n"/>
      <x:c r="U409" s="139" t="n"/>
    </x:row>
    <x:row r="410">
      <x:c r="A410" s="139" t="n"/>
      <x:c r="B410" s="139" t="n"/>
      <x:c r="C410" s="139" t="n"/>
      <x:c r="D410" s="139" t="n"/>
      <x:c r="E410" s="139" t="n"/>
      <x:c r="F410" s="139" t="n"/>
      <x:c r="G410" s="139" t="n"/>
      <x:c r="H410" s="139" t="n"/>
      <x:c r="I410" s="139" t="n"/>
      <x:c r="J410" s="139" t="n"/>
      <x:c r="K410" s="139" t="n"/>
      <x:c r="L410" s="139" t="n"/>
      <x:c r="M410" s="139" t="n"/>
      <x:c r="N410" s="139" t="n"/>
      <x:c r="O410" s="139" t="n"/>
      <x:c r="P410" s="139" t="n"/>
      <x:c r="Q410" s="139" t="n"/>
      <x:c r="R410" s="139" t="n"/>
      <x:c r="S410" s="139" t="n"/>
      <x:c r="T410" s="139" t="n"/>
      <x:c r="U410" s="139" t="n"/>
    </x:row>
    <x:row r="411">
      <x:c r="A411" s="139" t="n"/>
      <x:c r="B411" s="139" t="n"/>
      <x:c r="C411" s="139" t="n"/>
      <x:c r="D411" s="139" t="n"/>
      <x:c r="E411" s="139" t="n"/>
      <x:c r="F411" s="139" t="n"/>
      <x:c r="G411" s="139" t="n"/>
      <x:c r="H411" s="139" t="n"/>
      <x:c r="I411" s="139" t="n"/>
      <x:c r="J411" s="139" t="n"/>
      <x:c r="K411" s="139" t="n"/>
      <x:c r="L411" s="139" t="n"/>
      <x:c r="M411" s="139" t="n"/>
      <x:c r="N411" s="139" t="n"/>
      <x:c r="O411" s="139" t="n"/>
      <x:c r="P411" s="139" t="n"/>
      <x:c r="Q411" s="139" t="n"/>
      <x:c r="R411" s="139" t="n"/>
      <x:c r="S411" s="139" t="n"/>
      <x:c r="T411" s="139" t="n"/>
      <x:c r="U411" s="139" t="n"/>
    </x:row>
    <x:row r="412">
      <x:c r="A412" s="139" t="n"/>
      <x:c r="B412" s="139" t="n"/>
      <x:c r="C412" s="139" t="n"/>
      <x:c r="D412" s="139" t="n"/>
      <x:c r="E412" s="139" t="n"/>
      <x:c r="F412" s="139" t="n"/>
      <x:c r="G412" s="139" t="n"/>
      <x:c r="H412" s="139" t="n"/>
      <x:c r="I412" s="139" t="n"/>
      <x:c r="J412" s="139" t="n"/>
      <x:c r="K412" s="139" t="n"/>
      <x:c r="L412" s="139" t="n"/>
      <x:c r="M412" s="139" t="n"/>
      <x:c r="N412" s="139" t="n"/>
      <x:c r="O412" s="139" t="n"/>
      <x:c r="P412" s="139" t="n"/>
      <x:c r="Q412" s="139" t="n"/>
      <x:c r="R412" s="139" t="n"/>
      <x:c r="S412" s="139" t="n"/>
      <x:c r="T412" s="139" t="n"/>
      <x:c r="U412" s="139" t="n"/>
    </x:row>
    <x:row r="413">
      <x:c r="A413" s="139" t="n"/>
      <x:c r="B413" s="139" t="n"/>
      <x:c r="C413" s="139" t="n"/>
      <x:c r="D413" s="139" t="n"/>
      <x:c r="E413" s="139" t="n"/>
      <x:c r="F413" s="139" t="n"/>
      <x:c r="G413" s="139" t="n"/>
      <x:c r="H413" s="139" t="n"/>
      <x:c r="I413" s="139" t="n"/>
      <x:c r="J413" s="139" t="n"/>
      <x:c r="K413" s="139" t="n"/>
      <x:c r="L413" s="139" t="n"/>
      <x:c r="M413" s="139" t="n"/>
      <x:c r="N413" s="139" t="n"/>
      <x:c r="O413" s="139" t="n"/>
      <x:c r="P413" s="139" t="n"/>
      <x:c r="Q413" s="139" t="n"/>
      <x:c r="R413" s="139" t="n"/>
      <x:c r="S413" s="139" t="n"/>
      <x:c r="T413" s="139" t="n"/>
      <x:c r="U413" s="139" t="n"/>
    </x:row>
    <x:row r="414">
      <x:c r="A414" s="139" t="n"/>
      <x:c r="B414" s="139" t="n"/>
      <x:c r="C414" s="139" t="n"/>
      <x:c r="D414" s="139" t="n"/>
      <x:c r="E414" s="139" t="n"/>
      <x:c r="F414" s="139" t="n"/>
      <x:c r="G414" s="139" t="n"/>
      <x:c r="H414" s="139" t="n"/>
      <x:c r="I414" s="139" t="n"/>
      <x:c r="J414" s="139" t="n"/>
      <x:c r="K414" s="139" t="n"/>
      <x:c r="L414" s="139" t="n"/>
      <x:c r="M414" s="139" t="n"/>
      <x:c r="N414" s="139" t="n"/>
      <x:c r="O414" s="139" t="n"/>
      <x:c r="P414" s="139" t="n"/>
      <x:c r="Q414" s="139" t="n"/>
      <x:c r="R414" s="139" t="n"/>
      <x:c r="S414" s="139" t="n"/>
      <x:c r="T414" s="139" t="n"/>
      <x:c r="U414" s="139" t="n"/>
    </x:row>
    <x:row r="415">
      <x:c r="A415" s="139" t="n"/>
      <x:c r="B415" s="139" t="n"/>
      <x:c r="C415" s="139" t="n"/>
      <x:c r="D415" s="139" t="n"/>
      <x:c r="E415" s="139" t="n"/>
      <x:c r="F415" s="139" t="n"/>
      <x:c r="G415" s="139" t="n"/>
      <x:c r="H415" s="139" t="n"/>
      <x:c r="I415" s="139" t="n"/>
      <x:c r="J415" s="139" t="n"/>
      <x:c r="K415" s="139" t="n"/>
      <x:c r="L415" s="139" t="n"/>
      <x:c r="M415" s="139" t="n"/>
      <x:c r="N415" s="139" t="n"/>
      <x:c r="O415" s="139" t="n"/>
      <x:c r="P415" s="139" t="n"/>
      <x:c r="Q415" s="139" t="n"/>
      <x:c r="R415" s="139" t="n"/>
      <x:c r="S415" s="139" t="n"/>
      <x:c r="T415" s="139" t="n"/>
      <x:c r="U415" s="139" t="n"/>
    </x:row>
    <x:row r="416">
      <x:c r="A416" s="139" t="n"/>
      <x:c r="B416" s="139" t="n"/>
      <x:c r="C416" s="139" t="n"/>
      <x:c r="D416" s="139" t="n"/>
      <x:c r="E416" s="139" t="n"/>
      <x:c r="F416" s="139" t="n"/>
      <x:c r="G416" s="139" t="n"/>
      <x:c r="H416" s="139" t="n"/>
      <x:c r="I416" s="139" t="n"/>
      <x:c r="J416" s="139" t="n"/>
      <x:c r="K416" s="139" t="n"/>
      <x:c r="L416" s="139" t="n"/>
      <x:c r="M416" s="139" t="n"/>
      <x:c r="N416" s="139" t="n"/>
      <x:c r="O416" s="139" t="n"/>
      <x:c r="P416" s="139" t="n"/>
      <x:c r="Q416" s="139" t="n"/>
      <x:c r="R416" s="139" t="n"/>
      <x:c r="S416" s="139" t="n"/>
      <x:c r="T416" s="139" t="n"/>
      <x:c r="U416" s="139" t="n"/>
    </x:row>
    <x:row r="417">
      <x:c r="A417" s="139" t="n"/>
      <x:c r="B417" s="139" t="n"/>
      <x:c r="C417" s="139" t="n"/>
      <x:c r="D417" s="139" t="n"/>
      <x:c r="E417" s="139" t="n"/>
      <x:c r="F417" s="139" t="n"/>
      <x:c r="G417" s="139" t="n"/>
      <x:c r="H417" s="139" t="n"/>
      <x:c r="I417" s="139" t="n"/>
      <x:c r="J417" s="139" t="n"/>
      <x:c r="K417" s="139" t="n"/>
      <x:c r="L417" s="139" t="n"/>
      <x:c r="M417" s="139" t="n"/>
      <x:c r="N417" s="139" t="n"/>
      <x:c r="O417" s="139" t="n"/>
      <x:c r="P417" s="139" t="n"/>
      <x:c r="Q417" s="139" t="n"/>
      <x:c r="R417" s="139" t="n"/>
      <x:c r="S417" s="139" t="n"/>
      <x:c r="T417" s="139" t="n"/>
      <x:c r="U417" s="139" t="n"/>
    </x:row>
    <x:row r="418">
      <x:c r="A418" s="139" t="n"/>
      <x:c r="B418" s="139" t="n"/>
      <x:c r="C418" s="139" t="n"/>
      <x:c r="D418" s="139" t="n"/>
      <x:c r="E418" s="139" t="n"/>
      <x:c r="F418" s="139" t="n"/>
      <x:c r="G418" s="139" t="n"/>
      <x:c r="H418" s="139" t="n"/>
      <x:c r="I418" s="139" t="n"/>
      <x:c r="J418" s="139" t="n"/>
      <x:c r="K418" s="139" t="n"/>
      <x:c r="L418" s="139" t="n"/>
      <x:c r="M418" s="139" t="n"/>
      <x:c r="N418" s="139" t="n"/>
      <x:c r="O418" s="139" t="n"/>
      <x:c r="P418" s="139" t="n"/>
      <x:c r="Q418" s="139" t="n"/>
      <x:c r="R418" s="139" t="n"/>
      <x:c r="S418" s="139" t="n"/>
      <x:c r="T418" s="139" t="n"/>
      <x:c r="U418" s="139" t="n"/>
    </x:row>
    <x:row r="419">
      <x:c r="A419" s="139" t="n"/>
      <x:c r="B419" s="139" t="n"/>
      <x:c r="C419" s="139" t="n"/>
      <x:c r="D419" s="139" t="n"/>
      <x:c r="E419" s="139" t="n"/>
      <x:c r="F419" s="139" t="n"/>
      <x:c r="G419" s="139" t="n"/>
      <x:c r="H419" s="139" t="n"/>
      <x:c r="I419" s="139" t="n"/>
      <x:c r="J419" s="139" t="n"/>
      <x:c r="K419" s="139" t="n"/>
      <x:c r="L419" s="139" t="n"/>
      <x:c r="M419" s="139" t="n"/>
      <x:c r="N419" s="139" t="n"/>
      <x:c r="O419" s="139" t="n"/>
      <x:c r="P419" s="139" t="n"/>
      <x:c r="Q419" s="139" t="n"/>
      <x:c r="R419" s="139" t="n"/>
      <x:c r="S419" s="139" t="n"/>
      <x:c r="T419" s="139" t="n"/>
      <x:c r="U419" s="139" t="n"/>
    </x:row>
    <x:row r="420">
      <x:c r="A420" s="139" t="n"/>
      <x:c r="B420" s="139" t="n"/>
      <x:c r="C420" s="139" t="n"/>
      <x:c r="D420" s="139" t="n"/>
      <x:c r="E420" s="139" t="n"/>
      <x:c r="F420" s="139" t="n"/>
      <x:c r="G420" s="139" t="n"/>
      <x:c r="H420" s="139" t="n"/>
      <x:c r="I420" s="139" t="n"/>
      <x:c r="J420" s="139" t="n"/>
      <x:c r="K420" s="139" t="n"/>
      <x:c r="L420" s="139" t="n"/>
      <x:c r="M420" s="139" t="n"/>
      <x:c r="N420" s="139" t="n"/>
      <x:c r="O420" s="139" t="n"/>
      <x:c r="P420" s="139" t="n"/>
      <x:c r="Q420" s="139" t="n"/>
      <x:c r="R420" s="139" t="n"/>
      <x:c r="S420" s="139" t="n"/>
      <x:c r="T420" s="139" t="n"/>
      <x:c r="U420" s="139" t="n"/>
    </x:row>
    <x:row r="421">
      <x:c r="A421" s="139" t="n"/>
      <x:c r="B421" s="139" t="n"/>
      <x:c r="C421" s="139" t="n"/>
      <x:c r="D421" s="139" t="n"/>
      <x:c r="E421" s="139" t="n"/>
      <x:c r="F421" s="139" t="n"/>
      <x:c r="G421" s="139" t="n"/>
      <x:c r="H421" s="139" t="n"/>
      <x:c r="I421" s="139" t="n"/>
      <x:c r="J421" s="139" t="n"/>
      <x:c r="K421" s="139" t="n"/>
      <x:c r="L421" s="139" t="n"/>
      <x:c r="M421" s="139" t="n"/>
      <x:c r="N421" s="139" t="n"/>
      <x:c r="O421" s="139" t="n"/>
      <x:c r="P421" s="139" t="n"/>
      <x:c r="Q421" s="139" t="n"/>
      <x:c r="R421" s="139" t="n"/>
      <x:c r="S421" s="139" t="n"/>
      <x:c r="T421" s="139" t="n"/>
      <x:c r="U421" s="139" t="n"/>
    </x:row>
    <x:row r="422">
      <x:c r="A422" s="139" t="n"/>
      <x:c r="B422" s="139" t="n"/>
      <x:c r="C422" s="139" t="n"/>
      <x:c r="D422" s="139" t="n"/>
      <x:c r="E422" s="139" t="n"/>
      <x:c r="F422" s="139" t="n"/>
      <x:c r="G422" s="139" t="n"/>
      <x:c r="H422" s="139" t="n"/>
      <x:c r="I422" s="139" t="n"/>
      <x:c r="J422" s="139" t="n"/>
      <x:c r="K422" s="139" t="n"/>
      <x:c r="L422" s="139" t="n"/>
      <x:c r="M422" s="139" t="n"/>
      <x:c r="N422" s="139" t="n"/>
      <x:c r="O422" s="139" t="n"/>
      <x:c r="P422" s="139" t="n"/>
      <x:c r="Q422" s="139" t="n"/>
      <x:c r="R422" s="139" t="n"/>
      <x:c r="S422" s="139" t="n"/>
      <x:c r="T422" s="139" t="n"/>
      <x:c r="U422" s="139" t="n"/>
    </x:row>
    <x:row r="423">
      <x:c r="A423" s="139" t="n"/>
      <x:c r="B423" s="139" t="n"/>
      <x:c r="C423" s="139" t="n"/>
      <x:c r="D423" s="139" t="n"/>
      <x:c r="E423" s="139" t="n"/>
      <x:c r="F423" s="139" t="n"/>
      <x:c r="G423" s="139" t="n"/>
      <x:c r="H423" s="139" t="n"/>
      <x:c r="I423" s="139" t="n"/>
      <x:c r="J423" s="139" t="n"/>
      <x:c r="K423" s="139" t="n"/>
      <x:c r="L423" s="139" t="n"/>
      <x:c r="M423" s="139" t="n"/>
      <x:c r="N423" s="139" t="n"/>
      <x:c r="O423" s="139" t="n"/>
      <x:c r="P423" s="139" t="n"/>
      <x:c r="Q423" s="139" t="n"/>
      <x:c r="R423" s="139" t="n"/>
      <x:c r="S423" s="139" t="n"/>
      <x:c r="T423" s="139" t="n"/>
      <x:c r="U423" s="139" t="n"/>
    </x:row>
    <x:row r="424">
      <x:c r="A424" s="139" t="n"/>
      <x:c r="B424" s="139" t="n"/>
      <x:c r="C424" s="139" t="n"/>
      <x:c r="D424" s="139" t="n"/>
      <x:c r="E424" s="139" t="n"/>
      <x:c r="F424" s="139" t="n"/>
      <x:c r="G424" s="139" t="n"/>
      <x:c r="H424" s="139" t="n"/>
      <x:c r="I424" s="139" t="n"/>
      <x:c r="J424" s="139" t="n"/>
      <x:c r="K424" s="139" t="n"/>
      <x:c r="L424" s="139" t="n"/>
      <x:c r="M424" s="139" t="n"/>
      <x:c r="N424" s="139" t="n"/>
      <x:c r="O424" s="139" t="n"/>
      <x:c r="P424" s="139" t="n"/>
      <x:c r="Q424" s="139" t="n"/>
      <x:c r="R424" s="139" t="n"/>
      <x:c r="S424" s="139" t="n"/>
      <x:c r="T424" s="139" t="n"/>
      <x:c r="U424" s="139" t="n"/>
    </x:row>
    <x:row r="425">
      <x:c r="A425" s="139" t="n"/>
      <x:c r="B425" s="139" t="n"/>
      <x:c r="C425" s="139" t="n"/>
      <x:c r="D425" s="139" t="n"/>
      <x:c r="E425" s="139" t="n"/>
      <x:c r="F425" s="139" t="n"/>
      <x:c r="G425" s="139" t="n"/>
      <x:c r="H425" s="139" t="n"/>
      <x:c r="I425" s="139" t="n"/>
      <x:c r="J425" s="139" t="n"/>
      <x:c r="K425" s="139" t="n"/>
      <x:c r="L425" s="139" t="n"/>
      <x:c r="M425" s="139" t="n"/>
      <x:c r="N425" s="139" t="n"/>
      <x:c r="O425" s="139" t="n"/>
      <x:c r="P425" s="139" t="n"/>
      <x:c r="Q425" s="139" t="n"/>
      <x:c r="R425" s="139" t="n"/>
      <x:c r="S425" s="139" t="n"/>
      <x:c r="T425" s="139" t="n"/>
      <x:c r="U425" s="139" t="n"/>
    </x:row>
    <x:row r="426">
      <x:c r="A426" s="139" t="n"/>
      <x:c r="B426" s="139" t="n"/>
      <x:c r="C426" s="139" t="n"/>
      <x:c r="D426" s="139" t="n"/>
      <x:c r="E426" s="139" t="n"/>
      <x:c r="F426" s="139" t="n"/>
      <x:c r="G426" s="139" t="n"/>
      <x:c r="H426" s="139" t="n"/>
      <x:c r="I426" s="139" t="n"/>
      <x:c r="J426" s="139" t="n"/>
      <x:c r="K426" s="139" t="n"/>
      <x:c r="L426" s="139" t="n"/>
      <x:c r="M426" s="139" t="n"/>
      <x:c r="N426" s="139" t="n"/>
      <x:c r="O426" s="139" t="n"/>
      <x:c r="P426" s="139" t="n"/>
      <x:c r="Q426" s="139" t="n"/>
      <x:c r="R426" s="139" t="n"/>
      <x:c r="S426" s="139" t="n"/>
      <x:c r="T426" s="139" t="n"/>
      <x:c r="U426" s="139" t="n"/>
    </x:row>
    <x:row r="427">
      <x:c r="A427" s="139" t="n"/>
      <x:c r="B427" s="139" t="n"/>
      <x:c r="C427" s="139" t="n"/>
      <x:c r="D427" s="139" t="n"/>
      <x:c r="E427" s="139" t="n"/>
      <x:c r="F427" s="139" t="n"/>
      <x:c r="G427" s="139" t="n"/>
      <x:c r="H427" s="139" t="n"/>
      <x:c r="I427" s="139" t="n"/>
      <x:c r="J427" s="139" t="n"/>
      <x:c r="K427" s="139" t="n"/>
      <x:c r="L427" s="139" t="n"/>
      <x:c r="M427" s="139" t="n"/>
      <x:c r="N427" s="139" t="n"/>
      <x:c r="O427" s="139" t="n"/>
      <x:c r="P427" s="139" t="n"/>
      <x:c r="Q427" s="139" t="n"/>
      <x:c r="R427" s="139" t="n"/>
      <x:c r="S427" s="139" t="n"/>
      <x:c r="T427" s="139" t="n"/>
      <x:c r="U427" s="139" t="n"/>
    </x:row>
    <x:row r="428">
      <x:c r="A428" s="139" t="n"/>
      <x:c r="B428" s="139" t="n"/>
      <x:c r="C428" s="139" t="n"/>
      <x:c r="D428" s="139" t="n"/>
      <x:c r="E428" s="139" t="n"/>
      <x:c r="F428" s="139" t="n"/>
      <x:c r="G428" s="139" t="n"/>
      <x:c r="H428" s="139" t="n"/>
      <x:c r="I428" s="139" t="n"/>
      <x:c r="J428" s="139" t="n"/>
      <x:c r="K428" s="139" t="n"/>
      <x:c r="L428" s="139" t="n"/>
      <x:c r="M428" s="139" t="n"/>
      <x:c r="N428" s="139" t="n"/>
      <x:c r="O428" s="139" t="n"/>
      <x:c r="P428" s="139" t="n"/>
      <x:c r="Q428" s="139" t="n"/>
      <x:c r="R428" s="139" t="n"/>
      <x:c r="S428" s="139" t="n"/>
      <x:c r="T428" s="139" t="n"/>
      <x:c r="U428" s="139" t="n"/>
    </x:row>
    <x:row r="429">
      <x:c r="A429" s="139" t="n"/>
      <x:c r="B429" s="139" t="n"/>
      <x:c r="C429" s="139" t="n"/>
      <x:c r="D429" s="139" t="n"/>
      <x:c r="E429" s="139" t="n"/>
      <x:c r="F429" s="139" t="n"/>
      <x:c r="G429" s="139" t="n"/>
      <x:c r="H429" s="139" t="n"/>
      <x:c r="I429" s="139" t="n"/>
      <x:c r="J429" s="139" t="n"/>
      <x:c r="K429" s="139" t="n"/>
      <x:c r="L429" s="139" t="n"/>
      <x:c r="M429" s="139" t="n"/>
      <x:c r="N429" s="139" t="n"/>
      <x:c r="O429" s="139" t="n"/>
      <x:c r="P429" s="139" t="n"/>
      <x:c r="Q429" s="139" t="n"/>
      <x:c r="R429" s="139" t="n"/>
      <x:c r="S429" s="139" t="n"/>
      <x:c r="T429" s="139" t="n"/>
      <x:c r="U429" s="139" t="n"/>
    </x:row>
    <x:row r="430">
      <x:c r="A430" s="139" t="n"/>
      <x:c r="B430" s="139" t="n"/>
      <x:c r="C430" s="139" t="n"/>
      <x:c r="D430" s="139" t="n"/>
      <x:c r="E430" s="139" t="n"/>
      <x:c r="F430" s="139" t="n"/>
      <x:c r="G430" s="139" t="n"/>
      <x:c r="H430" s="139" t="n"/>
      <x:c r="I430" s="139" t="n"/>
      <x:c r="J430" s="139" t="n"/>
      <x:c r="K430" s="139" t="n"/>
      <x:c r="L430" s="139" t="n"/>
      <x:c r="M430" s="139" t="n"/>
      <x:c r="N430" s="139" t="n"/>
      <x:c r="O430" s="139" t="n"/>
      <x:c r="P430" s="139" t="n"/>
      <x:c r="Q430" s="139" t="n"/>
      <x:c r="R430" s="139" t="n"/>
      <x:c r="S430" s="139" t="n"/>
      <x:c r="T430" s="139" t="n"/>
      <x:c r="U430" s="139" t="n"/>
    </x:row>
    <x:row r="431">
      <x:c r="A431" s="139" t="n"/>
      <x:c r="B431" s="139" t="n"/>
      <x:c r="C431" s="139" t="n"/>
      <x:c r="D431" s="139" t="n"/>
      <x:c r="E431" s="139" t="n"/>
      <x:c r="F431" s="139" t="n"/>
      <x:c r="G431" s="139" t="n"/>
      <x:c r="H431" s="139" t="n"/>
      <x:c r="I431" s="139" t="n"/>
      <x:c r="J431" s="139" t="n"/>
      <x:c r="K431" s="139" t="n"/>
      <x:c r="L431" s="139" t="n"/>
      <x:c r="M431" s="139" t="n"/>
      <x:c r="N431" s="139" t="n"/>
      <x:c r="O431" s="139" t="n"/>
      <x:c r="P431" s="139" t="n"/>
      <x:c r="Q431" s="139" t="n"/>
      <x:c r="R431" s="139" t="n"/>
      <x:c r="S431" s="139" t="n"/>
      <x:c r="T431" s="139" t="n"/>
      <x:c r="U431" s="139" t="n"/>
    </x:row>
    <x:row r="432">
      <x:c r="A432" s="139" t="n"/>
      <x:c r="B432" s="139" t="n"/>
      <x:c r="C432" s="139" t="n"/>
      <x:c r="D432" s="139" t="n"/>
      <x:c r="E432" s="139" t="n"/>
      <x:c r="F432" s="139" t="n"/>
      <x:c r="G432" s="139" t="n"/>
      <x:c r="H432" s="139" t="n"/>
      <x:c r="I432" s="139" t="n"/>
      <x:c r="J432" s="139" t="n"/>
      <x:c r="K432" s="139" t="n"/>
      <x:c r="L432" s="139" t="n"/>
      <x:c r="M432" s="139" t="n"/>
      <x:c r="N432" s="139" t="n"/>
      <x:c r="O432" s="139" t="n"/>
      <x:c r="P432" s="139" t="n"/>
      <x:c r="Q432" s="139" t="n"/>
      <x:c r="R432" s="139" t="n"/>
      <x:c r="S432" s="139" t="n"/>
      <x:c r="T432" s="139" t="n"/>
      <x:c r="U432" s="139" t="n"/>
    </x:row>
    <x:row r="433">
      <x:c r="A433" s="139" t="n"/>
      <x:c r="B433" s="139" t="n"/>
      <x:c r="C433" s="139" t="n"/>
      <x:c r="D433" s="139" t="n"/>
      <x:c r="E433" s="139" t="n"/>
      <x:c r="F433" s="139" t="n"/>
      <x:c r="G433" s="139" t="n"/>
      <x:c r="H433" s="139" t="n"/>
      <x:c r="I433" s="139" t="n"/>
      <x:c r="J433" s="139" t="n"/>
      <x:c r="K433" s="139" t="n"/>
      <x:c r="L433" s="139" t="n"/>
      <x:c r="M433" s="139" t="n"/>
      <x:c r="N433" s="139" t="n"/>
      <x:c r="O433" s="139" t="n"/>
      <x:c r="P433" s="139" t="n"/>
      <x:c r="Q433" s="139" t="n"/>
      <x:c r="R433" s="139" t="n"/>
      <x:c r="S433" s="139" t="n"/>
      <x:c r="T433" s="139" t="n"/>
      <x:c r="U433" s="139" t="n"/>
    </x:row>
    <x:row r="434">
      <x:c r="A434" s="139" t="n"/>
      <x:c r="B434" s="139" t="n"/>
      <x:c r="C434" s="139" t="n"/>
      <x:c r="D434" s="139" t="n"/>
      <x:c r="E434" s="139" t="n"/>
      <x:c r="F434" s="139" t="n"/>
      <x:c r="G434" s="139" t="n"/>
      <x:c r="H434" s="139" t="n"/>
      <x:c r="I434" s="139" t="n"/>
      <x:c r="J434" s="139" t="n"/>
      <x:c r="K434" s="139" t="n"/>
      <x:c r="L434" s="139" t="n"/>
      <x:c r="M434" s="139" t="n"/>
      <x:c r="N434" s="139" t="n"/>
      <x:c r="O434" s="139" t="n"/>
      <x:c r="P434" s="139" t="n"/>
      <x:c r="Q434" s="139" t="n"/>
      <x:c r="R434" s="139" t="n"/>
      <x:c r="S434" s="139" t="n"/>
      <x:c r="T434" s="139" t="n"/>
      <x:c r="U434" s="139" t="n"/>
    </x:row>
    <x:row r="435">
      <x:c r="A435" s="139" t="n"/>
      <x:c r="B435" s="139" t="n"/>
      <x:c r="C435" s="139" t="n"/>
      <x:c r="D435" s="139" t="n"/>
      <x:c r="E435" s="139" t="n"/>
      <x:c r="F435" s="139" t="n"/>
      <x:c r="G435" s="139" t="n"/>
      <x:c r="H435" s="139" t="n"/>
      <x:c r="I435" s="139" t="n"/>
      <x:c r="J435" s="139" t="n"/>
      <x:c r="K435" s="139" t="n"/>
      <x:c r="L435" s="139" t="n"/>
      <x:c r="M435" s="139" t="n"/>
      <x:c r="N435" s="139" t="n"/>
      <x:c r="O435" s="139" t="n"/>
      <x:c r="P435" s="139" t="n"/>
      <x:c r="Q435" s="139" t="n"/>
      <x:c r="R435" s="139" t="n"/>
      <x:c r="S435" s="139" t="n"/>
      <x:c r="T435" s="139" t="n"/>
      <x:c r="U435" s="139" t="n"/>
    </x:row>
    <x:row r="436">
      <x:c r="A436" s="139" t="n"/>
      <x:c r="B436" s="139" t="n"/>
      <x:c r="C436" s="139" t="n"/>
      <x:c r="D436" s="139" t="n"/>
      <x:c r="E436" s="139" t="n"/>
      <x:c r="F436" s="139" t="n"/>
      <x:c r="G436" s="139" t="n"/>
      <x:c r="H436" s="139" t="n"/>
      <x:c r="I436" s="139" t="n"/>
      <x:c r="J436" s="139" t="n"/>
      <x:c r="K436" s="139" t="n"/>
      <x:c r="L436" s="139" t="n"/>
      <x:c r="M436" s="139" t="n"/>
      <x:c r="N436" s="139" t="n"/>
      <x:c r="O436" s="139" t="n"/>
      <x:c r="P436" s="139" t="n"/>
      <x:c r="Q436" s="139" t="n"/>
      <x:c r="R436" s="139" t="n"/>
      <x:c r="S436" s="139" t="n"/>
      <x:c r="T436" s="139" t="n"/>
      <x:c r="U436" s="139" t="n"/>
    </x:row>
    <x:row r="437">
      <x:c r="A437" s="139" t="n"/>
      <x:c r="B437" s="139" t="n"/>
      <x:c r="C437" s="139" t="n"/>
      <x:c r="D437" s="139" t="n"/>
      <x:c r="E437" s="139" t="n"/>
      <x:c r="F437" s="139" t="n"/>
      <x:c r="G437" s="139" t="n"/>
      <x:c r="H437" s="139" t="n"/>
      <x:c r="I437" s="139" t="n"/>
      <x:c r="J437" s="139" t="n"/>
      <x:c r="K437" s="139" t="n"/>
      <x:c r="L437" s="139" t="n"/>
      <x:c r="M437" s="139" t="n"/>
      <x:c r="N437" s="139" t="n"/>
      <x:c r="O437" s="139" t="n"/>
      <x:c r="P437" s="139" t="n"/>
      <x:c r="Q437" s="139" t="n"/>
      <x:c r="R437" s="139" t="n"/>
      <x:c r="S437" s="139" t="n"/>
      <x:c r="T437" s="139" t="n"/>
      <x:c r="U437" s="139" t="n"/>
    </x:row>
    <x:row r="438">
      <x:c r="A438" s="139" t="n"/>
      <x:c r="B438" s="139" t="n"/>
      <x:c r="C438" s="139" t="n"/>
      <x:c r="D438" s="139" t="n"/>
      <x:c r="E438" s="139" t="n"/>
      <x:c r="F438" s="139" t="n"/>
      <x:c r="G438" s="139" t="n"/>
      <x:c r="H438" s="139" t="n"/>
      <x:c r="I438" s="139" t="n"/>
      <x:c r="J438" s="139" t="n"/>
      <x:c r="K438" s="139" t="n"/>
      <x:c r="L438" s="139" t="n"/>
      <x:c r="M438" s="139" t="n"/>
      <x:c r="N438" s="139" t="n"/>
      <x:c r="O438" s="139" t="n"/>
      <x:c r="P438" s="139" t="n"/>
      <x:c r="Q438" s="139" t="n"/>
      <x:c r="R438" s="139" t="n"/>
      <x:c r="S438" s="139" t="n"/>
      <x:c r="T438" s="139" t="n"/>
      <x:c r="U438" s="139" t="n"/>
    </x:row>
    <x:row r="439">
      <x:c r="A439" s="139" t="n"/>
      <x:c r="B439" s="139" t="n"/>
      <x:c r="C439" s="139" t="n"/>
      <x:c r="D439" s="139" t="n"/>
      <x:c r="E439" s="139" t="n"/>
      <x:c r="F439" s="139" t="n"/>
      <x:c r="G439" s="139" t="n"/>
      <x:c r="H439" s="139" t="n"/>
      <x:c r="I439" s="139" t="n"/>
      <x:c r="J439" s="139" t="n"/>
      <x:c r="K439" s="139" t="n"/>
      <x:c r="L439" s="139" t="n"/>
      <x:c r="M439" s="139" t="n"/>
      <x:c r="N439" s="139" t="n"/>
      <x:c r="O439" s="139" t="n"/>
      <x:c r="P439" s="139" t="n"/>
      <x:c r="Q439" s="139" t="n"/>
      <x:c r="R439" s="139" t="n"/>
      <x:c r="S439" s="139" t="n"/>
      <x:c r="T439" s="139" t="n"/>
      <x:c r="U439" s="139" t="n"/>
    </x:row>
    <x:row r="440">
      <x:c r="A440" s="139" t="n"/>
      <x:c r="B440" s="139" t="n"/>
      <x:c r="C440" s="139" t="n"/>
      <x:c r="D440" s="139" t="n"/>
      <x:c r="E440" s="139" t="n"/>
      <x:c r="F440" s="139" t="n"/>
      <x:c r="G440" s="139" t="n"/>
      <x:c r="H440" s="139" t="n"/>
      <x:c r="I440" s="139" t="n"/>
      <x:c r="J440" s="139" t="n"/>
      <x:c r="K440" s="139" t="n"/>
      <x:c r="L440" s="139" t="n"/>
      <x:c r="M440" s="139" t="n"/>
      <x:c r="N440" s="139" t="n"/>
      <x:c r="O440" s="139" t="n"/>
      <x:c r="P440" s="139" t="n"/>
      <x:c r="Q440" s="139" t="n"/>
      <x:c r="R440" s="139" t="n"/>
      <x:c r="S440" s="139" t="n"/>
      <x:c r="T440" s="139" t="n"/>
      <x:c r="U440" s="139" t="n"/>
    </x:row>
    <x:row r="441">
      <x:c r="A441" s="139" t="n"/>
      <x:c r="B441" s="139" t="n"/>
      <x:c r="C441" s="139" t="n"/>
      <x:c r="D441" s="139" t="n"/>
      <x:c r="E441" s="139" t="n"/>
      <x:c r="F441" s="139" t="n"/>
      <x:c r="G441" s="139" t="n"/>
      <x:c r="H441" s="139" t="n"/>
      <x:c r="I441" s="139" t="n"/>
      <x:c r="J441" s="139" t="n"/>
      <x:c r="K441" s="139" t="n"/>
      <x:c r="L441" s="139" t="n"/>
      <x:c r="M441" s="139" t="n"/>
      <x:c r="N441" s="139" t="n"/>
      <x:c r="O441" s="139" t="n"/>
      <x:c r="P441" s="139" t="n"/>
      <x:c r="Q441" s="139" t="n"/>
      <x:c r="R441" s="139" t="n"/>
      <x:c r="S441" s="139" t="n"/>
      <x:c r="T441" s="139" t="n"/>
      <x:c r="U441" s="139" t="n"/>
    </x:row>
    <x:row r="442">
      <x:c r="A442" s="139" t="n"/>
      <x:c r="B442" s="139" t="n"/>
      <x:c r="C442" s="139" t="n"/>
      <x:c r="D442" s="139" t="n"/>
      <x:c r="E442" s="139" t="n"/>
      <x:c r="F442" s="139" t="n"/>
      <x:c r="G442" s="139" t="n"/>
      <x:c r="H442" s="139" t="n"/>
      <x:c r="I442" s="139" t="n"/>
      <x:c r="J442" s="139" t="n"/>
      <x:c r="K442" s="139" t="n"/>
      <x:c r="L442" s="139" t="n"/>
      <x:c r="M442" s="139" t="n"/>
      <x:c r="N442" s="139" t="n"/>
      <x:c r="O442" s="139" t="n"/>
      <x:c r="P442" s="139" t="n"/>
      <x:c r="Q442" s="139" t="n"/>
      <x:c r="R442" s="139" t="n"/>
      <x:c r="S442" s="139" t="n"/>
      <x:c r="T442" s="139" t="n"/>
      <x:c r="U442" s="139" t="n"/>
    </x:row>
    <x:row r="443">
      <x:c r="A443" s="139" t="n"/>
      <x:c r="B443" s="139" t="n"/>
      <x:c r="C443" s="139" t="n"/>
      <x:c r="D443" s="139" t="n"/>
      <x:c r="E443" s="139" t="n"/>
      <x:c r="F443" s="139" t="n"/>
      <x:c r="G443" s="139" t="n"/>
      <x:c r="H443" s="139" t="n"/>
      <x:c r="I443" s="139" t="n"/>
      <x:c r="J443" s="139" t="n"/>
      <x:c r="K443" s="139" t="n"/>
      <x:c r="L443" s="139" t="n"/>
      <x:c r="M443" s="139" t="n"/>
      <x:c r="N443" s="139" t="n"/>
      <x:c r="O443" s="139" t="n"/>
      <x:c r="P443" s="139" t="n"/>
      <x:c r="Q443" s="139" t="n"/>
      <x:c r="R443" s="139" t="n"/>
      <x:c r="S443" s="139" t="n"/>
      <x:c r="T443" s="139" t="n"/>
      <x:c r="U443" s="139" t="n"/>
    </x:row>
    <x:row r="444">
      <x:c r="A444" s="139" t="n"/>
      <x:c r="B444" s="139" t="n"/>
      <x:c r="C444" s="139" t="n"/>
      <x:c r="D444" s="139" t="n"/>
      <x:c r="E444" s="139" t="n"/>
      <x:c r="F444" s="139" t="n"/>
      <x:c r="G444" s="139" t="n"/>
      <x:c r="H444" s="139" t="n"/>
      <x:c r="I444" s="139" t="n"/>
      <x:c r="J444" s="139" t="n"/>
      <x:c r="K444" s="139" t="n"/>
      <x:c r="L444" s="139" t="n"/>
      <x:c r="M444" s="139" t="n"/>
      <x:c r="N444" s="139" t="n"/>
      <x:c r="O444" s="139" t="n"/>
      <x:c r="P444" s="139" t="n"/>
      <x:c r="Q444" s="139" t="n"/>
      <x:c r="R444" s="139" t="n"/>
      <x:c r="S444" s="139" t="n"/>
      <x:c r="T444" s="139" t="n"/>
      <x:c r="U444" s="139" t="n"/>
    </x:row>
    <x:row r="445">
      <x:c r="A445" s="139" t="n"/>
      <x:c r="B445" s="139" t="n"/>
      <x:c r="C445" s="139" t="n"/>
      <x:c r="D445" s="139" t="n"/>
      <x:c r="E445" s="139" t="n"/>
      <x:c r="F445" s="139" t="n"/>
      <x:c r="G445" s="139" t="n"/>
      <x:c r="H445" s="139" t="n"/>
      <x:c r="I445" s="139" t="n"/>
      <x:c r="J445" s="139" t="n"/>
      <x:c r="K445" s="139" t="n"/>
      <x:c r="L445" s="139" t="n"/>
      <x:c r="M445" s="139" t="n"/>
      <x:c r="N445" s="139" t="n"/>
      <x:c r="O445" s="139" t="n"/>
      <x:c r="P445" s="139" t="n"/>
      <x:c r="Q445" s="139" t="n"/>
      <x:c r="R445" s="139" t="n"/>
      <x:c r="S445" s="139" t="n"/>
      <x:c r="T445" s="139" t="n"/>
      <x:c r="U445" s="139" t="n"/>
    </x:row>
    <x:row r="446">
      <x:c r="A446" s="139" t="n"/>
      <x:c r="B446" s="139" t="n"/>
      <x:c r="C446" s="139" t="n"/>
      <x:c r="D446" s="139" t="n"/>
      <x:c r="E446" s="139" t="n"/>
      <x:c r="F446" s="139" t="n"/>
      <x:c r="G446" s="139" t="n"/>
      <x:c r="H446" s="139" t="n"/>
      <x:c r="I446" s="139" t="n"/>
      <x:c r="J446" s="139" t="n"/>
      <x:c r="K446" s="139" t="n"/>
      <x:c r="L446" s="139" t="n"/>
      <x:c r="M446" s="139" t="n"/>
      <x:c r="N446" s="139" t="n"/>
      <x:c r="O446" s="139" t="n"/>
      <x:c r="P446" s="139" t="n"/>
      <x:c r="Q446" s="139" t="n"/>
      <x:c r="R446" s="139" t="n"/>
      <x:c r="S446" s="139" t="n"/>
      <x:c r="T446" s="139" t="n"/>
      <x:c r="U446" s="139" t="n"/>
    </x:row>
    <x:row r="447">
      <x:c r="A447" s="139" t="n"/>
      <x:c r="B447" s="139" t="n"/>
      <x:c r="C447" s="139" t="n"/>
      <x:c r="D447" s="139" t="n"/>
      <x:c r="E447" s="139" t="n"/>
      <x:c r="F447" s="139" t="n"/>
      <x:c r="G447" s="139" t="n"/>
      <x:c r="H447" s="139" t="n"/>
      <x:c r="I447" s="139" t="n"/>
      <x:c r="J447" s="139" t="n"/>
      <x:c r="K447" s="139" t="n"/>
      <x:c r="L447" s="139" t="n"/>
      <x:c r="M447" s="139" t="n"/>
      <x:c r="N447" s="139" t="n"/>
      <x:c r="O447" s="139" t="n"/>
      <x:c r="P447" s="139" t="n"/>
      <x:c r="Q447" s="139" t="n"/>
      <x:c r="R447" s="139" t="n"/>
      <x:c r="S447" s="139" t="n"/>
      <x:c r="T447" s="139" t="n"/>
      <x:c r="U447" s="139" t="n"/>
    </x:row>
    <x:row r="448">
      <x:c r="A448" s="139" t="n"/>
      <x:c r="B448" s="139" t="n"/>
      <x:c r="C448" s="139" t="n"/>
      <x:c r="D448" s="139" t="n"/>
      <x:c r="E448" s="139" t="n"/>
      <x:c r="F448" s="139" t="n"/>
      <x:c r="G448" s="139" t="n"/>
      <x:c r="H448" s="139" t="n"/>
      <x:c r="I448" s="139" t="n"/>
      <x:c r="J448" s="139" t="n"/>
      <x:c r="K448" s="139" t="n"/>
      <x:c r="L448" s="139" t="n"/>
      <x:c r="M448" s="139" t="n"/>
      <x:c r="N448" s="139" t="n"/>
      <x:c r="O448" s="139" t="n"/>
      <x:c r="P448" s="139" t="n"/>
      <x:c r="Q448" s="139" t="n"/>
      <x:c r="R448" s="139" t="n"/>
      <x:c r="S448" s="139" t="n"/>
      <x:c r="T448" s="139" t="n"/>
      <x:c r="U448" s="139" t="n"/>
    </x:row>
    <x:row r="449">
      <x:c r="A449" s="139" t="n"/>
      <x:c r="B449" s="139" t="n"/>
      <x:c r="C449" s="139" t="n"/>
      <x:c r="D449" s="139" t="n"/>
      <x:c r="E449" s="139" t="n"/>
      <x:c r="F449" s="139" t="n"/>
      <x:c r="G449" s="139" t="n"/>
      <x:c r="H449" s="139" t="n"/>
      <x:c r="I449" s="139" t="n"/>
      <x:c r="J449" s="139" t="n"/>
      <x:c r="K449" s="139" t="n"/>
      <x:c r="L449" s="139" t="n"/>
      <x:c r="M449" s="139" t="n"/>
      <x:c r="N449" s="139" t="n"/>
      <x:c r="O449" s="139" t="n"/>
      <x:c r="P449" s="139" t="n"/>
      <x:c r="Q449" s="139" t="n"/>
      <x:c r="R449" s="139" t="n"/>
      <x:c r="S449" s="139" t="n"/>
      <x:c r="T449" s="139" t="n"/>
      <x:c r="U449" s="139" t="n"/>
    </x:row>
    <x:row r="450">
      <x:c r="A450" s="139" t="n"/>
      <x:c r="B450" s="139" t="n"/>
      <x:c r="C450" s="139" t="n"/>
      <x:c r="D450" s="139" t="n"/>
      <x:c r="E450" s="139" t="n"/>
      <x:c r="F450" s="139" t="n"/>
      <x:c r="G450" s="139" t="n"/>
      <x:c r="H450" s="139" t="n"/>
      <x:c r="I450" s="139" t="n"/>
      <x:c r="J450" s="139" t="n"/>
      <x:c r="K450" s="139" t="n"/>
      <x:c r="L450" s="139" t="n"/>
      <x:c r="M450" s="139" t="n"/>
      <x:c r="N450" s="139" t="n"/>
      <x:c r="O450" s="139" t="n"/>
      <x:c r="P450" s="139" t="n"/>
      <x:c r="Q450" s="139" t="n"/>
      <x:c r="R450" s="139" t="n"/>
      <x:c r="S450" s="139" t="n"/>
      <x:c r="T450" s="139" t="n"/>
      <x:c r="U450" s="139" t="n"/>
    </x:row>
    <x:row r="451">
      <x:c r="A451" s="139" t="n"/>
      <x:c r="B451" s="139" t="n"/>
      <x:c r="C451" s="139" t="n"/>
      <x:c r="D451" s="139" t="n"/>
      <x:c r="E451" s="139" t="n"/>
      <x:c r="F451" s="139" t="n"/>
      <x:c r="G451" s="139" t="n"/>
      <x:c r="H451" s="139" t="n"/>
      <x:c r="I451" s="139" t="n"/>
      <x:c r="J451" s="139" t="n"/>
      <x:c r="K451" s="139" t="n"/>
      <x:c r="L451" s="139" t="n"/>
      <x:c r="M451" s="139" t="n"/>
      <x:c r="N451" s="139" t="n"/>
      <x:c r="O451" s="139" t="n"/>
      <x:c r="P451" s="139" t="n"/>
      <x:c r="Q451" s="139" t="n"/>
      <x:c r="R451" s="139" t="n"/>
      <x:c r="S451" s="139" t="n"/>
      <x:c r="T451" s="139" t="n"/>
      <x:c r="U451" s="139" t="n"/>
    </x:row>
    <x:row r="452">
      <x:c r="A452" s="139" t="n"/>
      <x:c r="B452" s="139" t="n"/>
      <x:c r="C452" s="139" t="n"/>
      <x:c r="D452" s="139" t="n"/>
      <x:c r="E452" s="139" t="n"/>
      <x:c r="F452" s="139" t="n"/>
      <x:c r="G452" s="139" t="n"/>
      <x:c r="H452" s="139" t="n"/>
      <x:c r="I452" s="139" t="n"/>
      <x:c r="J452" s="139" t="n"/>
      <x:c r="K452" s="139" t="n"/>
      <x:c r="L452" s="139" t="n"/>
      <x:c r="M452" s="139" t="n"/>
      <x:c r="N452" s="139" t="n"/>
      <x:c r="O452" s="139" t="n"/>
      <x:c r="P452" s="139" t="n"/>
      <x:c r="Q452" s="139" t="n"/>
      <x:c r="R452" s="139" t="n"/>
      <x:c r="S452" s="139" t="n"/>
      <x:c r="T452" s="139" t="n"/>
      <x:c r="U452" s="139" t="n"/>
    </x:row>
    <x:row r="453">
      <x:c r="A453" s="139" t="n"/>
      <x:c r="B453" s="139" t="n"/>
      <x:c r="C453" s="139" t="n"/>
      <x:c r="D453" s="139" t="n"/>
      <x:c r="E453" s="139" t="n"/>
      <x:c r="F453" s="139" t="n"/>
      <x:c r="G453" s="139" t="n"/>
      <x:c r="H453" s="139" t="n"/>
      <x:c r="I453" s="139" t="n"/>
      <x:c r="J453" s="139" t="n"/>
      <x:c r="K453" s="139" t="n"/>
      <x:c r="L453" s="139" t="n"/>
      <x:c r="M453" s="139" t="n"/>
      <x:c r="N453" s="139" t="n"/>
      <x:c r="O453" s="139" t="n"/>
      <x:c r="P453" s="139" t="n"/>
      <x:c r="Q453" s="139" t="n"/>
      <x:c r="R453" s="139" t="n"/>
      <x:c r="S453" s="139" t="n"/>
      <x:c r="T453" s="139" t="n"/>
      <x:c r="U453" s="139" t="n"/>
    </x:row>
    <x:row r="454">
      <x:c r="A454" s="139" t="n"/>
      <x:c r="B454" s="139" t="n"/>
      <x:c r="C454" s="139" t="n"/>
      <x:c r="D454" s="139" t="n"/>
      <x:c r="E454" s="139" t="n"/>
      <x:c r="F454" s="139" t="n"/>
      <x:c r="G454" s="139" t="n"/>
      <x:c r="H454" s="139" t="n"/>
      <x:c r="I454" s="139" t="n"/>
      <x:c r="J454" s="139" t="n"/>
      <x:c r="K454" s="139" t="n"/>
      <x:c r="L454" s="139" t="n"/>
      <x:c r="M454" s="139" t="n"/>
      <x:c r="N454" s="139" t="n"/>
      <x:c r="O454" s="139" t="n"/>
      <x:c r="P454" s="139" t="n"/>
      <x:c r="Q454" s="139" t="n"/>
      <x:c r="R454" s="139" t="n"/>
      <x:c r="S454" s="139" t="n"/>
      <x:c r="T454" s="139" t="n"/>
      <x:c r="U454" s="139" t="n"/>
    </x:row>
    <x:row r="455">
      <x:c r="A455" s="139" t="n"/>
      <x:c r="B455" s="139" t="n"/>
      <x:c r="C455" s="139" t="n"/>
      <x:c r="D455" s="139" t="n"/>
      <x:c r="E455" s="139" t="n"/>
      <x:c r="F455" s="139" t="n"/>
      <x:c r="G455" s="139" t="n"/>
      <x:c r="H455" s="139" t="n"/>
      <x:c r="I455" s="139" t="n"/>
      <x:c r="J455" s="139" t="n"/>
      <x:c r="K455" s="139" t="n"/>
      <x:c r="L455" s="139" t="n"/>
      <x:c r="M455" s="139" t="n"/>
      <x:c r="N455" s="139" t="n"/>
      <x:c r="O455" s="139" t="n"/>
      <x:c r="P455" s="139" t="n"/>
      <x:c r="Q455" s="139" t="n"/>
      <x:c r="R455" s="139" t="n"/>
      <x:c r="S455" s="139" t="n"/>
      <x:c r="T455" s="139" t="n"/>
      <x:c r="U455" s="139" t="n"/>
    </x:row>
    <x:row r="456">
      <x:c r="A456" s="139" t="n"/>
      <x:c r="B456" s="139" t="n"/>
      <x:c r="C456" s="139" t="n"/>
      <x:c r="D456" s="139" t="n"/>
      <x:c r="E456" s="139" t="n"/>
      <x:c r="F456" s="139" t="n"/>
      <x:c r="G456" s="139" t="n"/>
      <x:c r="H456" s="139" t="n"/>
      <x:c r="I456" s="139" t="n"/>
      <x:c r="J456" s="139" t="n"/>
      <x:c r="K456" s="139" t="n"/>
      <x:c r="L456" s="139" t="n"/>
      <x:c r="M456" s="139" t="n"/>
      <x:c r="N456" s="139" t="n"/>
      <x:c r="O456" s="139" t="n"/>
      <x:c r="P456" s="139" t="n"/>
      <x:c r="Q456" s="139" t="n"/>
      <x:c r="R456" s="139" t="n"/>
      <x:c r="S456" s="139" t="n"/>
      <x:c r="T456" s="139" t="n"/>
      <x:c r="U456" s="139" t="n"/>
    </x:row>
    <x:row r="457">
      <x:c r="A457" s="139" t="n"/>
      <x:c r="B457" s="139" t="n"/>
      <x:c r="C457" s="139" t="n"/>
      <x:c r="D457" s="139" t="n"/>
      <x:c r="E457" s="139" t="n"/>
      <x:c r="F457" s="139" t="n"/>
      <x:c r="G457" s="139" t="n"/>
      <x:c r="H457" s="139" t="n"/>
      <x:c r="I457" s="139" t="n"/>
      <x:c r="J457" s="139" t="n"/>
      <x:c r="K457" s="139" t="n"/>
      <x:c r="L457" s="139" t="n"/>
      <x:c r="M457" s="139" t="n"/>
      <x:c r="N457" s="139" t="n"/>
      <x:c r="O457" s="139" t="n"/>
      <x:c r="P457" s="139" t="n"/>
      <x:c r="Q457" s="139" t="n"/>
      <x:c r="R457" s="139" t="n"/>
      <x:c r="S457" s="139" t="n"/>
      <x:c r="T457" s="139" t="n"/>
      <x:c r="U457" s="139" t="n"/>
    </x:row>
    <x:row r="458">
      <x:c r="A458" s="139" t="n"/>
      <x:c r="B458" s="139" t="n"/>
      <x:c r="C458" s="139" t="n"/>
      <x:c r="D458" s="139" t="n"/>
      <x:c r="E458" s="139" t="n"/>
      <x:c r="F458" s="139" t="n"/>
      <x:c r="G458" s="139" t="n"/>
      <x:c r="H458" s="139" t="n"/>
      <x:c r="I458" s="139" t="n"/>
      <x:c r="J458" s="139" t="n"/>
      <x:c r="K458" s="139" t="n"/>
      <x:c r="L458" s="139" t="n"/>
      <x:c r="M458" s="139" t="n"/>
      <x:c r="N458" s="139" t="n"/>
      <x:c r="O458" s="139" t="n"/>
      <x:c r="P458" s="139" t="n"/>
      <x:c r="Q458" s="139" t="n"/>
      <x:c r="R458" s="139" t="n"/>
      <x:c r="S458" s="139" t="n"/>
      <x:c r="T458" s="139" t="n"/>
      <x:c r="U458" s="139" t="n"/>
    </x:row>
    <x:row r="459">
      <x:c r="A459" s="139" t="n"/>
      <x:c r="B459" s="139" t="n"/>
      <x:c r="C459" s="139" t="n"/>
      <x:c r="D459" s="139" t="n"/>
      <x:c r="E459" s="139" t="n"/>
      <x:c r="F459" s="139" t="n"/>
      <x:c r="G459" s="139" t="n"/>
      <x:c r="H459" s="139" t="n"/>
      <x:c r="I459" s="139" t="n"/>
      <x:c r="J459" s="139" t="n"/>
      <x:c r="K459" s="139" t="n"/>
      <x:c r="L459" s="139" t="n"/>
      <x:c r="M459" s="139" t="n"/>
      <x:c r="N459" s="139" t="n"/>
      <x:c r="O459" s="139" t="n"/>
      <x:c r="P459" s="139" t="n"/>
      <x:c r="Q459" s="139" t="n"/>
      <x:c r="R459" s="139" t="n"/>
      <x:c r="S459" s="139" t="n"/>
      <x:c r="T459" s="139" t="n"/>
      <x:c r="U459" s="139" t="n"/>
    </x:row>
    <x:row r="460">
      <x:c r="A460" s="139" t="n"/>
      <x:c r="B460" s="139" t="n"/>
      <x:c r="C460" s="139" t="n"/>
      <x:c r="D460" s="139" t="n"/>
      <x:c r="E460" s="139" t="n"/>
      <x:c r="F460" s="139" t="n"/>
      <x:c r="G460" s="139" t="n"/>
      <x:c r="H460" s="139" t="n"/>
      <x:c r="I460" s="139" t="n"/>
      <x:c r="J460" s="139" t="n"/>
      <x:c r="K460" s="139" t="n"/>
      <x:c r="L460" s="139" t="n"/>
      <x:c r="M460" s="139" t="n"/>
      <x:c r="N460" s="139" t="n"/>
      <x:c r="O460" s="139" t="n"/>
      <x:c r="P460" s="139" t="n"/>
      <x:c r="Q460" s="139" t="n"/>
      <x:c r="R460" s="139" t="n"/>
      <x:c r="S460" s="139" t="n"/>
      <x:c r="T460" s="139" t="n"/>
      <x:c r="U460" s="139" t="n"/>
    </x:row>
    <x:row r="461">
      <x:c r="A461" s="139" t="n"/>
      <x:c r="B461" s="139" t="n"/>
      <x:c r="C461" s="139" t="n"/>
      <x:c r="D461" s="139" t="n"/>
      <x:c r="E461" s="139" t="n"/>
      <x:c r="F461" s="139" t="n"/>
      <x:c r="G461" s="139" t="n"/>
      <x:c r="H461" s="139" t="n"/>
      <x:c r="I461" s="139" t="n"/>
      <x:c r="J461" s="139" t="n"/>
      <x:c r="K461" s="139" t="n"/>
      <x:c r="L461" s="139" t="n"/>
      <x:c r="M461" s="139" t="n"/>
      <x:c r="N461" s="139" t="n"/>
      <x:c r="O461" s="139" t="n"/>
      <x:c r="P461" s="139" t="n"/>
      <x:c r="Q461" s="139" t="n"/>
      <x:c r="R461" s="139" t="n"/>
      <x:c r="S461" s="139" t="n"/>
      <x:c r="T461" s="139" t="n"/>
      <x:c r="U461" s="139" t="n"/>
    </x:row>
    <x:row r="462">
      <x:c r="A462" s="139" t="n"/>
      <x:c r="B462" s="139" t="n"/>
      <x:c r="C462" s="139" t="n"/>
      <x:c r="D462" s="139" t="n"/>
      <x:c r="E462" s="139" t="n"/>
      <x:c r="F462" s="139" t="n"/>
      <x:c r="G462" s="139" t="n"/>
      <x:c r="H462" s="139" t="n"/>
      <x:c r="I462" s="139" t="n"/>
      <x:c r="J462" s="139" t="n"/>
      <x:c r="K462" s="139" t="n"/>
      <x:c r="L462" s="139" t="n"/>
      <x:c r="M462" s="139" t="n"/>
      <x:c r="N462" s="139" t="n"/>
      <x:c r="O462" s="139" t="n"/>
      <x:c r="P462" s="139" t="n"/>
      <x:c r="Q462" s="139" t="n"/>
      <x:c r="R462" s="139" t="n"/>
      <x:c r="S462" s="139" t="n"/>
      <x:c r="T462" s="139" t="n"/>
      <x:c r="U462" s="139" t="n"/>
    </x:row>
    <x:row r="463">
      <x:c r="A463" s="139" t="n"/>
      <x:c r="B463" s="139" t="n"/>
      <x:c r="C463" s="139" t="n"/>
      <x:c r="D463" s="139" t="n"/>
      <x:c r="E463" s="139" t="n"/>
      <x:c r="F463" s="139" t="n"/>
      <x:c r="G463" s="139" t="n"/>
      <x:c r="H463" s="139" t="n"/>
      <x:c r="I463" s="139" t="n"/>
      <x:c r="J463" s="139" t="n"/>
      <x:c r="K463" s="139" t="n"/>
      <x:c r="L463" s="139" t="n"/>
      <x:c r="M463" s="139" t="n"/>
      <x:c r="N463" s="139" t="n"/>
      <x:c r="O463" s="139" t="n"/>
      <x:c r="P463" s="139" t="n"/>
      <x:c r="Q463" s="139" t="n"/>
      <x:c r="R463" s="139" t="n"/>
      <x:c r="S463" s="139" t="n"/>
      <x:c r="T463" s="139" t="n"/>
      <x:c r="U463" s="139" t="n"/>
    </x:row>
    <x:row r="464">
      <x:c r="A464" s="139" t="n"/>
      <x:c r="B464" s="139" t="n"/>
      <x:c r="C464" s="139" t="n"/>
      <x:c r="D464" s="139" t="n"/>
      <x:c r="E464" s="139" t="n"/>
      <x:c r="F464" s="139" t="n"/>
      <x:c r="G464" s="139" t="n"/>
      <x:c r="H464" s="139" t="n"/>
      <x:c r="I464" s="139" t="n"/>
      <x:c r="J464" s="139" t="n"/>
      <x:c r="K464" s="139" t="n"/>
      <x:c r="L464" s="139" t="n"/>
      <x:c r="M464" s="139" t="n"/>
      <x:c r="N464" s="139" t="n"/>
      <x:c r="O464" s="139" t="n"/>
      <x:c r="P464" s="139" t="n"/>
      <x:c r="Q464" s="139" t="n"/>
      <x:c r="R464" s="139" t="n"/>
      <x:c r="S464" s="139" t="n"/>
      <x:c r="T464" s="139" t="n"/>
      <x:c r="U464" s="139" t="n"/>
    </x:row>
    <x:row r="465">
      <x:c r="A465" s="139" t="n"/>
      <x:c r="B465" s="139" t="n"/>
      <x:c r="C465" s="139" t="n"/>
      <x:c r="D465" s="139" t="n"/>
      <x:c r="E465" s="139" t="n"/>
      <x:c r="F465" s="139" t="n"/>
      <x:c r="G465" s="139" t="n"/>
      <x:c r="H465" s="139" t="n"/>
      <x:c r="I465" s="139" t="n"/>
      <x:c r="J465" s="139" t="n"/>
      <x:c r="K465" s="139" t="n"/>
      <x:c r="L465" s="139" t="n"/>
      <x:c r="M465" s="139" t="n"/>
      <x:c r="N465" s="139" t="n"/>
      <x:c r="O465" s="139" t="n"/>
      <x:c r="P465" s="139" t="n"/>
      <x:c r="Q465" s="139" t="n"/>
      <x:c r="R465" s="139" t="n"/>
      <x:c r="S465" s="139" t="n"/>
      <x:c r="T465" s="139" t="n"/>
      <x:c r="U465" s="139" t="n"/>
    </x:row>
    <x:row r="466">
      <x:c r="A466" s="139" t="n"/>
      <x:c r="B466" s="139" t="n"/>
      <x:c r="C466" s="139" t="n"/>
      <x:c r="D466" s="139" t="n"/>
      <x:c r="E466" s="139" t="n"/>
      <x:c r="F466" s="139" t="n"/>
      <x:c r="G466" s="139" t="n"/>
      <x:c r="H466" s="139" t="n"/>
      <x:c r="I466" s="139" t="n"/>
      <x:c r="J466" s="139" t="n"/>
      <x:c r="K466" s="139" t="n"/>
      <x:c r="L466" s="139" t="n"/>
      <x:c r="M466" s="139" t="n"/>
      <x:c r="N466" s="139" t="n"/>
      <x:c r="O466" s="139" t="n"/>
      <x:c r="P466" s="139" t="n"/>
      <x:c r="Q466" s="139" t="n"/>
      <x:c r="R466" s="139" t="n"/>
      <x:c r="S466" s="139" t="n"/>
      <x:c r="T466" s="139" t="n"/>
      <x:c r="U466" s="139" t="n"/>
    </x:row>
    <x:row r="467">
      <x:c r="A467" s="139" t="n"/>
      <x:c r="B467" s="139" t="n"/>
      <x:c r="C467" s="139" t="n"/>
      <x:c r="D467" s="139" t="n"/>
      <x:c r="E467" s="139" t="n"/>
      <x:c r="F467" s="139" t="n"/>
      <x:c r="G467" s="139" t="n"/>
      <x:c r="H467" s="139" t="n"/>
      <x:c r="I467" s="139" t="n"/>
      <x:c r="J467" s="139" t="n"/>
      <x:c r="K467" s="139" t="n"/>
      <x:c r="L467" s="139" t="n"/>
      <x:c r="M467" s="139" t="n"/>
      <x:c r="N467" s="139" t="n"/>
      <x:c r="O467" s="139" t="n"/>
      <x:c r="P467" s="139" t="n"/>
      <x:c r="Q467" s="139" t="n"/>
      <x:c r="R467" s="139" t="n"/>
      <x:c r="S467" s="139" t="n"/>
      <x:c r="T467" s="139" t="n"/>
      <x:c r="U467" s="139" t="n"/>
    </x:row>
    <x:row r="468">
      <x:c r="A468" s="139" t="n"/>
      <x:c r="B468" s="139" t="n"/>
      <x:c r="C468" s="139" t="n"/>
      <x:c r="D468" s="139" t="n"/>
      <x:c r="E468" s="139" t="n"/>
      <x:c r="F468" s="139" t="n"/>
      <x:c r="G468" s="139" t="n"/>
      <x:c r="H468" s="139" t="n"/>
      <x:c r="I468" s="139" t="n"/>
      <x:c r="J468" s="139" t="n"/>
      <x:c r="K468" s="139" t="n"/>
      <x:c r="L468" s="139" t="n"/>
      <x:c r="M468" s="139" t="n"/>
      <x:c r="N468" s="139" t="n"/>
      <x:c r="O468" s="139" t="n"/>
      <x:c r="P468" s="139" t="n"/>
      <x:c r="Q468" s="139" t="n"/>
      <x:c r="R468" s="139" t="n"/>
      <x:c r="S468" s="139" t="n"/>
      <x:c r="T468" s="139" t="n"/>
      <x:c r="U468" s="139" t="n"/>
    </x:row>
    <x:row r="469">
      <x:c r="A469" s="139" t="n"/>
      <x:c r="B469" s="139" t="n"/>
      <x:c r="C469" s="139" t="n"/>
      <x:c r="D469" s="139" t="n"/>
      <x:c r="E469" s="139" t="n"/>
      <x:c r="F469" s="139" t="n"/>
      <x:c r="G469" s="139" t="n"/>
      <x:c r="H469" s="139" t="n"/>
      <x:c r="I469" s="139" t="n"/>
      <x:c r="J469" s="139" t="n"/>
      <x:c r="K469" s="139" t="n"/>
      <x:c r="L469" s="139" t="n"/>
      <x:c r="M469" s="139" t="n"/>
      <x:c r="N469" s="139" t="n"/>
      <x:c r="O469" s="139" t="n"/>
      <x:c r="P469" s="139" t="n"/>
      <x:c r="Q469" s="139" t="n"/>
      <x:c r="R469" s="139" t="n"/>
      <x:c r="S469" s="139" t="n"/>
      <x:c r="T469" s="139" t="n"/>
      <x:c r="U469" s="139" t="n"/>
    </x:row>
    <x:row r="470">
      <x:c r="A470" s="139" t="n"/>
      <x:c r="B470" s="139" t="n"/>
      <x:c r="C470" s="139" t="n"/>
      <x:c r="D470" s="139" t="n"/>
      <x:c r="E470" s="139" t="n"/>
      <x:c r="F470" s="139" t="n"/>
      <x:c r="G470" s="139" t="n"/>
      <x:c r="H470" s="139" t="n"/>
      <x:c r="I470" s="139" t="n"/>
      <x:c r="J470" s="139" t="n"/>
      <x:c r="K470" s="139" t="n"/>
      <x:c r="L470" s="139" t="n"/>
      <x:c r="M470" s="139" t="n"/>
      <x:c r="N470" s="139" t="n"/>
      <x:c r="O470" s="139" t="n"/>
      <x:c r="P470" s="139" t="n"/>
      <x:c r="Q470" s="139" t="n"/>
      <x:c r="R470" s="139" t="n"/>
      <x:c r="S470" s="139" t="n"/>
      <x:c r="T470" s="139" t="n"/>
      <x:c r="U470" s="139" t="n"/>
    </x:row>
    <x:row r="471">
      <x:c r="A471" s="139" t="n"/>
      <x:c r="B471" s="139" t="n"/>
      <x:c r="C471" s="139" t="n"/>
      <x:c r="D471" s="139" t="n"/>
      <x:c r="E471" s="139" t="n"/>
      <x:c r="F471" s="139" t="n"/>
      <x:c r="G471" s="139" t="n"/>
      <x:c r="H471" s="139" t="n"/>
      <x:c r="I471" s="139" t="n"/>
      <x:c r="J471" s="139" t="n"/>
      <x:c r="K471" s="139" t="n"/>
      <x:c r="L471" s="139" t="n"/>
      <x:c r="M471" s="139" t="n"/>
      <x:c r="N471" s="139" t="n"/>
      <x:c r="O471" s="139" t="n"/>
      <x:c r="P471" s="139" t="n"/>
      <x:c r="Q471" s="139" t="n"/>
      <x:c r="R471" s="139" t="n"/>
      <x:c r="S471" s="139" t="n"/>
      <x:c r="T471" s="139" t="n"/>
      <x:c r="U471" s="139" t="n"/>
    </x:row>
    <x:row r="472">
      <x:c r="A472" s="139" t="n"/>
      <x:c r="B472" s="139" t="n"/>
      <x:c r="C472" s="139" t="n"/>
      <x:c r="D472" s="139" t="n"/>
      <x:c r="E472" s="139" t="n"/>
      <x:c r="F472" s="139" t="n"/>
      <x:c r="G472" s="139" t="n"/>
      <x:c r="H472" s="139" t="n"/>
      <x:c r="I472" s="139" t="n"/>
      <x:c r="J472" s="139" t="n"/>
      <x:c r="K472" s="139" t="n"/>
      <x:c r="L472" s="139" t="n"/>
      <x:c r="M472" s="139" t="n"/>
      <x:c r="N472" s="139" t="n"/>
      <x:c r="O472" s="139" t="n"/>
      <x:c r="P472" s="139" t="n"/>
      <x:c r="Q472" s="139" t="n"/>
      <x:c r="R472" s="139" t="n"/>
      <x:c r="S472" s="139" t="n"/>
      <x:c r="T472" s="139" t="n"/>
      <x:c r="U472" s="139" t="n"/>
    </x:row>
    <x:row r="473">
      <x:c r="A473" s="139" t="n"/>
      <x:c r="B473" s="139" t="n"/>
      <x:c r="C473" s="139" t="n"/>
      <x:c r="D473" s="139" t="n"/>
      <x:c r="E473" s="139" t="n"/>
      <x:c r="F473" s="139" t="n"/>
      <x:c r="G473" s="139" t="n"/>
      <x:c r="H473" s="139" t="n"/>
      <x:c r="I473" s="139" t="n"/>
      <x:c r="J473" s="139" t="n"/>
      <x:c r="K473" s="139" t="n"/>
      <x:c r="L473" s="139" t="n"/>
      <x:c r="M473" s="139" t="n"/>
      <x:c r="N473" s="139" t="n"/>
      <x:c r="O473" s="139" t="n"/>
      <x:c r="P473" s="139" t="n"/>
      <x:c r="Q473" s="139" t="n"/>
      <x:c r="R473" s="139" t="n"/>
      <x:c r="S473" s="139" t="n"/>
      <x:c r="T473" s="139" t="n"/>
      <x:c r="U473" s="139" t="n"/>
    </x:row>
    <x:row r="474">
      <x:c r="A474" s="139" t="n"/>
      <x:c r="B474" s="139" t="n"/>
      <x:c r="C474" s="139" t="n"/>
      <x:c r="D474" s="139" t="n"/>
      <x:c r="E474" s="139" t="n"/>
      <x:c r="F474" s="139" t="n"/>
      <x:c r="G474" s="139" t="n"/>
      <x:c r="H474" s="139" t="n"/>
      <x:c r="I474" s="139" t="n"/>
      <x:c r="J474" s="139" t="n"/>
      <x:c r="K474" s="139" t="n"/>
      <x:c r="L474" s="139" t="n"/>
      <x:c r="M474" s="139" t="n"/>
      <x:c r="N474" s="139" t="n"/>
      <x:c r="O474" s="139" t="n"/>
      <x:c r="P474" s="139" t="n"/>
      <x:c r="Q474" s="139" t="n"/>
      <x:c r="R474" s="139" t="n"/>
      <x:c r="S474" s="139" t="n"/>
      <x:c r="T474" s="139" t="n"/>
      <x:c r="U474" s="139" t="n"/>
    </x:row>
    <x:row r="475">
      <x:c r="A475" s="139" t="n"/>
      <x:c r="B475" s="139" t="n"/>
      <x:c r="C475" s="139" t="n"/>
      <x:c r="D475" s="139" t="n"/>
      <x:c r="E475" s="139" t="n"/>
      <x:c r="F475" s="139" t="n"/>
      <x:c r="G475" s="139" t="n"/>
      <x:c r="H475" s="139" t="n"/>
      <x:c r="I475" s="139" t="n"/>
      <x:c r="J475" s="139" t="n"/>
      <x:c r="K475" s="139" t="n"/>
      <x:c r="L475" s="139" t="n"/>
      <x:c r="M475" s="139" t="n"/>
      <x:c r="N475" s="139" t="n"/>
      <x:c r="O475" s="139" t="n"/>
      <x:c r="P475" s="139" t="n"/>
      <x:c r="Q475" s="139" t="n"/>
      <x:c r="R475" s="139" t="n"/>
      <x:c r="S475" s="139" t="n"/>
      <x:c r="T475" s="139" t="n"/>
      <x:c r="U475" s="139" t="n"/>
    </x:row>
    <x:row r="476">
      <x:c r="A476" s="139" t="n"/>
      <x:c r="B476" s="139" t="n"/>
      <x:c r="C476" s="139" t="n"/>
      <x:c r="D476" s="139" t="n"/>
      <x:c r="E476" s="139" t="n"/>
      <x:c r="F476" s="139" t="n"/>
      <x:c r="G476" s="139" t="n"/>
      <x:c r="H476" s="139" t="n"/>
      <x:c r="I476" s="139" t="n"/>
      <x:c r="J476" s="139" t="n"/>
      <x:c r="K476" s="139" t="n"/>
      <x:c r="L476" s="139" t="n"/>
      <x:c r="M476" s="139" t="n"/>
      <x:c r="N476" s="139" t="n"/>
      <x:c r="O476" s="139" t="n"/>
      <x:c r="P476" s="139" t="n"/>
      <x:c r="Q476" s="139" t="n"/>
      <x:c r="R476" s="139" t="n"/>
      <x:c r="S476" s="139" t="n"/>
      <x:c r="T476" s="139" t="n"/>
      <x:c r="U476" s="139" t="n"/>
    </x:row>
    <x:row r="477">
      <x:c r="A477" s="139" t="n"/>
      <x:c r="B477" s="139" t="n"/>
      <x:c r="C477" s="139" t="n"/>
      <x:c r="D477" s="139" t="n"/>
      <x:c r="E477" s="139" t="n"/>
      <x:c r="F477" s="139" t="n"/>
      <x:c r="G477" s="139" t="n"/>
      <x:c r="H477" s="139" t="n"/>
      <x:c r="I477" s="139" t="n"/>
      <x:c r="J477" s="139" t="n"/>
      <x:c r="K477" s="139" t="n"/>
      <x:c r="L477" s="139" t="n"/>
      <x:c r="M477" s="139" t="n"/>
      <x:c r="N477" s="139" t="n"/>
      <x:c r="O477" s="139" t="n"/>
      <x:c r="P477" s="139" t="n"/>
      <x:c r="Q477" s="139" t="n"/>
      <x:c r="R477" s="139" t="n"/>
      <x:c r="S477" s="139" t="n"/>
      <x:c r="T477" s="139" t="n"/>
      <x:c r="U477" s="139" t="n"/>
    </x:row>
    <x:row r="478">
      <x:c r="A478" s="139" t="n"/>
      <x:c r="B478" s="139" t="n"/>
      <x:c r="C478" s="139" t="n"/>
      <x:c r="D478" s="139" t="n"/>
      <x:c r="E478" s="139" t="n"/>
      <x:c r="F478" s="139" t="n"/>
      <x:c r="G478" s="139" t="n"/>
      <x:c r="H478" s="139" t="n"/>
      <x:c r="I478" s="139" t="n"/>
      <x:c r="J478" s="139" t="n"/>
      <x:c r="K478" s="139" t="n"/>
      <x:c r="L478" s="139" t="n"/>
      <x:c r="M478" s="139" t="n"/>
      <x:c r="N478" s="139" t="n"/>
      <x:c r="O478" s="139" t="n"/>
      <x:c r="P478" s="139" t="n"/>
      <x:c r="Q478" s="139" t="n"/>
      <x:c r="R478" s="139" t="n"/>
      <x:c r="S478" s="139" t="n"/>
      <x:c r="T478" s="139" t="n"/>
      <x:c r="U478" s="139" t="n"/>
    </x:row>
    <x:row r="479">
      <x:c r="A479" s="139" t="n"/>
      <x:c r="B479" s="139" t="n"/>
      <x:c r="C479" s="139" t="n"/>
      <x:c r="D479" s="139" t="n"/>
      <x:c r="E479" s="139" t="n"/>
      <x:c r="F479" s="139" t="n"/>
      <x:c r="G479" s="139" t="n"/>
      <x:c r="H479" s="139" t="n"/>
      <x:c r="I479" s="139" t="n"/>
      <x:c r="J479" s="139" t="n"/>
      <x:c r="K479" s="139" t="n"/>
      <x:c r="L479" s="139" t="n"/>
      <x:c r="M479" s="139" t="n"/>
      <x:c r="N479" s="139" t="n"/>
      <x:c r="O479" s="139" t="n"/>
      <x:c r="P479" s="139" t="n"/>
      <x:c r="Q479" s="139" t="n"/>
      <x:c r="R479" s="139" t="n"/>
      <x:c r="S479" s="139" t="n"/>
      <x:c r="T479" s="139" t="n"/>
      <x:c r="U479" s="139" t="n"/>
    </x:row>
    <x:row r="480">
      <x:c r="A480" s="139" t="n"/>
      <x:c r="B480" s="139" t="n"/>
      <x:c r="C480" s="139" t="n"/>
      <x:c r="D480" s="139" t="n"/>
      <x:c r="E480" s="139" t="n"/>
      <x:c r="F480" s="139" t="n"/>
      <x:c r="G480" s="139" t="n"/>
      <x:c r="H480" s="139" t="n"/>
      <x:c r="I480" s="139" t="n"/>
      <x:c r="J480" s="139" t="n"/>
      <x:c r="K480" s="139" t="n"/>
      <x:c r="L480" s="139" t="n"/>
      <x:c r="M480" s="139" t="n"/>
      <x:c r="N480" s="139" t="n"/>
      <x:c r="O480" s="139" t="n"/>
      <x:c r="P480" s="139" t="n"/>
      <x:c r="Q480" s="139" t="n"/>
      <x:c r="R480" s="139" t="n"/>
      <x:c r="S480" s="139" t="n"/>
      <x:c r="T480" s="139" t="n"/>
      <x:c r="U480" s="139" t="n"/>
    </x:row>
    <x:row r="481">
      <x:c r="A481" s="139" t="n"/>
      <x:c r="B481" s="139" t="n"/>
      <x:c r="C481" s="139" t="n"/>
      <x:c r="D481" s="139" t="n"/>
      <x:c r="E481" s="139" t="n"/>
      <x:c r="F481" s="139" t="n"/>
      <x:c r="G481" s="139" t="n"/>
      <x:c r="H481" s="139" t="n"/>
      <x:c r="I481" s="139" t="n"/>
      <x:c r="J481" s="139" t="n"/>
      <x:c r="K481" s="139" t="n"/>
      <x:c r="L481" s="139" t="n"/>
      <x:c r="M481" s="139" t="n"/>
      <x:c r="N481" s="139" t="n"/>
      <x:c r="O481" s="139" t="n"/>
      <x:c r="P481" s="139" t="n"/>
      <x:c r="Q481" s="139" t="n"/>
      <x:c r="R481" s="139" t="n"/>
      <x:c r="S481" s="139" t="n"/>
      <x:c r="T481" s="139" t="n"/>
      <x:c r="U481" s="139" t="n"/>
    </x:row>
    <x:row r="482">
      <x:c r="A482" s="139" t="n"/>
      <x:c r="B482" s="139" t="n"/>
      <x:c r="C482" s="139" t="n"/>
      <x:c r="D482" s="139" t="n"/>
      <x:c r="E482" s="139" t="n"/>
      <x:c r="F482" s="139" t="n"/>
      <x:c r="G482" s="139" t="n"/>
      <x:c r="H482" s="139" t="n"/>
      <x:c r="I482" s="139" t="n"/>
      <x:c r="J482" s="139" t="n"/>
      <x:c r="K482" s="139" t="n"/>
      <x:c r="L482" s="139" t="n"/>
      <x:c r="M482" s="139" t="n"/>
      <x:c r="N482" s="139" t="n"/>
      <x:c r="O482" s="139" t="n"/>
      <x:c r="P482" s="139" t="n"/>
      <x:c r="Q482" s="139" t="n"/>
      <x:c r="R482" s="139" t="n"/>
      <x:c r="S482" s="139" t="n"/>
      <x:c r="T482" s="139" t="n"/>
      <x:c r="U482" s="139" t="n"/>
    </x:row>
    <x:row r="483">
      <x:c r="A483" s="139" t="n"/>
      <x:c r="B483" s="139" t="n"/>
      <x:c r="C483" s="139" t="n"/>
      <x:c r="D483" s="139" t="n"/>
      <x:c r="E483" s="139" t="n"/>
      <x:c r="F483" s="139" t="n"/>
      <x:c r="G483" s="139" t="n"/>
      <x:c r="H483" s="139" t="n"/>
      <x:c r="I483" s="139" t="n"/>
      <x:c r="J483" s="139" t="n"/>
      <x:c r="K483" s="139" t="n"/>
      <x:c r="L483" s="139" t="n"/>
      <x:c r="M483" s="139" t="n"/>
      <x:c r="N483" s="139" t="n"/>
      <x:c r="O483" s="139" t="n"/>
      <x:c r="P483" s="139" t="n"/>
      <x:c r="Q483" s="139" t="n"/>
      <x:c r="R483" s="139" t="n"/>
      <x:c r="S483" s="139" t="n"/>
      <x:c r="T483" s="139" t="n"/>
      <x:c r="U483" s="139" t="n"/>
    </x:row>
    <x:row r="484">
      <x:c r="A484" s="139" t="n"/>
      <x:c r="B484" s="139" t="n"/>
      <x:c r="C484" s="139" t="n"/>
      <x:c r="D484" s="139" t="n"/>
      <x:c r="E484" s="139" t="n"/>
      <x:c r="F484" s="139" t="n"/>
      <x:c r="G484" s="139" t="n"/>
      <x:c r="H484" s="139" t="n"/>
      <x:c r="I484" s="139" t="n"/>
      <x:c r="J484" s="139" t="n"/>
      <x:c r="K484" s="139" t="n"/>
      <x:c r="L484" s="139" t="n"/>
      <x:c r="M484" s="139" t="n"/>
      <x:c r="N484" s="139" t="n"/>
      <x:c r="O484" s="139" t="n"/>
      <x:c r="P484" s="139" t="n"/>
      <x:c r="Q484" s="139" t="n"/>
      <x:c r="R484" s="139" t="n"/>
      <x:c r="S484" s="139" t="n"/>
      <x:c r="T484" s="139" t="n"/>
      <x:c r="U484" s="139" t="n"/>
    </x:row>
    <x:row r="485">
      <x:c r="A485" s="139" t="n"/>
      <x:c r="B485" s="139" t="n"/>
      <x:c r="C485" s="139" t="n"/>
      <x:c r="D485" s="139" t="n"/>
      <x:c r="E485" s="139" t="n"/>
      <x:c r="F485" s="139" t="n"/>
      <x:c r="G485" s="139" t="n"/>
      <x:c r="H485" s="139" t="n"/>
      <x:c r="I485" s="139" t="n"/>
      <x:c r="J485" s="139" t="n"/>
      <x:c r="K485" s="139" t="n"/>
      <x:c r="L485" s="139" t="n"/>
      <x:c r="M485" s="139" t="n"/>
      <x:c r="N485" s="139" t="n"/>
      <x:c r="O485" s="139" t="n"/>
      <x:c r="P485" s="139" t="n"/>
      <x:c r="Q485" s="139" t="n"/>
      <x:c r="R485" s="139" t="n"/>
      <x:c r="S485" s="139" t="n"/>
      <x:c r="T485" s="139" t="n"/>
      <x:c r="U485" s="139" t="n"/>
    </x:row>
    <x:row r="486">
      <x:c r="A486" s="139" t="n"/>
      <x:c r="B486" s="139" t="n"/>
      <x:c r="C486" s="139" t="n"/>
      <x:c r="D486" s="139" t="n"/>
      <x:c r="E486" s="139" t="n"/>
      <x:c r="F486" s="139" t="n"/>
      <x:c r="G486" s="139" t="n"/>
      <x:c r="H486" s="139" t="n"/>
      <x:c r="I486" s="139" t="n"/>
      <x:c r="J486" s="139" t="n"/>
      <x:c r="K486" s="139" t="n"/>
      <x:c r="L486" s="139" t="n"/>
      <x:c r="M486" s="139" t="n"/>
      <x:c r="N486" s="139" t="n"/>
      <x:c r="O486" s="139" t="n"/>
      <x:c r="P486" s="139" t="n"/>
      <x:c r="Q486" s="139" t="n"/>
      <x:c r="R486" s="139" t="n"/>
      <x:c r="S486" s="139" t="n"/>
      <x:c r="T486" s="139" t="n"/>
      <x:c r="U486" s="139" t="n"/>
    </x:row>
    <x:row r="487">
      <x:c r="A487" s="139" t="n"/>
      <x:c r="B487" s="139" t="n"/>
      <x:c r="C487" s="139" t="n"/>
      <x:c r="D487" s="139" t="n"/>
      <x:c r="E487" s="139" t="n"/>
      <x:c r="F487" s="139" t="n"/>
      <x:c r="G487" s="139" t="n"/>
      <x:c r="H487" s="139" t="n"/>
      <x:c r="I487" s="139" t="n"/>
      <x:c r="J487" s="139" t="n"/>
      <x:c r="K487" s="139" t="n"/>
      <x:c r="L487" s="139" t="n"/>
      <x:c r="M487" s="139" t="n"/>
      <x:c r="N487" s="139" t="n"/>
      <x:c r="O487" s="139" t="n"/>
      <x:c r="P487" s="139" t="n"/>
      <x:c r="Q487" s="139" t="n"/>
      <x:c r="R487" s="139" t="n"/>
      <x:c r="S487" s="139" t="n"/>
      <x:c r="T487" s="139" t="n"/>
      <x:c r="U487" s="139" t="n"/>
    </x:row>
    <x:row r="488">
      <x:c r="A488" s="139" t="n"/>
      <x:c r="B488" s="139" t="n"/>
      <x:c r="C488" s="139" t="n"/>
      <x:c r="D488" s="139" t="n"/>
      <x:c r="E488" s="139" t="n"/>
      <x:c r="F488" s="139" t="n"/>
      <x:c r="G488" s="139" t="n"/>
      <x:c r="H488" s="139" t="n"/>
      <x:c r="I488" s="139" t="n"/>
      <x:c r="J488" s="139" t="n"/>
      <x:c r="K488" s="139" t="n"/>
      <x:c r="L488" s="139" t="n"/>
      <x:c r="M488" s="139" t="n"/>
      <x:c r="N488" s="139" t="n"/>
      <x:c r="O488" s="139" t="n"/>
      <x:c r="P488" s="139" t="n"/>
      <x:c r="Q488" s="139" t="n"/>
      <x:c r="R488" s="139" t="n"/>
      <x:c r="S488" s="139" t="n"/>
      <x:c r="T488" s="139" t="n"/>
      <x:c r="U488" s="139" t="n"/>
    </x:row>
    <x:row r="489">
      <x:c r="A489" s="139" t="n"/>
      <x:c r="B489" s="139" t="n"/>
      <x:c r="C489" s="139" t="n"/>
      <x:c r="D489" s="139" t="n"/>
      <x:c r="E489" s="139" t="n"/>
      <x:c r="F489" s="139" t="n"/>
      <x:c r="G489" s="139" t="n"/>
      <x:c r="H489" s="139" t="n"/>
      <x:c r="I489" s="139" t="n"/>
      <x:c r="J489" s="139" t="n"/>
      <x:c r="K489" s="139" t="n"/>
      <x:c r="L489" s="139" t="n"/>
      <x:c r="M489" s="139" t="n"/>
      <x:c r="N489" s="139" t="n"/>
      <x:c r="O489" s="139" t="n"/>
      <x:c r="P489" s="139" t="n"/>
      <x:c r="Q489" s="139" t="n"/>
      <x:c r="R489" s="139" t="n"/>
      <x:c r="S489" s="139" t="n"/>
      <x:c r="T489" s="139" t="n"/>
      <x:c r="U489" s="139" t="n"/>
    </x:row>
    <x:row r="490">
      <x:c r="A490" s="139" t="n"/>
      <x:c r="B490" s="139" t="n"/>
      <x:c r="C490" s="139" t="n"/>
      <x:c r="D490" s="139" t="n"/>
      <x:c r="E490" s="139" t="n"/>
      <x:c r="F490" s="139" t="n"/>
      <x:c r="G490" s="139" t="n"/>
      <x:c r="H490" s="139" t="n"/>
      <x:c r="I490" s="139" t="n"/>
      <x:c r="J490" s="139" t="n"/>
      <x:c r="K490" s="139" t="n"/>
      <x:c r="L490" s="139" t="n"/>
      <x:c r="M490" s="139" t="n"/>
      <x:c r="N490" s="139" t="n"/>
      <x:c r="O490" s="139" t="n"/>
      <x:c r="P490" s="139" t="n"/>
      <x:c r="Q490" s="139" t="n"/>
      <x:c r="R490" s="139" t="n"/>
      <x:c r="S490" s="139" t="n"/>
      <x:c r="T490" s="139" t="n"/>
      <x:c r="U490" s="139" t="n"/>
    </x:row>
    <x:row r="491">
      <x:c r="A491" s="139" t="n"/>
      <x:c r="B491" s="139" t="n"/>
      <x:c r="C491" s="139" t="n"/>
      <x:c r="D491" s="139" t="n"/>
      <x:c r="E491" s="139" t="n"/>
      <x:c r="F491" s="139" t="n"/>
      <x:c r="G491" s="139" t="n"/>
      <x:c r="H491" s="139" t="n"/>
      <x:c r="I491" s="139" t="n"/>
      <x:c r="J491" s="139" t="n"/>
      <x:c r="K491" s="139" t="n"/>
      <x:c r="L491" s="139" t="n"/>
      <x:c r="M491" s="139" t="n"/>
      <x:c r="N491" s="139" t="n"/>
      <x:c r="O491" s="139" t="n"/>
      <x:c r="P491" s="139" t="n"/>
      <x:c r="Q491" s="139" t="n"/>
      <x:c r="R491" s="139" t="n"/>
      <x:c r="S491" s="139" t="n"/>
      <x:c r="T491" s="139" t="n"/>
      <x:c r="U491" s="139" t="n"/>
    </x:row>
    <x:row r="492">
      <x:c r="A492" s="139" t="n"/>
      <x:c r="B492" s="139" t="n"/>
      <x:c r="C492" s="139" t="n"/>
      <x:c r="D492" s="139" t="n"/>
      <x:c r="E492" s="139" t="n"/>
      <x:c r="F492" s="139" t="n"/>
      <x:c r="G492" s="139" t="n"/>
      <x:c r="H492" s="139" t="n"/>
      <x:c r="I492" s="139" t="n"/>
      <x:c r="J492" s="139" t="n"/>
      <x:c r="K492" s="139" t="n"/>
      <x:c r="L492" s="139" t="n"/>
      <x:c r="M492" s="139" t="n"/>
      <x:c r="N492" s="139" t="n"/>
      <x:c r="O492" s="139" t="n"/>
      <x:c r="P492" s="139" t="n"/>
      <x:c r="Q492" s="139" t="n"/>
      <x:c r="R492" s="139" t="n"/>
      <x:c r="S492" s="139" t="n"/>
      <x:c r="T492" s="139" t="n"/>
      <x:c r="U492" s="139" t="n"/>
    </x:row>
    <x:row r="493">
      <x:c r="A493" s="139" t="n"/>
      <x:c r="B493" s="139" t="n"/>
      <x:c r="C493" s="139" t="n"/>
      <x:c r="D493" s="139" t="n"/>
      <x:c r="E493" s="139" t="n"/>
      <x:c r="F493" s="139" t="n"/>
      <x:c r="G493" s="139" t="n"/>
      <x:c r="H493" s="139" t="n"/>
      <x:c r="I493" s="139" t="n"/>
      <x:c r="J493" s="139" t="n"/>
      <x:c r="K493" s="139" t="n"/>
      <x:c r="L493" s="139" t="n"/>
      <x:c r="M493" s="139" t="n"/>
      <x:c r="N493" s="139" t="n"/>
      <x:c r="O493" s="139" t="n"/>
      <x:c r="P493" s="139" t="n"/>
      <x:c r="Q493" s="139" t="n"/>
      <x:c r="R493" s="139" t="n"/>
      <x:c r="S493" s="139" t="n"/>
      <x:c r="T493" s="139" t="n"/>
      <x:c r="U493" s="139" t="n"/>
    </x:row>
    <x:row r="494">
      <x:c r="A494" s="139" t="n"/>
      <x:c r="B494" s="139" t="n"/>
      <x:c r="C494" s="139" t="n"/>
      <x:c r="D494" s="139" t="n"/>
      <x:c r="E494" s="139" t="n"/>
      <x:c r="F494" s="139" t="n"/>
      <x:c r="G494" s="139" t="n"/>
      <x:c r="H494" s="139" t="n"/>
      <x:c r="I494" s="139" t="n"/>
      <x:c r="J494" s="139" t="n"/>
      <x:c r="K494" s="139" t="n"/>
      <x:c r="L494" s="139" t="n"/>
      <x:c r="M494" s="139" t="n"/>
      <x:c r="N494" s="139" t="n"/>
      <x:c r="O494" s="139" t="n"/>
      <x:c r="P494" s="139" t="n"/>
      <x:c r="Q494" s="139" t="n"/>
      <x:c r="R494" s="139" t="n"/>
      <x:c r="S494" s="139" t="n"/>
      <x:c r="T494" s="139" t="n"/>
      <x:c r="U494" s="139" t="n"/>
    </x:row>
    <x:row r="495">
      <x:c r="A495" s="139" t="n"/>
      <x:c r="B495" s="139" t="n"/>
      <x:c r="C495" s="139" t="n"/>
      <x:c r="D495" s="139" t="n"/>
      <x:c r="E495" s="139" t="n"/>
      <x:c r="F495" s="139" t="n"/>
      <x:c r="G495" s="139" t="n"/>
      <x:c r="H495" s="139" t="n"/>
      <x:c r="I495" s="139" t="n"/>
      <x:c r="J495" s="139" t="n"/>
      <x:c r="K495" s="139" t="n"/>
      <x:c r="L495" s="139" t="n"/>
      <x:c r="M495" s="139" t="n"/>
      <x:c r="N495" s="139" t="n"/>
      <x:c r="O495" s="139" t="n"/>
      <x:c r="P495" s="139" t="n"/>
      <x:c r="Q495" s="139" t="n"/>
      <x:c r="R495" s="139" t="n"/>
      <x:c r="S495" s="139" t="n"/>
      <x:c r="T495" s="139" t="n"/>
      <x:c r="U495" s="139" t="n"/>
    </x:row>
    <x:row r="496">
      <x:c r="A496" s="139" t="n"/>
      <x:c r="B496" s="139" t="n"/>
      <x:c r="C496" s="139" t="n"/>
      <x:c r="D496" s="139" t="n"/>
      <x:c r="E496" s="139" t="n"/>
      <x:c r="F496" s="139" t="n"/>
      <x:c r="G496" s="139" t="n"/>
      <x:c r="H496" s="139" t="n"/>
      <x:c r="I496" s="139" t="n"/>
      <x:c r="J496" s="139" t="n"/>
      <x:c r="K496" s="139" t="n"/>
      <x:c r="L496" s="139" t="n"/>
      <x:c r="M496" s="139" t="n"/>
      <x:c r="N496" s="139" t="n"/>
      <x:c r="O496" s="139" t="n"/>
      <x:c r="P496" s="139" t="n"/>
      <x:c r="Q496" s="139" t="n"/>
      <x:c r="R496" s="139" t="n"/>
      <x:c r="S496" s="139" t="n"/>
      <x:c r="T496" s="139" t="n"/>
      <x:c r="U496" s="139" t="n"/>
    </x:row>
    <x:row r="497">
      <x:c r="A497" s="139" t="n"/>
      <x:c r="B497" s="139" t="n"/>
      <x:c r="C497" s="139" t="n"/>
      <x:c r="D497" s="139" t="n"/>
      <x:c r="E497" s="139" t="n"/>
      <x:c r="F497" s="139" t="n"/>
      <x:c r="G497" s="139" t="n"/>
      <x:c r="H497" s="139" t="n"/>
      <x:c r="I497" s="139" t="n"/>
      <x:c r="J497" s="139" t="n"/>
      <x:c r="K497" s="139" t="n"/>
      <x:c r="L497" s="139" t="n"/>
      <x:c r="M497" s="139" t="n"/>
      <x:c r="N497" s="139" t="n"/>
      <x:c r="O497" s="139" t="n"/>
      <x:c r="P497" s="139" t="n"/>
      <x:c r="Q497" s="139" t="n"/>
      <x:c r="R497" s="139" t="n"/>
      <x:c r="S497" s="139" t="n"/>
      <x:c r="T497" s="139" t="n"/>
      <x:c r="U497" s="139" t="n"/>
    </x:row>
    <x:row r="498">
      <x:c r="A498" s="139" t="n"/>
      <x:c r="B498" s="139" t="n"/>
      <x:c r="C498" s="139" t="n"/>
      <x:c r="D498" s="139" t="n"/>
      <x:c r="E498" s="139" t="n"/>
      <x:c r="F498" s="139" t="n"/>
      <x:c r="G498" s="139" t="n"/>
      <x:c r="H498" s="139" t="n"/>
      <x:c r="I498" s="139" t="n"/>
      <x:c r="J498" s="139" t="n"/>
      <x:c r="K498" s="139" t="n"/>
      <x:c r="L498" s="139" t="n"/>
      <x:c r="M498" s="139" t="n"/>
      <x:c r="N498" s="139" t="n"/>
      <x:c r="O498" s="139" t="n"/>
      <x:c r="P498" s="139" t="n"/>
      <x:c r="Q498" s="139" t="n"/>
      <x:c r="R498" s="139" t="n"/>
      <x:c r="S498" s="139" t="n"/>
      <x:c r="T498" s="139" t="n"/>
      <x:c r="U498" s="139" t="n"/>
    </x:row>
    <x:row r="499">
      <x:c r="A499" s="139" t="n"/>
      <x:c r="B499" s="139" t="n"/>
      <x:c r="C499" s="139" t="n"/>
      <x:c r="D499" s="139" t="n"/>
      <x:c r="E499" s="139" t="n"/>
      <x:c r="F499" s="139" t="n"/>
      <x:c r="G499" s="139" t="n"/>
      <x:c r="H499" s="139" t="n"/>
      <x:c r="I499" s="139" t="n"/>
      <x:c r="J499" s="139" t="n"/>
      <x:c r="K499" s="139" t="n"/>
      <x:c r="L499" s="139" t="n"/>
      <x:c r="M499" s="139" t="n"/>
      <x:c r="N499" s="139" t="n"/>
      <x:c r="O499" s="139" t="n"/>
      <x:c r="P499" s="139" t="n"/>
      <x:c r="Q499" s="139" t="n"/>
      <x:c r="R499" s="139" t="n"/>
      <x:c r="S499" s="139" t="n"/>
      <x:c r="T499" s="139" t="n"/>
      <x:c r="U499" s="139" t="n"/>
    </x:row>
    <x:row r="500">
      <x:c r="A500" s="139" t="n"/>
      <x:c r="B500" s="139" t="n"/>
      <x:c r="C500" s="139" t="n"/>
      <x:c r="D500" s="139" t="n"/>
      <x:c r="E500" s="139" t="n"/>
      <x:c r="F500" s="139" t="n"/>
      <x:c r="G500" s="139" t="n"/>
      <x:c r="H500" s="139" t="n"/>
      <x:c r="I500" s="139" t="n"/>
      <x:c r="J500" s="139" t="n"/>
      <x:c r="K500" s="139" t="n"/>
      <x:c r="L500" s="139" t="n"/>
      <x:c r="M500" s="139" t="n"/>
      <x:c r="N500" s="139" t="n"/>
      <x:c r="O500" s="139" t="n"/>
      <x:c r="P500" s="139" t="n"/>
      <x:c r="Q500" s="139" t="n"/>
      <x:c r="R500" s="139" t="n"/>
      <x:c r="S500" s="139" t="n"/>
      <x:c r="T500" s="139" t="n"/>
      <x:c r="U500" s="139" t="n"/>
    </x:row>
  </x:sheetData>
  <x:conditionalFormatting sqref="B2:U21">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10.xml><?xml version="1.0" encoding="utf-8"?>
<x:worksheet xmlns:x="http://schemas.openxmlformats.org/spreadsheetml/2006/main">
  <x:sheetFormatPr baseColWidth="8" defaultRowHeight="15"/>
  <x:cols>
    <x:col min="1" max="1" width="30" style="125" customWidth="1"/>
    <x:col min="2" max="2" width="85" style="125" customWidth="1"/>
  </x:cols>
  <x:sheetData>
    <x:row r="1">
      <x:c r="A1" s="92" t="inlineStr">
        <x:is>
          <x:t xml:space="preserve">Metric</x:t>
        </x:is>
      </x:c>
      <x:c r="B1" s="92" t="inlineStr">
        <x:is>
          <x:t xml:space="preserve">Definition</x:t>
        </x:is>
      </x:c>
    </x:row>
    <x:row r="2">
      <x:c r="A2" s="139" t="inlineStr">
        <x:is>
          <x:t xml:space="preserve">Strength of Schedule</x:t>
        </x:is>
      </x:c>
      <x:c r="B2" s="139" t="inlineStr">
        <x:is>
          <x:t xml:space="preserve">Average overall win percentage of both opponents faced.</x:t>
        </x:is>
      </x:c>
    </x:row>
    <x:row r="3">
      <x:c r="A3" s="139" t="inlineStr">
        <x:is>
          <x:t xml:space="preserve">Partner Strength</x:t>
        </x:is>
      </x:c>
      <x:c r="B3" s="139" t="inlineStr">
        <x:is>
          <x:t xml:space="preserve">Average overall win percentage of partners.</x:t>
        </x:is>
      </x:c>
    </x:row>
    <x:row r="4">
      <x:c r="A4" s="139" t="inlineStr">
        <x:is>
          <x:t xml:space="preserve">Expected Win %</x:t>
        </x:is>
      </x:c>
      <x:c r="B4" s="139" t="inlineStr">
        <x:is>
          <x:t xml:space="preserve">Match-level expectation from player + partner baseline versus both opponents.</x:t>
        </x:is>
      </x:c>
    </x:row>
    <x:row r="5">
      <x:c r="A5" s="139" t="inlineStr">
        <x:is>
          <x:t xml:space="preserve">Performance vs Expectation</x:t>
        </x:is>
      </x:c>
      <x:c r="B5" s="139" t="inlineStr">
        <x:is>
          <x:t xml:space="preserve">Actual Win % minus Expected Win %.</x:t>
        </x:is>
      </x:c>
    </x:row>
    <x:row r="6">
      <x:c r="A6" s="139" t="inlineStr">
        <x:is>
          <x:t xml:space="preserve">Clutch Index</x:t>
        </x:is>
      </x:c>
      <x:c r="B6" s="139" t="inlineStr">
        <x:is>
          <x:t xml:space="preserve">Close-match performance, shrunk toward 50 for small samples.</x:t>
        </x:is>
      </x:c>
    </x:row>
    <x:row r="7">
      <x:c r="A7" s="139" t="inlineStr">
        <x:is>
          <x:t xml:space="preserve">Bounce-Back Rate</x:t>
        </x:is>
      </x:c>
      <x:c r="B7" s="139" t="inlineStr">
        <x:is>
          <x:t xml:space="preserve">Win rate immediately after a loss.</x:t>
        </x:is>
      </x:c>
    </x:row>
    <x:row r="8">
      <x:c r="A8" s="139" t="inlineStr">
        <x:is>
          <x:t xml:space="preserve">Last 5 Win %</x:t>
        </x:is>
      </x:c>
      <x:c r="B8" s="139" t="inlineStr">
        <x:is>
          <x:t xml:space="preserve">Win rate in the latest five matches.</x:t>
        </x:is>
      </x:c>
    </x:row>
    <x:row r="9">
      <x:c r="A9" s="139" t="inlineStr">
        <x:is>
          <x:t xml:space="preserve">Elite Opponent</x:t>
        </x:is>
      </x:c>
      <x:c r="B9" s="139" t="inlineStr">
        <x:is>
          <x:t xml:space="preserve">Average opponent win rate at least 60%.</x:t>
        </x:is>
      </x:c>
    </x:row>
    <x:row r="10">
      <x:c r="A10" s="139" t="inlineStr">
        <x:is>
          <x:t xml:space="preserve">Dominance Index</x:t>
        </x:is>
      </x:c>
      <x:c r="B10" s="139" t="inlineStr">
        <x:is>
          <x:t xml:space="preserve">70% normalized average margin + 30% normalized blowout-win share.</x:t>
        </x:is>
      </x:c>
    </x:row>
    <x:row r="11">
      <x:c r="A11" s="139" t="inlineStr">
        <x:is>
          <x:t xml:space="preserve">Consistency Index</x:t>
        </x:is>
      </x:c>
      <x:c r="B11" s="139" t="inlineStr">
        <x:is>
          <x:t xml:space="preserve">Inverse normalized SD of match point differential.</x:t>
        </x:is>
      </x:c>
    </x:row>
    <x:row r="12">
      <x:c r="A12" s="139" t="inlineStr">
        <x:is>
          <x:t xml:space="preserve">Versatility Index</x:t>
        </x:is>
      </x:c>
      <x:c r="B12" s="139" t="inlineStr">
        <x:is>
          <x:t xml:space="preserve">40% unique partners + 40% unique opponents + 20% tournaments played.</x:t>
        </x:is>
      </x:c>
    </x:row>
    <x:row r="13">
      <x:c r="A13" s="139" t="inlineStr">
        <x:is>
          <x:t xml:space="preserve">Chemistry Delta</x:t>
        </x:is>
      </x:c>
      <x:c r="B13" s="139" t="inlineStr">
        <x:is>
          <x:t xml:space="preserve">Observed pair win rate minus partners' average baseline win rate.</x:t>
        </x:is>
      </x:c>
    </x:row>
    <x:row r="14">
      <x:c r="A14" s="139" t="inlineStr">
        <x:is>
          <x:t xml:space="preserve">Important</x:t>
        </x:is>
      </x:c>
      <x:c r="B14" s="139" t="inlineStr">
        <x:is>
          <x:t xml:space="preserve">These are Stage 5 rating inputs, not the official FLPR Rating.</x:t>
        </x:is>
      </x:c>
    </x:row>
    <x:row r="15">
      <x:c r="A15" s="139" t="n"/>
      <x:c r="B15" s="139" t="n"/>
    </x:row>
    <x:row r="16">
      <x:c r="A16" s="139" t="n"/>
      <x:c r="B16" s="139" t="n"/>
    </x:row>
    <x:row r="17">
      <x:c r="A17" s="139" t="n"/>
      <x:c r="B17" s="139" t="n"/>
    </x:row>
    <x:row r="18">
      <x:c r="A18" s="139" t="n"/>
      <x:c r="B18" s="139" t="n"/>
    </x:row>
    <x:row r="19">
      <x:c r="A19" s="139" t="n"/>
      <x:c r="B19" s="139" t="n"/>
    </x:row>
    <x:row r="20">
      <x:c r="A20" s="139" t="n"/>
      <x:c r="B20" s="139" t="n"/>
    </x:row>
    <x:row r="21">
      <x:c r="A21" s="139" t="n"/>
      <x:c r="B21" s="139" t="n"/>
    </x:row>
    <x:row r="22">
      <x:c r="A22" s="139" t="n"/>
      <x:c r="B22" s="139" t="n"/>
    </x:row>
    <x:row r="23">
      <x:c r="A23" s="139" t="n"/>
      <x:c r="B23" s="139" t="n"/>
    </x:row>
    <x:row r="24">
      <x:c r="A24" s="139" t="n"/>
      <x:c r="B24" s="139" t="n"/>
    </x:row>
    <x:row r="25">
      <x:c r="A25" s="139" t="n"/>
      <x:c r="B25" s="139" t="n"/>
    </x:row>
    <x:row r="26">
      <x:c r="A26" s="139" t="n"/>
      <x:c r="B26" s="139" t="n"/>
    </x:row>
    <x:row r="27">
      <x:c r="A27" s="139" t="n"/>
      <x:c r="B27" s="139" t="n"/>
    </x:row>
    <x:row r="28">
      <x:c r="A28" s="139" t="n"/>
      <x:c r="B28" s="139" t="n"/>
    </x:row>
    <x:row r="29">
      <x:c r="A29" s="139" t="n"/>
      <x:c r="B29" s="139" t="n"/>
    </x:row>
    <x:row r="30">
      <x:c r="A30" s="139" t="n"/>
      <x:c r="B30" s="139" t="n"/>
    </x:row>
    <x:row r="31">
      <x:c r="A31" s="139" t="n"/>
      <x:c r="B31" s="139" t="n"/>
    </x:row>
    <x:row r="32">
      <x:c r="A32" s="139" t="n"/>
      <x:c r="B32" s="139" t="n"/>
    </x:row>
    <x:row r="33">
      <x:c r="A33" s="139" t="n"/>
      <x:c r="B33" s="139" t="n"/>
    </x:row>
    <x:row r="34">
      <x:c r="A34" s="139" t="n"/>
      <x:c r="B34" s="139" t="n"/>
    </x:row>
    <x:row r="35">
      <x:c r="A35" s="139" t="n"/>
      <x:c r="B35" s="139" t="n"/>
    </x:row>
    <x:row r="36">
      <x:c r="A36" s="139" t="n"/>
      <x:c r="B36" s="139" t="n"/>
    </x:row>
    <x:row r="37">
      <x:c r="A37" s="139" t="n"/>
      <x:c r="B37" s="139" t="n"/>
    </x:row>
    <x:row r="38">
      <x:c r="A38" s="139" t="n"/>
      <x:c r="B38" s="139" t="n"/>
    </x:row>
    <x:row r="39">
      <x:c r="A39" s="139" t="n"/>
      <x:c r="B39" s="139" t="n"/>
    </x:row>
    <x:row r="40">
      <x:c r="A40" s="139" t="n"/>
      <x:c r="B40" s="139" t="n"/>
    </x:row>
    <x:row r="41">
      <x:c r="A41" s="139" t="n"/>
      <x:c r="B41" s="139" t="n"/>
    </x:row>
    <x:row r="42">
      <x:c r="A42" s="139" t="n"/>
      <x:c r="B42" s="139" t="n"/>
    </x:row>
    <x:row r="43">
      <x:c r="A43" s="139" t="n"/>
      <x:c r="B43" s="139" t="n"/>
    </x:row>
    <x:row r="44">
      <x:c r="A44" s="139" t="n"/>
      <x:c r="B44" s="139" t="n"/>
    </x:row>
    <x:row r="45">
      <x:c r="A45" s="139" t="n"/>
      <x:c r="B45" s="139" t="n"/>
    </x:row>
    <x:row r="46">
      <x:c r="A46" s="139" t="n"/>
      <x:c r="B46" s="139" t="n"/>
    </x:row>
    <x:row r="47">
      <x:c r="A47" s="139" t="n"/>
      <x:c r="B47" s="139" t="n"/>
    </x:row>
    <x:row r="48">
      <x:c r="A48" s="139" t="n"/>
      <x:c r="B48" s="139" t="n"/>
    </x:row>
    <x:row r="49">
      <x:c r="A49" s="139" t="n"/>
      <x:c r="B49" s="139" t="n"/>
    </x:row>
    <x:row r="50">
      <x:c r="A50" s="139" t="n"/>
      <x:c r="B50" s="139" t="n"/>
    </x:row>
    <x:row r="51">
      <x:c r="A51" s="139" t="n"/>
      <x:c r="B51" s="139" t="n"/>
    </x:row>
    <x:row r="52">
      <x:c r="A52" s="139" t="n"/>
      <x:c r="B52" s="139" t="n"/>
    </x:row>
    <x:row r="53">
      <x:c r="A53" s="139" t="n"/>
      <x:c r="B53" s="139" t="n"/>
    </x:row>
    <x:row r="54">
      <x:c r="A54" s="139" t="n"/>
      <x:c r="B54" s="139" t="n"/>
    </x:row>
    <x:row r="55">
      <x:c r="A55" s="139" t="n"/>
      <x:c r="B55" s="139" t="n"/>
    </x:row>
    <x:row r="56">
      <x:c r="A56" s="139" t="n"/>
      <x:c r="B56" s="139" t="n"/>
    </x:row>
    <x:row r="57">
      <x:c r="A57" s="139" t="n"/>
      <x:c r="B57" s="139" t="n"/>
    </x:row>
    <x:row r="58">
      <x:c r="A58" s="139" t="n"/>
      <x:c r="B58" s="139" t="n"/>
    </x:row>
    <x:row r="59">
      <x:c r="A59" s="139" t="n"/>
      <x:c r="B59" s="139" t="n"/>
    </x:row>
    <x:row r="60">
      <x:c r="A60" s="139" t="n"/>
      <x:c r="B60" s="139" t="n"/>
    </x:row>
    <x:row r="61">
      <x:c r="A61" s="139" t="n"/>
      <x:c r="B61" s="139" t="n"/>
    </x:row>
    <x:row r="62">
      <x:c r="A62" s="139" t="n"/>
      <x:c r="B62" s="139" t="n"/>
    </x:row>
    <x:row r="63">
      <x:c r="A63" s="139" t="n"/>
      <x:c r="B63" s="139" t="n"/>
    </x:row>
    <x:row r="64">
      <x:c r="A64" s="139" t="n"/>
      <x:c r="B64" s="139" t="n"/>
    </x:row>
    <x:row r="65">
      <x:c r="A65" s="139" t="n"/>
      <x:c r="B65" s="139" t="n"/>
    </x:row>
    <x:row r="66">
      <x:c r="A66" s="139" t="n"/>
      <x:c r="B66" s="139" t="n"/>
    </x:row>
    <x:row r="67">
      <x:c r="A67" s="139" t="n"/>
      <x:c r="B67" s="139" t="n"/>
    </x:row>
    <x:row r="68">
      <x:c r="A68" s="139" t="n"/>
      <x:c r="B68" s="139" t="n"/>
    </x:row>
    <x:row r="69">
      <x:c r="A69" s="139" t="n"/>
      <x:c r="B69" s="139" t="n"/>
    </x:row>
    <x:row r="70">
      <x:c r="A70" s="139" t="n"/>
      <x:c r="B70" s="139" t="n"/>
    </x:row>
    <x:row r="71">
      <x:c r="A71" s="139" t="n"/>
      <x:c r="B71" s="139" t="n"/>
    </x:row>
    <x:row r="72">
      <x:c r="A72" s="139" t="n"/>
      <x:c r="B72" s="139" t="n"/>
    </x:row>
    <x:row r="73">
      <x:c r="A73" s="139" t="n"/>
      <x:c r="B73" s="139" t="n"/>
    </x:row>
    <x:row r="74">
      <x:c r="A74" s="139" t="n"/>
      <x:c r="B74" s="139" t="n"/>
    </x:row>
    <x:row r="75">
      <x:c r="A75" s="139" t="n"/>
      <x:c r="B75" s="139" t="n"/>
    </x:row>
    <x:row r="76">
      <x:c r="A76" s="139" t="n"/>
      <x:c r="B76" s="139" t="n"/>
    </x:row>
    <x:row r="77">
      <x:c r="A77" s="139" t="n"/>
      <x:c r="B77" s="139" t="n"/>
    </x:row>
    <x:row r="78">
      <x:c r="A78" s="139" t="n"/>
      <x:c r="B78" s="139" t="n"/>
    </x:row>
    <x:row r="79">
      <x:c r="A79" s="139" t="n"/>
      <x:c r="B79" s="139" t="n"/>
    </x:row>
    <x:row r="80">
      <x:c r="A80" s="139" t="n"/>
      <x:c r="B80" s="139" t="n"/>
    </x:row>
    <x:row r="81">
      <x:c r="A81" s="139" t="n"/>
      <x:c r="B81" s="139" t="n"/>
    </x:row>
    <x:row r="82">
      <x:c r="A82" s="139" t="n"/>
      <x:c r="B82" s="139" t="n"/>
    </x:row>
    <x:row r="83">
      <x:c r="A83" s="139" t="n"/>
      <x:c r="B83" s="139" t="n"/>
    </x:row>
    <x:row r="84">
      <x:c r="A84" s="139" t="n"/>
      <x:c r="B84" s="139" t="n"/>
    </x:row>
    <x:row r="85">
      <x:c r="A85" s="139" t="n"/>
      <x:c r="B85" s="139" t="n"/>
    </x:row>
    <x:row r="86">
      <x:c r="A86" s="139" t="n"/>
      <x:c r="B86" s="139" t="n"/>
    </x:row>
    <x:row r="87">
      <x:c r="A87" s="139" t="n"/>
      <x:c r="B87" s="139" t="n"/>
    </x:row>
    <x:row r="88">
      <x:c r="A88" s="139" t="n"/>
      <x:c r="B88" s="139" t="n"/>
    </x:row>
    <x:row r="89">
      <x:c r="A89" s="139" t="n"/>
      <x:c r="B89" s="139" t="n"/>
    </x:row>
    <x:row r="90">
      <x:c r="A90" s="139" t="n"/>
      <x:c r="B90" s="139" t="n"/>
    </x:row>
    <x:row r="91">
      <x:c r="A91" s="139" t="n"/>
      <x:c r="B91" s="139" t="n"/>
    </x:row>
    <x:row r="92">
      <x:c r="A92" s="139" t="n"/>
      <x:c r="B92" s="139" t="n"/>
    </x:row>
    <x:row r="93">
      <x:c r="A93" s="139" t="n"/>
      <x:c r="B93" s="139" t="n"/>
    </x:row>
    <x:row r="94">
      <x:c r="A94" s="139" t="n"/>
      <x:c r="B94" s="139" t="n"/>
    </x:row>
    <x:row r="95">
      <x:c r="A95" s="139" t="n"/>
      <x:c r="B95" s="139" t="n"/>
    </x:row>
    <x:row r="96">
      <x:c r="A96" s="139" t="n"/>
      <x:c r="B96" s="139" t="n"/>
    </x:row>
    <x:row r="97">
      <x:c r="A97" s="139" t="n"/>
      <x:c r="B97" s="139" t="n"/>
    </x:row>
    <x:row r="98">
      <x:c r="A98" s="139" t="n"/>
      <x:c r="B98" s="139" t="n"/>
    </x:row>
    <x:row r="99">
      <x:c r="A99" s="139" t="n"/>
      <x:c r="B99" s="139" t="n"/>
    </x:row>
    <x:row r="100">
      <x:c r="A100" s="139" t="n"/>
      <x:c r="B100" s="139" t="n"/>
    </x:row>
    <x:row r="101">
      <x:c r="A101" s="139" t="n"/>
      <x:c r="B101" s="139" t="n"/>
    </x:row>
    <x:row r="102">
      <x:c r="A102" s="139" t="n"/>
      <x:c r="B102" s="139" t="n"/>
    </x:row>
    <x:row r="103">
      <x:c r="A103" s="139" t="n"/>
      <x:c r="B103" s="139" t="n"/>
    </x:row>
    <x:row r="104">
      <x:c r="A104" s="139" t="n"/>
      <x:c r="B104" s="139" t="n"/>
    </x:row>
    <x:row r="105">
      <x:c r="A105" s="139" t="n"/>
      <x:c r="B105" s="139" t="n"/>
    </x:row>
    <x:row r="106">
      <x:c r="A106" s="139" t="n"/>
      <x:c r="B106" s="139" t="n"/>
    </x:row>
    <x:row r="107">
      <x:c r="A107" s="139" t="n"/>
      <x:c r="B107" s="139" t="n"/>
    </x:row>
    <x:row r="108">
      <x:c r="A108" s="139" t="n"/>
      <x:c r="B108" s="139" t="n"/>
    </x:row>
    <x:row r="109">
      <x:c r="A109" s="139" t="n"/>
      <x:c r="B109" s="139" t="n"/>
    </x:row>
    <x:row r="110">
      <x:c r="A110" s="139" t="n"/>
      <x:c r="B110" s="139" t="n"/>
    </x:row>
    <x:row r="111">
      <x:c r="A111" s="139" t="n"/>
      <x:c r="B111" s="139" t="n"/>
    </x:row>
    <x:row r="112">
      <x:c r="A112" s="139" t="n"/>
      <x:c r="B112" s="139" t="n"/>
    </x:row>
    <x:row r="113">
      <x:c r="A113" s="139" t="n"/>
      <x:c r="B113" s="139" t="n"/>
    </x:row>
    <x:row r="114">
      <x:c r="A114" s="139" t="n"/>
      <x:c r="B114" s="139" t="n"/>
    </x:row>
    <x:row r="115">
      <x:c r="A115" s="139" t="n"/>
      <x:c r="B115" s="139" t="n"/>
    </x:row>
    <x:row r="116">
      <x:c r="A116" s="139" t="n"/>
      <x:c r="B116" s="139" t="n"/>
    </x:row>
    <x:row r="117">
      <x:c r="A117" s="139" t="n"/>
      <x:c r="B117" s="139" t="n"/>
    </x:row>
    <x:row r="118">
      <x:c r="A118" s="139" t="n"/>
      <x:c r="B118" s="139" t="n"/>
    </x:row>
    <x:row r="119">
      <x:c r="A119" s="139" t="n"/>
      <x:c r="B119" s="139" t="n"/>
    </x:row>
    <x:row r="120">
      <x:c r="A120" s="139" t="n"/>
      <x:c r="B120" s="139" t="n"/>
    </x:row>
    <x:row r="121">
      <x:c r="A121" s="139" t="n"/>
      <x:c r="B121" s="139" t="n"/>
    </x:row>
    <x:row r="122">
      <x:c r="A122" s="139" t="n"/>
      <x:c r="B122" s="139" t="n"/>
    </x:row>
    <x:row r="123">
      <x:c r="A123" s="139" t="n"/>
      <x:c r="B123" s="139" t="n"/>
    </x:row>
    <x:row r="124">
      <x:c r="A124" s="139" t="n"/>
      <x:c r="B124" s="139" t="n"/>
    </x:row>
    <x:row r="125">
      <x:c r="A125" s="139" t="n"/>
      <x:c r="B125" s="139" t="n"/>
    </x:row>
    <x:row r="126">
      <x:c r="A126" s="139" t="n"/>
      <x:c r="B126" s="139" t="n"/>
    </x:row>
    <x:row r="127">
      <x:c r="A127" s="139" t="n"/>
      <x:c r="B127" s="139" t="n"/>
    </x:row>
    <x:row r="128">
      <x:c r="A128" s="139" t="n"/>
      <x:c r="B128" s="139" t="n"/>
    </x:row>
    <x:row r="129">
      <x:c r="A129" s="139" t="n"/>
      <x:c r="B129" s="139" t="n"/>
    </x:row>
    <x:row r="130">
      <x:c r="A130" s="139" t="n"/>
      <x:c r="B130" s="139" t="n"/>
    </x:row>
    <x:row r="131">
      <x:c r="A131" s="139" t="n"/>
      <x:c r="B131" s="139" t="n"/>
    </x:row>
    <x:row r="132">
      <x:c r="A132" s="139" t="n"/>
      <x:c r="B132" s="139" t="n"/>
    </x:row>
    <x:row r="133">
      <x:c r="A133" s="139" t="n"/>
      <x:c r="B133" s="139" t="n"/>
    </x:row>
    <x:row r="134">
      <x:c r="A134" s="139" t="n"/>
      <x:c r="B134" s="139" t="n"/>
    </x:row>
    <x:row r="135">
      <x:c r="A135" s="139" t="n"/>
      <x:c r="B135" s="139" t="n"/>
    </x:row>
    <x:row r="136">
      <x:c r="A136" s="139" t="n"/>
      <x:c r="B136" s="139" t="n"/>
    </x:row>
    <x:row r="137">
      <x:c r="A137" s="139" t="n"/>
      <x:c r="B137" s="139" t="n"/>
    </x:row>
    <x:row r="138">
      <x:c r="A138" s="139" t="n"/>
      <x:c r="B138" s="139" t="n"/>
    </x:row>
    <x:row r="139">
      <x:c r="A139" s="139" t="n"/>
      <x:c r="B139" s="139" t="n"/>
    </x:row>
    <x:row r="140">
      <x:c r="A140" s="139" t="n"/>
      <x:c r="B140" s="139" t="n"/>
    </x:row>
    <x:row r="141">
      <x:c r="A141" s="139" t="n"/>
      <x:c r="B141" s="139" t="n"/>
    </x:row>
    <x:row r="142">
      <x:c r="A142" s="139" t="n"/>
      <x:c r="B142" s="139" t="n"/>
    </x:row>
    <x:row r="143">
      <x:c r="A143" s="139" t="n"/>
      <x:c r="B143" s="139" t="n"/>
    </x:row>
    <x:row r="144">
      <x:c r="A144" s="139" t="n"/>
      <x:c r="B144" s="139" t="n"/>
    </x:row>
    <x:row r="145">
      <x:c r="A145" s="139" t="n"/>
      <x:c r="B145" s="139" t="n"/>
    </x:row>
    <x:row r="146">
      <x:c r="A146" s="139" t="n"/>
      <x:c r="B146" s="139" t="n"/>
    </x:row>
    <x:row r="147">
      <x:c r="A147" s="139" t="n"/>
      <x:c r="B147" s="139" t="n"/>
    </x:row>
    <x:row r="148">
      <x:c r="A148" s="139" t="n"/>
      <x:c r="B148" s="139" t="n"/>
    </x:row>
    <x:row r="149">
      <x:c r="A149" s="139" t="n"/>
      <x:c r="B149" s="139" t="n"/>
    </x:row>
    <x:row r="150">
      <x:c r="A150" s="139" t="n"/>
      <x:c r="B150" s="139" t="n"/>
    </x:row>
    <x:row r="151">
      <x:c r="A151" s="139" t="n"/>
      <x:c r="B151" s="139" t="n"/>
    </x:row>
    <x:row r="152">
      <x:c r="A152" s="139" t="n"/>
      <x:c r="B152" s="139" t="n"/>
    </x:row>
    <x:row r="153">
      <x:c r="A153" s="139" t="n"/>
      <x:c r="B153" s="139" t="n"/>
    </x:row>
    <x:row r="154">
      <x:c r="A154" s="139" t="n"/>
      <x:c r="B154" s="139" t="n"/>
    </x:row>
    <x:row r="155">
      <x:c r="A155" s="139" t="n"/>
      <x:c r="B155" s="139" t="n"/>
    </x:row>
    <x:row r="156">
      <x:c r="A156" s="139" t="n"/>
      <x:c r="B156" s="139" t="n"/>
    </x:row>
    <x:row r="157">
      <x:c r="A157" s="139" t="n"/>
      <x:c r="B157" s="139" t="n"/>
    </x:row>
    <x:row r="158">
      <x:c r="A158" s="139" t="n"/>
      <x:c r="B158" s="139" t="n"/>
    </x:row>
    <x:row r="159">
      <x:c r="A159" s="139" t="n"/>
      <x:c r="B159" s="139" t="n"/>
    </x:row>
    <x:row r="160">
      <x:c r="A160" s="139" t="n"/>
      <x:c r="B160" s="139" t="n"/>
    </x:row>
    <x:row r="161">
      <x:c r="A161" s="139" t="n"/>
      <x:c r="B161" s="139" t="n"/>
    </x:row>
    <x:row r="162">
      <x:c r="A162" s="139" t="n"/>
      <x:c r="B162" s="139" t="n"/>
    </x:row>
    <x:row r="163">
      <x:c r="A163" s="139" t="n"/>
      <x:c r="B163" s="139" t="n"/>
    </x:row>
    <x:row r="164">
      <x:c r="A164" s="139" t="n"/>
      <x:c r="B164" s="139" t="n"/>
    </x:row>
    <x:row r="165">
      <x:c r="A165" s="139" t="n"/>
      <x:c r="B165" s="139" t="n"/>
    </x:row>
    <x:row r="166">
      <x:c r="A166" s="139" t="n"/>
      <x:c r="B166" s="139" t="n"/>
    </x:row>
    <x:row r="167">
      <x:c r="A167" s="139" t="n"/>
      <x:c r="B167" s="139" t="n"/>
    </x:row>
    <x:row r="168">
      <x:c r="A168" s="139" t="n"/>
      <x:c r="B168" s="139" t="n"/>
    </x:row>
    <x:row r="169">
      <x:c r="A169" s="139" t="n"/>
      <x:c r="B169" s="139" t="n"/>
    </x:row>
    <x:row r="170">
      <x:c r="A170" s="139" t="n"/>
      <x:c r="B170" s="139" t="n"/>
    </x:row>
    <x:row r="171">
      <x:c r="A171" s="139" t="n"/>
      <x:c r="B171" s="139" t="n"/>
    </x:row>
    <x:row r="172">
      <x:c r="A172" s="139" t="n"/>
      <x:c r="B172" s="139" t="n"/>
    </x:row>
    <x:row r="173">
      <x:c r="A173" s="139" t="n"/>
      <x:c r="B173" s="139" t="n"/>
    </x:row>
    <x:row r="174">
      <x:c r="A174" s="139" t="n"/>
      <x:c r="B174" s="139" t="n"/>
    </x:row>
    <x:row r="175">
      <x:c r="A175" s="139" t="n"/>
      <x:c r="B175" s="139" t="n"/>
    </x:row>
    <x:row r="176">
      <x:c r="A176" s="139" t="n"/>
      <x:c r="B176" s="139" t="n"/>
    </x:row>
    <x:row r="177">
      <x:c r="A177" s="139" t="n"/>
      <x:c r="B177" s="139" t="n"/>
    </x:row>
    <x:row r="178">
      <x:c r="A178" s="139" t="n"/>
      <x:c r="B178" s="139" t="n"/>
    </x:row>
    <x:row r="179">
      <x:c r="A179" s="139" t="n"/>
      <x:c r="B179" s="139" t="n"/>
    </x:row>
    <x:row r="180">
      <x:c r="A180" s="139" t="n"/>
      <x:c r="B180" s="139" t="n"/>
    </x:row>
    <x:row r="181">
      <x:c r="A181" s="139" t="n"/>
      <x:c r="B181" s="139" t="n"/>
    </x:row>
    <x:row r="182">
      <x:c r="A182" s="139" t="n"/>
      <x:c r="B182" s="139" t="n"/>
    </x:row>
    <x:row r="183">
      <x:c r="A183" s="139" t="n"/>
      <x:c r="B183" s="139" t="n"/>
    </x:row>
    <x:row r="184">
      <x:c r="A184" s="139" t="n"/>
      <x:c r="B184" s="139" t="n"/>
    </x:row>
    <x:row r="185">
      <x:c r="A185" s="139" t="n"/>
      <x:c r="B185" s="139" t="n"/>
    </x:row>
    <x:row r="186">
      <x:c r="A186" s="139" t="n"/>
      <x:c r="B186" s="139" t="n"/>
    </x:row>
    <x:row r="187">
      <x:c r="A187" s="139" t="n"/>
      <x:c r="B187" s="139" t="n"/>
    </x:row>
    <x:row r="188">
      <x:c r="A188" s="139" t="n"/>
      <x:c r="B188" s="139" t="n"/>
    </x:row>
    <x:row r="189">
      <x:c r="A189" s="139" t="n"/>
      <x:c r="B189" s="139" t="n"/>
    </x:row>
    <x:row r="190">
      <x:c r="A190" s="139" t="n"/>
      <x:c r="B190" s="139" t="n"/>
    </x:row>
    <x:row r="191">
      <x:c r="A191" s="139" t="n"/>
      <x:c r="B191" s="139" t="n"/>
    </x:row>
    <x:row r="192">
      <x:c r="A192" s="139" t="n"/>
      <x:c r="B192" s="139" t="n"/>
    </x:row>
    <x:row r="193">
      <x:c r="A193" s="139" t="n"/>
      <x:c r="B193" s="139" t="n"/>
    </x:row>
    <x:row r="194">
      <x:c r="A194" s="139" t="n"/>
      <x:c r="B194" s="139" t="n"/>
    </x:row>
    <x:row r="195">
      <x:c r="A195" s="139" t="n"/>
      <x:c r="B195" s="139" t="n"/>
    </x:row>
    <x:row r="196">
      <x:c r="A196" s="139" t="n"/>
      <x:c r="B196" s="139" t="n"/>
    </x:row>
    <x:row r="197">
      <x:c r="A197" s="139" t="n"/>
      <x:c r="B197" s="139" t="n"/>
    </x:row>
    <x:row r="198">
      <x:c r="A198" s="139" t="n"/>
      <x:c r="B198" s="139" t="n"/>
    </x:row>
    <x:row r="199">
      <x:c r="A199" s="139" t="n"/>
      <x:c r="B199" s="139" t="n"/>
    </x:row>
    <x:row r="200">
      <x:c r="A200" s="139" t="n"/>
      <x:c r="B200" s="139" t="n"/>
    </x:row>
    <x:row r="201">
      <x:c r="A201" s="139" t="n"/>
      <x:c r="B201" s="139" t="n"/>
    </x:row>
    <x:row r="202">
      <x:c r="A202" s="139" t="n"/>
      <x:c r="B202" s="139" t="n"/>
    </x:row>
    <x:row r="203">
      <x:c r="A203" s="139" t="n"/>
      <x:c r="B203" s="139" t="n"/>
    </x:row>
    <x:row r="204">
      <x:c r="A204" s="139" t="n"/>
      <x:c r="B204" s="139" t="n"/>
    </x:row>
    <x:row r="205">
      <x:c r="A205" s="139" t="n"/>
      <x:c r="B205" s="139" t="n"/>
    </x:row>
    <x:row r="206">
      <x:c r="A206" s="139" t="n"/>
      <x:c r="B206" s="139" t="n"/>
    </x:row>
    <x:row r="207">
      <x:c r="A207" s="139" t="n"/>
      <x:c r="B207" s="139" t="n"/>
    </x:row>
    <x:row r="208">
      <x:c r="A208" s="139" t="n"/>
      <x:c r="B208" s="139" t="n"/>
    </x:row>
    <x:row r="209">
      <x:c r="A209" s="139" t="n"/>
      <x:c r="B209" s="139" t="n"/>
    </x:row>
    <x:row r="210">
      <x:c r="A210" s="139" t="n"/>
      <x:c r="B210" s="139" t="n"/>
    </x:row>
    <x:row r="211">
      <x:c r="A211" s="139" t="n"/>
      <x:c r="B211" s="139" t="n"/>
    </x:row>
    <x:row r="212">
      <x:c r="A212" s="139" t="n"/>
      <x:c r="B212" s="139" t="n"/>
    </x:row>
    <x:row r="213">
      <x:c r="A213" s="139" t="n"/>
      <x:c r="B213" s="139" t="n"/>
    </x:row>
    <x:row r="214">
      <x:c r="A214" s="139" t="n"/>
      <x:c r="B214" s="139" t="n"/>
    </x:row>
    <x:row r="215">
      <x:c r="A215" s="139" t="n"/>
      <x:c r="B215" s="139" t="n"/>
    </x:row>
    <x:row r="216">
      <x:c r="A216" s="139" t="n"/>
      <x:c r="B216" s="139" t="n"/>
    </x:row>
    <x:row r="217">
      <x:c r="A217" s="139" t="n"/>
      <x:c r="B217" s="139" t="n"/>
    </x:row>
    <x:row r="218">
      <x:c r="A218" s="139" t="n"/>
      <x:c r="B218" s="139" t="n"/>
    </x:row>
    <x:row r="219">
      <x:c r="A219" s="139" t="n"/>
      <x:c r="B219" s="139" t="n"/>
    </x:row>
    <x:row r="220">
      <x:c r="A220" s="139" t="n"/>
      <x:c r="B220" s="139" t="n"/>
    </x:row>
    <x:row r="221">
      <x:c r="A221" s="139" t="n"/>
      <x:c r="B221" s="139" t="n"/>
    </x:row>
    <x:row r="222">
      <x:c r="A222" s="139" t="n"/>
      <x:c r="B222" s="139" t="n"/>
    </x:row>
    <x:row r="223">
      <x:c r="A223" s="139" t="n"/>
      <x:c r="B223" s="139" t="n"/>
    </x:row>
    <x:row r="224">
      <x:c r="A224" s="139" t="n"/>
      <x:c r="B224" s="139" t="n"/>
    </x:row>
    <x:row r="225">
      <x:c r="A225" s="139" t="n"/>
      <x:c r="B225" s="139" t="n"/>
    </x:row>
    <x:row r="226">
      <x:c r="A226" s="139" t="n"/>
      <x:c r="B226" s="139" t="n"/>
    </x:row>
    <x:row r="227">
      <x:c r="A227" s="139" t="n"/>
      <x:c r="B227" s="139" t="n"/>
    </x:row>
    <x:row r="228">
      <x:c r="A228" s="139" t="n"/>
      <x:c r="B228" s="139" t="n"/>
    </x:row>
    <x:row r="229">
      <x:c r="A229" s="139" t="n"/>
      <x:c r="B229" s="139" t="n"/>
    </x:row>
    <x:row r="230">
      <x:c r="A230" s="139" t="n"/>
      <x:c r="B230" s="139" t="n"/>
    </x:row>
    <x:row r="231">
      <x:c r="A231" s="139" t="n"/>
      <x:c r="B231" s="139" t="n"/>
    </x:row>
    <x:row r="232">
      <x:c r="A232" s="139" t="n"/>
      <x:c r="B232" s="139" t="n"/>
    </x:row>
    <x:row r="233">
      <x:c r="A233" s="139" t="n"/>
      <x:c r="B233" s="139" t="n"/>
    </x:row>
    <x:row r="234">
      <x:c r="A234" s="139" t="n"/>
      <x:c r="B234" s="139" t="n"/>
    </x:row>
    <x:row r="235">
      <x:c r="A235" s="139" t="n"/>
      <x:c r="B235" s="139" t="n"/>
    </x:row>
    <x:row r="236">
      <x:c r="A236" s="139" t="n"/>
      <x:c r="B236" s="139" t="n"/>
    </x:row>
    <x:row r="237">
      <x:c r="A237" s="139" t="n"/>
      <x:c r="B237" s="139" t="n"/>
    </x:row>
    <x:row r="238">
      <x:c r="A238" s="139" t="n"/>
      <x:c r="B238" s="139" t="n"/>
    </x:row>
    <x:row r="239">
      <x:c r="A239" s="139" t="n"/>
      <x:c r="B239" s="139" t="n"/>
    </x:row>
    <x:row r="240">
      <x:c r="A240" s="139" t="n"/>
      <x:c r="B240" s="139" t="n"/>
    </x:row>
    <x:row r="241">
      <x:c r="A241" s="139" t="n"/>
      <x:c r="B241" s="139" t="n"/>
    </x:row>
    <x:row r="242">
      <x:c r="A242" s="139" t="n"/>
      <x:c r="B242" s="139" t="n"/>
    </x:row>
    <x:row r="243">
      <x:c r="A243" s="139" t="n"/>
      <x:c r="B243" s="139" t="n"/>
    </x:row>
    <x:row r="244">
      <x:c r="A244" s="139" t="n"/>
      <x:c r="B244" s="139" t="n"/>
    </x:row>
    <x:row r="245">
      <x:c r="A245" s="139" t="n"/>
      <x:c r="B245" s="139" t="n"/>
    </x:row>
    <x:row r="246">
      <x:c r="A246" s="139" t="n"/>
      <x:c r="B246" s="139" t="n"/>
    </x:row>
    <x:row r="247">
      <x:c r="A247" s="139" t="n"/>
      <x:c r="B247" s="139" t="n"/>
    </x:row>
    <x:row r="248">
      <x:c r="A248" s="139" t="n"/>
      <x:c r="B248" s="139" t="n"/>
    </x:row>
    <x:row r="249">
      <x:c r="A249" s="139" t="n"/>
      <x:c r="B249" s="139" t="n"/>
    </x:row>
    <x:row r="250">
      <x:c r="A250" s="139" t="n"/>
      <x:c r="B250" s="139" t="n"/>
    </x:row>
    <x:row r="251">
      <x:c r="A251" s="139" t="n"/>
      <x:c r="B251" s="139" t="n"/>
    </x:row>
    <x:row r="252">
      <x:c r="A252" s="139" t="n"/>
      <x:c r="B252" s="139" t="n"/>
    </x:row>
    <x:row r="253">
      <x:c r="A253" s="139" t="n"/>
      <x:c r="B253" s="139" t="n"/>
    </x:row>
    <x:row r="254">
      <x:c r="A254" s="139" t="n"/>
      <x:c r="B254" s="139" t="n"/>
    </x:row>
    <x:row r="255">
      <x:c r="A255" s="139" t="n"/>
      <x:c r="B255" s="139" t="n"/>
    </x:row>
    <x:row r="256">
      <x:c r="A256" s="139" t="n"/>
      <x:c r="B256" s="139" t="n"/>
    </x:row>
    <x:row r="257">
      <x:c r="A257" s="139" t="n"/>
      <x:c r="B257" s="139" t="n"/>
    </x:row>
    <x:row r="258">
      <x:c r="A258" s="139" t="n"/>
      <x:c r="B258" s="139" t="n"/>
    </x:row>
    <x:row r="259">
      <x:c r="A259" s="139" t="n"/>
      <x:c r="B259" s="139" t="n"/>
    </x:row>
    <x:row r="260">
      <x:c r="A260" s="139" t="n"/>
      <x:c r="B260" s="139" t="n"/>
    </x:row>
    <x:row r="261">
      <x:c r="A261" s="139" t="n"/>
      <x:c r="B261" s="139" t="n"/>
    </x:row>
    <x:row r="262">
      <x:c r="A262" s="139" t="n"/>
      <x:c r="B262" s="139" t="n"/>
    </x:row>
    <x:row r="263">
      <x:c r="A263" s="139" t="n"/>
      <x:c r="B263" s="139" t="n"/>
    </x:row>
    <x:row r="264">
      <x:c r="A264" s="139" t="n"/>
      <x:c r="B264" s="139" t="n"/>
    </x:row>
    <x:row r="265">
      <x:c r="A265" s="139" t="n"/>
      <x:c r="B265" s="139" t="n"/>
    </x:row>
    <x:row r="266">
      <x:c r="A266" s="139" t="n"/>
      <x:c r="B266" s="139" t="n"/>
    </x:row>
    <x:row r="267">
      <x:c r="A267" s="139" t="n"/>
      <x:c r="B267" s="139" t="n"/>
    </x:row>
    <x:row r="268">
      <x:c r="A268" s="139" t="n"/>
      <x:c r="B268" s="139" t="n"/>
    </x:row>
    <x:row r="269">
      <x:c r="A269" s="139" t="n"/>
      <x:c r="B269" s="139" t="n"/>
    </x:row>
    <x:row r="270">
      <x:c r="A270" s="139" t="n"/>
      <x:c r="B270" s="139" t="n"/>
    </x:row>
    <x:row r="271">
      <x:c r="A271" s="139" t="n"/>
      <x:c r="B271" s="139" t="n"/>
    </x:row>
    <x:row r="272">
      <x:c r="A272" s="139" t="n"/>
      <x:c r="B272" s="139" t="n"/>
    </x:row>
    <x:row r="273">
      <x:c r="A273" s="139" t="n"/>
      <x:c r="B273" s="139" t="n"/>
    </x:row>
    <x:row r="274">
      <x:c r="A274" s="139" t="n"/>
      <x:c r="B274" s="139" t="n"/>
    </x:row>
    <x:row r="275">
      <x:c r="A275" s="139" t="n"/>
      <x:c r="B275" s="139" t="n"/>
    </x:row>
    <x:row r="276">
      <x:c r="A276" s="139" t="n"/>
      <x:c r="B276" s="139" t="n"/>
    </x:row>
    <x:row r="277">
      <x:c r="A277" s="139" t="n"/>
      <x:c r="B277" s="139" t="n"/>
    </x:row>
    <x:row r="278">
      <x:c r="A278" s="139" t="n"/>
      <x:c r="B278" s="139" t="n"/>
    </x:row>
    <x:row r="279">
      <x:c r="A279" s="139" t="n"/>
      <x:c r="B279" s="139" t="n"/>
    </x:row>
    <x:row r="280">
      <x:c r="A280" s="139" t="n"/>
      <x:c r="B280" s="139" t="n"/>
    </x:row>
    <x:row r="281">
      <x:c r="A281" s="139" t="n"/>
      <x:c r="B281" s="139" t="n"/>
    </x:row>
    <x:row r="282">
      <x:c r="A282" s="139" t="n"/>
      <x:c r="B282" s="139" t="n"/>
    </x:row>
    <x:row r="283">
      <x:c r="A283" s="139" t="n"/>
      <x:c r="B283" s="139" t="n"/>
    </x:row>
    <x:row r="284">
      <x:c r="A284" s="139" t="n"/>
      <x:c r="B284" s="139" t="n"/>
    </x:row>
    <x:row r="285">
      <x:c r="A285" s="139" t="n"/>
      <x:c r="B285" s="139" t="n"/>
    </x:row>
    <x:row r="286">
      <x:c r="A286" s="139" t="n"/>
      <x:c r="B286" s="139" t="n"/>
    </x:row>
    <x:row r="287">
      <x:c r="A287" s="139" t="n"/>
      <x:c r="B287" s="139" t="n"/>
    </x:row>
    <x:row r="288">
      <x:c r="A288" s="139" t="n"/>
      <x:c r="B288" s="139" t="n"/>
    </x:row>
    <x:row r="289">
      <x:c r="A289" s="139" t="n"/>
      <x:c r="B289" s="139" t="n"/>
    </x:row>
    <x:row r="290">
      <x:c r="A290" s="139" t="n"/>
      <x:c r="B290" s="139" t="n"/>
    </x:row>
    <x:row r="291">
      <x:c r="A291" s="139" t="n"/>
      <x:c r="B291" s="139" t="n"/>
    </x:row>
    <x:row r="292">
      <x:c r="A292" s="139" t="n"/>
      <x:c r="B292" s="139" t="n"/>
    </x:row>
    <x:row r="293">
      <x:c r="A293" s="139" t="n"/>
      <x:c r="B293" s="139" t="n"/>
    </x:row>
    <x:row r="294">
      <x:c r="A294" s="139" t="n"/>
      <x:c r="B294" s="139" t="n"/>
    </x:row>
    <x:row r="295">
      <x:c r="A295" s="139" t="n"/>
      <x:c r="B295" s="139" t="n"/>
    </x:row>
    <x:row r="296">
      <x:c r="A296" s="139" t="n"/>
      <x:c r="B296" s="139" t="n"/>
    </x:row>
    <x:row r="297">
      <x:c r="A297" s="139" t="n"/>
      <x:c r="B297" s="139" t="n"/>
    </x:row>
    <x:row r="298">
      <x:c r="A298" s="139" t="n"/>
      <x:c r="B298" s="139" t="n"/>
    </x:row>
    <x:row r="299">
      <x:c r="A299" s="139" t="n"/>
      <x:c r="B299" s="139" t="n"/>
    </x:row>
    <x:row r="300">
      <x:c r="A300" s="139" t="n"/>
      <x:c r="B300" s="139" t="n"/>
    </x:row>
    <x:row r="301">
      <x:c r="A301" s="139" t="n"/>
      <x:c r="B301" s="139" t="n"/>
    </x:row>
    <x:row r="302">
      <x:c r="A302" s="139" t="n"/>
      <x:c r="B302" s="139" t="n"/>
    </x:row>
    <x:row r="303">
      <x:c r="A303" s="139" t="n"/>
      <x:c r="B303" s="139" t="n"/>
    </x:row>
    <x:row r="304">
      <x:c r="A304" s="139" t="n"/>
      <x:c r="B304" s="139" t="n"/>
    </x:row>
    <x:row r="305">
      <x:c r="A305" s="139" t="n"/>
      <x:c r="B305" s="139" t="n"/>
    </x:row>
    <x:row r="306">
      <x:c r="A306" s="139" t="n"/>
      <x:c r="B306" s="139" t="n"/>
    </x:row>
    <x:row r="307">
      <x:c r="A307" s="139" t="n"/>
      <x:c r="B307" s="139" t="n"/>
    </x:row>
    <x:row r="308">
      <x:c r="A308" s="139" t="n"/>
      <x:c r="B308" s="139" t="n"/>
    </x:row>
    <x:row r="309">
      <x:c r="A309" s="139" t="n"/>
      <x:c r="B309" s="139" t="n"/>
    </x:row>
    <x:row r="310">
      <x:c r="A310" s="139" t="n"/>
      <x:c r="B310" s="139" t="n"/>
    </x:row>
    <x:row r="311">
      <x:c r="A311" s="139" t="n"/>
      <x:c r="B311" s="139" t="n"/>
    </x:row>
    <x:row r="312">
      <x:c r="A312" s="139" t="n"/>
      <x:c r="B312" s="139" t="n"/>
    </x:row>
    <x:row r="313">
      <x:c r="A313" s="139" t="n"/>
      <x:c r="B313" s="139" t="n"/>
    </x:row>
    <x:row r="314">
      <x:c r="A314" s="139" t="n"/>
      <x:c r="B314" s="139" t="n"/>
    </x:row>
    <x:row r="315">
      <x:c r="A315" s="139" t="n"/>
      <x:c r="B315" s="139" t="n"/>
    </x:row>
    <x:row r="316">
      <x:c r="A316" s="139" t="n"/>
      <x:c r="B316" s="139" t="n"/>
    </x:row>
    <x:row r="317">
      <x:c r="A317" s="139" t="n"/>
      <x:c r="B317" s="139" t="n"/>
    </x:row>
    <x:row r="318">
      <x:c r="A318" s="139" t="n"/>
      <x:c r="B318" s="139" t="n"/>
    </x:row>
    <x:row r="319">
      <x:c r="A319" s="139" t="n"/>
      <x:c r="B319" s="139" t="n"/>
    </x:row>
    <x:row r="320">
      <x:c r="A320" s="139" t="n"/>
      <x:c r="B320" s="139" t="n"/>
    </x:row>
    <x:row r="321">
      <x:c r="A321" s="139" t="n"/>
      <x:c r="B321" s="139" t="n"/>
    </x:row>
    <x:row r="322">
      <x:c r="A322" s="139" t="n"/>
      <x:c r="B322" s="139" t="n"/>
    </x:row>
    <x:row r="323">
      <x:c r="A323" s="139" t="n"/>
      <x:c r="B323" s="139" t="n"/>
    </x:row>
    <x:row r="324">
      <x:c r="A324" s="139" t="n"/>
      <x:c r="B324" s="139" t="n"/>
    </x:row>
    <x:row r="325">
      <x:c r="A325" s="139" t="n"/>
      <x:c r="B325" s="139" t="n"/>
    </x:row>
    <x:row r="326">
      <x:c r="A326" s="139" t="n"/>
      <x:c r="B326" s="139" t="n"/>
    </x:row>
    <x:row r="327">
      <x:c r="A327" s="139" t="n"/>
      <x:c r="B327" s="139" t="n"/>
    </x:row>
    <x:row r="328">
      <x:c r="A328" s="139" t="n"/>
      <x:c r="B328" s="139" t="n"/>
    </x:row>
    <x:row r="329">
      <x:c r="A329" s="139" t="n"/>
      <x:c r="B329" s="139" t="n"/>
    </x:row>
    <x:row r="330">
      <x:c r="A330" s="139" t="n"/>
      <x:c r="B330" s="139" t="n"/>
    </x:row>
    <x:row r="331">
      <x:c r="A331" s="139" t="n"/>
      <x:c r="B331" s="139" t="n"/>
    </x:row>
    <x:row r="332">
      <x:c r="A332" s="139" t="n"/>
      <x:c r="B332" s="139" t="n"/>
    </x:row>
    <x:row r="333">
      <x:c r="A333" s="139" t="n"/>
      <x:c r="B333" s="139" t="n"/>
    </x:row>
    <x:row r="334">
      <x:c r="A334" s="139" t="n"/>
      <x:c r="B334" s="139" t="n"/>
    </x:row>
    <x:row r="335">
      <x:c r="A335" s="139" t="n"/>
      <x:c r="B335" s="139" t="n"/>
    </x:row>
    <x:row r="336">
      <x:c r="A336" s="139" t="n"/>
      <x:c r="B336" s="139" t="n"/>
    </x:row>
    <x:row r="337">
      <x:c r="A337" s="139" t="n"/>
      <x:c r="B337" s="139" t="n"/>
    </x:row>
    <x:row r="338">
      <x:c r="A338" s="139" t="n"/>
      <x:c r="B338" s="139" t="n"/>
    </x:row>
    <x:row r="339">
      <x:c r="A339" s="139" t="n"/>
      <x:c r="B339" s="139" t="n"/>
    </x:row>
    <x:row r="340">
      <x:c r="A340" s="139" t="n"/>
      <x:c r="B340" s="139" t="n"/>
    </x:row>
    <x:row r="341">
      <x:c r="A341" s="139" t="n"/>
      <x:c r="B341" s="139" t="n"/>
    </x:row>
    <x:row r="342">
      <x:c r="A342" s="139" t="n"/>
      <x:c r="B342" s="139" t="n"/>
    </x:row>
    <x:row r="343">
      <x:c r="A343" s="139" t="n"/>
      <x:c r="B343" s="139" t="n"/>
    </x:row>
    <x:row r="344">
      <x:c r="A344" s="139" t="n"/>
      <x:c r="B344" s="139" t="n"/>
    </x:row>
    <x:row r="345">
      <x:c r="A345" s="139" t="n"/>
      <x:c r="B345" s="139" t="n"/>
    </x:row>
    <x:row r="346">
      <x:c r="A346" s="139" t="n"/>
      <x:c r="B346" s="139" t="n"/>
    </x:row>
    <x:row r="347">
      <x:c r="A347" s="139" t="n"/>
      <x:c r="B347" s="139" t="n"/>
    </x:row>
    <x:row r="348">
      <x:c r="A348" s="139" t="n"/>
      <x:c r="B348" s="139" t="n"/>
    </x:row>
    <x:row r="349">
      <x:c r="A349" s="139" t="n"/>
      <x:c r="B349" s="139" t="n"/>
    </x:row>
    <x:row r="350">
      <x:c r="A350" s="139" t="n"/>
      <x:c r="B350" s="139" t="n"/>
    </x:row>
    <x:row r="351">
      <x:c r="A351" s="139" t="n"/>
      <x:c r="B351" s="139" t="n"/>
    </x:row>
    <x:row r="352">
      <x:c r="A352" s="139" t="n"/>
      <x:c r="B352" s="139" t="n"/>
    </x:row>
    <x:row r="353">
      <x:c r="A353" s="139" t="n"/>
      <x:c r="B353" s="139" t="n"/>
    </x:row>
    <x:row r="354">
      <x:c r="A354" s="139" t="n"/>
      <x:c r="B354" s="139" t="n"/>
    </x:row>
    <x:row r="355">
      <x:c r="A355" s="139" t="n"/>
      <x:c r="B355" s="139" t="n"/>
    </x:row>
    <x:row r="356">
      <x:c r="A356" s="139" t="n"/>
      <x:c r="B356" s="139" t="n"/>
    </x:row>
    <x:row r="357">
      <x:c r="A357" s="139" t="n"/>
      <x:c r="B357" s="139" t="n"/>
    </x:row>
    <x:row r="358">
      <x:c r="A358" s="139" t="n"/>
      <x:c r="B358" s="139" t="n"/>
    </x:row>
    <x:row r="359">
      <x:c r="A359" s="139" t="n"/>
      <x:c r="B359" s="139" t="n"/>
    </x:row>
    <x:row r="360">
      <x:c r="A360" s="139" t="n"/>
      <x:c r="B360" s="139" t="n"/>
    </x:row>
    <x:row r="361">
      <x:c r="A361" s="139" t="n"/>
      <x:c r="B361" s="139" t="n"/>
    </x:row>
    <x:row r="362">
      <x:c r="A362" s="139" t="n"/>
      <x:c r="B362" s="139" t="n"/>
    </x:row>
    <x:row r="363">
      <x:c r="A363" s="139" t="n"/>
      <x:c r="B363" s="139" t="n"/>
    </x:row>
    <x:row r="364">
      <x:c r="A364" s="139" t="n"/>
      <x:c r="B364" s="139" t="n"/>
    </x:row>
    <x:row r="365">
      <x:c r="A365" s="139" t="n"/>
      <x:c r="B365" s="139" t="n"/>
    </x:row>
    <x:row r="366">
      <x:c r="A366" s="139" t="n"/>
      <x:c r="B366" s="139" t="n"/>
    </x:row>
    <x:row r="367">
      <x:c r="A367" s="139" t="n"/>
      <x:c r="B367" s="139" t="n"/>
    </x:row>
    <x:row r="368">
      <x:c r="A368" s="139" t="n"/>
      <x:c r="B368" s="139" t="n"/>
    </x:row>
    <x:row r="369">
      <x:c r="A369" s="139" t="n"/>
      <x:c r="B369" s="139" t="n"/>
    </x:row>
    <x:row r="370">
      <x:c r="A370" s="139" t="n"/>
      <x:c r="B370" s="139" t="n"/>
    </x:row>
    <x:row r="371">
      <x:c r="A371" s="139" t="n"/>
      <x:c r="B371" s="139" t="n"/>
    </x:row>
    <x:row r="372">
      <x:c r="A372" s="139" t="n"/>
      <x:c r="B372" s="139" t="n"/>
    </x:row>
    <x:row r="373">
      <x:c r="A373" s="139" t="n"/>
      <x:c r="B373" s="139" t="n"/>
    </x:row>
    <x:row r="374">
      <x:c r="A374" s="139" t="n"/>
      <x:c r="B374" s="139" t="n"/>
    </x:row>
    <x:row r="375">
      <x:c r="A375" s="139" t="n"/>
      <x:c r="B375" s="139" t="n"/>
    </x:row>
    <x:row r="376">
      <x:c r="A376" s="139" t="n"/>
      <x:c r="B376" s="139" t="n"/>
    </x:row>
    <x:row r="377">
      <x:c r="A377" s="139" t="n"/>
      <x:c r="B377" s="139" t="n"/>
    </x:row>
    <x:row r="378">
      <x:c r="A378" s="139" t="n"/>
      <x:c r="B378" s="139" t="n"/>
    </x:row>
    <x:row r="379">
      <x:c r="A379" s="139" t="n"/>
      <x:c r="B379" s="139" t="n"/>
    </x:row>
    <x:row r="380">
      <x:c r="A380" s="139" t="n"/>
      <x:c r="B380" s="139" t="n"/>
    </x:row>
    <x:row r="381">
      <x:c r="A381" s="139" t="n"/>
      <x:c r="B381" s="139" t="n"/>
    </x:row>
    <x:row r="382">
      <x:c r="A382" s="139" t="n"/>
      <x:c r="B382" s="139" t="n"/>
    </x:row>
    <x:row r="383">
      <x:c r="A383" s="139" t="n"/>
      <x:c r="B383" s="139" t="n"/>
    </x:row>
    <x:row r="384">
      <x:c r="A384" s="139" t="n"/>
      <x:c r="B384" s="139" t="n"/>
    </x:row>
    <x:row r="385">
      <x:c r="A385" s="139" t="n"/>
      <x:c r="B385" s="139" t="n"/>
    </x:row>
    <x:row r="386">
      <x:c r="A386" s="139" t="n"/>
      <x:c r="B386" s="139" t="n"/>
    </x:row>
    <x:row r="387">
      <x:c r="A387" s="139" t="n"/>
      <x:c r="B387" s="139" t="n"/>
    </x:row>
    <x:row r="388">
      <x:c r="A388" s="139" t="n"/>
      <x:c r="B388" s="139" t="n"/>
    </x:row>
    <x:row r="389">
      <x:c r="A389" s="139" t="n"/>
      <x:c r="B389" s="139" t="n"/>
    </x:row>
    <x:row r="390">
      <x:c r="A390" s="139" t="n"/>
      <x:c r="B390" s="139" t="n"/>
    </x:row>
    <x:row r="391">
      <x:c r="A391" s="139" t="n"/>
      <x:c r="B391" s="139" t="n"/>
    </x:row>
    <x:row r="392">
      <x:c r="A392" s="139" t="n"/>
      <x:c r="B392" s="139" t="n"/>
    </x:row>
    <x:row r="393">
      <x:c r="A393" s="139" t="n"/>
      <x:c r="B393" s="139" t="n"/>
    </x:row>
    <x:row r="394">
      <x:c r="A394" s="139" t="n"/>
      <x:c r="B394" s="139" t="n"/>
    </x:row>
    <x:row r="395">
      <x:c r="A395" s="139" t="n"/>
      <x:c r="B395" s="139" t="n"/>
    </x:row>
    <x:row r="396">
      <x:c r="A396" s="139" t="n"/>
      <x:c r="B396" s="139" t="n"/>
    </x:row>
    <x:row r="397">
      <x:c r="A397" s="139" t="n"/>
      <x:c r="B397" s="139" t="n"/>
    </x:row>
    <x:row r="398">
      <x:c r="A398" s="139" t="n"/>
      <x:c r="B398" s="139" t="n"/>
    </x:row>
    <x:row r="399">
      <x:c r="A399" s="139" t="n"/>
      <x:c r="B399" s="139" t="n"/>
    </x:row>
    <x:row r="400">
      <x:c r="A400" s="139" t="n"/>
      <x:c r="B400" s="139" t="n"/>
    </x:row>
    <x:row r="401">
      <x:c r="A401" s="139" t="n"/>
      <x:c r="B401" s="139" t="n"/>
    </x:row>
    <x:row r="402">
      <x:c r="A402" s="139" t="n"/>
      <x:c r="B402" s="139" t="n"/>
    </x:row>
    <x:row r="403">
      <x:c r="A403" s="139" t="n"/>
      <x:c r="B403" s="139" t="n"/>
    </x:row>
    <x:row r="404">
      <x:c r="A404" s="139" t="n"/>
      <x:c r="B404" s="139" t="n"/>
    </x:row>
    <x:row r="405">
      <x:c r="A405" s="139" t="n"/>
      <x:c r="B405" s="139" t="n"/>
    </x:row>
    <x:row r="406">
      <x:c r="A406" s="139" t="n"/>
      <x:c r="B406" s="139" t="n"/>
    </x:row>
    <x:row r="407">
      <x:c r="A407" s="139" t="n"/>
      <x:c r="B407" s="139" t="n"/>
    </x:row>
    <x:row r="408">
      <x:c r="A408" s="139" t="n"/>
      <x:c r="B408" s="139" t="n"/>
    </x:row>
    <x:row r="409">
      <x:c r="A409" s="139" t="n"/>
      <x:c r="B409" s="139" t="n"/>
    </x:row>
    <x:row r="410">
      <x:c r="A410" s="139" t="n"/>
      <x:c r="B410" s="139" t="n"/>
    </x:row>
    <x:row r="411">
      <x:c r="A411" s="139" t="n"/>
      <x:c r="B411" s="139" t="n"/>
    </x:row>
    <x:row r="412">
      <x:c r="A412" s="139" t="n"/>
      <x:c r="B412" s="139" t="n"/>
    </x:row>
    <x:row r="413">
      <x:c r="A413" s="139" t="n"/>
      <x:c r="B413" s="139" t="n"/>
    </x:row>
    <x:row r="414">
      <x:c r="A414" s="139" t="n"/>
      <x:c r="B414" s="139" t="n"/>
    </x:row>
    <x:row r="415">
      <x:c r="A415" s="139" t="n"/>
      <x:c r="B415" s="139" t="n"/>
    </x:row>
    <x:row r="416">
      <x:c r="A416" s="139" t="n"/>
      <x:c r="B416" s="139" t="n"/>
    </x:row>
    <x:row r="417">
      <x:c r="A417" s="139" t="n"/>
      <x:c r="B417" s="139" t="n"/>
    </x:row>
    <x:row r="418">
      <x:c r="A418" s="139" t="n"/>
      <x:c r="B418" s="139" t="n"/>
    </x:row>
    <x:row r="419">
      <x:c r="A419" s="139" t="n"/>
      <x:c r="B419" s="139" t="n"/>
    </x:row>
    <x:row r="420">
      <x:c r="A420" s="139" t="n"/>
      <x:c r="B420" s="139" t="n"/>
    </x:row>
    <x:row r="421">
      <x:c r="A421" s="139" t="n"/>
      <x:c r="B421" s="139" t="n"/>
    </x:row>
    <x:row r="422">
      <x:c r="A422" s="139" t="n"/>
      <x:c r="B422" s="139" t="n"/>
    </x:row>
    <x:row r="423">
      <x:c r="A423" s="139" t="n"/>
      <x:c r="B423" s="139" t="n"/>
    </x:row>
    <x:row r="424">
      <x:c r="A424" s="139" t="n"/>
      <x:c r="B424" s="139" t="n"/>
    </x:row>
    <x:row r="425">
      <x:c r="A425" s="139" t="n"/>
      <x:c r="B425" s="139" t="n"/>
    </x:row>
    <x:row r="426">
      <x:c r="A426" s="139" t="n"/>
      <x:c r="B426" s="139" t="n"/>
    </x:row>
    <x:row r="427">
      <x:c r="A427" s="139" t="n"/>
      <x:c r="B427" s="139" t="n"/>
    </x:row>
    <x:row r="428">
      <x:c r="A428" s="139" t="n"/>
      <x:c r="B428" s="139" t="n"/>
    </x:row>
    <x:row r="429">
      <x:c r="A429" s="139" t="n"/>
      <x:c r="B429" s="139" t="n"/>
    </x:row>
    <x:row r="430">
      <x:c r="A430" s="139" t="n"/>
      <x:c r="B430" s="139" t="n"/>
    </x:row>
    <x:row r="431">
      <x:c r="A431" s="139" t="n"/>
      <x:c r="B431" s="139" t="n"/>
    </x:row>
    <x:row r="432">
      <x:c r="A432" s="139" t="n"/>
      <x:c r="B432" s="139" t="n"/>
    </x:row>
    <x:row r="433">
      <x:c r="A433" s="139" t="n"/>
      <x:c r="B433" s="139" t="n"/>
    </x:row>
    <x:row r="434">
      <x:c r="A434" s="139" t="n"/>
      <x:c r="B434" s="139" t="n"/>
    </x:row>
    <x:row r="435">
      <x:c r="A435" s="139" t="n"/>
      <x:c r="B435" s="139" t="n"/>
    </x:row>
    <x:row r="436">
      <x:c r="A436" s="139" t="n"/>
      <x:c r="B436" s="139" t="n"/>
    </x:row>
    <x:row r="437">
      <x:c r="A437" s="139" t="n"/>
      <x:c r="B437" s="139" t="n"/>
    </x:row>
    <x:row r="438">
      <x:c r="A438" s="139" t="n"/>
      <x:c r="B438" s="139" t="n"/>
    </x:row>
    <x:row r="439">
      <x:c r="A439" s="139" t="n"/>
      <x:c r="B439" s="139" t="n"/>
    </x:row>
    <x:row r="440">
      <x:c r="A440" s="139" t="n"/>
      <x:c r="B440" s="139" t="n"/>
    </x:row>
    <x:row r="441">
      <x:c r="A441" s="139" t="n"/>
      <x:c r="B441" s="139" t="n"/>
    </x:row>
    <x:row r="442">
      <x:c r="A442" s="139" t="n"/>
      <x:c r="B442" s="139" t="n"/>
    </x:row>
    <x:row r="443">
      <x:c r="A443" s="139" t="n"/>
      <x:c r="B443" s="139" t="n"/>
    </x:row>
    <x:row r="444">
      <x:c r="A444" s="139" t="n"/>
      <x:c r="B444" s="139" t="n"/>
    </x:row>
    <x:row r="445">
      <x:c r="A445" s="139" t="n"/>
      <x:c r="B445" s="139" t="n"/>
    </x:row>
    <x:row r="446">
      <x:c r="A446" s="139" t="n"/>
      <x:c r="B446" s="139" t="n"/>
    </x:row>
    <x:row r="447">
      <x:c r="A447" s="139" t="n"/>
      <x:c r="B447" s="139" t="n"/>
    </x:row>
    <x:row r="448">
      <x:c r="A448" s="139" t="n"/>
      <x:c r="B448" s="139" t="n"/>
    </x:row>
    <x:row r="449">
      <x:c r="A449" s="139" t="n"/>
      <x:c r="B449" s="139" t="n"/>
    </x:row>
    <x:row r="450">
      <x:c r="A450" s="139" t="n"/>
      <x:c r="B450" s="139" t="n"/>
    </x:row>
    <x:row r="451">
      <x:c r="A451" s="139" t="n"/>
      <x:c r="B451" s="139" t="n"/>
    </x:row>
    <x:row r="452">
      <x:c r="A452" s="139" t="n"/>
      <x:c r="B452" s="139" t="n"/>
    </x:row>
    <x:row r="453">
      <x:c r="A453" s="139" t="n"/>
      <x:c r="B453" s="139" t="n"/>
    </x:row>
    <x:row r="454">
      <x:c r="A454" s="139" t="n"/>
      <x:c r="B454" s="139" t="n"/>
    </x:row>
    <x:row r="455">
      <x:c r="A455" s="139" t="n"/>
      <x:c r="B455" s="139" t="n"/>
    </x:row>
    <x:row r="456">
      <x:c r="A456" s="139" t="n"/>
      <x:c r="B456" s="139" t="n"/>
    </x:row>
    <x:row r="457">
      <x:c r="A457" s="139" t="n"/>
      <x:c r="B457" s="139" t="n"/>
    </x:row>
    <x:row r="458">
      <x:c r="A458" s="139" t="n"/>
      <x:c r="B458" s="139" t="n"/>
    </x:row>
    <x:row r="459">
      <x:c r="A459" s="139" t="n"/>
      <x:c r="B459" s="139" t="n"/>
    </x:row>
    <x:row r="460">
      <x:c r="A460" s="139" t="n"/>
      <x:c r="B460" s="139" t="n"/>
    </x:row>
    <x:row r="461">
      <x:c r="A461" s="139" t="n"/>
      <x:c r="B461" s="139" t="n"/>
    </x:row>
    <x:row r="462">
      <x:c r="A462" s="139" t="n"/>
      <x:c r="B462" s="139" t="n"/>
    </x:row>
    <x:row r="463">
      <x:c r="A463" s="139" t="n"/>
      <x:c r="B463" s="139" t="n"/>
    </x:row>
    <x:row r="464">
      <x:c r="A464" s="139" t="n"/>
      <x:c r="B464" s="139" t="n"/>
    </x:row>
    <x:row r="465">
      <x:c r="A465" s="139" t="n"/>
      <x:c r="B465" s="139" t="n"/>
    </x:row>
    <x:row r="466">
      <x:c r="A466" s="139" t="n"/>
      <x:c r="B466" s="139" t="n"/>
    </x:row>
    <x:row r="467">
      <x:c r="A467" s="139" t="n"/>
      <x:c r="B467" s="139" t="n"/>
    </x:row>
    <x:row r="468">
      <x:c r="A468" s="139" t="n"/>
      <x:c r="B468" s="139" t="n"/>
    </x:row>
    <x:row r="469">
      <x:c r="A469" s="139" t="n"/>
      <x:c r="B469" s="139" t="n"/>
    </x:row>
    <x:row r="470">
      <x:c r="A470" s="139" t="n"/>
      <x:c r="B470" s="139" t="n"/>
    </x:row>
    <x:row r="471">
      <x:c r="A471" s="139" t="n"/>
      <x:c r="B471" s="139" t="n"/>
    </x:row>
    <x:row r="472">
      <x:c r="A472" s="139" t="n"/>
      <x:c r="B472" s="139" t="n"/>
    </x:row>
    <x:row r="473">
      <x:c r="A473" s="139" t="n"/>
      <x:c r="B473" s="139" t="n"/>
    </x:row>
    <x:row r="474">
      <x:c r="A474" s="139" t="n"/>
      <x:c r="B474" s="139" t="n"/>
    </x:row>
    <x:row r="475">
      <x:c r="A475" s="139" t="n"/>
      <x:c r="B475" s="139" t="n"/>
    </x:row>
    <x:row r="476">
      <x:c r="A476" s="139" t="n"/>
      <x:c r="B476" s="139" t="n"/>
    </x:row>
    <x:row r="477">
      <x:c r="A477" s="139" t="n"/>
      <x:c r="B477" s="139" t="n"/>
    </x:row>
    <x:row r="478">
      <x:c r="A478" s="139" t="n"/>
      <x:c r="B478" s="139" t="n"/>
    </x:row>
    <x:row r="479">
      <x:c r="A479" s="139" t="n"/>
      <x:c r="B479" s="139" t="n"/>
    </x:row>
    <x:row r="480">
      <x:c r="A480" s="139" t="n"/>
      <x:c r="B480" s="139" t="n"/>
    </x:row>
    <x:row r="481">
      <x:c r="A481" s="139" t="n"/>
      <x:c r="B481" s="139" t="n"/>
    </x:row>
    <x:row r="482">
      <x:c r="A482" s="139" t="n"/>
      <x:c r="B482" s="139" t="n"/>
    </x:row>
    <x:row r="483">
      <x:c r="A483" s="139" t="n"/>
      <x:c r="B483" s="139" t="n"/>
    </x:row>
    <x:row r="484">
      <x:c r="A484" s="139" t="n"/>
      <x:c r="B484" s="139" t="n"/>
    </x:row>
    <x:row r="485">
      <x:c r="A485" s="139" t="n"/>
      <x:c r="B485" s="139" t="n"/>
    </x:row>
    <x:row r="486">
      <x:c r="A486" s="139" t="n"/>
      <x:c r="B486" s="139" t="n"/>
    </x:row>
    <x:row r="487">
      <x:c r="A487" s="139" t="n"/>
      <x:c r="B487" s="139" t="n"/>
    </x:row>
    <x:row r="488">
      <x:c r="A488" s="139" t="n"/>
      <x:c r="B488" s="139" t="n"/>
    </x:row>
    <x:row r="489">
      <x:c r="A489" s="139" t="n"/>
      <x:c r="B489" s="139" t="n"/>
    </x:row>
    <x:row r="490">
      <x:c r="A490" s="139" t="n"/>
      <x:c r="B490" s="139" t="n"/>
    </x:row>
    <x:row r="491">
      <x:c r="A491" s="139" t="n"/>
      <x:c r="B491" s="139" t="n"/>
    </x:row>
    <x:row r="492">
      <x:c r="A492" s="139" t="n"/>
      <x:c r="B492" s="139" t="n"/>
    </x:row>
    <x:row r="493">
      <x:c r="A493" s="139" t="n"/>
      <x:c r="B493" s="139" t="n"/>
    </x:row>
    <x:row r="494">
      <x:c r="A494" s="139" t="n"/>
      <x:c r="B494" s="139" t="n"/>
    </x:row>
    <x:row r="495">
      <x:c r="A495" s="139" t="n"/>
      <x:c r="B495" s="139" t="n"/>
    </x:row>
    <x:row r="496">
      <x:c r="A496" s="139" t="n"/>
      <x:c r="B496" s="139" t="n"/>
    </x:row>
    <x:row r="497">
      <x:c r="A497" s="139" t="n"/>
      <x:c r="B497" s="139" t="n"/>
    </x:row>
    <x:row r="498">
      <x:c r="A498" s="139" t="n"/>
      <x:c r="B498" s="139" t="n"/>
    </x:row>
    <x:row r="499">
      <x:c r="A499" s="139" t="n"/>
      <x:c r="B499" s="139" t="n"/>
    </x:row>
    <x:row r="500">
      <x:c r="A500" s="139" t="n"/>
      <x:c r="B500" s="139" t="n"/>
    </x:row>
  </x:sheetData>
  <x:pageMargins left="0.7" right="0.7" top="0.75" bottom="0.75" header="0.3" footer="0.3"/>
  <x:tableParts count="1">
    <x:tablePart xmlns:r="http://schemas.openxmlformats.org/officeDocument/2006/relationships" r:id="Ra5925208de49446e"/>
  </x:tableParts>
</x:worksheet>
</file>

<file path=xl/worksheets/sheet11.xml><?xml version="1.0" encoding="utf-8"?>
<x:worksheet xmlns:x="http://schemas.openxmlformats.org/spreadsheetml/2006/main">
  <x:sheetFormatPr baseColWidth="8" defaultRowHeight="15"/>
  <x:cols>
    <x:col min="1" max="1" width="31" style="125" customWidth="1"/>
    <x:col min="2" max="2" width="14" style="125" customWidth="1"/>
    <x:col min="3" max="3" width="12" style="125" customWidth="1"/>
    <x:col min="4" max="4" width="56" style="125" customWidth="1"/>
  </x:cols>
  <x:sheetData>
    <x:row r="1">
      <x:c r="A1" s="70" t="inlineStr">
        <x:is>
          <x:t xml:space="preserve">FLPR Rating Engine — Official Settings v1.0</x:t>
        </x:is>
      </x:c>
      <x:c r="B1" s="1" t="n"/>
      <x:c r="C1" s="1" t="n"/>
      <x:c r="D1" s="1" t="n"/>
    </x:row>
    <x:row r="2">
      <x:c r="A2" s="139" t="n"/>
      <x:c r="B2" s="139" t="n"/>
      <x:c r="C2" s="139" t="n"/>
      <x:c r="D2" s="139" t="n"/>
    </x:row>
    <x:row r="3">
      <x:c r="A3" s="52" t="inlineStr">
        <x:is>
          <x:t xml:space="preserve">Parameter</x:t>
        </x:is>
      </x:c>
      <x:c r="B3" s="52" t="inlineStr">
        <x:is>
          <x:t xml:space="preserve">Value</x:t>
        </x:is>
      </x:c>
      <x:c r="C3" s="52" t="inlineStr">
        <x:is>
          <x:t xml:space="preserve">Unit</x:t>
        </x:is>
      </x:c>
      <x:c r="D3" s="52" t="inlineStr">
        <x:is>
          <x:t xml:space="preserve">Purpose</x:t>
        </x:is>
      </x:c>
    </x:row>
    <x:row r="4">
      <x:c r="A4" s="139" t="inlineStr">
        <x:is>
          <x:t xml:space="preserve">Prior Matches</x:t>
        </x:is>
      </x:c>
      <x:c r="B4" s="139" t="n">
        <x:v>8</x:v>
      </x:c>
      <x:c r="C4" s="139" t="inlineStr">
        <x:is>
          <x:t xml:space="preserve">matches</x:t>
        </x:is>
      </x:c>
      <x:c r="D4" s="139" t="inlineStr">
        <x:is>
          <x:t xml:space="preserve">Bayesian sample-size stabilization</x:t>
        </x:is>
      </x:c>
    </x:row>
    <x:row r="5">
      <x:c r="A5" s="139" t="inlineStr">
        <x:is>
          <x:t xml:space="preserve">Prior Win Rate</x:t>
        </x:is>
      </x:c>
      <x:c r="B5" s="97" t="n">
        <x:v>0.5</x:v>
      </x:c>
      <x:c r="C5" s="139" t="inlineStr">
        <x:is>
          <x:t xml:space="preserve">%</x:t>
        </x:is>
      </x:c>
      <x:c r="D5" s="139" t="inlineStr">
        <x:is>
          <x:t xml:space="preserve">Neutral baseline</x:t>
        </x:is>
      </x:c>
    </x:row>
    <x:row r="6">
      <x:c r="A6" s="139" t="inlineStr">
        <x:is>
          <x:t xml:space="preserve">Reliability Floor</x:t>
        </x:is>
      </x:c>
      <x:c r="B6" s="97" t="n">
        <x:v>0.65</x:v>
      </x:c>
      <x:c r="C6" s="139" t="inlineStr">
        <x:is>
          <x:t xml:space="preserve">%</x:t>
        </x:is>
      </x:c>
      <x:c r="D6" s="139" t="inlineStr">
        <x:is>
          <x:t xml:space="preserve">Minimum share of raw score retained</x:t>
        </x:is>
      </x:c>
    </x:row>
    <x:row r="7">
      <x:c r="A7" s="139" t="inlineStr">
        <x:is>
          <x:t xml:space="preserve">Reliability Variable Share</x:t>
        </x:is>
      </x:c>
      <x:c r="B7" s="139" t="n">
        <x:v>0.35</x:v>
      </x:c>
      <x:c r="C7" s="139" t="inlineStr">
        <x:is>
          <x:t xml:space="preserve">%</x:t>
        </x:is>
      </x:c>
      <x:c r="D7" s="139" t="inlineStr">
        <x:is>
          <x:t xml:space="preserve">Additional share earned through match volume</x:t>
        </x:is>
      </x:c>
    </x:row>
    <x:row r="8">
      <x:c r="A8" s="139" t="inlineStr">
        <x:is>
          <x:t xml:space="preserve">Elite Tier Minimum</x:t>
        </x:is>
      </x:c>
      <x:c r="B8" s="139" t="n">
        <x:v>75</x:v>
      </x:c>
      <x:c r="C8" s="139" t="inlineStr">
        <x:is>
          <x:t xml:space="preserve">rating</x:t>
        </x:is>
      </x:c>
      <x:c r="D8" s="139" t="inlineStr">
        <x:is>
          <x:t xml:space="preserve">Tier Elite</x:t>
        </x:is>
      </x:c>
    </x:row>
    <x:row r="9">
      <x:c r="A9" s="139" t="inlineStr">
        <x:is>
          <x:t xml:space="preserve">Tier A Minimum</x:t>
        </x:is>
      </x:c>
      <x:c r="B9" s="139" t="n">
        <x:v>65</x:v>
      </x:c>
      <x:c r="C9" s="139" t="inlineStr">
        <x:is>
          <x:t xml:space="preserve">rating</x:t>
        </x:is>
      </x:c>
      <x:c r="D9" s="139" t="inlineStr">
        <x:is>
          <x:t xml:space="preserve">Tier A</x:t>
        </x:is>
      </x:c>
    </x:row>
    <x:row r="10">
      <x:c r="A10" s="139" t="inlineStr">
        <x:is>
          <x:t xml:space="preserve">Tier B Minimum</x:t>
        </x:is>
      </x:c>
      <x:c r="B10" s="139" t="n">
        <x:v>55</x:v>
      </x:c>
      <x:c r="C10" s="139" t="inlineStr">
        <x:is>
          <x:t xml:space="preserve">rating</x:t>
        </x:is>
      </x:c>
      <x:c r="D10" s="139" t="inlineStr">
        <x:is>
          <x:t xml:space="preserve">Tier B</x:t>
        </x:is>
      </x:c>
    </x:row>
    <x:row r="11">
      <x:c r="A11" s="139" t="inlineStr">
        <x:is>
          <x:t xml:space="preserve">Tier C Minimum</x:t>
        </x:is>
      </x:c>
      <x:c r="B11" s="139" t="n">
        <x:v>45</x:v>
      </x:c>
      <x:c r="C11" s="139" t="inlineStr">
        <x:is>
          <x:t xml:space="preserve">rating</x:t>
        </x:is>
      </x:c>
      <x:c r="D11" s="139" t="inlineStr">
        <x:is>
          <x:t xml:space="preserve">Tier C</x:t>
        </x:is>
      </x:c>
    </x:row>
    <x:row r="12">
      <x:c r="A12" s="139" t="str"/>
      <x:c r="B12" s="139" t="str"/>
      <x:c r="C12" s="139" t="str"/>
      <x:c r="D12" s="139" t="str"/>
    </x:row>
    <x:row r="13">
      <x:c r="A13" s="52" t="inlineStr">
        <x:is>
          <x:t xml:space="preserve">Component Weight</x:t>
        </x:is>
      </x:c>
      <x:c r="B13" s="52" t="inlineStr">
        <x:is>
          <x:t xml:space="preserve">Weight</x:t>
        </x:is>
      </x:c>
      <x:c r="C13" s="52" t="inlineStr">
        <x:is>
          <x:t xml:space="preserve">Unit</x:t>
        </x:is>
      </x:c>
      <x:c r="D13" s="52" t="inlineStr">
        <x:is>
          <x:t xml:space="preserve">Definition</x:t>
        </x:is>
      </x:c>
    </x:row>
    <x:row r="14">
      <x:c r="A14" s="139" t="inlineStr">
        <x:is>
          <x:t xml:space="preserve">Adjusted Win Score</x:t>
        </x:is>
      </x:c>
      <x:c r="B14" s="97" t="n">
        <x:v>0.3</x:v>
      </x:c>
      <x:c r="C14" s="139" t="inlineStr">
        <x:is>
          <x:t xml:space="preserve">%</x:t>
        </x:is>
      </x:c>
      <x:c r="D14" s="139" t="inlineStr">
        <x:is>
          <x:t xml:space="preserve">Bayesian-adjusted win percentage</x:t>
        </x:is>
      </x:c>
    </x:row>
    <x:row r="15">
      <x:c r="A15" s="139" t="inlineStr">
        <x:is>
          <x:t xml:space="preserve">Dominance Index</x:t>
        </x:is>
      </x:c>
      <x:c r="B15" s="97" t="n">
        <x:v>0.2</x:v>
      </x:c>
      <x:c r="C15" s="139" t="inlineStr">
        <x:is>
          <x:t xml:space="preserve">%</x:t>
        </x:is>
      </x:c>
      <x:c r="D15" s="139" t="inlineStr">
        <x:is>
          <x:t xml:space="preserve">Margin and blowout performance</x:t>
        </x:is>
      </x:c>
    </x:row>
    <x:row r="16">
      <x:c r="A16" s="139" t="inlineStr">
        <x:is>
          <x:t xml:space="preserve">Performance vs Expectation</x:t>
        </x:is>
      </x:c>
      <x:c r="B16" s="97" t="n">
        <x:v>0.15</x:v>
      </x:c>
      <x:c r="C16" s="139" t="inlineStr">
        <x:is>
          <x:t xml:space="preserve">%</x:t>
        </x:is>
      </x:c>
      <x:c r="D16" s="139" t="inlineStr">
        <x:is>
          <x:t xml:space="preserve">Over/under-performance versus expected result</x:t>
        </x:is>
      </x:c>
    </x:row>
    <x:row r="17">
      <x:c r="A17" s="139" t="inlineStr">
        <x:is>
          <x:t xml:space="preserve">Strength of Schedule</x:t>
        </x:is>
      </x:c>
      <x:c r="B17" s="97" t="n">
        <x:v>0.1</x:v>
      </x:c>
      <x:c r="C17" s="139" t="inlineStr">
        <x:is>
          <x:t xml:space="preserve">%</x:t>
        </x:is>
      </x:c>
      <x:c r="D17" s="139" t="inlineStr">
        <x:is>
          <x:t xml:space="preserve">Opponent quality</x:t>
        </x:is>
      </x:c>
    </x:row>
    <x:row r="18">
      <x:c r="A18" s="139" t="inlineStr">
        <x:is>
          <x:t xml:space="preserve">Consistency Index</x:t>
        </x:is>
      </x:c>
      <x:c r="B18" s="97" t="n">
        <x:v>0.1</x:v>
      </x:c>
      <x:c r="C18" s="139" t="inlineStr">
        <x:is>
          <x:t xml:space="preserve">%</x:t>
        </x:is>
      </x:c>
      <x:c r="D18" s="139" t="inlineStr">
        <x:is>
          <x:t xml:space="preserve">Stability across matches</x:t>
        </x:is>
      </x:c>
    </x:row>
    <x:row r="19">
      <x:c r="A19" s="139" t="inlineStr">
        <x:is>
          <x:t xml:space="preserve">Clutch Index</x:t>
        </x:is>
      </x:c>
      <x:c r="B19" s="97" t="n">
        <x:v>0.05</x:v>
      </x:c>
      <x:c r="C19" s="139" t="inlineStr">
        <x:is>
          <x:t xml:space="preserve">%</x:t>
        </x:is>
      </x:c>
      <x:c r="D19" s="139" t="inlineStr">
        <x:is>
          <x:t xml:space="preserve">Close-match performance</x:t>
        </x:is>
      </x:c>
    </x:row>
    <x:row r="20">
      <x:c r="A20" s="139" t="inlineStr">
        <x:is>
          <x:t xml:space="preserve">Versatility Index</x:t>
        </x:is>
      </x:c>
      <x:c r="B20" s="97" t="n">
        <x:v>0.05</x:v>
      </x:c>
      <x:c r="C20" s="139" t="inlineStr">
        <x:is>
          <x:t xml:space="preserve">%</x:t>
        </x:is>
      </x:c>
      <x:c r="D20" s="139" t="inlineStr">
        <x:is>
          <x:t xml:space="preserve">Breadth of partners, opponents, tournaments</x:t>
        </x:is>
      </x:c>
    </x:row>
    <x:row r="21">
      <x:c r="A21" s="139" t="inlineStr">
        <x:is>
          <x:t xml:space="preserve">Recent Form</x:t>
        </x:is>
      </x:c>
      <x:c r="B21" s="97" t="n">
        <x:v>0.05</x:v>
      </x:c>
      <x:c r="C21" s="139" t="inlineStr">
        <x:is>
          <x:t xml:space="preserve">%</x:t>
        </x:is>
      </x:c>
      <x:c r="D21" s="139" t="inlineStr">
        <x:is>
          <x:t xml:space="preserve">Last-five win percentage</x:t>
        </x:is>
      </x:c>
    </x:row>
    <x:row r="22">
      <x:c r="A22" s="139" t="inlineStr">
        <x:is>
          <x:t xml:space="preserve">Total Weight</x:t>
        </x:is>
      </x:c>
      <x:c r="B22" s="97" t="n">
        <x:f>SUM(B14:B21)</x:f>
        <x:v>1</x:v>
      </x:c>
      <x:c r="C22" s="139" t="inlineStr">
        <x:is>
          <x:t xml:space="preserve">%</x:t>
        </x:is>
      </x:c>
      <x:c r="D22" s="139" t="inlineStr">
        <x:is>
          <x:t xml:space="preserve">Must equal 100%</x:t>
        </x:is>
      </x:c>
    </x:row>
    <x:row r="23">
      <x:c r="A23" s="139" t="n"/>
      <x:c r="B23" s="139" t="n"/>
      <x:c r="C23" s="139" t="n"/>
      <x:c r="D23" s="139" t="n"/>
    </x:row>
    <x:row r="24">
      <x:c r="A24" s="139" t="n"/>
      <x:c r="B24" s="139" t="n"/>
      <x:c r="C24" s="139" t="n"/>
      <x:c r="D24" s="139" t="n"/>
    </x:row>
    <x:row r="25">
      <x:c r="A25" s="139" t="n"/>
      <x:c r="B25" s="139" t="n"/>
      <x:c r="C25" s="139" t="n"/>
      <x:c r="D25" s="139" t="n"/>
    </x:row>
    <x:row r="26">
      <x:c r="A26" s="139" t="n"/>
      <x:c r="B26" s="139" t="n"/>
      <x:c r="C26" s="139" t="n"/>
      <x:c r="D26" s="139" t="n"/>
    </x:row>
    <x:row r="27">
      <x:c r="A27" s="139" t="n"/>
      <x:c r="B27" s="139" t="n"/>
      <x:c r="C27" s="139" t="n"/>
      <x:c r="D27" s="139" t="n"/>
    </x:row>
    <x:row r="28">
      <x:c r="A28" s="139" t="n"/>
      <x:c r="B28" s="139" t="n"/>
      <x:c r="C28" s="139" t="n"/>
      <x:c r="D28" s="139" t="n"/>
    </x:row>
    <x:row r="29">
      <x:c r="A29" s="139" t="n"/>
      <x:c r="B29" s="139" t="n"/>
      <x:c r="C29" s="139" t="n"/>
      <x:c r="D29" s="139" t="n"/>
    </x:row>
    <x:row r="30">
      <x:c r="A30" s="139" t="n"/>
      <x:c r="B30" s="139" t="n"/>
      <x:c r="C30" s="139" t="n"/>
      <x:c r="D30" s="139" t="n"/>
    </x:row>
  </x:sheetData>
  <x:mergeCells>
    <x:mergeCell ref="A1:D1"/>
  </x:mergeCells>
  <x:conditionalFormatting sqref="B22:B22">
    <x:cfRule type="cellIs" dxfId="0" priority="1" operator="notEqual">
      <x:formula>1</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5"/>
  <x:cols>
    <x:col min="1" max="1" width="7" style="125" customWidth="1"/>
    <x:col min="2" max="2" width="17" style="125" customWidth="1"/>
    <x:col min="3" max="3" width="7" style="125" customWidth="1"/>
    <x:col min="4" max="4" width="7" style="125" customWidth="1"/>
    <x:col min="5" max="5" width="7" style="125" customWidth="1"/>
    <x:col min="6" max="6" width="10" style="125" customWidth="1"/>
    <x:col min="7" max="7" width="12" style="125" customWidth="1"/>
    <x:col min="8" max="8" width="14" style="125" customWidth="1"/>
    <x:col min="9" max="9" width="11" style="125" customWidth="1"/>
    <x:col min="10" max="10" width="15" style="125" customWidth="1"/>
    <x:col min="11" max="11" width="15" style="125" customWidth="1"/>
    <x:col min="12" max="12" width="10" style="125" customWidth="1"/>
    <x:col min="13" max="13" width="10" style="125" customWidth="1"/>
    <x:col min="14" max="14" width="12" style="125" customWidth="1"/>
    <x:col min="15" max="15" width="10" style="125" customWidth="1"/>
    <x:col min="16" max="16" width="11" style="125" customWidth="1"/>
    <x:col min="17" max="17" width="11" style="125" customWidth="1"/>
    <x:col min="18" max="18" width="12" style="125" customWidth="1"/>
    <x:col min="19" max="19" width="11" style="125" customWidth="1"/>
    <x:col min="20" max="20" width="11" style="125" customWidth="1"/>
    <x:col min="21" max="21" width="9" style="125" customWidth="1"/>
    <x:col min="22" max="22" width="10" style="125" customWidth="1"/>
    <x:col min="23" max="23" width="12" style="125" customWidth="1"/>
  </x:cols>
  <x:sheetData>
    <x:row r="1">
      <x:c r="A1" s="52" t="inlineStr">
        <x:is>
          <x:t xml:space="preserve">Rank</x:t>
        </x:is>
      </x:c>
      <x:c r="B1" s="52" t="inlineStr">
        <x:is>
          <x:t xml:space="preserve">Player</x:t>
        </x:is>
      </x:c>
      <x:c r="C1" s="52" t="inlineStr">
        <x:is>
          <x:t xml:space="preserve">MP</x:t>
        </x:is>
      </x:c>
      <x:c r="D1" s="52" t="inlineStr">
        <x:is>
          <x:t xml:space="preserve">W</x:t>
        </x:is>
      </x:c>
      <x:c r="E1" s="52" t="inlineStr">
        <x:is>
          <x:t xml:space="preserve">L</x:t>
        </x:is>
      </x:c>
      <x:c r="F1" s="52" t="inlineStr">
        <x:is>
          <x:t xml:space="preserve">Raw Win %</x:t>
        </x:is>
      </x:c>
      <x:c r="G1" s="52" t="inlineStr">
        <x:is>
          <x:t xml:space="preserve">Adjusted Win %</x:t>
        </x:is>
      </x:c>
      <x:c r="H1" s="52" t="inlineStr">
        <x:is>
          <x:t xml:space="preserve">Adjusted Win Score</x:t>
        </x:is>
      </x:c>
      <x:c r="I1" s="52" t="inlineStr">
        <x:is>
          <x:t xml:space="preserve">Dominance</x:t>
        </x:is>
      </x:c>
      <x:c r="J1" s="52" t="inlineStr">
        <x:is>
          <x:t xml:space="preserve">Vs Expectation Raw</x:t>
        </x:is>
      </x:c>
      <x:c r="K1" s="52" t="inlineStr">
        <x:is>
          <x:t xml:space="preserve">Vs Expectation Score</x:t>
        </x:is>
      </x:c>
      <x:c r="L1" s="52" t="inlineStr">
        <x:is>
          <x:t xml:space="preserve">SOS Raw</x:t>
        </x:is>
      </x:c>
      <x:c r="M1" s="52" t="inlineStr">
        <x:is>
          <x:t xml:space="preserve">SOS Score</x:t>
        </x:is>
      </x:c>
      <x:c r="N1" s="52" t="inlineStr">
        <x:is>
          <x:t xml:space="preserve">Consistency</x:t>
        </x:is>
      </x:c>
      <x:c r="O1" s="52" t="inlineStr">
        <x:is>
          <x:t xml:space="preserve">Clutch</x:t>
        </x:is>
      </x:c>
      <x:c r="P1" s="52" t="inlineStr">
        <x:is>
          <x:t xml:space="preserve">Versatility</x:t>
        </x:is>
      </x:c>
      <x:c r="Q1" s="52" t="inlineStr">
        <x:is>
          <x:t xml:space="preserve">Recent Form</x:t>
        </x:is>
      </x:c>
      <x:c r="R1" s="52" t="inlineStr">
        <x:is>
          <x:t xml:space="preserve">Raw Composite</x:t>
        </x:is>
      </x:c>
      <x:c r="S1" s="52" t="inlineStr">
        <x:is>
          <x:t xml:space="preserve">Reliability</x:t>
        </x:is>
      </x:c>
      <x:c r="T1" s="52" t="inlineStr">
        <x:is>
          <x:t xml:space="preserve">FLPR Rating</x:t>
        </x:is>
      </x:c>
      <x:c r="U1" s="52" t="inlineStr">
        <x:is>
          <x:t xml:space="preserve">Tier</x:t>
        </x:is>
      </x:c>
      <x:c r="V1" s="52" t="inlineStr">
        <x:is>
          <x:t xml:space="preserve">Rating Gap</x:t>
        </x:is>
      </x:c>
      <x:c r="W1" s="52" t="inlineStr">
        <x:is>
          <x:t xml:space="preserve">Status</x:t>
        </x:is>
      </x:c>
    </x:row>
    <x:row r="2">
      <x:c r="A2" s="139" t="n">
        <x:f>RANK.EQ(T2,$T$2:$T$21,0)</x:f>
        <x:v>20</x:v>
      </x:c>
      <x:c r="B2" s="139" t="str">
        <x:f>'Advanced Analytics'!A2</x:f>
        <x:v>Alice</x:v>
      </x:c>
      <x:c r="C2" s="139" t="n">
        <x:f>'Advanced Analytics'!B2</x:f>
        <x:v>14</x:v>
      </x:c>
      <x:c r="D2" s="139" t="n">
        <x:f>ROUND(F2*C2,0)</x:f>
        <x:v>1</x:v>
      </x:c>
      <x:c r="E2" s="139" t="n">
        <x:f>C2-D2</x:f>
        <x:v>13</x:v>
      </x:c>
      <x:c r="F2" s="93" t="n">
        <x:f>'Advanced Analytics'!C2</x:f>
        <x:v>0.07142857142857142</x:v>
      </x:c>
      <x:c r="G2" s="93" t="n">
        <x:f>(D2+'Rating Settings'!$B$4*'Rating Settings'!$B$5)/(C2+'Rating Settings'!$B$4)</x:f>
        <x:v>0.22727272727272727</x:v>
      </x:c>
      <x:c r="H2" s="95" t="n">
        <x:f>G2*100</x:f>
        <x:v>22.727272727272727</x:v>
      </x:c>
      <x:c r="I2" s="95" t="n">
        <x:f>'Advanced Analytics'!Z2</x:f>
        <x:v>5.954198473282439</x:v>
      </x:c>
      <x:c r="J2" s="93" t="n">
        <x:f>'Advanced Analytics'!G2</x:f>
        <x:v>-0.2876042585174649</x:v>
      </x:c>
      <x:c r="K2" s="95" t="n">
        <x:f>IF(MAX($J$2:$J$21)=MIN($J$2:$J$21),50,(J2-MIN($J$2:$J$21))/(MAX($J$2:$J$21)-MIN($J$2:$J$21))*100)</x:f>
        <x:v>6.465275619415106</x:v>
      </x:c>
      <x:c r="L2" s="95" t="n">
        <x:f>'Advanced Analytics'!D2</x:f>
        <x:v>0.5498424194852766</x:v>
      </x:c>
      <x:c r="M2" s="95" t="n">
        <x:f>IF(MAX($L$2:$L$21)=MIN($L$2:$L$21),50,(L2-MIN($L$2:$L$21))/(MAX($L$2:$L$21)-MIN($L$2:$L$21))*100)</x:f>
        <x:v>83.87706635540958</x:v>
      </x:c>
      <x:c r="N2" s="95" t="n">
        <x:f>'Advanced Analytics'!AB2</x:f>
        <x:v>72.51048417976679</x:v>
      </x:c>
      <x:c r="O2" s="95" t="n">
        <x:f>'Advanced Analytics'!K2</x:f>
        <x:v>27.77777777777778</x:v>
      </x:c>
      <x:c r="P2" s="95" t="n">
        <x:f>'Advanced Analytics'!AC2</x:f>
        <x:v>54</x:v>
      </x:c>
      <x:c r="Q2" s="95" t="n">
        <x:f>'Advanced Analytics'!Q2*100</x:f>
        <x:v>0</x:v>
      </x:c>
      <x:c r="R2" s="95" t="n">
        <x:f>H2*'Rating Settings'!$B$14+I2*'Rating Settings'!$B$15+K2*'Rating Settings'!$B$16+M2*'Rating Settings'!$B$17+N2*'Rating Settings'!$B$18+O2*'Rating Settings'!$B$19+P2*'Rating Settings'!$B$20+Q2*'Rating Settings'!$B$21</x:f>
        <x:v>28.7064567981571</x:v>
      </x:c>
      <x:c r="S2" s="95" t="n">
        <x:f>'Rating Settings'!$B$6+'Rating Settings'!$B$7*(C2/(C2+'Rating Settings'!$B$4))</x:f>
        <x:v>0.8727272727272728</x:v>
      </x:c>
      <x:c r="T2" s="95" t="n">
        <x:f>50+(R2-50)*S2</x:f>
        <x:v>31.416544114755286</x:v>
      </x:c>
      <x:c r="U2" s="139" t="str">
        <x:f>IF(T2&gt;='Rating Settings'!$B$8,"Elite",IF(T2&gt;='Rating Settings'!$B$9,"A",IF(T2&gt;='Rating Settings'!$B$10,"B",IF(T2&gt;='Rating Settings'!$B$11,"C","D"))))</x:f>
        <x:v>D</x:v>
      </x:c>
      <x:c r="V2" s="95" t="n">
        <x:f>T2-50</x:f>
        <x:v>-18.583455885244714</x:v>
      </x:c>
      <x:c r="W2" s="139" t="str">
        <x:f>IF(C2&lt;6,"Provisional",IF(C2&lt;12,"Developing","Established"))</x:f>
        <x:v>Established</x:v>
      </x:c>
    </x:row>
    <x:row r="3">
      <x:c r="A3" s="139" t="n">
        <x:f>RANK.EQ(T3,$T$2:$T$21,0)</x:f>
        <x:v>17</x:v>
      </x:c>
      <x:c r="B3" s="139" t="str">
        <x:f>'Advanced Analytics'!A3</x:f>
        <x:v>Alwin</x:v>
      </x:c>
      <x:c r="C3" s="139" t="n">
        <x:f>'Advanced Analytics'!B3</x:f>
        <x:v>6</x:v>
      </x:c>
      <x:c r="D3" s="139" t="n">
        <x:f>ROUND(F3*C3,0)</x:f>
        <x:v>1</x:v>
      </x:c>
      <x:c r="E3" s="139" t="n">
        <x:f>C3-D3</x:f>
        <x:v>5</x:v>
      </x:c>
      <x:c r="F3" s="93" t="n">
        <x:f>'Advanced Analytics'!C3</x:f>
        <x:v>0.1666666666666667</x:v>
      </x:c>
      <x:c r="G3" s="93" t="n">
        <x:f>(D3+'Rating Settings'!$B$4*'Rating Settings'!$B$5)/(C3+'Rating Settings'!$B$4)</x:f>
        <x:v>0.35714285714285715</x:v>
      </x:c>
      <x:c r="H3" s="95" t="n">
        <x:f>G3*100</x:f>
        <x:v>35.714285714285715</x:v>
      </x:c>
      <x:c r="I3" s="95" t="n">
        <x:f>'Advanced Analytics'!Z3</x:f>
        <x:v>6.946564885496183</x:v>
      </x:c>
      <x:c r="J3" s="93" t="n">
        <x:f>'Advanced Analytics'!G3</x:f>
        <x:v>-0.2263090621003825</x:v>
      </x:c>
      <x:c r="K3" s="95" t="n">
        <x:f>IF(MAX($J$2:$J$21)=MIN($J$2:$J$21),50,(J3-MIN($J$2:$J$21))/(MAX($J$2:$J$21)-MIN($J$2:$J$21))*100)</x:f>
        <x:v>15.13132321776071</x:v>
      </x:c>
      <x:c r="L3" s="95" t="n">
        <x:f>'Advanced Analytics'!D3</x:f>
        <x:v>0.5768009768009769</x:v>
      </x:c>
      <x:c r="M3" s="95" t="n">
        <x:f>IF(MAX($L$2:$L$21)=MIN($L$2:$L$21),50,(L3-MIN($L$2:$L$21))/(MAX($L$2:$L$21)-MIN($L$2:$L$21))*100)</x:f>
        <x:v>95.83107742284788</x:v>
      </x:c>
      <x:c r="N3" s="95" t="n">
        <x:f>'Advanced Analytics'!AB3</x:f>
        <x:v>39.92521673675382</x:v>
      </x:c>
      <x:c r="O3" s="95" t="n">
        <x:f>'Advanced Analytics'!K3</x:f>
        <x:v>50</x:v>
      </x:c>
      <x:c r="P3" s="95" t="n">
        <x:f>'Advanced Analytics'!AC3</x:f>
        <x:v>18</x:v>
      </x:c>
      <x:c r="Q3" s="95" t="n">
        <x:f>'Advanced Analytics'!Q3*100</x:f>
        <x:v>20</x:v>
      </x:c>
      <x:c r="R3" s="95" t="n">
        <x:f>H3*'Rating Settings'!$B$14+I3*'Rating Settings'!$B$15+K3*'Rating Settings'!$B$16+M3*'Rating Settings'!$B$17+N3*'Rating Settings'!$B$18+O3*'Rating Settings'!$B$19+P3*'Rating Settings'!$B$20+Q3*'Rating Settings'!$B$21</x:f>
        <x:v>32.34892659000923</x:v>
      </x:c>
      <x:c r="S3" s="95" t="n">
        <x:f>'Rating Settings'!$B$6+'Rating Settings'!$B$7*(C3/(C3+'Rating Settings'!$B$4))</x:f>
        <x:v>0.8</x:v>
      </x:c>
      <x:c r="T3" s="95" t="n">
        <x:f>50+(R3-50)*S3</x:f>
        <x:v>35.87914127200738</x:v>
      </x:c>
      <x:c r="U3" s="139" t="str">
        <x:f>IF(T3&gt;='Rating Settings'!$B$8,"Elite",IF(T3&gt;='Rating Settings'!$B$9,"A",IF(T3&gt;='Rating Settings'!$B$10,"B",IF(T3&gt;='Rating Settings'!$B$11,"C","D"))))</x:f>
        <x:v>D</x:v>
      </x:c>
      <x:c r="V3" s="95" t="n">
        <x:f>T3-50</x:f>
        <x:v>-14.12085872799262</x:v>
      </x:c>
      <x:c r="W3" s="139" t="str">
        <x:f>IF(C3&lt;6,"Provisional",IF(C3&lt;12,"Developing","Established"))</x:f>
        <x:v>Developing</x:v>
      </x:c>
    </x:row>
    <x:row r="4">
      <x:c r="A4" s="139" t="n">
        <x:f>RANK.EQ(T4,$T$2:$T$21,0)</x:f>
        <x:v>3</x:v>
      </x:c>
      <x:c r="B4" s="139" t="str">
        <x:f>'Advanced Analytics'!A4</x:f>
        <x:v>Austin</x:v>
      </x:c>
      <x:c r="C4" s="139" t="n">
        <x:f>'Advanced Analytics'!B4</x:f>
        <x:v>14</x:v>
      </x:c>
      <x:c r="D4" s="139" t="n">
        <x:f>ROUND(F4*C4,0)</x:f>
        <x:v>9</x:v>
      </x:c>
      <x:c r="E4" s="139" t="n">
        <x:f>C4-D4</x:f>
        <x:v>5</x:v>
      </x:c>
      <x:c r="F4" s="93" t="n">
        <x:f>'Advanced Analytics'!C4</x:f>
        <x:v>0.6428571428571429</x:v>
      </x:c>
      <x:c r="G4" s="93" t="n">
        <x:f>(D4+'Rating Settings'!$B$4*'Rating Settings'!$B$5)/(C4+'Rating Settings'!$B$4)</x:f>
        <x:v>0.5909090909090909</x:v>
      </x:c>
      <x:c r="H4" s="95" t="n">
        <x:f>G4*100</x:f>
        <x:v>59.09090909090909</x:v>
      </x:c>
      <x:c r="I4" s="95" t="n">
        <x:f>'Advanced Analytics'!Z4</x:f>
        <x:v>82.43729552889857</x:v>
      </x:c>
      <x:c r="J4" s="93" t="n">
        <x:f>'Advanced Analytics'!G4</x:f>
        <x:v>0.114073283971975</x:v>
      </x:c>
      <x:c r="K4" s="95" t="n">
        <x:f>IF(MAX($J$2:$J$21)=MIN($J$2:$J$21),50,(J4-MIN($J$2:$J$21))/(MAX($J$2:$J$21)-MIN($J$2:$J$21))*100)</x:f>
        <x:v>63.25531637095866</x:v>
      </x:c>
      <x:c r="L4" s="95" t="n">
        <x:f>'Advanced Analytics'!D4</x:f>
        <x:v>0.4960783264354692</x:v>
      </x:c>
      <x:c r="M4" s="95" t="n">
        <x:f>IF(MAX($L$2:$L$21)=MIN($L$2:$L$21),50,(L4-MIN($L$2:$L$21))/(MAX($L$2:$L$21)-MIN($L$2:$L$21))*100)</x:f>
        <x:v>60.03689732032985</x:v>
      </x:c>
      <x:c r="N4" s="95" t="n">
        <x:f>'Advanced Analytics'!AB4</x:f>
        <x:v>19.19195872565471</x:v>
      </x:c>
      <x:c r="O4" s="95" t="n">
        <x:f>'Advanced Analytics'!K4</x:f>
        <x:v>43.75</x:v>
      </x:c>
      <x:c r="P4" s="95" t="n">
        <x:f>'Advanced Analytics'!AC4</x:f>
        <x:v>59.16666666666666</x:v>
      </x:c>
      <x:c r="Q4" s="95" t="n">
        <x:f>'Advanced Analytics'!Q4*100</x:f>
        <x:v>80</x:v>
      </x:c>
      <x:c r="R4" s="95" t="n">
        <x:f>H4*'Rating Settings'!$B$14+I4*'Rating Settings'!$B$15+K4*'Rating Settings'!$B$16+M4*'Rating Settings'!$B$17+N4*'Rating Settings'!$B$18+O4*'Rating Settings'!$B$19+P4*'Rating Settings'!$B$20+Q4*'Rating Settings'!$B$21</x:f>
        <x:v>60.771748226628034</x:v>
      </x:c>
      <x:c r="S4" s="95" t="n">
        <x:f>'Rating Settings'!$B$6+'Rating Settings'!$B$7*(C4/(C4+'Rating Settings'!$B$4))</x:f>
        <x:v>0.8727272727272728</x:v>
      </x:c>
      <x:c r="T4" s="95" t="n">
        <x:f>50+(R4-50)*S4</x:f>
        <x:v>59.40079845232992</x:v>
      </x:c>
      <x:c r="U4" s="139" t="str">
        <x:f>IF(T4&gt;='Rating Settings'!$B$8,"Elite",IF(T4&gt;='Rating Settings'!$B$9,"A",IF(T4&gt;='Rating Settings'!$B$10,"B",IF(T4&gt;='Rating Settings'!$B$11,"C","D"))))</x:f>
        <x:v>B</x:v>
      </x:c>
      <x:c r="V4" s="95" t="n">
        <x:f>T4-50</x:f>
        <x:v>9.400798452329923</x:v>
      </x:c>
      <x:c r="W4" s="139" t="str">
        <x:f>IF(C4&lt;6,"Provisional",IF(C4&lt;12,"Developing","Established"))</x:f>
        <x:v>Established</x:v>
      </x:c>
    </x:row>
    <x:row r="5">
      <x:c r="A5" s="139" t="n">
        <x:f>RANK.EQ(T5,$T$2:$T$21,0)</x:f>
        <x:v>13</x:v>
      </x:c>
      <x:c r="B5" s="139" t="str">
        <x:f>'Advanced Analytics'!A5</x:f>
        <x:v>David</x:v>
      </x:c>
      <x:c r="C5" s="139" t="n">
        <x:f>'Advanced Analytics'!B5</x:f>
        <x:v>12</x:v>
      </x:c>
      <x:c r="D5" s="139" t="n">
        <x:f>ROUND(F5*C5,0)</x:f>
        <x:v>5</x:v>
      </x:c>
      <x:c r="E5" s="139" t="n">
        <x:f>C5-D5</x:f>
        <x:v>7</x:v>
      </x:c>
      <x:c r="F5" s="93" t="n">
        <x:f>'Advanced Analytics'!C5</x:f>
        <x:v>0.4166666666666667</x:v>
      </x:c>
      <x:c r="G5" s="93" t="n">
        <x:f>(D5+'Rating Settings'!$B$4*'Rating Settings'!$B$5)/(C5+'Rating Settings'!$B$4)</x:f>
        <x:v>0.45</x:v>
      </x:c>
      <x:c r="H5" s="95" t="n">
        <x:f>G5*100</x:f>
        <x:v>45</x:v>
      </x:c>
      <x:c r="I5" s="95" t="n">
        <x:f>'Advanced Analytics'!Z5</x:f>
        <x:v>21.99745547073792</x:v>
      </x:c>
      <x:c r="J5" s="93" t="n">
        <x:f>'Advanced Analytics'!G5</x:f>
        <x:v>-0.04854052139543952</x:v>
      </x:c>
      <x:c r="K5" s="95" t="n">
        <x:f>IF(MAX($J$2:$J$21)=MIN($J$2:$J$21),50,(J5-MIN($J$2:$J$21))/(MAX($J$2:$J$21)-MIN($J$2:$J$21))*100)</x:f>
        <x:v>40.26462444343616</x:v>
      </x:c>
      <x:c r="L5" s="95" t="n">
        <x:f>'Advanced Analytics'!D5</x:f>
        <x:v>0.5258047508047509</x:v>
      </x:c>
      <x:c r="M5" s="95" t="n">
        <x:f>IF(MAX($L$2:$L$21)=MIN($L$2:$L$21),50,(L5-MIN($L$2:$L$21))/(MAX($L$2:$L$21)-MIN($L$2:$L$21))*100)</x:f>
        <x:v>73.21824088202</x:v>
      </x:c>
      <x:c r="N5" s="95" t="n">
        <x:f>'Advanced Analytics'!AB5</x:f>
        <x:v>39.23089593949447</x:v>
      </x:c>
      <x:c r="O5" s="95" t="n">
        <x:f>'Advanced Analytics'!K5</x:f>
        <x:v>61.11111111111111</x:v>
      </x:c>
      <x:c r="P5" s="95" t="n">
        <x:f>'Advanced Analytics'!AC5</x:f>
        <x:v>40.83333333333333</x:v>
      </x:c>
      <x:c r="Q5" s="95" t="n">
        <x:f>'Advanced Analytics'!Q5*100</x:f>
        <x:v>40</x:v>
      </x:c>
      <x:c r="R5" s="95" t="n">
        <x:f>H5*'Rating Settings'!$B$14+I5*'Rating Settings'!$B$15+K5*'Rating Settings'!$B$16+M5*'Rating Settings'!$B$17+N5*'Rating Settings'!$B$18+O5*'Rating Settings'!$B$19+P5*'Rating Settings'!$B$20+Q5*'Rating Settings'!$B$21</x:f>
        <x:v>42.28132066503668</x:v>
      </x:c>
      <x:c r="S5" s="95" t="n">
        <x:f>'Rating Settings'!$B$6+'Rating Settings'!$B$7*(C5/(C5+'Rating Settings'!$B$4))</x:f>
        <x:v>0.86</x:v>
      </x:c>
      <x:c r="T5" s="95" t="n">
        <x:f>50+(R5-50)*S5</x:f>
        <x:v>43.36193577193154</x:v>
      </x:c>
      <x:c r="U5" s="139" t="str">
        <x:f>IF(T5&gt;='Rating Settings'!$B$8,"Elite",IF(T5&gt;='Rating Settings'!$B$9,"A",IF(T5&gt;='Rating Settings'!$B$10,"B",IF(T5&gt;='Rating Settings'!$B$11,"C","D"))))</x:f>
        <x:v>D</x:v>
      </x:c>
      <x:c r="V5" s="95" t="n">
        <x:f>T5-50</x:f>
        <x:v>-6.638064228068458</x:v>
      </x:c>
      <x:c r="W5" s="139" t="str">
        <x:f>IF(C5&lt;6,"Provisional",IF(C5&lt;12,"Developing","Established"))</x:f>
        <x:v>Established</x:v>
      </x:c>
    </x:row>
    <x:row r="6">
      <x:c r="A6" s="139" t="n">
        <x:f>RANK.EQ(T6,$T$2:$T$21,0)</x:f>
        <x:v>14</x:v>
      </x:c>
      <x:c r="B6" s="139" t="str">
        <x:f>'Advanced Analytics'!A6</x:f>
        <x:v>Donny</x:v>
      </x:c>
      <x:c r="C6" s="139" t="n">
        <x:f>'Advanced Analytics'!B6</x:f>
        <x:v>11</x:v>
      </x:c>
      <x:c r="D6" s="139" t="n">
        <x:f>ROUND(F6*C6,0)</x:f>
        <x:v>4</x:v>
      </x:c>
      <x:c r="E6" s="139" t="n">
        <x:f>C6-D6</x:f>
        <x:v>7</x:v>
      </x:c>
      <x:c r="F6" s="93" t="n">
        <x:f>'Advanced Analytics'!C6</x:f>
        <x:v>0.3636363636363636</x:v>
      </x:c>
      <x:c r="G6" s="93" t="n">
        <x:f>(D6+'Rating Settings'!$B$4*'Rating Settings'!$B$5)/(C6+'Rating Settings'!$B$4)</x:f>
        <x:v>0.42105263157894735</x:v>
      </x:c>
      <x:c r="H6" s="95" t="n">
        <x:f>G6*100</x:f>
        <x:v>42.10526315789473</x:v>
      </x:c>
      <x:c r="I6" s="95" t="n">
        <x:f>'Advanced Analytics'!Z6</x:f>
        <x:v>25.89174184594032</x:v>
      </x:c>
      <x:c r="J6" s="93" t="n">
        <x:f>'Advanced Analytics'!G6</x:f>
        <x:v>-0.09132077991000453</x:v>
      </x:c>
      <x:c r="K6" s="95" t="n">
        <x:f>IF(MAX($J$2:$J$21)=MIN($J$2:$J$21),50,(J6-MIN($J$2:$J$21))/(MAX($J$2:$J$21)-MIN($J$2:$J$21))*100)</x:f>
        <x:v>34.21625885807963</x:v>
      </x:c>
      <x:c r="L6" s="95" t="n">
        <x:f>'Advanced Analytics'!D6</x:f>
        <x:v>0.5334748584748584</x:v>
      </x:c>
      <x:c r="M6" s="95" t="n">
        <x:f>IF(MAX($L$2:$L$21)=MIN($L$2:$L$21),50,(L6-MIN($L$2:$L$21))/(MAX($L$2:$L$21)-MIN($L$2:$L$21))*100)</x:f>
        <x:v>76.619333563026</x:v>
      </x:c>
      <x:c r="N6" s="95" t="n">
        <x:f>'Advanced Analytics'!AB6</x:f>
        <x:v>45.44591959880753</x:v>
      </x:c>
      <x:c r="O6" s="95" t="n">
        <x:f>'Advanced Analytics'!K6</x:f>
        <x:v>38.88888888888889</x:v>
      </x:c>
      <x:c r="P6" s="95" t="n">
        <x:f>'Advanced Analytics'!AC6</x:f>
        <x:v>46.33333333333334</x:v>
      </x:c>
      <x:c r="Q6" s="95" t="n">
        <x:f>'Advanced Analytics'!Q6*100</x:f>
        <x:v>40</x:v>
      </x:c>
      <x:c r="R6" s="95" t="n">
        <x:f>H6*'Rating Settings'!$B$14+I6*'Rating Settings'!$B$15+K6*'Rating Settings'!$B$16+M6*'Rating Settings'!$B$17+N6*'Rating Settings'!$B$18+O6*'Rating Settings'!$B$19+P6*'Rating Settings'!$B$20+Q6*'Rating Settings'!$B$21</x:f>
        <x:v>41.410002572562895</x:v>
      </x:c>
      <x:c r="S6" s="95" t="n">
        <x:f>'Rating Settings'!$B$6+'Rating Settings'!$B$7*(C6/(C6+'Rating Settings'!$B$4))</x:f>
        <x:v>0.8526315789473684</x:v>
      </x:c>
      <x:c r="T6" s="95" t="n">
        <x:f>50+(R6-50)*S6</x:f>
        <x:v>42.67589693029047</x:v>
      </x:c>
      <x:c r="U6" s="139" t="str">
        <x:f>IF(T6&gt;='Rating Settings'!$B$8,"Elite",IF(T6&gt;='Rating Settings'!$B$9,"A",IF(T6&gt;='Rating Settings'!$B$10,"B",IF(T6&gt;='Rating Settings'!$B$11,"C","D"))))</x:f>
        <x:v>D</x:v>
      </x:c>
      <x:c r="V6" s="95" t="n">
        <x:f>T6-50</x:f>
        <x:v>-7.32410306970953</x:v>
      </x:c>
      <x:c r="W6" s="139" t="str">
        <x:f>IF(C6&lt;6,"Provisional",IF(C6&lt;12,"Developing","Established"))</x:f>
        <x:v>Developing</x:v>
      </x:c>
    </x:row>
    <x:row r="7">
      <x:c r="A7" s="139" t="n">
        <x:f>RANK.EQ(T7,$T$2:$T$21,0)</x:f>
        <x:v>10</x:v>
      </x:c>
      <x:c r="B7" s="139" t="str">
        <x:f>'Advanced Analytics'!A7</x:f>
        <x:v>Edy SP</x:v>
      </x:c>
      <x:c r="C7" s="139" t="n">
        <x:f>'Advanced Analytics'!B7</x:f>
        <x:v>30</x:v>
      </x:c>
      <x:c r="D7" s="139" t="n">
        <x:f>ROUND(F7*C7,0)</x:f>
        <x:v>14</x:v>
      </x:c>
      <x:c r="E7" s="139" t="n">
        <x:f>C7-D7</x:f>
        <x:v>16</x:v>
      </x:c>
      <x:c r="F7" s="93" t="n">
        <x:f>'Advanced Analytics'!C7</x:f>
        <x:v>0.4666666666666667</x:v>
      </x:c>
      <x:c r="G7" s="93" t="n">
        <x:f>(D7+'Rating Settings'!$B$4*'Rating Settings'!$B$5)/(C7+'Rating Settings'!$B$4)</x:f>
        <x:v>0.47368421052631576</x:v>
      </x:c>
      <x:c r="H7" s="95" t="n">
        <x:f>G7*100</x:f>
        <x:v>47.368421052631575</x:v>
      </x:c>
      <x:c r="I7" s="95" t="n">
        <x:f>'Advanced Analytics'!Z7</x:f>
        <x:v>41.5470737913486</x:v>
      </x:c>
      <x:c r="J7" s="93" t="n">
        <x:f>'Advanced Analytics'!G7</x:f>
        <x:v>-0.03809182916933429</x:v>
      </x:c>
      <x:c r="K7" s="95" t="n">
        <x:f>IF(MAX($J$2:$J$21)=MIN($J$2:$J$21),50,(J7-MIN($J$2:$J$21))/(MAX($J$2:$J$21)-MIN($J$2:$J$21))*100)</x:f>
        <x:v>41.74188317600883</x:v>
      </x:c>
      <x:c r="L7" s="95" t="n">
        <x:f>'Advanced Analytics'!D7</x:f>
        <x:v>0.4956038406038406</x:v>
      </x:c>
      <x:c r="M7" s="95" t="n">
        <x:f>IF(MAX($L$2:$L$21)=MIN($L$2:$L$21),50,(L7-MIN($L$2:$L$21))/(MAX($L$2:$L$21)-MIN($L$2:$L$21))*100)</x:f>
        <x:v>59.82649997539006</x:v>
      </x:c>
      <x:c r="N7" s="95" t="n">
        <x:f>'Advanced Analytics'!AB7</x:f>
        <x:v>19.30395302445127</x:v>
      </x:c>
      <x:c r="O7" s="95" t="n">
        <x:f>'Advanced Analytics'!K7</x:f>
        <x:v>37.5</x:v>
      </x:c>
      <x:c r="P7" s="95" t="n">
        <x:f>'Advanced Analytics'!AC7</x:f>
        <x:v>100</x:v>
      </x:c>
      <x:c r="Q7" s="95" t="n">
        <x:f>'Advanced Analytics'!Q7*100</x:f>
        <x:v>40</x:v>
      </x:c>
      <x:c r="R7" s="95" t="n">
        <x:f>H7*'Rating Settings'!$B$14+I7*'Rating Settings'!$B$15+K7*'Rating Settings'!$B$16+M7*'Rating Settings'!$B$17+N7*'Rating Settings'!$B$18+O7*'Rating Settings'!$B$19+P7*'Rating Settings'!$B$20+Q7*'Rating Settings'!$B$21</x:f>
        <x:v>45.56926885044465</x:v>
      </x:c>
      <x:c r="S7" s="95" t="n">
        <x:f>'Rating Settings'!$B$6+'Rating Settings'!$B$7*(C7/(C7+'Rating Settings'!$B$4))</x:f>
        <x:v>0.9263157894736842</x:v>
      </x:c>
      <x:c r="T7" s="95" t="n">
        <x:f>50+(R7-50)*S7</x:f>
        <x:v>45.89574377725399</x:v>
      </x:c>
      <x:c r="U7" s="139" t="str">
        <x:f>IF(T7&gt;='Rating Settings'!$B$8,"Elite",IF(T7&gt;='Rating Settings'!$B$9,"A",IF(T7&gt;='Rating Settings'!$B$10,"B",IF(T7&gt;='Rating Settings'!$B$11,"C","D"))))</x:f>
        <x:v>C</x:v>
      </x:c>
      <x:c r="V7" s="95" t="n">
        <x:f>T7-50</x:f>
        <x:v>-4.1042562227460095</x:v>
      </x:c>
      <x:c r="W7" s="139" t="str">
        <x:f>IF(C7&lt;6,"Provisional",IF(C7&lt;12,"Developing","Established"))</x:f>
        <x:v>Established</x:v>
      </x:c>
    </x:row>
    <x:row r="8">
      <x:c r="A8" s="139" t="n">
        <x:f>RANK.EQ(T8,$T$2:$T$21,0)</x:f>
        <x:v>18</x:v>
      </x:c>
      <x:c r="B8" s="139" t="str">
        <x:f>'Advanced Analytics'!A8</x:f>
        <x:v>Hansen</x:v>
      </x:c>
      <x:c r="C8" s="139" t="n">
        <x:f>'Advanced Analytics'!B8</x:f>
        <x:v>6</x:v>
      </x:c>
      <x:c r="D8" s="139" t="n">
        <x:f>ROUND(F8*C8,0)</x:f>
        <x:v>0</x:v>
      </x:c>
      <x:c r="E8" s="139" t="n">
        <x:f>C8-D8</x:f>
        <x:v>6</x:v>
      </x:c>
      <x:c r="F8" s="93" t="n">
        <x:f>'Advanced Analytics'!C8</x:f>
        <x:v>0</x:v>
      </x:c>
      <x:c r="G8" s="93" t="n">
        <x:f>(D8+'Rating Settings'!$B$4*'Rating Settings'!$B$5)/(C8+'Rating Settings'!$B$4)</x:f>
        <x:v>0.2857142857142857</x:v>
      </x:c>
      <x:c r="H8" s="95" t="n">
        <x:f>G8*100</x:f>
        <x:v>28.57142857142857</x:v>
      </x:c>
      <x:c r="I8" s="95" t="n">
        <x:f>'Advanced Analytics'!Z8</x:f>
        <x:v>0</x:v>
      </x:c>
      <x:c r="J8" s="93" t="n">
        <x:f>'Advanced Analytics'!G8</x:f>
        <x:v>-0.3333333333333333</x:v>
      </x:c>
      <x:c r="K8" s="95" t="n">
        <x:f>IF(MAX($J$2:$J$21)=MIN($J$2:$J$21),50,(J8-MIN($J$2:$J$21))/(MAX($J$2:$J$21)-MIN($J$2:$J$21))*100)</x:f>
        <x:v>0</x:v>
      </x:c>
      <x:c r="L8" s="95" t="n">
        <x:f>'Advanced Analytics'!D8</x:f>
        <x:v>0.582905982905983</x:v>
      </x:c>
      <x:c r="M8" s="95" t="n">
        <x:f>IF(MAX($L$2:$L$21)=MIN($L$2:$L$21),50,(L8-MIN($L$2:$L$21))/(MAX($L$2:$L$21)-MIN($L$2:$L$21))*100)</x:f>
        <x:v>98.53817000541419</x:v>
      </x:c>
      <x:c r="N8" s="95" t="n">
        <x:f>'Advanced Analytics'!AB8</x:f>
        <x:v>100</x:v>
      </x:c>
      <x:c r="O8" s="95" t="n">
        <x:f>'Advanced Analytics'!K8</x:f>
        <x:v>50</x:v>
      </x:c>
      <x:c r="P8" s="95" t="n">
        <x:f>'Advanced Analytics'!AC8</x:f>
        <x:v>0</x:v>
      </x:c>
      <x:c r="Q8" s="95" t="n">
        <x:f>'Advanced Analytics'!Q8*100</x:f>
        <x:v>0</x:v>
      </x:c>
      <x:c r="R8" s="95" t="n">
        <x:f>H8*'Rating Settings'!$B$14+I8*'Rating Settings'!$B$15+K8*'Rating Settings'!$B$16+M8*'Rating Settings'!$B$17+N8*'Rating Settings'!$B$18+O8*'Rating Settings'!$B$19+P8*'Rating Settings'!$B$20+Q8*'Rating Settings'!$B$21</x:f>
        <x:v>30.925245571969988</x:v>
      </x:c>
      <x:c r="S8" s="95" t="n">
        <x:f>'Rating Settings'!$B$6+'Rating Settings'!$B$7*(C8/(C8+'Rating Settings'!$B$4))</x:f>
        <x:v>0.8</x:v>
      </x:c>
      <x:c r="T8" s="95" t="n">
        <x:f>50+(R8-50)*S8</x:f>
        <x:v>34.74019645757599</x:v>
      </x:c>
      <x:c r="U8" s="139" t="str">
        <x:f>IF(T8&gt;='Rating Settings'!$B$8,"Elite",IF(T8&gt;='Rating Settings'!$B$9,"A",IF(T8&gt;='Rating Settings'!$B$10,"B",IF(T8&gt;='Rating Settings'!$B$11,"C","D"))))</x:f>
        <x:v>D</x:v>
      </x:c>
      <x:c r="V8" s="95" t="n">
        <x:f>T8-50</x:f>
        <x:v>-15.25980354242401</x:v>
      </x:c>
      <x:c r="W8" s="139" t="str">
        <x:f>IF(C8&lt;6,"Provisional",IF(C8&lt;12,"Developing","Established"))</x:f>
        <x:v>Developing</x:v>
      </x:c>
    </x:row>
    <x:row r="9">
      <x:c r="A9" s="139" t="n">
        <x:f>RANK.EQ(T9,$T$2:$T$21,0)</x:f>
        <x:v>7</x:v>
      </x:c>
      <x:c r="B9" s="139" t="str">
        <x:f>'Advanced Analytics'!A9</x:f>
        <x:v>Jonathan</x:v>
      </x:c>
      <x:c r="C9" s="139" t="n">
        <x:f>'Advanced Analytics'!B9</x:f>
        <x:v>6</x:v>
      </x:c>
      <x:c r="D9" s="139" t="n">
        <x:f>ROUND(F9*C9,0)</x:f>
        <x:v>4</x:v>
      </x:c>
      <x:c r="E9" s="139" t="n">
        <x:f>C9-D9</x:f>
        <x:v>2</x:v>
      </x:c>
      <x:c r="F9" s="93" t="n">
        <x:f>'Advanced Analytics'!C9</x:f>
        <x:v>0.6666666666666666</x:v>
      </x:c>
      <x:c r="G9" s="93" t="n">
        <x:f>(D9+'Rating Settings'!$B$4*'Rating Settings'!$B$5)/(C9+'Rating Settings'!$B$4)</x:f>
        <x:v>0.5714285714285714</x:v>
      </x:c>
      <x:c r="H9" s="95" t="n">
        <x:f>G9*100</x:f>
        <x:v>57.14285714285714</x:v>
      </x:c>
      <x:c r="I9" s="95" t="n">
        <x:f>'Advanced Analytics'!Z9</x:f>
        <x:v>56.39949109414758</x:v>
      </x:c>
      <x:c r="J9" s="93" t="n">
        <x:f>'Advanced Analytics'!G9</x:f>
        <x:v>0.106633058980359</x:v>
      </x:c>
      <x:c r="K9" s="95" t="n">
        <x:f>IF(MAX($J$2:$J$21)=MIN($J$2:$J$21),50,(J9-MIN($J$2:$J$21))/(MAX($J$2:$J$21)-MIN($J$2:$J$21))*100)</x:f>
        <x:v>62.20340125054678</x:v>
      </x:c>
      <x:c r="L9" s="95" t="n">
        <x:f>'Advanced Analytics'!D9</x:f>
        <x:v>0.4914751914751915</x:v>
      </x:c>
      <x:c r="M9" s="95" t="n">
        <x:f>IF(MAX($L$2:$L$21)=MIN($L$2:$L$21),50,(L9-MIN($L$2:$L$21))/(MAX($L$2:$L$21)-MIN($L$2:$L$21))*100)</x:f>
        <x:v>57.99576709159816</x:v>
      </x:c>
      <x:c r="N9" s="95" t="n">
        <x:f>'Advanced Analytics'!AB9</x:f>
        <x:v>0</x:v>
      </x:c>
      <x:c r="O9" s="95" t="n">
        <x:f>'Advanced Analytics'!K9</x:f>
        <x:v>75</x:v>
      </x:c>
      <x:c r="P9" s="95" t="n">
        <x:f>'Advanced Analytics'!AC9</x:f>
        <x:v>20.5</x:v>
      </x:c>
      <x:c r="Q9" s="95" t="n">
        <x:f>'Advanced Analytics'!Q9*100</x:f>
        <x:v>80</x:v>
      </x:c>
      <x:c r="R9" s="95" t="n">
        <x:f>H9*'Rating Settings'!$B$14+I9*'Rating Settings'!$B$15+K9*'Rating Settings'!$B$16+M9*'Rating Settings'!$B$17+N9*'Rating Settings'!$B$18+O9*'Rating Settings'!$B$19+P9*'Rating Settings'!$B$20+Q9*'Rating Settings'!$B$21</x:f>
        <x:v>52.32784225842849</x:v>
      </x:c>
      <x:c r="S9" s="95" t="n">
        <x:f>'Rating Settings'!$B$6+'Rating Settings'!$B$7*(C9/(C9+'Rating Settings'!$B$4))</x:f>
        <x:v>0.8</x:v>
      </x:c>
      <x:c r="T9" s="95" t="n">
        <x:f>50+(R9-50)*S9</x:f>
        <x:v>51.86227380674279</x:v>
      </x:c>
      <x:c r="U9" s="139" t="str">
        <x:f>IF(T9&gt;='Rating Settings'!$B$8,"Elite",IF(T9&gt;='Rating Settings'!$B$9,"A",IF(T9&gt;='Rating Settings'!$B$10,"B",IF(T9&gt;='Rating Settings'!$B$11,"C","D"))))</x:f>
        <x:v>C</x:v>
      </x:c>
      <x:c r="V9" s="95" t="n">
        <x:f>T9-50</x:f>
        <x:v>1.8622738067427917</x:v>
      </x:c>
      <x:c r="W9" s="139" t="str">
        <x:f>IF(C9&lt;6,"Provisional",IF(C9&lt;12,"Developing","Established"))</x:f>
        <x:v>Developing</x:v>
      </x:c>
    </x:row>
    <x:row r="10">
      <x:c r="A10" s="139" t="n">
        <x:f>RANK.EQ(T10,$T$2:$T$21,0)</x:f>
        <x:v>8</x:v>
      </x:c>
      <x:c r="B10" s="139" t="str">
        <x:f>'Advanced Analytics'!A10</x:f>
        <x:v>Kennard</x:v>
      </x:c>
      <x:c r="C10" s="139" t="n">
        <x:f>'Advanced Analytics'!B10</x:f>
        <x:v>13</x:v>
      </x:c>
      <x:c r="D10" s="139" t="n">
        <x:f>ROUND(F10*C10,0)</x:f>
        <x:v>9</x:v>
      </x:c>
      <x:c r="E10" s="139" t="n">
        <x:f>C10-D10</x:f>
        <x:v>4</x:v>
      </x:c>
      <x:c r="F10" s="93" t="n">
        <x:f>'Advanced Analytics'!C10</x:f>
        <x:v>0.6923076923076923</x:v>
      </x:c>
      <x:c r="G10" s="93" t="n">
        <x:f>(D10+'Rating Settings'!$B$4*'Rating Settings'!$B$5)/(C10+'Rating Settings'!$B$4)</x:f>
        <x:v>0.6190476190476191</x:v>
      </x:c>
      <x:c r="H10" s="95" t="n">
        <x:f>G10*100</x:f>
        <x:v>61.904761904761905</x:v>
      </x:c>
      <x:c r="I10" s="95" t="n">
        <x:f>'Advanced Analytics'!Z10</x:f>
        <x:v>40.07633587786259</x:v>
      </x:c>
      <x:c r="J10" s="93" t="n">
        <x:f>'Advanced Analytics'!G10</x:f>
        <x:v>0.13758329749119</x:v>
      </x:c>
      <x:c r="K10" s="95" t="n">
        <x:f>IF(MAX($J$2:$J$21)=MIN($J$2:$J$21),50,(J10-MIN($J$2:$J$21))/(MAX($J$2:$J$21)-MIN($J$2:$J$21))*100)</x:f>
        <x:v>66.57921299099601</x:v>
      </x:c>
      <x:c r="L10" s="95" t="n">
        <x:f>'Advanced Analytics'!D10</x:f>
        <x:v>0.4741053817976895</x:v>
      </x:c>
      <x:c r="M10" s="95" t="n">
        <x:f>IF(MAX($L$2:$L$21)=MIN($L$2:$L$21),50,(L10-MIN($L$2:$L$21))/(MAX($L$2:$L$21)-MIN($L$2:$L$21))*100)</x:f>
        <x:v>50.293615426262974</x:v>
      </x:c>
      <x:c r="N10" s="95" t="n">
        <x:f>'Advanced Analytics'!AB10</x:f>
        <x:v>6.639888760720396</x:v>
      </x:c>
      <x:c r="O10" s="95" t="n">
        <x:f>'Advanced Analytics'!K10</x:f>
        <x:v>70</x:v>
      </x:c>
      <x:c r="P10" s="95" t="n">
        <x:f>'Advanced Analytics'!AC10</x:f>
        <x:v>51.33333333333334</x:v>
      </x:c>
      <x:c r="Q10" s="95" t="n">
        <x:f>'Advanced Analytics'!Q10*100</x:f>
        <x:v>40</x:v>
      </x:c>
      <x:c r="R10" s="95" t="n">
        <x:f>H10*'Rating Settings'!$B$14+I10*'Rating Settings'!$B$15+K10*'Rating Settings'!$B$16+M10*'Rating Settings'!$B$17+N10*'Rating Settings'!$B$18+O10*'Rating Settings'!$B$19+P10*'Rating Settings'!$B$20+Q10*'Rating Settings'!$B$21</x:f>
        <x:v>50.33359478101549</x:v>
      </x:c>
      <x:c r="S10" s="95" t="n">
        <x:f>'Rating Settings'!$B$6+'Rating Settings'!$B$7*(C10/(C10+'Rating Settings'!$B$4))</x:f>
        <x:v>0.8666666666666667</x:v>
      </x:c>
      <x:c r="T10" s="95" t="n">
        <x:f>50+(R10-50)*S10</x:f>
        <x:v>50.28911547688009</x:v>
      </x:c>
      <x:c r="U10" s="139" t="str">
        <x:f>IF(T10&gt;='Rating Settings'!$B$8,"Elite",IF(T10&gt;='Rating Settings'!$B$9,"A",IF(T10&gt;='Rating Settings'!$B$10,"B",IF(T10&gt;='Rating Settings'!$B$11,"C","D"))))</x:f>
        <x:v>C</x:v>
      </x:c>
      <x:c r="V10" s="95" t="n">
        <x:f>T10-50</x:f>
        <x:v>0.28911547688009165</x:v>
      </x:c>
      <x:c r="W10" s="139" t="str">
        <x:f>IF(C10&lt;6,"Provisional",IF(C10&lt;12,"Developing","Established"))</x:f>
        <x:v>Established</x:v>
      </x:c>
    </x:row>
    <x:row r="11">
      <x:c r="A11" s="139" t="n">
        <x:f>RANK.EQ(T11,$T$2:$T$21,0)</x:f>
        <x:v>11</x:v>
      </x:c>
      <x:c r="B11" s="139" t="str">
        <x:f>'Advanced Analytics'!A11</x:f>
        <x:v>Michael</x:v>
      </x:c>
      <x:c r="C11" s="139" t="n">
        <x:f>'Advanced Analytics'!B11</x:f>
        <x:v>13</x:v>
      </x:c>
      <x:c r="D11" s="139" t="n">
        <x:f>ROUND(F11*C11,0)</x:f>
        <x:v>6</x:v>
      </x:c>
      <x:c r="E11" s="139" t="n">
        <x:f>C11-D11</x:f>
        <x:v>7</x:v>
      </x:c>
      <x:c r="F11" s="93" t="n">
        <x:f>'Advanced Analytics'!C11</x:f>
        <x:v>0.4615384615384616</x:v>
      </x:c>
      <x:c r="G11" s="93" t="n">
        <x:f>(D11+'Rating Settings'!$B$4*'Rating Settings'!$B$5)/(C11+'Rating Settings'!$B$4)</x:f>
        <x:v>0.47619047619047616</x:v>
      </x:c>
      <x:c r="H11" s="95" t="n">
        <x:f>G11*100</x:f>
        <x:v>47.61904761904761</x:v>
      </x:c>
      <x:c r="I11" s="95" t="n">
        <x:f>'Advanced Analytics'!Z11</x:f>
        <x:v>42.59541984732824</x:v>
      </x:c>
      <x:c r="J11" s="93" t="n">
        <x:f>'Advanced Analytics'!G11</x:f>
        <x:v>-0.04082760420391585</x:v>
      </x:c>
      <x:c r="K11" s="95" t="n">
        <x:f>IF(MAX($J$2:$J$21)=MIN($J$2:$J$21),50,(J11-MIN($J$2:$J$21))/(MAX($J$2:$J$21)-MIN($J$2:$J$21))*100)</x:f>
        <x:v>41.35509337755992</x:v>
      </x:c>
      <x:c r="L11" s="95" t="n">
        <x:f>'Advanced Analytics'!D11</x:f>
        <x:v>0.4990419836573683</x:v>
      </x:c>
      <x:c r="M11" s="95" t="n">
        <x:f>IF(MAX($L$2:$L$21)=MIN($L$2:$L$21),50,(L11-MIN($L$2:$L$21))/(MAX($L$2:$L$21)-MIN($L$2:$L$21))*100)</x:f>
        <x:v>61.351047436591564</x:v>
      </x:c>
      <x:c r="N11" s="95" t="n">
        <x:f>'Advanced Analytics'!AB11</x:f>
        <x:v>19.30962877855592</x:v>
      </x:c>
      <x:c r="O11" s="95" t="n">
        <x:f>'Advanced Analytics'!K11</x:f>
        <x:v>50</x:v>
      </x:c>
      <x:c r="P11" s="95" t="n">
        <x:f>'Advanced Analytics'!AC11</x:f>
        <x:v>48.66666666666667</x:v>
      </x:c>
      <x:c r="Q11" s="95" t="n">
        <x:f>'Advanced Analytics'!Q11*100</x:f>
        <x:v>60</x:v>
      </x:c>
      <x:c r="R11" s="95" t="n">
        <x:f>H11*'Rating Settings'!$B$14+I11*'Rating Settings'!$B$15+K11*'Rating Settings'!$B$16+M11*'Rating Settings'!$B$17+N11*'Rating Settings'!$B$18+O11*'Rating Settings'!$B$19+P11*'Rating Settings'!$B$20+Q11*'Rating Settings'!$B$21</x:f>
        <x:v>45.007463216662</x:v>
      </x:c>
      <x:c r="S11" s="95" t="n">
        <x:f>'Rating Settings'!$B$6+'Rating Settings'!$B$7*(C11/(C11+'Rating Settings'!$B$4))</x:f>
        <x:v>0.8666666666666667</x:v>
      </x:c>
      <x:c r="T11" s="95" t="n">
        <x:f>50+(R11-50)*S11</x:f>
        <x:v>45.67313478777373</x:v>
      </x:c>
      <x:c r="U11" s="139" t="str">
        <x:f>IF(T11&gt;='Rating Settings'!$B$8,"Elite",IF(T11&gt;='Rating Settings'!$B$9,"A",IF(T11&gt;='Rating Settings'!$B$10,"B",IF(T11&gt;='Rating Settings'!$B$11,"C","D"))))</x:f>
        <x:v>C</x:v>
      </x:c>
      <x:c r="V11" s="95" t="n">
        <x:f>T11-50</x:f>
        <x:v>-4.3268652122262665</x:v>
      </x:c>
      <x:c r="W11" s="139" t="str">
        <x:f>IF(C11&lt;6,"Provisional",IF(C11&lt;12,"Developing","Established"))</x:f>
        <x:v>Established</x:v>
      </x:c>
    </x:row>
    <x:row r="12">
      <x:c r="A12" s="139" t="n">
        <x:f>RANK.EQ(T12,$T$2:$T$21,0)</x:f>
        <x:v>12</x:v>
      </x:c>
      <x:c r="B12" s="139" t="str">
        <x:f>'Advanced Analytics'!A12</x:f>
        <x:v>Nicholas</x:v>
      </x:c>
      <x:c r="C12" s="139" t="n">
        <x:f>'Advanced Analytics'!B12</x:f>
        <x:v>7</x:v>
      </x:c>
      <x:c r="D12" s="139" t="n">
        <x:f>ROUND(F12*C12,0)</x:f>
        <x:v>3</x:v>
      </x:c>
      <x:c r="E12" s="139" t="n">
        <x:f>C12-D12</x:f>
        <x:v>4</x:v>
      </x:c>
      <x:c r="F12" s="93" t="n">
        <x:f>'Advanced Analytics'!C12</x:f>
        <x:v>0.4285714285714285</x:v>
      </x:c>
      <x:c r="G12" s="93" t="n">
        <x:f>(D12+'Rating Settings'!$B$4*'Rating Settings'!$B$5)/(C12+'Rating Settings'!$B$4)</x:f>
        <x:v>0.4666666666666667</x:v>
      </x:c>
      <x:c r="H12" s="95" t="n">
        <x:f>G12*100</x:f>
        <x:v>46.666666666666664</x:v>
      </x:c>
      <x:c r="I12" s="95" t="n">
        <x:f>'Advanced Analytics'!Z12</x:f>
        <x:v>28.77862595419847</x:v>
      </x:c>
      <x:c r="J12" s="93" t="n">
        <x:f>'Advanced Analytics'!G12</x:f>
        <x:v>-0.04382493298941131</x:v>
      </x:c>
      <x:c r="K12" s="95" t="n">
        <x:f>IF(MAX($J$2:$J$21)=MIN($J$2:$J$21),50,(J12-MIN($J$2:$J$21))/(MAX($J$2:$J$21)-MIN($J$2:$J$21))*100)</x:f>
        <x:v>40.93132454343712</x:v>
      </x:c>
      <x:c r="L12" s="95" t="n">
        <x:f>'Advanced Analytics'!D12</x:f>
        <x:v>0.5368512439941011</x:v>
      </x:c>
      <x:c r="M12" s="95" t="n">
        <x:f>IF(MAX($L$2:$L$21)=MIN($L$2:$L$21),50,(L12-MIN($L$2:$L$21))/(MAX($L$2:$L$21)-MIN($L$2:$L$21))*100)</x:f>
        <x:v>78.1164963893713</x:v>
      </x:c>
      <x:c r="N12" s="95" t="n">
        <x:f>'Advanced Analytics'!AB12</x:f>
        <x:v>47.09650160189037</x:v>
      </x:c>
      <x:c r="O12" s="95" t="n">
        <x:f>'Advanced Analytics'!K12</x:f>
        <x:v>50</x:v>
      </x:c>
      <x:c r="P12" s="95" t="n">
        <x:f>'Advanced Analytics'!AC12</x:f>
        <x:v>25.66666666666667</x:v>
      </x:c>
      <x:c r="Q12" s="95" t="n">
        <x:f>'Advanced Analytics'!Q12*100</x:f>
        <x:v>40</x:v>
      </x:c>
      <x:c r="R12" s="95" t="n">
        <x:f>H12*'Rating Settings'!$B$14+I12*'Rating Settings'!$B$15+K12*'Rating Settings'!$B$16+M12*'Rating Settings'!$B$17+N12*'Rating Settings'!$B$18+O12*'Rating Settings'!$B$19+P12*'Rating Settings'!$B$20+Q12*'Rating Settings'!$B$21</x:f>
        <x:v>44.20005700481476</x:v>
      </x:c>
      <x:c r="S12" s="95" t="n">
        <x:f>'Rating Settings'!$B$6+'Rating Settings'!$B$7*(C12/(C12+'Rating Settings'!$B$4))</x:f>
        <x:v>0.8133333333333334</x:v>
      </x:c>
      <x:c r="T12" s="95" t="n">
        <x:f>50+(R12-50)*S12</x:f>
        <x:v>45.28271303058267</x:v>
      </x:c>
      <x:c r="U12" s="139" t="str">
        <x:f>IF(T12&gt;='Rating Settings'!$B$8,"Elite",IF(T12&gt;='Rating Settings'!$B$9,"A",IF(T12&gt;='Rating Settings'!$B$10,"B",IF(T12&gt;='Rating Settings'!$B$11,"C","D"))))</x:f>
        <x:v>C</x:v>
      </x:c>
      <x:c r="V12" s="95" t="n">
        <x:f>T12-50</x:f>
        <x:v>-4.71728696941733</x:v>
      </x:c>
      <x:c r="W12" s="139" t="str">
        <x:f>IF(C12&lt;6,"Provisional",IF(C12&lt;12,"Developing","Established"))</x:f>
        <x:v>Developing</x:v>
      </x:c>
    </x:row>
    <x:row r="13">
      <x:c r="A13" s="139" t="n">
        <x:f>RANK.EQ(T13,$T$2:$T$21,0)</x:f>
        <x:v>16</x:v>
      </x:c>
      <x:c r="B13" s="139" t="str">
        <x:f>'Advanced Analytics'!A13</x:f>
        <x:v>Nico</x:v>
      </x:c>
      <x:c r="C13" s="139" t="n">
        <x:f>'Advanced Analytics'!B13</x:f>
        <x:v>6</x:v>
      </x:c>
      <x:c r="D13" s="139" t="n">
        <x:f>ROUND(F13*C13,0)</x:f>
        <x:v>2</x:v>
      </x:c>
      <x:c r="E13" s="139" t="n">
        <x:f>C13-D13</x:f>
        <x:v>4</x:v>
      </x:c>
      <x:c r="F13" s="93" t="n">
        <x:f>'Advanced Analytics'!C13</x:f>
        <x:v>0.3333333333333333</x:v>
      </x:c>
      <x:c r="G13" s="93" t="n">
        <x:f>(D13+'Rating Settings'!$B$4*'Rating Settings'!$B$5)/(C13+'Rating Settings'!$B$4)</x:f>
        <x:v>0.42857142857142855</x:v>
      </x:c>
      <x:c r="H13" s="95" t="n">
        <x:f>G13*100</x:f>
        <x:v>42.857142857142854</x:v>
      </x:c>
      <x:c r="I13" s="95" t="n">
        <x:f>'Advanced Analytics'!Z13</x:f>
        <x:v>23.15521628498727</x:v>
      </x:c>
      <x:c r="J13" s="93" t="n">
        <x:f>'Advanced Analytics'!G13</x:f>
        <x:v>-0.1106371125087048</x:v>
      </x:c>
      <x:c r="K13" s="95" t="n">
        <x:f>IF(MAX($J$2:$J$21)=MIN($J$2:$J$21),50,(J13-MIN($J$2:$J$21))/(MAX($J$2:$J$21)-MIN($J$2:$J$21))*100)</x:f>
        <x:v>31.48527392760048</x:v>
      </x:c>
      <x:c r="L13" s="95" t="n">
        <x:f>'Advanced Analytics'!D13</x:f>
        <x:v>0.5041361416361416</x:v>
      </x:c>
      <x:c r="M13" s="95" t="n">
        <x:f>IF(MAX($L$2:$L$21)=MIN($L$2:$L$21),50,(L13-MIN($L$2:$L$21))/(MAX($L$2:$L$21)-MIN($L$2:$L$21))*100)</x:f>
        <x:v>63.609907958852176</x:v>
      </x:c>
      <x:c r="N13" s="95" t="n">
        <x:f>'Advanced Analytics'!AB13</x:f>
        <x:v>14.75756011290767</x:v>
      </x:c>
      <x:c r="O13" s="95" t="n">
        <x:f>'Advanced Analytics'!K13</x:f>
        <x:v>37.5</x:v>
      </x:c>
      <x:c r="P13" s="95" t="n">
        <x:f>'Advanced Analytics'!AC13</x:f>
        <x:v>20.5</x:v>
      </x:c>
      <x:c r="Q13" s="95" t="n">
        <x:f>'Advanced Analytics'!Q13*100</x:f>
        <x:v>40</x:v>
      </x:c>
      <x:c r="R13" s="95" t="n">
        <x:f>H13*'Rating Settings'!$B$14+I13*'Rating Settings'!$B$15+K13*'Rating Settings'!$B$16+M13*'Rating Settings'!$B$17+N13*'Rating Settings'!$B$18+O13*'Rating Settings'!$B$19+P13*'Rating Settings'!$B$20+Q13*'Rating Settings'!$B$21</x:f>
        <x:v>34.94772401045636</x:v>
      </x:c>
      <x:c r="S13" s="95" t="n">
        <x:f>'Rating Settings'!$B$6+'Rating Settings'!$B$7*(C13/(C13+'Rating Settings'!$B$4))</x:f>
        <x:v>0.8</x:v>
      </x:c>
      <x:c r="T13" s="95" t="n">
        <x:f>50+(R13-50)*S13</x:f>
        <x:v>37.95817920836509</x:v>
      </x:c>
      <x:c r="U13" s="139" t="str">
        <x:f>IF(T13&gt;='Rating Settings'!$B$8,"Elite",IF(T13&gt;='Rating Settings'!$B$9,"A",IF(T13&gt;='Rating Settings'!$B$10,"B",IF(T13&gt;='Rating Settings'!$B$11,"C","D"))))</x:f>
        <x:v>D</x:v>
      </x:c>
      <x:c r="V13" s="95" t="n">
        <x:f>T13-50</x:f>
        <x:v>-12.041820791634912</x:v>
      </x:c>
      <x:c r="W13" s="139" t="str">
        <x:f>IF(C13&lt;6,"Provisional",IF(C13&lt;12,"Developing","Established"))</x:f>
        <x:v>Developing</x:v>
      </x:c>
    </x:row>
    <x:row r="14">
      <x:c r="A14" s="139" t="n">
        <x:f>RANK.EQ(T14,$T$2:$T$21,0)</x:f>
        <x:v>4</x:v>
      </x:c>
      <x:c r="B14" s="139" t="str">
        <x:f>'Advanced Analytics'!A14</x:f>
        <x:v>Rey</x:v>
      </x:c>
      <x:c r="C14" s="139" t="n">
        <x:f>'Advanced Analytics'!B14</x:f>
        <x:v>7</x:v>
      </x:c>
      <x:c r="D14" s="139" t="n">
        <x:f>ROUND(F14*C14,0)</x:f>
        <x:v>5</x:v>
      </x:c>
      <x:c r="E14" s="139" t="n">
        <x:f>C14-D14</x:f>
        <x:v>2</x:v>
      </x:c>
      <x:c r="F14" s="93" t="n">
        <x:f>'Advanced Analytics'!C14</x:f>
        <x:v>0.7142857142857143</x:v>
      </x:c>
      <x:c r="G14" s="93" t="n">
        <x:f>(D14+'Rating Settings'!$B$4*'Rating Settings'!$B$5)/(C14+'Rating Settings'!$B$4)</x:f>
        <x:v>0.6</x:v>
      </x:c>
      <x:c r="H14" s="95" t="n">
        <x:f>G14*100</x:f>
        <x:v>60</x:v>
      </x:c>
      <x:c r="I14" s="95" t="n">
        <x:f>'Advanced Analytics'!Z14</x:f>
        <x:v>73.1515812431843</x:v>
      </x:c>
      <x:c r="J14" s="93" t="n">
        <x:f>'Advanced Analytics'!G14</x:f>
        <x:v>0.1678573669329859</x:v>
      </x:c>
      <x:c r="K14" s="95" t="n">
        <x:f>IF(MAX($J$2:$J$21)=MIN($J$2:$J$21),50,(J14-MIN($J$2:$J$21))/(MAX($J$2:$J$21)-MIN($J$2:$J$21))*100)</x:f>
        <x:v>70.85942648428546</x:v>
      </x:c>
      <x:c r="L14" s="95" t="n">
        <x:f>'Advanced Analytics'!D14</x:f>
        <x:v>0.493563579277865</x:v>
      </x:c>
      <x:c r="M14" s="95" t="n">
        <x:f>IF(MAX($L$2:$L$21)=MIN($L$2:$L$21),50,(L14-MIN($L$2:$L$21))/(MAX($L$2:$L$21)-MIN($L$2:$L$21))*100)</x:f>
        <x:v>58.921803697115</x:v>
      </x:c>
      <x:c r="N14" s="95" t="n">
        <x:f>'Advanced Analytics'!AB14</x:f>
        <x:v>47.09650160189037</x:v>
      </x:c>
      <x:c r="O14" s="95" t="n">
        <x:f>'Advanced Analytics'!K14</x:f>
        <x:v>50</x:v>
      </x:c>
      <x:c r="P14" s="95" t="n">
        <x:f>'Advanced Analytics'!AC14</x:f>
        <x:v>23.16666666666667</x:v>
      </x:c>
      <x:c r="Q14" s="95" t="n">
        <x:f>'Advanced Analytics'!Q14*100</x:f>
        <x:v>80</x:v>
      </x:c>
      <x:c r="R14" s="95" t="n">
        <x:f>H14*'Rating Settings'!$B$14+I14*'Rating Settings'!$B$15+K14*'Rating Settings'!$B$16+M14*'Rating Settings'!$B$17+N14*'Rating Settings'!$B$18+O14*'Rating Settings'!$B$19+P14*'Rating Settings'!$B$20+Q14*'Rating Settings'!$B$21</x:f>
        <x:v>61.51939408451354</x:v>
      </x:c>
      <x:c r="S14" s="95" t="n">
        <x:f>'Rating Settings'!$B$6+'Rating Settings'!$B$7*(C14/(C14+'Rating Settings'!$B$4))</x:f>
        <x:v>0.8133333333333334</x:v>
      </x:c>
      <x:c r="T14" s="95" t="n">
        <x:f>50+(R14-50)*S14</x:f>
        <x:v>59.36910718873768</x:v>
      </x:c>
      <x:c r="U14" s="139" t="str">
        <x:f>IF(T14&gt;='Rating Settings'!$B$8,"Elite",IF(T14&gt;='Rating Settings'!$B$9,"A",IF(T14&gt;='Rating Settings'!$B$10,"B",IF(T14&gt;='Rating Settings'!$B$11,"C","D"))))</x:f>
        <x:v>B</x:v>
      </x:c>
      <x:c r="V14" s="95" t="n">
        <x:f>T14-50</x:f>
        <x:v>9.36910718873768</x:v>
      </x:c>
      <x:c r="W14" s="139" t="str">
        <x:f>IF(C14&lt;6,"Provisional",IF(C14&lt;12,"Developing","Established"))</x:f>
        <x:v>Developing</x:v>
      </x:c>
    </x:row>
    <x:row r="15">
      <x:c r="A15" s="139" t="n">
        <x:f>RANK.EQ(T15,$T$2:$T$21,0)</x:f>
        <x:v>15</x:v>
      </x:c>
      <x:c r="B15" s="139" t="str">
        <x:f>'Advanced Analytics'!A15</x:f>
        <x:v>Reza</x:v>
      </x:c>
      <x:c r="C15" s="139" t="n">
        <x:f>'Advanced Analytics'!B15</x:f>
        <x:v>6</x:v>
      </x:c>
      <x:c r="D15" s="139" t="n">
        <x:f>ROUND(F15*C15,0)</x:f>
        <x:v>2</x:v>
      </x:c>
      <x:c r="E15" s="139" t="n">
        <x:f>C15-D15</x:f>
        <x:v>4</x:v>
      </x:c>
      <x:c r="F15" s="93" t="n">
        <x:f>'Advanced Analytics'!C15</x:f>
        <x:v>0.3333333333333333</x:v>
      </x:c>
      <x:c r="G15" s="93" t="n">
        <x:f>(D15+'Rating Settings'!$B$4*'Rating Settings'!$B$5)/(C15+'Rating Settings'!$B$4)</x:f>
        <x:v>0.42857142857142855</x:v>
      </x:c>
      <x:c r="H15" s="95" t="n">
        <x:f>G15*100</x:f>
        <x:v>42.857142857142854</x:v>
      </x:c>
      <x:c r="I15" s="95" t="n">
        <x:f>'Advanced Analytics'!Z15</x:f>
        <x:v>2.315521628498725</x:v>
      </x:c>
      <x:c r="J15" s="93" t="n">
        <x:f>'Advanced Analytics'!G15</x:f>
        <x:v>-0.08406304591952873</x:v>
      </x:c>
      <x:c r="K15" s="95" t="n">
        <x:f>IF(MAX($J$2:$J$21)=MIN($J$2:$J$21),50,(J15-MIN($J$2:$J$21))/(MAX($J$2:$J$21)-MIN($J$2:$J$21))*100)</x:f>
        <x:v>35.24237300558345</x:v>
      </x:c>
      <x:c r="L15" s="95" t="n">
        <x:f>'Advanced Analytics'!D15</x:f>
        <x:v>0.5862026862026862</x:v>
      </x:c>
      <x:c r="M15" s="95" t="n">
        <x:f>IF(MAX($L$2:$L$21)=MIN($L$2:$L$21),50,(L15-MIN($L$2:$L$21))/(MAX($L$2:$L$21)-MIN($L$2:$L$21))*100)</x:f>
        <x:v>100</x:v>
      </x:c>
      <x:c r="N15" s="95" t="n">
        <x:f>'Advanced Analytics'!AB15</x:f>
        <x:v>29.38288020948974</x:v>
      </x:c>
      <x:c r="O15" s="95" t="n">
        <x:f>'Advanced Analytics'!K15</x:f>
        <x:v>70</x:v>
      </x:c>
      <x:c r="P15" s="95" t="n">
        <x:f>'Advanced Analytics'!AC15</x:f>
        <x:v>18</x:v>
      </x:c>
      <x:c r="Q15" s="95" t="n">
        <x:f>'Advanced Analytics'!Q15*100</x:f>
        <x:v>40</x:v>
      </x:c>
      <x:c r="R15" s="95" t="n">
        <x:f>H15*'Rating Settings'!$B$14+I15*'Rating Settings'!$B$15+K15*'Rating Settings'!$B$16+M15*'Rating Settings'!$B$17+N15*'Rating Settings'!$B$18+O15*'Rating Settings'!$B$19+P15*'Rating Settings'!$B$20+Q15*'Rating Settings'!$B$21</x:f>
        <x:v>37.94489115462909</x:v>
      </x:c>
      <x:c r="S15" s="95" t="n">
        <x:f>'Rating Settings'!$B$6+'Rating Settings'!$B$7*(C15/(C15+'Rating Settings'!$B$4))</x:f>
        <x:v>0.8</x:v>
      </x:c>
      <x:c r="T15" s="95" t="n">
        <x:f>50+(R15-50)*S15</x:f>
        <x:v>40.35591292370327</x:v>
      </x:c>
      <x:c r="U15" s="139" t="str">
        <x:f>IF(T15&gt;='Rating Settings'!$B$8,"Elite",IF(T15&gt;='Rating Settings'!$B$9,"A",IF(T15&gt;='Rating Settings'!$B$10,"B",IF(T15&gt;='Rating Settings'!$B$11,"C","D"))))</x:f>
        <x:v>D</x:v>
      </x:c>
      <x:c r="V15" s="95" t="n">
        <x:f>T15-50</x:f>
        <x:v>-9.644087076296728</x:v>
      </x:c>
      <x:c r="W15" s="139" t="str">
        <x:f>IF(C15&lt;6,"Provisional",IF(C15&lt;12,"Developing","Established"))</x:f>
        <x:v>Developing</x:v>
      </x:c>
    </x:row>
    <x:row r="16">
      <x:c r="A16" s="139" t="n">
        <x:f>RANK.EQ(T16,$T$2:$T$21,0)</x:f>
        <x:v>6</x:v>
      </x:c>
      <x:c r="B16" s="139" t="str">
        <x:f>'Advanced Analytics'!A16</x:f>
        <x:v>Ricky</x:v>
      </x:c>
      <x:c r="C16" s="139" t="n">
        <x:f>'Advanced Analytics'!B16</x:f>
        <x:v>26</x:v>
      </x:c>
      <x:c r="D16" s="139" t="n">
        <x:f>ROUND(F16*C16,0)</x:f>
        <x:v>16</x:v>
      </x:c>
      <x:c r="E16" s="139" t="n">
        <x:f>C16-D16</x:f>
        <x:v>10</x:v>
      </x:c>
      <x:c r="F16" s="93" t="n">
        <x:f>'Advanced Analytics'!C16</x:f>
        <x:v>0.6153846153846154</x:v>
      </x:c>
      <x:c r="G16" s="93" t="n">
        <x:f>(D16+'Rating Settings'!$B$4*'Rating Settings'!$B$5)/(C16+'Rating Settings'!$B$4)</x:f>
        <x:v>0.5882352941176471</x:v>
      </x:c>
      <x:c r="H16" s="95" t="n">
        <x:f>G16*100</x:f>
        <x:v>58.82352941176471</x:v>
      </x:c>
      <x:c r="I16" s="95" t="n">
        <x:f>'Advanced Analytics'!Z16</x:f>
        <x:v>63.81679389312977</x:v>
      </x:c>
      <x:c r="J16" s="93" t="n">
        <x:f>'Advanced Analytics'!G16</x:f>
        <x:v>0.06359039101259645</x:v>
      </x:c>
      <x:c r="K16" s="95" t="n">
        <x:f>IF(MAX($J$2:$J$21)=MIN($J$2:$J$21),50,(J16-MIN($J$2:$J$21))/(MAX($J$2:$J$21)-MIN($J$2:$J$21))*100)</x:f>
        <x:v>56.11793564847456</x:v>
      </x:c>
      <x:c r="L16" s="95" t="n">
        <x:f>'Advanced Analytics'!D16</x:f>
        <x:v>0.4541910013063859</x:v>
      </x:c>
      <x:c r="M16" s="95" t="n">
        <x:f>IF(MAX($L$2:$L$21)=MIN($L$2:$L$21),50,(L16-MIN($L$2:$L$21))/(MAX($L$2:$L$21)-MIN($L$2:$L$21))*100)</x:f>
        <x:v>41.46314567944236</x:v>
      </x:c>
      <x:c r="N16" s="95" t="n">
        <x:f>'Advanced Analytics'!AB16</x:f>
        <x:v>9.30889292718517</x:v>
      </x:c>
      <x:c r="O16" s="95" t="n">
        <x:f>'Advanced Analytics'!K16</x:f>
        <x:v>61.11111111111111</x:v>
      </x:c>
      <x:c r="P16" s="95" t="n">
        <x:f>'Advanced Analytics'!AC16</x:f>
        <x:v>89.83333333333334</x:v>
      </x:c>
      <x:c r="Q16" s="95" t="n">
        <x:f>'Advanced Analytics'!Q16*100</x:f>
        <x:v>60</x:v>
      </x:c>
      <x:c r="R16" s="95" t="n">
        <x:f>H16*'Rating Settings'!$B$14+I16*'Rating Settings'!$B$15+K16*'Rating Settings'!$B$16+M16*'Rating Settings'!$B$17+N16*'Rating Settings'!$B$18+O16*'Rating Settings'!$B$19+P16*'Rating Settings'!$B$20+Q16*'Rating Settings'!$B$21</x:f>
        <x:v>54.45253403231153</x:v>
      </x:c>
      <x:c r="S16" s="95" t="n">
        <x:f>'Rating Settings'!$B$6+'Rating Settings'!$B$7*(C16/(C16+'Rating Settings'!$B$4))</x:f>
        <x:v>0.9176470588235294</x:v>
      </x:c>
      <x:c r="T16" s="95" t="n">
        <x:f>50+(R16-50)*S16</x:f>
        <x:v>54.08585475906235</x:v>
      </x:c>
      <x:c r="U16" s="139" t="str">
        <x:f>IF(T16&gt;='Rating Settings'!$B$8,"Elite",IF(T16&gt;='Rating Settings'!$B$9,"A",IF(T16&gt;='Rating Settings'!$B$10,"B",IF(T16&gt;='Rating Settings'!$B$11,"C","D"))))</x:f>
        <x:v>C</x:v>
      </x:c>
      <x:c r="V16" s="95" t="n">
        <x:f>T16-50</x:f>
        <x:v>4.08585475906235</x:v>
      </x:c>
      <x:c r="W16" s="139" t="str">
        <x:f>IF(C16&lt;6,"Provisional",IF(C16&lt;12,"Developing","Established"))</x:f>
        <x:v>Established</x:v>
      </x:c>
    </x:row>
    <x:row r="17">
      <x:c r="A17" s="139" t="n">
        <x:f>RANK.EQ(T17,$T$2:$T$21,0)</x:f>
        <x:v>9</x:v>
      </x:c>
      <x:c r="B17" s="139" t="str">
        <x:f>'Advanced Analytics'!A17</x:f>
        <x:v>Rizky</x:v>
      </x:c>
      <x:c r="C17" s="139" t="n">
        <x:f>'Advanced Analytics'!B17</x:f>
        <x:v>6</x:v>
      </x:c>
      <x:c r="D17" s="139" t="n">
        <x:f>ROUND(F17*C17,0)</x:f>
        <x:v>4</x:v>
      </x:c>
      <x:c r="E17" s="139" t="n">
        <x:f>C17-D17</x:f>
        <x:v>2</x:v>
      </x:c>
      <x:c r="F17" s="93" t="n">
        <x:f>'Advanced Analytics'!C17</x:f>
        <x:v>0.6666666666666666</x:v>
      </x:c>
      <x:c r="G17" s="93" t="n">
        <x:f>(D17+'Rating Settings'!$B$4*'Rating Settings'!$B$5)/(C17+'Rating Settings'!$B$4)</x:f>
        <x:v>0.5714285714285714</x:v>
      </x:c>
      <x:c r="H17" s="95" t="n">
        <x:f>G17*100</x:f>
        <x:v>57.14285714285714</x:v>
      </x:c>
      <x:c r="I17" s="95" t="n">
        <x:f>'Advanced Analytics'!Z17</x:f>
        <x:v>67.97709923664122</x:v>
      </x:c>
      <x:c r="J17" s="93" t="n">
        <x:f>'Advanced Analytics'!G17</x:f>
        <x:v>0.07917888563049857</x:v>
      </x:c>
      <x:c r="K17" s="95" t="n">
        <x:f>IF(MAX($J$2:$J$21)=MIN($J$2:$J$21),50,(J17-MIN($J$2:$J$21))/(MAX($J$2:$J$21)-MIN($J$2:$J$21))*100)</x:f>
        <x:v>58.32187077295106</x:v>
      </x:c>
      <x:c r="L17" s="95" t="n">
        <x:f>'Advanced Analytics'!D17</x:f>
        <x:v>0.3606837606837607</x:v>
      </x:c>
      <x:c r="M17" s="95" t="n">
        <x:f>IF(MAX($L$2:$L$21)=MIN($L$2:$L$21),50,(L17-MIN($L$2:$L$21))/(MAX($L$2:$L$21)-MIN($L$2:$L$21))*100)</x:f>
        <x:v>0</x:v>
      </x:c>
      <x:c r="N17" s="95" t="n">
        <x:f>'Advanced Analytics'!AB17</x:f>
        <x:v>30.066747429866</x:v>
      </x:c>
      <x:c r="O17" s="95" t="n">
        <x:f>'Advanced Analytics'!K17</x:f>
        <x:v>50</x:v>
      </x:c>
      <x:c r="P17" s="95" t="n">
        <x:f>'Advanced Analytics'!AC17</x:f>
        <x:v>0</x:v>
      </x:c>
      <x:c r="Q17" s="95" t="n">
        <x:f>'Advanced Analytics'!Q17*100</x:f>
        <x:v>80</x:v>
      </x:c>
      <x:c r="R17" s="95" t="n">
        <x:f>H17*'Rating Settings'!$B$14+I17*'Rating Settings'!$B$15+K17*'Rating Settings'!$B$16+M17*'Rating Settings'!$B$17+N17*'Rating Settings'!$B$18+O17*'Rating Settings'!$B$19+P17*'Rating Settings'!$B$20+Q17*'Rating Settings'!$B$21</x:f>
        <x:v>48.99323234911464</x:v>
      </x:c>
      <x:c r="S17" s="95" t="n">
        <x:f>'Rating Settings'!$B$6+'Rating Settings'!$B$7*(C17/(C17+'Rating Settings'!$B$4))</x:f>
        <x:v>0.8</x:v>
      </x:c>
      <x:c r="T17" s="95" t="n">
        <x:f>50+(R17-50)*S17</x:f>
        <x:v>49.194585879291715</x:v>
      </x:c>
      <x:c r="U17" s="139" t="str">
        <x:f>IF(T17&gt;='Rating Settings'!$B$8,"Elite",IF(T17&gt;='Rating Settings'!$B$9,"A",IF(T17&gt;='Rating Settings'!$B$10,"B",IF(T17&gt;='Rating Settings'!$B$11,"C","D"))))</x:f>
        <x:v>C</x:v>
      </x:c>
      <x:c r="V17" s="95" t="n">
        <x:f>T17-50</x:f>
        <x:v>-0.805414120708285</x:v>
      </x:c>
      <x:c r="W17" s="139" t="str">
        <x:f>IF(C17&lt;6,"Provisional",IF(C17&lt;12,"Developing","Established"))</x:f>
        <x:v>Developing</x:v>
      </x:c>
    </x:row>
    <x:row r="18">
      <x:c r="A18" s="139" t="n">
        <x:f>RANK.EQ(T18,$T$2:$T$21,0)</x:f>
        <x:v>5</x:v>
      </x:c>
      <x:c r="B18" s="139" t="str">
        <x:f>'Advanced Analytics'!A18</x:f>
        <x:v>Ronald</x:v>
      </x:c>
      <x:c r="C18" s="139" t="n">
        <x:f>'Advanced Analytics'!B18</x:f>
        <x:v>18</x:v>
      </x:c>
      <x:c r="D18" s="139" t="n">
        <x:f>ROUND(F18*C18,0)</x:f>
        <x:v>12</x:v>
      </x:c>
      <x:c r="E18" s="139" t="n">
        <x:f>C18-D18</x:f>
        <x:v>6</x:v>
      </x:c>
      <x:c r="F18" s="93" t="n">
        <x:f>'Advanced Analytics'!C18</x:f>
        <x:v>0.6666666666666666</x:v>
      </x:c>
      <x:c r="G18" s="93" t="n">
        <x:f>(D18+'Rating Settings'!$B$4*'Rating Settings'!$B$5)/(C18+'Rating Settings'!$B$4)</x:f>
        <x:v>0.6153846153846154</x:v>
      </x:c>
      <x:c r="H18" s="95" t="n">
        <x:f>G18*100</x:f>
        <x:v>61.53846153846154</x:v>
      </x:c>
      <x:c r="I18" s="95" t="n">
        <x:f>'Advanced Analytics'!Z18</x:f>
        <x:v>63.84223918575063</x:v>
      </x:c>
      <x:c r="J18" s="93" t="n">
        <x:f>'Advanced Analytics'!G18</x:f>
        <x:v>0.110856562385871</x:v>
      </x:c>
      <x:c r="K18" s="95" t="n">
        <x:f>IF(MAX($J$2:$J$21)=MIN($J$2:$J$21),50,(J18-MIN($J$2:$J$21))/(MAX($J$2:$J$21)-MIN($J$2:$J$21))*100)</x:f>
        <x:v>62.800529307611654</x:v>
      </x:c>
      <x:c r="L18" s="95" t="n">
        <x:f>'Advanced Analytics'!D18</x:f>
        <x:v>0.478422965922966</x:v>
      </x:c>
      <x:c r="M18" s="95" t="n">
        <x:f>IF(MAX($L$2:$L$21)=MIN($L$2:$L$21),50,(L18-MIN($L$2:$L$21))/(MAX($L$2:$L$21)-MIN($L$2:$L$21))*100)</x:f>
        <x:v>52.20812619973425</x:v>
      </x:c>
      <x:c r="N18" s="95" t="n">
        <x:f>'Advanced Analytics'!AB18</x:f>
        <x:v>43.57453202312175</x:v>
      </x:c>
      <x:c r="O18" s="95" t="n">
        <x:f>'Advanced Analytics'!K18</x:f>
        <x:v>54.16666666666667</x:v>
      </x:c>
      <x:c r="P18" s="95" t="n">
        <x:f>'Advanced Analytics'!AC18</x:f>
        <x:v>69.33333333333333</x:v>
      </x:c>
      <x:c r="Q18" s="95" t="n">
        <x:f>'Advanced Analytics'!Q18*100</x:f>
        <x:v>60</x:v>
      </x:c>
      <x:c r="R18" s="95" t="n">
        <x:f>H18*'Rating Settings'!$B$14+I18*'Rating Settings'!$B$15+K18*'Rating Settings'!$B$16+M18*'Rating Settings'!$B$17+N18*'Rating Settings'!$B$18+O18*'Rating Settings'!$B$19+P18*'Rating Settings'!$B$20+Q18*'Rating Settings'!$B$21</x:f>
        <x:v>59.40333151711594</x:v>
      </x:c>
      <x:c r="S18" s="95" t="n">
        <x:f>'Rating Settings'!$B$6+'Rating Settings'!$B$7*(C18/(C18+'Rating Settings'!$B$4))</x:f>
        <x:v>0.8923076923076922</x:v>
      </x:c>
      <x:c r="T18" s="95" t="n">
        <x:f>50+(R18-50)*S18</x:f>
        <x:v>58.39066504604191</x:v>
      </x:c>
      <x:c r="U18" s="139" t="str">
        <x:f>IF(T18&gt;='Rating Settings'!$B$8,"Elite",IF(T18&gt;='Rating Settings'!$B$9,"A",IF(T18&gt;='Rating Settings'!$B$10,"B",IF(T18&gt;='Rating Settings'!$B$11,"C","D"))))</x:f>
        <x:v>B</x:v>
      </x:c>
      <x:c r="V18" s="95" t="n">
        <x:f>T18-50</x:f>
        <x:v>8.39066504604191</x:v>
      </x:c>
      <x:c r="W18" s="139" t="str">
        <x:f>IF(C18&lt;6,"Provisional",IF(C18&lt;12,"Developing","Established"))</x:f>
        <x:v>Established</x:v>
      </x:c>
    </x:row>
    <x:row r="19">
      <x:c r="A19" s="139" t="n">
        <x:f>RANK.EQ(T19,$T$2:$T$21,0)</x:f>
        <x:v>1</x:v>
      </x:c>
      <x:c r="B19" s="139" t="str">
        <x:f>'Advanced Analytics'!A19</x:f>
        <x:v>Sandy</x:v>
      </x:c>
      <x:c r="C19" s="139" t="n">
        <x:f>'Advanced Analytics'!B19</x:f>
        <x:v>13</x:v>
      </x:c>
      <x:c r="D19" s="139" t="n">
        <x:f>ROUND(F19*C19,0)</x:f>
        <x:v>11</x:v>
      </x:c>
      <x:c r="E19" s="139" t="n">
        <x:f>C19-D19</x:f>
        <x:v>2</x:v>
      </x:c>
      <x:c r="F19" s="93" t="n">
        <x:f>'Advanced Analytics'!C19</x:f>
        <x:v>0.8461538461538461</x:v>
      </x:c>
      <x:c r="G19" s="93" t="n">
        <x:f>(D19+'Rating Settings'!$B$4*'Rating Settings'!$B$5)/(C19+'Rating Settings'!$B$4)</x:f>
        <x:v>0.7142857142857143</x:v>
      </x:c>
      <x:c r="H19" s="95" t="n">
        <x:f>G19*100</x:f>
        <x:v>71.42857142857143</x:v>
      </x:c>
      <x:c r="I19" s="95" t="n">
        <x:f>'Advanced Analytics'!Z19</x:f>
        <x:v>100</x:v>
      </x:c>
      <x:c r="J19" s="93" t="n">
        <x:f>'Advanced Analytics'!G19</x:f>
        <x:v>0.2726055470762695</x:v>
      </x:c>
      <x:c r="K19" s="95" t="n">
        <x:f>IF(MAX($J$2:$J$21)=MIN($J$2:$J$21),50,(J19-MIN($J$2:$J$21))/(MAX($J$2:$J$21)-MIN($J$2:$J$21))*100)</x:f>
        <x:v>85.66895101513099</x:v>
      </x:c>
      <x:c r="L19" s="95" t="n">
        <x:f>'Advanced Analytics'!D19</x:f>
        <x:v>0.4739465662542586</x:v>
      </x:c>
      <x:c r="M19" s="95" t="n">
        <x:f>IF(MAX($L$2:$L$21)=MIN($L$2:$L$21),50,(L19-MIN($L$2:$L$21))/(MAX($L$2:$L$21)-MIN($L$2:$L$21))*100)</x:f>
        <x:v>50.22319315768154</x:v>
      </x:c>
      <x:c r="N19" s="95" t="n">
        <x:f>'Advanced Analytics'!AB19</x:f>
        <x:v>51.76022648543781</x:v>
      </x:c>
      <x:c r="O19" s="95" t="n">
        <x:f>'Advanced Analytics'!K19</x:f>
        <x:v>50</x:v>
      </x:c>
      <x:c r="P19" s="95" t="n">
        <x:f>'Advanced Analytics'!AC19</x:f>
        <x:v>53.83333333333334</x:v>
      </x:c>
      <x:c r="Q19" s="95" t="n">
        <x:f>'Advanced Analytics'!Q19*100</x:f>
        <x:v>80</x:v>
      </x:c>
      <x:c r="R19" s="95" t="n">
        <x:f>H19*'Rating Settings'!$B$14+I19*'Rating Settings'!$B$15+K19*'Rating Settings'!$B$16+M19*'Rating Settings'!$B$17+N19*'Rating Settings'!$B$18+O19*'Rating Settings'!$B$19+P19*'Rating Settings'!$B$20+Q19*'Rating Settings'!$B$21</x:f>
        <x:v>73.66892271181968</x:v>
      </x:c>
      <x:c r="S19" s="95" t="n">
        <x:f>'Rating Settings'!$B$6+'Rating Settings'!$B$7*(C19/(C19+'Rating Settings'!$B$4))</x:f>
        <x:v>0.8666666666666667</x:v>
      </x:c>
      <x:c r="T19" s="95" t="n">
        <x:f>50+(R19-50)*S19</x:f>
        <x:v>70.51306635024372</x:v>
      </x:c>
      <x:c r="U19" s="139" t="str">
        <x:f>IF(T19&gt;='Rating Settings'!$B$8,"Elite",IF(T19&gt;='Rating Settings'!$B$9,"A",IF(T19&gt;='Rating Settings'!$B$10,"B",IF(T19&gt;='Rating Settings'!$B$11,"C","D"))))</x:f>
        <x:v>A</x:v>
      </x:c>
      <x:c r="V19" s="95" t="n">
        <x:f>T19-50</x:f>
        <x:v>20.51306635024372</x:v>
      </x:c>
      <x:c r="W19" s="139" t="str">
        <x:f>IF(C19&lt;6,"Provisional",IF(C19&lt;12,"Developing","Established"))</x:f>
        <x:v>Established</x:v>
      </x:c>
    </x:row>
    <x:row r="20">
      <x:c r="A20" s="139" t="n">
        <x:f>RANK.EQ(T20,$T$2:$T$21,0)</x:f>
        <x:v>2</x:v>
      </x:c>
      <x:c r="B20" s="139" t="str">
        <x:f>'Advanced Analytics'!A20</x:f>
        <x:v>Thohir</x:v>
      </x:c>
      <x:c r="C20" s="139" t="n">
        <x:f>'Advanced Analytics'!B20</x:f>
        <x:v>4</x:v>
      </x:c>
      <x:c r="D20" s="139" t="n">
        <x:f>ROUND(F20*C20,0)</x:f>
        <x:v>4</x:v>
      </x:c>
      <x:c r="E20" s="139" t="n">
        <x:f>C20-D20</x:f>
        <x:v>0</x:v>
      </x:c>
      <x:c r="F20" s="93" t="n">
        <x:f>'Advanced Analytics'!C20</x:f>
        <x:v>1</x:v>
      </x:c>
      <x:c r="G20" s="93" t="n">
        <x:f>(D20+'Rating Settings'!$B$4*'Rating Settings'!$B$5)/(C20+'Rating Settings'!$B$4)</x:f>
        <x:v>0.6666666666666666</x:v>
      </x:c>
      <x:c r="H20" s="95" t="n">
        <x:f>G20*100</x:f>
        <x:v>66.66666666666666</x:v>
      </x:c>
      <x:c r="I20" s="95" t="n">
        <x:f>'Advanced Analytics'!Z20</x:f>
        <x:v>65.99236641221374</x:v>
      </x:c>
      <x:c r="J20" s="93" t="n">
        <x:f>'Advanced Analytics'!G20</x:f>
        <x:v>0.3739694563349807</x:v>
      </x:c>
      <x:c r="K20" s="95" t="n">
        <x:f>IF(MAX($J$2:$J$21)=MIN($J$2:$J$21),50,(J20-MIN($J$2:$J$21))/(MAX($J$2:$J$21)-MIN($J$2:$J$21))*100)</x:f>
        <x:v>100</x:v>
      </x:c>
      <x:c r="L20" s="95" t="n">
        <x:f>'Advanced Analytics'!D20</x:f>
        <x:v>0.4242424242424243</x:v>
      </x:c>
      <x:c r="M20" s="95" t="n">
        <x:f>IF(MAX($L$2:$L$21)=MIN($L$2:$L$21),50,(L20-MIN($L$2:$L$21))/(MAX($L$2:$L$21)-MIN($L$2:$L$21))*100)</x:f>
        <x:v>28.18329477777234</x:v>
      </x:c>
      <x:c r="N20" s="95" t="n">
        <x:f>'Advanced Analytics'!AB20</x:f>
        <x:v>97.3317320214429</x:v>
      </x:c>
      <x:c r="O20" s="95" t="n">
        <x:f>'Advanced Analytics'!K20</x:f>
        <x:v>62.5</x:v>
      </x:c>
      <x:c r="P20" s="95" t="n">
        <x:f>'Advanced Analytics'!AC20</x:f>
        <x:v>5.166666666666667</x:v>
      </x:c>
      <x:c r="Q20" s="95" t="n">
        <x:f>'Advanced Analytics'!Q20*100</x:f>
        <x:v>100</x:v>
      </x:c>
      <x:c r="R20" s="95" t="n">
        <x:f>H20*'Rating Settings'!$B$14+I20*'Rating Settings'!$B$15+K20*'Rating Settings'!$B$16+M20*'Rating Settings'!$B$17+N20*'Rating Settings'!$B$18+O20*'Rating Settings'!$B$19+P20*'Rating Settings'!$B$20+Q20*'Rating Settings'!$B$21</x:f>
        <x:v>69.13330929569761</x:v>
      </x:c>
      <x:c r="S20" s="95" t="n">
        <x:f>'Rating Settings'!$B$6+'Rating Settings'!$B$7*(C20/(C20+'Rating Settings'!$B$4))</x:f>
        <x:v>0.7666666666666667</x:v>
      </x:c>
      <x:c r="T20" s="95" t="n">
        <x:f>50+(R20-50)*S20</x:f>
        <x:v>64.66887046003484</x:v>
      </x:c>
      <x:c r="U20" s="139" t="str">
        <x:f>IF(T20&gt;='Rating Settings'!$B$8,"Elite",IF(T20&gt;='Rating Settings'!$B$9,"A",IF(T20&gt;='Rating Settings'!$B$10,"B",IF(T20&gt;='Rating Settings'!$B$11,"C","D"))))</x:f>
        <x:v>B</x:v>
      </x:c>
      <x:c r="V20" s="95" t="n">
        <x:f>T20-50</x:f>
        <x:v>14.668870460034839</x:v>
      </x:c>
      <x:c r="W20" s="139" t="str">
        <x:f>IF(C20&lt;6,"Provisional",IF(C20&lt;12,"Developing","Established"))</x:f>
        <x:v>Provisional</x:v>
      </x:c>
    </x:row>
    <x:row r="21">
      <x:c r="A21" s="139" t="n">
        <x:f>RANK.EQ(T21,$T$2:$T$21,0)</x:f>
        <x:v>19</x:v>
      </x:c>
      <x:c r="B21" s="139" t="str">
        <x:f>'Advanced Analytics'!A21</x:f>
        <x:v>Welly</x:v>
      </x:c>
      <x:c r="C21" s="139" t="n">
        <x:f>'Advanced Analytics'!B21</x:f>
        <x:v>10</x:v>
      </x:c>
      <x:c r="D21" s="139" t="n">
        <x:f>ROUND(F21*C21,0)</x:f>
        <x:v>2</x:v>
      </x:c>
      <x:c r="E21" s="139" t="n">
        <x:f>C21-D21</x:f>
        <x:v>8</x:v>
      </x:c>
      <x:c r="F21" s="93" t="n">
        <x:f>'Advanced Analytics'!C21</x:f>
        <x:v>0.2</x:v>
      </x:c>
      <x:c r="G21" s="93" t="n">
        <x:f>(D21+'Rating Settings'!$B$4*'Rating Settings'!$B$5)/(C21+'Rating Settings'!$B$4)</x:f>
        <x:v>0.3333333333333333</x:v>
      </x:c>
      <x:c r="H21" s="95" t="n">
        <x:f>G21*100</x:f>
        <x:v>33.33333333333333</x:v>
      </x:c>
      <x:c r="I21" s="95" t="n">
        <x:f>'Advanced Analytics'!Z21</x:f>
        <x:v>12.50381679389313</x:v>
      </x:c>
      <x:c r="J21" s="93" t="n">
        <x:f>'Advanced Analytics'!G21</x:f>
        <x:v>-0.224418226696544</x:v>
      </x:c>
      <x:c r="K21" s="95" t="n">
        <x:f>IF(MAX($J$2:$J$21)=MIN($J$2:$J$21),50,(J21-MIN($J$2:$J$21))/(MAX($J$2:$J$21)-MIN($J$2:$J$21))*100)</x:f>
        <x:v>15.398653621579028</x:v>
      </x:c>
      <x:c r="L21" s="95" t="n">
        <x:f>'Advanced Analytics'!D21</x:f>
        <x:v>0.5555211455211455</x:v>
      </x:c>
      <x:c r="M21" s="95" t="n">
        <x:f>IF(MAX($L$2:$L$21)=MIN($L$2:$L$21),50,(L21-MIN($L$2:$L$21))/(MAX($L$2:$L$21)-MIN($L$2:$L$21))*100)</x:f>
        <x:v>86.39513707732439</x:v>
      </x:c>
      <x:c r="N21" s="95" t="n">
        <x:f>'Advanced Analytics'!AB21</x:f>
        <x:v>26.02145116423826</x:v>
      </x:c>
      <x:c r="O21" s="95" t="n">
        <x:f>'Advanced Analytics'!K21</x:f>
        <x:v>30</x:v>
      </x:c>
      <x:c r="P21" s="95" t="n">
        <x:f>'Advanced Analytics'!AC21</x:f>
        <x:v>41</x:v>
      </x:c>
      <x:c r="Q21" s="95" t="n">
        <x:f>'Advanced Analytics'!Q21*100</x:f>
        <x:v>20</x:v>
      </x:c>
      <x:c r="R21" s="95" t="n">
        <x:f>H21*'Rating Settings'!$B$14+I21*'Rating Settings'!$B$15+K21*'Rating Settings'!$B$16+M21*'Rating Settings'!$B$17+N21*'Rating Settings'!$B$18+O21*'Rating Settings'!$B$19+P21*'Rating Settings'!$B$20+Q21*'Rating Settings'!$B$21</x:f>
        <x:v>30.60222022617174</x:v>
      </x:c>
      <x:c r="S21" s="95" t="n">
        <x:f>'Rating Settings'!$B$6+'Rating Settings'!$B$7*(C21/(C21+'Rating Settings'!$B$4))</x:f>
        <x:v>0.8444444444444444</x:v>
      </x:c>
      <x:c r="T21" s="95" t="n">
        <x:f>50+(R21-50)*S21</x:f>
        <x:v>33.619652635433916</x:v>
      </x:c>
      <x:c r="U21" s="139" t="str">
        <x:f>IF(T21&gt;='Rating Settings'!$B$8,"Elite",IF(T21&gt;='Rating Settings'!$B$9,"A",IF(T21&gt;='Rating Settings'!$B$10,"B",IF(T21&gt;='Rating Settings'!$B$11,"C","D"))))</x:f>
        <x:v>D</x:v>
      </x:c>
      <x:c r="V21" s="95" t="n">
        <x:f>T21-50</x:f>
        <x:v>-16.380347364566084</x:v>
      </x:c>
      <x:c r="W21" s="139" t="str">
        <x:f>IF(C21&lt;6,"Provisional",IF(C21&lt;12,"Developing","Established"))</x:f>
        <x:v>Developing</x:v>
      </x:c>
    </x:row>
    <x:row r="22">
      <x:c r="A22" s="139" t="n"/>
      <x:c r="B22" s="139" t="n"/>
      <x:c r="C22" s="139" t="n"/>
      <x:c r="D22" s="139" t="n"/>
      <x:c r="E22" s="139" t="n"/>
      <x:c r="F22" s="139" t="n"/>
      <x:c r="G22" s="139" t="n"/>
      <x:c r="H22" s="139" t="n"/>
      <x:c r="I22" s="139" t="n"/>
      <x:c r="J22" s="139" t="n"/>
      <x:c r="K22" s="139" t="n"/>
      <x:c r="L22" s="139" t="n"/>
      <x:c r="M22" s="139" t="n"/>
      <x:c r="N22" s="139" t="n"/>
      <x:c r="O22" s="139" t="n"/>
      <x:c r="P22" s="139" t="n"/>
      <x:c r="Q22" s="139" t="n"/>
      <x:c r="R22" s="139" t="n"/>
      <x:c r="S22" s="139" t="n"/>
      <x:c r="T22" s="139" t="n"/>
      <x:c r="U22" s="139" t="n"/>
      <x:c r="V22" s="139" t="n"/>
      <x:c r="W22" s="139" t="n"/>
    </x:row>
    <x:row r="23">
      <x:c r="A23" s="139" t="n"/>
      <x:c r="B23" s="139" t="n"/>
      <x:c r="C23" s="139" t="n"/>
      <x:c r="D23" s="139" t="n"/>
      <x:c r="E23" s="139" t="n"/>
      <x:c r="F23" s="139" t="n"/>
      <x:c r="G23" s="139" t="n"/>
      <x:c r="H23" s="139" t="n"/>
      <x:c r="I23" s="139" t="n"/>
      <x:c r="J23" s="139" t="n"/>
      <x:c r="K23" s="139" t="n"/>
      <x:c r="L23" s="139" t="n"/>
      <x:c r="M23" s="139" t="n"/>
      <x:c r="N23" s="139" t="n"/>
      <x:c r="O23" s="139" t="n"/>
      <x:c r="P23" s="139" t="n"/>
      <x:c r="Q23" s="139" t="n"/>
      <x:c r="R23" s="139" t="n"/>
      <x:c r="S23" s="139" t="n"/>
      <x:c r="T23" s="139" t="n"/>
      <x:c r="U23" s="139" t="n"/>
      <x:c r="V23" s="139" t="n"/>
      <x:c r="W23" s="139" t="n"/>
    </x:row>
    <x:row r="24">
      <x:c r="A24" s="139" t="n"/>
      <x:c r="B24" s="139" t="n"/>
      <x:c r="C24" s="139" t="n"/>
      <x:c r="D24" s="139" t="n"/>
      <x:c r="E24" s="139" t="n"/>
      <x:c r="F24" s="139" t="n"/>
      <x:c r="G24" s="139" t="n"/>
      <x:c r="H24" s="139" t="n"/>
      <x:c r="I24" s="139" t="n"/>
      <x:c r="J24" s="139" t="n"/>
      <x:c r="K24" s="139" t="n"/>
      <x:c r="L24" s="139" t="n"/>
      <x:c r="M24" s="139" t="n"/>
      <x:c r="N24" s="139" t="n"/>
      <x:c r="O24" s="139" t="n"/>
      <x:c r="P24" s="139" t="n"/>
      <x:c r="Q24" s="139" t="n"/>
      <x:c r="R24" s="139" t="n"/>
      <x:c r="S24" s="139" t="n"/>
      <x:c r="T24" s="139" t="n"/>
      <x:c r="U24" s="139" t="n"/>
      <x:c r="V24" s="139" t="n"/>
      <x:c r="W24" s="139" t="n"/>
    </x:row>
    <x:row r="25">
      <x:c r="A25" s="139" t="n"/>
      <x:c r="B25" s="139" t="n"/>
      <x:c r="C25" s="139" t="n"/>
      <x:c r="D25" s="139" t="n"/>
      <x:c r="E25" s="139" t="n"/>
      <x:c r="F25" s="139" t="n"/>
      <x:c r="G25" s="139" t="n"/>
      <x:c r="H25" s="139" t="n"/>
      <x:c r="I25" s="139" t="n"/>
      <x:c r="J25" s="139" t="n"/>
      <x:c r="K25" s="139" t="n"/>
      <x:c r="L25" s="139" t="n"/>
      <x:c r="M25" s="139" t="n"/>
      <x:c r="N25" s="139" t="n"/>
      <x:c r="O25" s="139" t="n"/>
      <x:c r="P25" s="139" t="n"/>
      <x:c r="Q25" s="139" t="n"/>
      <x:c r="R25" s="139" t="n"/>
      <x:c r="S25" s="139" t="n"/>
      <x:c r="T25" s="139" t="n"/>
      <x:c r="U25" s="139" t="n"/>
      <x:c r="V25" s="139" t="n"/>
      <x:c r="W25" s="139" t="n"/>
    </x:row>
    <x:row r="26">
      <x:c r="A26" s="139" t="n"/>
      <x:c r="B26" s="139" t="n"/>
      <x:c r="C26" s="139" t="n"/>
      <x:c r="D26" s="139" t="n"/>
      <x:c r="E26" s="139" t="n"/>
      <x:c r="F26" s="139" t="n"/>
      <x:c r="G26" s="139" t="n"/>
      <x:c r="H26" s="139" t="n"/>
      <x:c r="I26" s="139" t="n"/>
      <x:c r="J26" s="139" t="n"/>
      <x:c r="K26" s="139" t="n"/>
      <x:c r="L26" s="139" t="n"/>
      <x:c r="M26" s="139" t="n"/>
      <x:c r="N26" s="139" t="n"/>
      <x:c r="O26" s="139" t="n"/>
      <x:c r="P26" s="139" t="n"/>
      <x:c r="Q26" s="139" t="n"/>
      <x:c r="R26" s="139" t="n"/>
      <x:c r="S26" s="139" t="n"/>
      <x:c r="T26" s="139" t="n"/>
      <x:c r="U26" s="139" t="n"/>
      <x:c r="V26" s="139" t="n"/>
      <x:c r="W26" s="139" t="n"/>
    </x:row>
    <x:row r="27">
      <x:c r="A27" s="139" t="n"/>
      <x:c r="B27" s="139" t="n"/>
      <x:c r="C27" s="139" t="n"/>
      <x:c r="D27" s="139" t="n"/>
      <x:c r="E27" s="139" t="n"/>
      <x:c r="F27" s="139" t="n"/>
      <x:c r="G27" s="139" t="n"/>
      <x:c r="H27" s="139" t="n"/>
      <x:c r="I27" s="139" t="n"/>
      <x:c r="J27" s="139" t="n"/>
      <x:c r="K27" s="139" t="n"/>
      <x:c r="L27" s="139" t="n"/>
      <x:c r="M27" s="139" t="n"/>
      <x:c r="N27" s="139" t="n"/>
      <x:c r="O27" s="139" t="n"/>
      <x:c r="P27" s="139" t="n"/>
      <x:c r="Q27" s="139" t="n"/>
      <x:c r="R27" s="139" t="n"/>
      <x:c r="S27" s="139" t="n"/>
      <x:c r="T27" s="139" t="n"/>
      <x:c r="U27" s="139" t="n"/>
      <x:c r="V27" s="139" t="n"/>
      <x:c r="W27" s="139" t="n"/>
    </x:row>
    <x:row r="28">
      <x:c r="A28" s="139" t="n"/>
      <x:c r="B28" s="139" t="n"/>
      <x:c r="C28" s="139" t="n"/>
      <x:c r="D28" s="139" t="n"/>
      <x:c r="E28" s="139" t="n"/>
      <x:c r="F28" s="139" t="n"/>
      <x:c r="G28" s="139" t="n"/>
      <x:c r="H28" s="139" t="n"/>
      <x:c r="I28" s="139" t="n"/>
      <x:c r="J28" s="139" t="n"/>
      <x:c r="K28" s="139" t="n"/>
      <x:c r="L28" s="139" t="n"/>
      <x:c r="M28" s="139" t="n"/>
      <x:c r="N28" s="139" t="n"/>
      <x:c r="O28" s="139" t="n"/>
      <x:c r="P28" s="139" t="n"/>
      <x:c r="Q28" s="139" t="n"/>
      <x:c r="R28" s="139" t="n"/>
      <x:c r="S28" s="139" t="n"/>
      <x:c r="T28" s="139" t="n"/>
      <x:c r="U28" s="139" t="n"/>
      <x:c r="V28" s="139" t="n"/>
      <x:c r="W28" s="139" t="n"/>
    </x:row>
    <x:row r="29">
      <x:c r="A29" s="139" t="n"/>
      <x:c r="B29" s="139" t="n"/>
      <x:c r="C29" s="139" t="n"/>
      <x:c r="D29" s="139" t="n"/>
      <x:c r="E29" s="139" t="n"/>
      <x:c r="F29" s="139" t="n"/>
      <x:c r="G29" s="139" t="n"/>
      <x:c r="H29" s="139" t="n"/>
      <x:c r="I29" s="139" t="n"/>
      <x:c r="J29" s="139" t="n"/>
      <x:c r="K29" s="139" t="n"/>
      <x:c r="L29" s="139" t="n"/>
      <x:c r="M29" s="139" t="n"/>
      <x:c r="N29" s="139" t="n"/>
      <x:c r="O29" s="139" t="n"/>
      <x:c r="P29" s="139" t="n"/>
      <x:c r="Q29" s="139" t="n"/>
      <x:c r="R29" s="139" t="n"/>
      <x:c r="S29" s="139" t="n"/>
      <x:c r="T29" s="139" t="n"/>
      <x:c r="U29" s="139" t="n"/>
      <x:c r="V29" s="139" t="n"/>
      <x:c r="W29" s="139" t="n"/>
    </x:row>
    <x:row r="30">
      <x:c r="A30" s="139" t="n"/>
      <x:c r="B30" s="139" t="n"/>
      <x:c r="C30" s="139" t="n"/>
      <x:c r="D30" s="139" t="n"/>
      <x:c r="E30" s="139" t="n"/>
      <x:c r="F30" s="139" t="n"/>
      <x:c r="G30" s="139" t="n"/>
      <x:c r="H30" s="139" t="n"/>
      <x:c r="I30" s="139" t="n"/>
      <x:c r="J30" s="139" t="n"/>
      <x:c r="K30" s="139" t="n"/>
      <x:c r="L30" s="139" t="n"/>
      <x:c r="M30" s="139" t="n"/>
      <x:c r="N30" s="139" t="n"/>
      <x:c r="O30" s="139" t="n"/>
      <x:c r="P30" s="139" t="n"/>
      <x:c r="Q30" s="139" t="n"/>
      <x:c r="R30" s="139" t="n"/>
      <x:c r="S30" s="139" t="n"/>
      <x:c r="T30" s="139" t="n"/>
      <x:c r="U30" s="139" t="n"/>
      <x:c r="V30" s="139" t="n"/>
      <x:c r="W30" s="139" t="n"/>
    </x:row>
  </x:sheetData>
  <x:conditionalFormatting sqref="T2:T21">
    <x:cfRule type="dataBar" priority="1">
      <x:dataBar>
        <x:cfvo type="min"/>
        <x:cfvo type="max"/>
        <x:color rgb="FFA02B93"/>
      </x:dataBar>
    </x:cfRule>
  </x:conditionalFormatting>
  <x:conditionalFormatting sqref="V2:V21">
    <x:cfRule type="colorScale" priority="2">
      <x:colorScale>
        <x:cfvo type="min"/>
        <x:cfvo type="percentile" val="50"/>
        <x:cfvo type="max"/>
        <x:color rgb="FFF4CCCC"/>
        <x:color rgb="FFFFF2CC"/>
        <x:color rgb="FFD9EAD3"/>
      </x:colorScale>
    </x:cfRule>
  </x:conditionalFormatting>
  <x:conditionalFormatting sqref="U2:U21">
    <x:cfRule type="expression" dxfId="1" priority="3">
      <x:formula>$U2="Elite"</x:formula>
    </x:cfRule>
    <x:cfRule type="expression" dxfId="2" priority="4">
      <x:formula>$U2="A"</x:formula>
    </x:cfRule>
    <x:cfRule type="expression" dxfId="3" priority="5">
      <x:formula>$U2="D"</x:formula>
    </x:cfRule>
  </x:conditionalFormatting>
  <x:pageMargins left="0.7" right="0.7" top="0.75" bottom="0.75" header="0.3" footer="0.3"/>
  <x:tableParts count="1">
    <x:tablePart xmlns:r="http://schemas.openxmlformats.org/officeDocument/2006/relationships" r:id="R80b1cf5cb7fc42d7"/>
  </x:tableParts>
</x:worksheet>
</file>

<file path=xl/worksheets/sheet13.xml><?xml version="1.0" encoding="utf-8"?>
<x:worksheet xmlns:x="http://schemas.openxmlformats.org/spreadsheetml/2006/main">
  <x:sheetFormatPr baseColWidth="8" defaultRowHeight="15"/>
  <x:cols>
    <x:col min="1" max="1" width="24" style="125" customWidth="1"/>
    <x:col min="2" max="2" width="58" style="125" customWidth="1"/>
    <x:col min="3" max="3" width="58" style="125" customWidth="1"/>
    <x:col min="4" max="4" width="48" style="125" customWidth="1"/>
  </x:cols>
  <x:sheetData>
    <x:row r="1">
      <x:c r="A1" s="70" t="inlineStr">
        <x:is>
          <x:t xml:space="preserve">FLPR Rating v1.0 — Methodology</x:t>
        </x:is>
      </x:c>
      <x:c r="B1" s="1" t="n"/>
      <x:c r="C1" s="1" t="n"/>
      <x:c r="D1" s="1" t="n"/>
    </x:row>
    <x:row r="2">
      <x:c r="A2" s="139" t="n"/>
      <x:c r="B2" s="139" t="n"/>
      <x:c r="C2" s="139" t="n"/>
      <x:c r="D2" s="139" t="n"/>
    </x:row>
    <x:row r="3">
      <x:c r="A3" s="52" t="inlineStr">
        <x:is>
          <x:t xml:space="preserve">Step</x:t>
        </x:is>
      </x:c>
      <x:c r="B3" s="52" t="inlineStr">
        <x:is>
          <x:t xml:space="preserve">Formula / Rule</x:t>
        </x:is>
      </x:c>
      <x:c r="C3" s="52" t="inlineStr">
        <x:is>
          <x:t xml:space="preserve">Reason</x:t>
        </x:is>
      </x:c>
      <x:c r="D3" s="52" t="inlineStr">
        <x:is>
          <x:t xml:space="preserve">Interpretation</x:t>
        </x:is>
      </x:c>
    </x:row>
    <x:row r="4">
      <x:c r="A4" s="139" t="inlineStr">
        <x:is>
          <x:t xml:space="preserve">1. Adjusted Win %</x:t>
        </x:is>
      </x:c>
      <x:c r="B4" s="139" t="inlineStr">
        <x:is>
          <x:t xml:space="preserve">(Wins + Prior Matches × Prior Win Rate) / (MP + Prior Matches)</x:t>
        </x:is>
      </x:c>
      <x:c r="C4" s="139" t="inlineStr">
        <x:is>
          <x:t xml:space="preserve">Prevents a 4–0 record from automatically outranking a strong 15–5 record.</x:t>
        </x:is>
      </x:c>
      <x:c r="D4" s="139" t="inlineStr">
        <x:is>
          <x:t xml:space="preserve">Stabilized win performance.</x:t>
        </x:is>
      </x:c>
    </x:row>
    <x:row r="5">
      <x:c r="A5" s="139" t="inlineStr">
        <x:is>
          <x:t xml:space="preserve">2. Component Scores</x:t>
        </x:is>
      </x:c>
      <x:c r="B5" s="139" t="inlineStr">
        <x:is>
          <x:t xml:space="preserve">Win, dominance, expectation, schedule, consistency, clutch, versatility, and recent form.</x:t>
        </x:is>
      </x:c>
      <x:c r="C5" s="139" t="inlineStr">
        <x:is>
          <x:t xml:space="preserve">Measures different dimensions of player quality.</x:t>
        </x:is>
      </x:c>
      <x:c r="D5" s="139" t="inlineStr">
        <x:is>
          <x:t xml:space="preserve">Each score is placed on a 0–100 scale.</x:t>
        </x:is>
      </x:c>
    </x:row>
    <x:row r="6">
      <x:c r="A6" s="139" t="inlineStr">
        <x:is>
          <x:t xml:space="preserve">3. Raw Composite</x:t>
        </x:is>
      </x:c>
      <x:c r="B6" s="139" t="inlineStr">
        <x:is>
          <x:t xml:space="preserve">Weighted sum using the Rating Settings sheet.</x:t>
        </x:is>
      </x:c>
      <x:c r="C6" s="139" t="inlineStr">
        <x:is>
          <x:t xml:space="preserve">Keeps the model transparent and adjustable.</x:t>
        </x:is>
      </x:c>
      <x:c r="D6" s="139" t="inlineStr">
        <x:is>
          <x:t xml:space="preserve">Score before reliability adjustment.</x:t>
        </x:is>
      </x:c>
    </x:row>
    <x:row r="7">
      <x:c r="A7" s="139" t="inlineStr">
        <x:is>
          <x:t xml:space="preserve">4. Reliability</x:t>
        </x:is>
      </x:c>
      <x:c r="B7" s="139" t="inlineStr">
        <x:is>
          <x:t xml:space="preserve">Floor + Variable Share × MP/(MP + Prior Matches)</x:t>
        </x:is>
      </x:c>
      <x:c r="C7" s="139" t="inlineStr">
        <x:is>
          <x:t xml:space="preserve">Reduces volatility from small samples without erasing strong performance.</x:t>
        </x:is>
      </x:c>
      <x:c r="D7" s="139" t="inlineStr">
        <x:is>
          <x:t xml:space="preserve">Higher match volume gives greater confidence.</x:t>
        </x:is>
      </x:c>
    </x:row>
    <x:row r="8">
      <x:c r="A8" s="139" t="inlineStr">
        <x:is>
          <x:t xml:space="preserve">5. FLPR Rating</x:t>
        </x:is>
      </x:c>
      <x:c r="B8" s="139" t="inlineStr">
        <x:is>
          <x:t xml:space="preserve">50 + (Raw Composite − 50) × Reliability</x:t>
        </x:is>
      </x:c>
      <x:c r="C8" s="139" t="inlineStr">
        <x:is>
          <x:t xml:space="preserve">Pulls uncertain ratings moderately toward neutral 50.</x:t>
        </x:is>
      </x:c>
      <x:c r="D8" s="139" t="inlineStr">
        <x:is>
          <x:t xml:space="preserve">Official Stage 5 rating.</x:t>
        </x:is>
      </x:c>
    </x:row>
    <x:row r="9">
      <x:c r="A9" s="139" t="inlineStr">
        <x:is>
          <x:t xml:space="preserve">6. Tier</x:t>
        </x:is>
      </x:c>
      <x:c r="B9" s="139" t="inlineStr">
        <x:is>
          <x:t xml:space="preserve">Elite ≥75; A ≥65; B ≥55; C ≥45; D &lt;45</x:t>
        </x:is>
      </x:c>
      <x:c r="C9" s="139" t="inlineStr">
        <x:is>
          <x:t xml:space="preserve">Creates practical skill groups.</x:t>
        </x:is>
      </x:c>
      <x:c r="D9" s="139" t="inlineStr">
        <x:is>
          <x:t xml:space="preserve">Tier is relative to the current FLPR population and model.</x:t>
        </x:is>
      </x:c>
    </x:row>
    <x:row r="10">
      <x:c r="A10" s="139" t="inlineStr">
        <x:is>
          <x:t xml:space="preserve">7. Status</x:t>
        </x:is>
      </x:c>
      <x:c r="B10" s="139" t="inlineStr">
        <x:is>
          <x:t xml:space="preserve">Provisional &lt;6 MP; Developing 6–11 MP; Established ≥12 MP</x:t>
        </x:is>
      </x:c>
      <x:c r="C10" s="139" t="inlineStr">
        <x:is>
          <x:t xml:space="preserve">Shows rating confidence separately from ability.</x:t>
        </x:is>
      </x:c>
      <x:c r="D10" s="139" t="inlineStr">
        <x:is>
          <x:t xml:space="preserve">A high provisional rating still needs more data.</x:t>
        </x:is>
      </x:c>
    </x:row>
    <x:row r="11">
      <x:c r="A11" s="139" t="inlineStr">
        <x:is>
          <x:t xml:space="preserve">Important</x:t>
        </x:is>
      </x:c>
      <x:c r="B11" s="139" t="inlineStr">
        <x:is>
          <x:t xml:space="preserve">Stage 5 ranks current performance; Stage 6 will convert ratings into handicaps.</x:t>
        </x:is>
      </x:c>
      <x:c r="C11" s="139" t="inlineStr">
        <x:is>
          <x:t xml:space="preserve">Rating and handicap are related but not identical.</x:t>
        </x:is>
      </x:c>
      <x:c r="D11" s="139" t="inlineStr">
        <x:is>
          <x:t xml:space="preserve">Do not apply handicap directly from Tier alone.</x:t>
        </x:is>
      </x:c>
    </x:row>
    <x:row r="12">
      <x:c r="A12" s="139" t="n"/>
      <x:c r="B12" s="139" t="n"/>
      <x:c r="C12" s="139" t="n"/>
      <x:c r="D12" s="139" t="n"/>
    </x:row>
    <x:row r="13">
      <x:c r="A13" s="139" t="n"/>
      <x:c r="B13" s="139" t="n"/>
      <x:c r="C13" s="139" t="n"/>
      <x:c r="D13" s="139" t="n"/>
    </x:row>
    <x:row r="14">
      <x:c r="A14" s="139" t="n"/>
      <x:c r="B14" s="139" t="n"/>
      <x:c r="C14" s="139" t="n"/>
      <x:c r="D14" s="139" t="n"/>
    </x:row>
    <x:row r="15">
      <x:c r="A15" s="139" t="n"/>
      <x:c r="B15" s="139" t="n"/>
      <x:c r="C15" s="139" t="n"/>
      <x:c r="D15" s="139" t="n"/>
    </x:row>
    <x:row r="16">
      <x:c r="A16" s="139" t="n"/>
      <x:c r="B16" s="139" t="n"/>
      <x:c r="C16" s="139" t="n"/>
      <x:c r="D16" s="139" t="n"/>
    </x:row>
    <x:row r="17">
      <x:c r="A17" s="139" t="n"/>
      <x:c r="B17" s="139" t="n"/>
      <x:c r="C17" s="139" t="n"/>
      <x:c r="D17" s="139" t="n"/>
    </x:row>
    <x:row r="18">
      <x:c r="A18" s="139" t="n"/>
      <x:c r="B18" s="139" t="n"/>
      <x:c r="C18" s="139" t="n"/>
      <x:c r="D18" s="139" t="n"/>
    </x:row>
    <x:row r="19">
      <x:c r="A19" s="139" t="n"/>
      <x:c r="B19" s="139" t="n"/>
      <x:c r="C19" s="139" t="n"/>
      <x:c r="D19" s="139" t="n"/>
    </x:row>
    <x:row r="20">
      <x:c r="A20" s="139" t="n"/>
      <x:c r="B20" s="139" t="n"/>
      <x:c r="C20" s="139" t="n"/>
      <x:c r="D20" s="139" t="n"/>
    </x:row>
  </x:sheetData>
  <x:mergeCells>
    <x:mergeCell ref="A1:D1"/>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7" style="125" customWidth="1"/>
    <x:col min="2" max="2" width="17" style="125" customWidth="1"/>
    <x:col min="3" max="3" width="8" style="125" customWidth="1"/>
    <x:col min="4" max="4" width="14" style="125" customWidth="1"/>
    <x:col min="5" max="5" width="11" style="125" customWidth="1"/>
    <x:col min="6" max="6" width="11" style="125" customWidth="1"/>
    <x:col min="7" max="7" width="12" style="125" customWidth="1"/>
    <x:col min="8" max="8" width="13" style="125" customWidth="1"/>
    <x:col min="9" max="9" width="12" style="125" customWidth="1"/>
    <x:col min="10" max="10" width="9" style="125" customWidth="1"/>
  </x:cols>
  <x:sheetData>
    <x:row r="1">
      <x:c r="A1" s="70" t="inlineStr">
        <x:is>
          <x:t xml:space="preserve">FLPR Stage 5 — Official Rating &amp; Ranking v1.0</x:t>
        </x:is>
      </x:c>
      <x:c r="B1" s="1" t="n"/>
      <x:c r="C1" s="1" t="n"/>
      <x:c r="D1" s="1" t="n"/>
      <x:c r="E1" s="1" t="n"/>
      <x:c r="F1" s="1" t="n"/>
      <x:c r="G1" s="1" t="n"/>
      <x:c r="H1" s="1" t="n"/>
      <x:c r="I1" s="1" t="n"/>
      <x:c r="J1" s="1" t="n"/>
    </x:row>
    <x:row r="2">
      <x:c r="A2" s="139" t="n"/>
      <x:c r="B2" s="139" t="n"/>
      <x:c r="C2" s="139" t="n"/>
      <x:c r="D2" s="139" t="n"/>
      <x:c r="E2" s="139" t="n"/>
      <x:c r="F2" s="139" t="n"/>
      <x:c r="G2" s="139" t="n"/>
      <x:c r="H2" s="139" t="n"/>
      <x:c r="I2" s="139" t="n"/>
      <x:c r="J2" s="139" t="n"/>
    </x:row>
    <x:row r="3">
      <x:c r="A3" s="52" t="inlineStr">
        <x:is>
          <x:t xml:space="preserve">KPI</x:t>
        </x:is>
      </x:c>
      <x:c r="B3" s="52" t="inlineStr">
        <x:is>
          <x:t xml:space="preserve">Value</x:t>
        </x:is>
      </x:c>
      <x:c r="C3" s="139" t="n"/>
      <x:c r="D3" s="52" t="inlineStr">
        <x:is>
          <x:t xml:space="preserve">Tier</x:t>
        </x:is>
      </x:c>
      <x:c r="E3" s="52" t="inlineStr">
        <x:is>
          <x:t xml:space="preserve">Minimum</x:t>
        </x:is>
      </x:c>
      <x:c r="F3" s="52" t="inlineStr">
        <x:is>
          <x:t xml:space="preserve">Meaning</x:t>
        </x:is>
      </x:c>
      <x:c r="G3" s="139" t="n"/>
      <x:c r="H3" s="139" t="n"/>
      <x:c r="I3" s="139" t="n"/>
      <x:c r="J3" s="139" t="n"/>
    </x:row>
    <x:row r="4">
      <x:c r="A4" s="139" t="inlineStr">
        <x:is>
          <x:t xml:space="preserve">Players</x:t>
        </x:is>
      </x:c>
      <x:c r="B4" s="139" t="n">
        <x:v>20</x:v>
      </x:c>
      <x:c r="C4" s="139" t="n"/>
      <x:c r="D4" s="139" t="inlineStr">
        <x:is>
          <x:t xml:space="preserve">Elite</x:t>
        </x:is>
      </x:c>
      <x:c r="E4" s="139" t="n">
        <x:v>75</x:v>
      </x:c>
      <x:c r="F4" s="139" t="inlineStr">
        <x:is>
          <x:t xml:space="preserve">Exceptional</x:t>
        </x:is>
      </x:c>
      <x:c r="G4" s="139" t="n"/>
      <x:c r="H4" s="139" t="n"/>
      <x:c r="I4" s="139" t="n"/>
      <x:c r="J4" s="139" t="n"/>
    </x:row>
    <x:row r="5">
      <x:c r="A5" s="139" t="inlineStr">
        <x:is>
          <x:t xml:space="preserve">Matches</x:t>
        </x:is>
      </x:c>
      <x:c r="B5" s="139" t="n">
        <x:v>57</x:v>
      </x:c>
      <x:c r="C5" s="139" t="n"/>
      <x:c r="D5" s="139" t="inlineStr">
        <x:is>
          <x:t xml:space="preserve">A</x:t>
        </x:is>
      </x:c>
      <x:c r="E5" s="139" t="n">
        <x:v>65</x:v>
      </x:c>
      <x:c r="F5" s="139" t="inlineStr">
        <x:is>
          <x:t xml:space="preserve">Advanced</x:t>
        </x:is>
      </x:c>
      <x:c r="G5" s="139" t="n"/>
      <x:c r="H5" s="139" t="n"/>
      <x:c r="I5" s="139" t="n"/>
      <x:c r="J5" s="139" t="n"/>
    </x:row>
    <x:row r="6">
      <x:c r="A6" s="139" t="inlineStr">
        <x:is>
          <x:t xml:space="preserve">Player Records</x:t>
        </x:is>
      </x:c>
      <x:c r="B6" s="139" t="n">
        <x:v>228</x:v>
      </x:c>
      <x:c r="C6" s="139" t="n"/>
      <x:c r="D6" s="139" t="inlineStr">
        <x:is>
          <x:t xml:space="preserve">B</x:t>
        </x:is>
      </x:c>
      <x:c r="E6" s="139" t="n">
        <x:v>55</x:v>
      </x:c>
      <x:c r="F6" s="139" t="inlineStr">
        <x:is>
          <x:t xml:space="preserve">Strong intermediate</x:t>
        </x:is>
      </x:c>
      <x:c r="G6" s="139" t="n"/>
      <x:c r="H6" s="139" t="n"/>
      <x:c r="I6" s="139" t="n"/>
      <x:c r="J6" s="139" t="n"/>
    </x:row>
    <x:row r="7">
      <x:c r="A7" s="139" t="inlineStr">
        <x:is>
          <x:t xml:space="preserve">Rating Baseline</x:t>
        </x:is>
      </x:c>
      <x:c r="B7" s="139" t="n">
        <x:v>50</x:v>
      </x:c>
      <x:c r="C7" s="139" t="n"/>
      <x:c r="D7" s="139" t="inlineStr">
        <x:is>
          <x:t xml:space="preserve">C</x:t>
        </x:is>
      </x:c>
      <x:c r="E7" s="139" t="n">
        <x:v>45</x:v>
      </x:c>
      <x:c r="F7" s="139" t="inlineStr">
        <x:is>
          <x:t xml:space="preserve">Developing</x:t>
        </x:is>
      </x:c>
      <x:c r="G7" s="139" t="n"/>
      <x:c r="H7" s="139" t="n"/>
      <x:c r="I7" s="139" t="n"/>
      <x:c r="J7" s="139" t="n"/>
    </x:row>
    <x:row r="8">
      <x:c r="A8" s="139" t="inlineStr">
        <x:is>
          <x:t xml:space="preserve">Prior Matches</x:t>
        </x:is>
      </x:c>
      <x:c r="B8" s="139" t="n">
        <x:f>'Rating Settings'!B4</x:f>
        <x:v>8</x:v>
      </x:c>
      <x:c r="C8" s="139" t="n"/>
      <x:c r="D8" s="139" t="inlineStr">
        <x:is>
          <x:t xml:space="preserve">D</x:t>
        </x:is>
      </x:c>
      <x:c r="E8" s="139" t="n">
        <x:v>0</x:v>
      </x:c>
      <x:c r="F8" s="139" t="inlineStr">
        <x:is>
          <x:t xml:space="preserve">Foundation</x:t>
        </x:is>
      </x:c>
      <x:c r="G8" s="139" t="n"/>
      <x:c r="H8" s="139" t="n"/>
      <x:c r="I8" s="139" t="n"/>
      <x:c r="J8" s="139" t="n"/>
    </x:row>
    <x:row r="9">
      <x:c r="A9" s="139" t="inlineStr">
        <x:is>
          <x:t xml:space="preserve">Total Weight</x:t>
        </x:is>
      </x:c>
      <x:c r="B9" s="97" t="n">
        <x:f>'Rating Settings'!B22</x:f>
        <x:v>1</x:v>
      </x:c>
      <x:c r="C9" s="139" t="n"/>
      <x:c r="D9" s="139" t="n"/>
      <x:c r="E9" s="139" t="n"/>
      <x:c r="F9" s="139" t="n"/>
      <x:c r="G9" s="139" t="n"/>
      <x:c r="H9" s="139" t="n"/>
      <x:c r="I9" s="139" t="n"/>
      <x:c r="J9" s="139" t="n"/>
    </x:row>
    <x:row r="10">
      <x:c r="A10" s="139" t="n"/>
      <x:c r="B10" s="139" t="n"/>
      <x:c r="C10" s="139" t="n"/>
      <x:c r="D10" s="139" t="n"/>
      <x:c r="E10" s="139" t="n"/>
      <x:c r="F10" s="139" t="n"/>
      <x:c r="G10" s="139" t="n"/>
      <x:c r="H10" s="139" t="n"/>
      <x:c r="I10" s="139" t="n"/>
      <x:c r="J10" s="139" t="n"/>
    </x:row>
    <x:row r="11">
      <x:c r="A11" s="52" t="inlineStr">
        <x:is>
          <x:t xml:space="preserve">Rank</x:t>
        </x:is>
      </x:c>
      <x:c r="B11" s="52" t="inlineStr">
        <x:is>
          <x:t xml:space="preserve">Player</x:t>
        </x:is>
      </x:c>
      <x:c r="C11" s="52" t="inlineStr">
        <x:is>
          <x:t xml:space="preserve">MP</x:t>
        </x:is>
      </x:c>
      <x:c r="D11" s="52" t="inlineStr">
        <x:is>
          <x:t xml:space="preserve">Adjusted Win %</x:t>
        </x:is>
      </x:c>
      <x:c r="E11" s="52" t="inlineStr">
        <x:is>
          <x:t xml:space="preserve">Dominance</x:t>
        </x:is>
      </x:c>
      <x:c r="F11" s="52" t="inlineStr">
        <x:is>
          <x:t xml:space="preserve">SOS Score</x:t>
        </x:is>
      </x:c>
      <x:c r="G11" s="52" t="inlineStr">
        <x:is>
          <x:t xml:space="preserve">Consistency</x:t>
        </x:is>
      </x:c>
      <x:c r="H11" s="52" t="inlineStr">
        <x:is>
          <x:t xml:space="preserve">Raw Composite</x:t>
        </x:is>
      </x:c>
      <x:c r="I11" s="52" t="inlineStr">
        <x:is>
          <x:t xml:space="preserve">FLPR Rating</x:t>
        </x:is>
      </x:c>
      <x:c r="J11" s="52" t="inlineStr">
        <x:is>
          <x:t xml:space="preserve">Tier</x:t>
        </x:is>
      </x:c>
    </x:row>
    <x:row r="12">
      <x:c r="A12" s="139" t="n">
        <x:v>1</x:v>
      </x:c>
      <x:c r="B12" s="139" t="str">
        <x:f>INDEX('FLPR Rating'!$B$2:$B$21,MATCH(I12,'FLPR Rating'!$T$2:$T$21,0))</x:f>
        <x:v>Sandy</x:v>
      </x:c>
      <x:c r="C12" s="139" t="n">
        <x:f>INDEX('FLPR Rating'!$C$2:$C$21,MATCH(I12,'FLPR Rating'!$T$2:$T$21,0))</x:f>
        <x:v>13</x:v>
      </x:c>
      <x:c r="D12" s="93" t="n">
        <x:f>INDEX('FLPR Rating'!$G$2:$G$21,MATCH(I12,'FLPR Rating'!$T$2:$T$21,0))</x:f>
        <x:v>0.7142857142857143</x:v>
      </x:c>
      <x:c r="E12" s="95" t="n">
        <x:f>INDEX('FLPR Rating'!$I$2:$I$21,MATCH(I12,'FLPR Rating'!$T$2:$T$21,0))</x:f>
        <x:v>100</x:v>
      </x:c>
      <x:c r="F12" s="95" t="n">
        <x:f>INDEX('FLPR Rating'!$M$2:$M$21,MATCH(I12,'FLPR Rating'!$T$2:$T$21,0))</x:f>
        <x:v>50.22319315768154</x:v>
      </x:c>
      <x:c r="G12" s="95" t="n">
        <x:f>INDEX('FLPR Rating'!$N$2:$N$21,MATCH(I12,'FLPR Rating'!$T$2:$T$21,0))</x:f>
        <x:v>51.76022648543781</x:v>
      </x:c>
      <x:c r="H12" s="95" t="n">
        <x:f>INDEX('FLPR Rating'!$R$2:$R$21,MATCH(I12,'FLPR Rating'!$T$2:$T$21,0))</x:f>
        <x:v>73.66892271181968</x:v>
      </x:c>
      <x:c r="I12" s="95" t="n">
        <x:f>LARGE('FLPR Rating'!$T$2:$T$21,A12)</x:f>
        <x:v>70.51306635024372</x:v>
      </x:c>
      <x:c r="J12" s="139" t="str">
        <x:f>INDEX('FLPR Rating'!$U$2:$U$21,MATCH(I12,'FLPR Rating'!$T$2:$T$21,0))</x:f>
        <x:v>A</x:v>
      </x:c>
    </x:row>
    <x:row r="13">
      <x:c r="A13" s="139" t="n">
        <x:v>2</x:v>
      </x:c>
      <x:c r="B13" s="139" t="str">
        <x:f>INDEX('FLPR Rating'!$B$2:$B$21,MATCH(I13,'FLPR Rating'!$T$2:$T$21,0))</x:f>
        <x:v>Thohir</x:v>
      </x:c>
      <x:c r="C13" s="139" t="n">
        <x:f>INDEX('FLPR Rating'!$C$2:$C$21,MATCH(I13,'FLPR Rating'!$T$2:$T$21,0))</x:f>
        <x:v>4</x:v>
      </x:c>
      <x:c r="D13" s="93" t="n">
        <x:f>INDEX('FLPR Rating'!$G$2:$G$21,MATCH(I13,'FLPR Rating'!$T$2:$T$21,0))</x:f>
        <x:v>0.6666666666666666</x:v>
      </x:c>
      <x:c r="E13" s="95" t="n">
        <x:f>INDEX('FLPR Rating'!$I$2:$I$21,MATCH(I13,'FLPR Rating'!$T$2:$T$21,0))</x:f>
        <x:v>65.99236641221374</x:v>
      </x:c>
      <x:c r="F13" s="95" t="n">
        <x:f>INDEX('FLPR Rating'!$M$2:$M$21,MATCH(I13,'FLPR Rating'!$T$2:$T$21,0))</x:f>
        <x:v>28.18329477777234</x:v>
      </x:c>
      <x:c r="G13" s="95" t="n">
        <x:f>INDEX('FLPR Rating'!$N$2:$N$21,MATCH(I13,'FLPR Rating'!$T$2:$T$21,0))</x:f>
        <x:v>97.3317320214429</x:v>
      </x:c>
      <x:c r="H13" s="95" t="n">
        <x:f>INDEX('FLPR Rating'!$R$2:$R$21,MATCH(I13,'FLPR Rating'!$T$2:$T$21,0))</x:f>
        <x:v>69.13330929569761</x:v>
      </x:c>
      <x:c r="I13" s="95" t="n">
        <x:f>LARGE('FLPR Rating'!$T$2:$T$21,A13)</x:f>
        <x:v>64.66887046003484</x:v>
      </x:c>
      <x:c r="J13" s="139" t="str">
        <x:f>INDEX('FLPR Rating'!$U$2:$U$21,MATCH(I13,'FLPR Rating'!$T$2:$T$21,0))</x:f>
        <x:v>B</x:v>
      </x:c>
    </x:row>
    <x:row r="14">
      <x:c r="A14" s="139" t="n">
        <x:v>3</x:v>
      </x:c>
      <x:c r="B14" s="139" t="str">
        <x:f>INDEX('FLPR Rating'!$B$2:$B$21,MATCH(I14,'FLPR Rating'!$T$2:$T$21,0))</x:f>
        <x:v>Austin</x:v>
      </x:c>
      <x:c r="C14" s="139" t="n">
        <x:f>INDEX('FLPR Rating'!$C$2:$C$21,MATCH(I14,'FLPR Rating'!$T$2:$T$21,0))</x:f>
        <x:v>14</x:v>
      </x:c>
      <x:c r="D14" s="93" t="n">
        <x:f>INDEX('FLPR Rating'!$G$2:$G$21,MATCH(I14,'FLPR Rating'!$T$2:$T$21,0))</x:f>
        <x:v>0.5909090909090909</x:v>
      </x:c>
      <x:c r="E14" s="95" t="n">
        <x:f>INDEX('FLPR Rating'!$I$2:$I$21,MATCH(I14,'FLPR Rating'!$T$2:$T$21,0))</x:f>
        <x:v>82.43729552889857</x:v>
      </x:c>
      <x:c r="F14" s="95" t="n">
        <x:f>INDEX('FLPR Rating'!$M$2:$M$21,MATCH(I14,'FLPR Rating'!$T$2:$T$21,0))</x:f>
        <x:v>60.03689732032985</x:v>
      </x:c>
      <x:c r="G14" s="95" t="n">
        <x:f>INDEX('FLPR Rating'!$N$2:$N$21,MATCH(I14,'FLPR Rating'!$T$2:$T$21,0))</x:f>
        <x:v>19.19195872565471</x:v>
      </x:c>
      <x:c r="H14" s="95" t="n">
        <x:f>INDEX('FLPR Rating'!$R$2:$R$21,MATCH(I14,'FLPR Rating'!$T$2:$T$21,0))</x:f>
        <x:v>60.771748226628034</x:v>
      </x:c>
      <x:c r="I14" s="95" t="n">
        <x:f>LARGE('FLPR Rating'!$T$2:$T$21,A14)</x:f>
        <x:v>59.40079845232992</x:v>
      </x:c>
      <x:c r="J14" s="139" t="str">
        <x:f>INDEX('FLPR Rating'!$U$2:$U$21,MATCH(I14,'FLPR Rating'!$T$2:$T$21,0))</x:f>
        <x:v>B</x:v>
      </x:c>
    </x:row>
    <x:row r="15">
      <x:c r="A15" s="139" t="n">
        <x:v>4</x:v>
      </x:c>
      <x:c r="B15" s="139" t="str">
        <x:f>INDEX('FLPR Rating'!$B$2:$B$21,MATCH(I15,'FLPR Rating'!$T$2:$T$21,0))</x:f>
        <x:v>Rey</x:v>
      </x:c>
      <x:c r="C15" s="139" t="n">
        <x:f>INDEX('FLPR Rating'!$C$2:$C$21,MATCH(I15,'FLPR Rating'!$T$2:$T$21,0))</x:f>
        <x:v>7</x:v>
      </x:c>
      <x:c r="D15" s="93" t="n">
        <x:f>INDEX('FLPR Rating'!$G$2:$G$21,MATCH(I15,'FLPR Rating'!$T$2:$T$21,0))</x:f>
        <x:v>0.6</x:v>
      </x:c>
      <x:c r="E15" s="95" t="n">
        <x:f>INDEX('FLPR Rating'!$I$2:$I$21,MATCH(I15,'FLPR Rating'!$T$2:$T$21,0))</x:f>
        <x:v>73.1515812431843</x:v>
      </x:c>
      <x:c r="F15" s="95" t="n">
        <x:f>INDEX('FLPR Rating'!$M$2:$M$21,MATCH(I15,'FLPR Rating'!$T$2:$T$21,0))</x:f>
        <x:v>58.921803697115</x:v>
      </x:c>
      <x:c r="G15" s="95" t="n">
        <x:f>INDEX('FLPR Rating'!$N$2:$N$21,MATCH(I15,'FLPR Rating'!$T$2:$T$21,0))</x:f>
        <x:v>47.09650160189037</x:v>
      </x:c>
      <x:c r="H15" s="95" t="n">
        <x:f>INDEX('FLPR Rating'!$R$2:$R$21,MATCH(I15,'FLPR Rating'!$T$2:$T$21,0))</x:f>
        <x:v>61.51939408451354</x:v>
      </x:c>
      <x:c r="I15" s="95" t="n">
        <x:f>LARGE('FLPR Rating'!$T$2:$T$21,A15)</x:f>
        <x:v>59.36910718873768</x:v>
      </x:c>
      <x:c r="J15" s="139" t="str">
        <x:f>INDEX('FLPR Rating'!$U$2:$U$21,MATCH(I15,'FLPR Rating'!$T$2:$T$21,0))</x:f>
        <x:v>B</x:v>
      </x:c>
    </x:row>
    <x:row r="16">
      <x:c r="A16" s="139" t="n">
        <x:v>5</x:v>
      </x:c>
      <x:c r="B16" s="139" t="str">
        <x:f>INDEX('FLPR Rating'!$B$2:$B$21,MATCH(I16,'FLPR Rating'!$T$2:$T$21,0))</x:f>
        <x:v>Ronald</x:v>
      </x:c>
      <x:c r="C16" s="139" t="n">
        <x:f>INDEX('FLPR Rating'!$C$2:$C$21,MATCH(I16,'FLPR Rating'!$T$2:$T$21,0))</x:f>
        <x:v>18</x:v>
      </x:c>
      <x:c r="D16" s="93" t="n">
        <x:f>INDEX('FLPR Rating'!$G$2:$G$21,MATCH(I16,'FLPR Rating'!$T$2:$T$21,0))</x:f>
        <x:v>0.6153846153846154</x:v>
      </x:c>
      <x:c r="E16" s="95" t="n">
        <x:f>INDEX('FLPR Rating'!$I$2:$I$21,MATCH(I16,'FLPR Rating'!$T$2:$T$21,0))</x:f>
        <x:v>63.84223918575063</x:v>
      </x:c>
      <x:c r="F16" s="95" t="n">
        <x:f>INDEX('FLPR Rating'!$M$2:$M$21,MATCH(I16,'FLPR Rating'!$T$2:$T$21,0))</x:f>
        <x:v>52.20812619973425</x:v>
      </x:c>
      <x:c r="G16" s="95" t="n">
        <x:f>INDEX('FLPR Rating'!$N$2:$N$21,MATCH(I16,'FLPR Rating'!$T$2:$T$21,0))</x:f>
        <x:v>43.57453202312175</x:v>
      </x:c>
      <x:c r="H16" s="95" t="n">
        <x:f>INDEX('FLPR Rating'!$R$2:$R$21,MATCH(I16,'FLPR Rating'!$T$2:$T$21,0))</x:f>
        <x:v>59.40333151711594</x:v>
      </x:c>
      <x:c r="I16" s="95" t="n">
        <x:f>LARGE('FLPR Rating'!$T$2:$T$21,A16)</x:f>
        <x:v>58.39066504604191</x:v>
      </x:c>
      <x:c r="J16" s="139" t="str">
        <x:f>INDEX('FLPR Rating'!$U$2:$U$21,MATCH(I16,'FLPR Rating'!$T$2:$T$21,0))</x:f>
        <x:v>B</x:v>
      </x:c>
    </x:row>
    <x:row r="17">
      <x:c r="A17" s="139" t="n">
        <x:v>6</x:v>
      </x:c>
      <x:c r="B17" s="139" t="str">
        <x:f>INDEX('FLPR Rating'!$B$2:$B$21,MATCH(I17,'FLPR Rating'!$T$2:$T$21,0))</x:f>
        <x:v>Ricky</x:v>
      </x:c>
      <x:c r="C17" s="139" t="n">
        <x:f>INDEX('FLPR Rating'!$C$2:$C$21,MATCH(I17,'FLPR Rating'!$T$2:$T$21,0))</x:f>
        <x:v>26</x:v>
      </x:c>
      <x:c r="D17" s="93" t="n">
        <x:f>INDEX('FLPR Rating'!$G$2:$G$21,MATCH(I17,'FLPR Rating'!$T$2:$T$21,0))</x:f>
        <x:v>0.5882352941176471</x:v>
      </x:c>
      <x:c r="E17" s="95" t="n">
        <x:f>INDEX('FLPR Rating'!$I$2:$I$21,MATCH(I17,'FLPR Rating'!$T$2:$T$21,0))</x:f>
        <x:v>63.81679389312977</x:v>
      </x:c>
      <x:c r="F17" s="95" t="n">
        <x:f>INDEX('FLPR Rating'!$M$2:$M$21,MATCH(I17,'FLPR Rating'!$T$2:$T$21,0))</x:f>
        <x:v>41.46314567944236</x:v>
      </x:c>
      <x:c r="G17" s="95" t="n">
        <x:f>INDEX('FLPR Rating'!$N$2:$N$21,MATCH(I17,'FLPR Rating'!$T$2:$T$21,0))</x:f>
        <x:v>9.30889292718517</x:v>
      </x:c>
      <x:c r="H17" s="95" t="n">
        <x:f>INDEX('FLPR Rating'!$R$2:$R$21,MATCH(I17,'FLPR Rating'!$T$2:$T$21,0))</x:f>
        <x:v>54.45253403231153</x:v>
      </x:c>
      <x:c r="I17" s="95" t="n">
        <x:f>LARGE('FLPR Rating'!$T$2:$T$21,A17)</x:f>
        <x:v>54.08585475906235</x:v>
      </x:c>
      <x:c r="J17" s="139" t="str">
        <x:f>INDEX('FLPR Rating'!$U$2:$U$21,MATCH(I17,'FLPR Rating'!$T$2:$T$21,0))</x:f>
        <x:v>C</x:v>
      </x:c>
    </x:row>
    <x:row r="18">
      <x:c r="A18" s="139" t="n">
        <x:v>7</x:v>
      </x:c>
      <x:c r="B18" s="139" t="str">
        <x:f>INDEX('FLPR Rating'!$B$2:$B$21,MATCH(I18,'FLPR Rating'!$T$2:$T$21,0))</x:f>
        <x:v>Jonathan</x:v>
      </x:c>
      <x:c r="C18" s="139" t="n">
        <x:f>INDEX('FLPR Rating'!$C$2:$C$21,MATCH(I18,'FLPR Rating'!$T$2:$T$21,0))</x:f>
        <x:v>6</x:v>
      </x:c>
      <x:c r="D18" s="93" t="n">
        <x:f>INDEX('FLPR Rating'!$G$2:$G$21,MATCH(I18,'FLPR Rating'!$T$2:$T$21,0))</x:f>
        <x:v>0.5714285714285714</x:v>
      </x:c>
      <x:c r="E18" s="95" t="n">
        <x:f>INDEX('FLPR Rating'!$I$2:$I$21,MATCH(I18,'FLPR Rating'!$T$2:$T$21,0))</x:f>
        <x:v>56.39949109414758</x:v>
      </x:c>
      <x:c r="F18" s="95" t="n">
        <x:f>INDEX('FLPR Rating'!$M$2:$M$21,MATCH(I18,'FLPR Rating'!$T$2:$T$21,0))</x:f>
        <x:v>57.99576709159816</x:v>
      </x:c>
      <x:c r="G18" s="95" t="n">
        <x:f>INDEX('FLPR Rating'!$N$2:$N$21,MATCH(I18,'FLPR Rating'!$T$2:$T$21,0))</x:f>
        <x:v>0</x:v>
      </x:c>
      <x:c r="H18" s="95" t="n">
        <x:f>INDEX('FLPR Rating'!$R$2:$R$21,MATCH(I18,'FLPR Rating'!$T$2:$T$21,0))</x:f>
        <x:v>52.32784225842849</x:v>
      </x:c>
      <x:c r="I18" s="95" t="n">
        <x:f>LARGE('FLPR Rating'!$T$2:$T$21,A18)</x:f>
        <x:v>51.86227380674279</x:v>
      </x:c>
      <x:c r="J18" s="139" t="str">
        <x:f>INDEX('FLPR Rating'!$U$2:$U$21,MATCH(I18,'FLPR Rating'!$T$2:$T$21,0))</x:f>
        <x:v>C</x:v>
      </x:c>
    </x:row>
    <x:row r="19">
      <x:c r="A19" s="139" t="n">
        <x:v>8</x:v>
      </x:c>
      <x:c r="B19" s="139" t="str">
        <x:f>INDEX('FLPR Rating'!$B$2:$B$21,MATCH(I19,'FLPR Rating'!$T$2:$T$21,0))</x:f>
        <x:v>Kennard</x:v>
      </x:c>
      <x:c r="C19" s="139" t="n">
        <x:f>INDEX('FLPR Rating'!$C$2:$C$21,MATCH(I19,'FLPR Rating'!$T$2:$T$21,0))</x:f>
        <x:v>13</x:v>
      </x:c>
      <x:c r="D19" s="93" t="n">
        <x:f>INDEX('FLPR Rating'!$G$2:$G$21,MATCH(I19,'FLPR Rating'!$T$2:$T$21,0))</x:f>
        <x:v>0.6190476190476191</x:v>
      </x:c>
      <x:c r="E19" s="95" t="n">
        <x:f>INDEX('FLPR Rating'!$I$2:$I$21,MATCH(I19,'FLPR Rating'!$T$2:$T$21,0))</x:f>
        <x:v>40.07633587786259</x:v>
      </x:c>
      <x:c r="F19" s="95" t="n">
        <x:f>INDEX('FLPR Rating'!$M$2:$M$21,MATCH(I19,'FLPR Rating'!$T$2:$T$21,0))</x:f>
        <x:v>50.293615426262974</x:v>
      </x:c>
      <x:c r="G19" s="95" t="n">
        <x:f>INDEX('FLPR Rating'!$N$2:$N$21,MATCH(I19,'FLPR Rating'!$T$2:$T$21,0))</x:f>
        <x:v>6.639888760720396</x:v>
      </x:c>
      <x:c r="H19" s="95" t="n">
        <x:f>INDEX('FLPR Rating'!$R$2:$R$21,MATCH(I19,'FLPR Rating'!$T$2:$T$21,0))</x:f>
        <x:v>50.33359478101549</x:v>
      </x:c>
      <x:c r="I19" s="95" t="n">
        <x:f>LARGE('FLPR Rating'!$T$2:$T$21,A19)</x:f>
        <x:v>50.28911547688009</x:v>
      </x:c>
      <x:c r="J19" s="139" t="str">
        <x:f>INDEX('FLPR Rating'!$U$2:$U$21,MATCH(I19,'FLPR Rating'!$T$2:$T$21,0))</x:f>
        <x:v>C</x:v>
      </x:c>
    </x:row>
    <x:row r="20">
      <x:c r="A20" s="139" t="n">
        <x:v>9</x:v>
      </x:c>
      <x:c r="B20" s="139" t="str">
        <x:f>INDEX('FLPR Rating'!$B$2:$B$21,MATCH(I20,'FLPR Rating'!$T$2:$T$21,0))</x:f>
        <x:v>Rizky</x:v>
      </x:c>
      <x:c r="C20" s="139" t="n">
        <x:f>INDEX('FLPR Rating'!$C$2:$C$21,MATCH(I20,'FLPR Rating'!$T$2:$T$21,0))</x:f>
        <x:v>6</x:v>
      </x:c>
      <x:c r="D20" s="93" t="n">
        <x:f>INDEX('FLPR Rating'!$G$2:$G$21,MATCH(I20,'FLPR Rating'!$T$2:$T$21,0))</x:f>
        <x:v>0.5714285714285714</x:v>
      </x:c>
      <x:c r="E20" s="95" t="n">
        <x:f>INDEX('FLPR Rating'!$I$2:$I$21,MATCH(I20,'FLPR Rating'!$T$2:$T$21,0))</x:f>
        <x:v>67.97709923664122</x:v>
      </x:c>
      <x:c r="F20" s="95" t="n">
        <x:f>INDEX('FLPR Rating'!$M$2:$M$21,MATCH(I20,'FLPR Rating'!$T$2:$T$21,0))</x:f>
        <x:v>0</x:v>
      </x:c>
      <x:c r="G20" s="95" t="n">
        <x:f>INDEX('FLPR Rating'!$N$2:$N$21,MATCH(I20,'FLPR Rating'!$T$2:$T$21,0))</x:f>
        <x:v>30.066747429866</x:v>
      </x:c>
      <x:c r="H20" s="95" t="n">
        <x:f>INDEX('FLPR Rating'!$R$2:$R$21,MATCH(I20,'FLPR Rating'!$T$2:$T$21,0))</x:f>
        <x:v>48.99323234911464</x:v>
      </x:c>
      <x:c r="I20" s="95" t="n">
        <x:f>LARGE('FLPR Rating'!$T$2:$T$21,A20)</x:f>
        <x:v>49.194585879291715</x:v>
      </x:c>
      <x:c r="J20" s="139" t="str">
        <x:f>INDEX('FLPR Rating'!$U$2:$U$21,MATCH(I20,'FLPR Rating'!$T$2:$T$21,0))</x:f>
        <x:v>C</x:v>
      </x:c>
    </x:row>
    <x:row r="21">
      <x:c r="A21" s="139" t="n">
        <x:v>10</x:v>
      </x:c>
      <x:c r="B21" s="139" t="str">
        <x:f>INDEX('FLPR Rating'!$B$2:$B$21,MATCH(I21,'FLPR Rating'!$T$2:$T$21,0))</x:f>
        <x:v>Edy SP</x:v>
      </x:c>
      <x:c r="C21" s="139" t="n">
        <x:f>INDEX('FLPR Rating'!$C$2:$C$21,MATCH(I21,'FLPR Rating'!$T$2:$T$21,0))</x:f>
        <x:v>30</x:v>
      </x:c>
      <x:c r="D21" s="93" t="n">
        <x:f>INDEX('FLPR Rating'!$G$2:$G$21,MATCH(I21,'FLPR Rating'!$T$2:$T$21,0))</x:f>
        <x:v>0.47368421052631576</x:v>
      </x:c>
      <x:c r="E21" s="95" t="n">
        <x:f>INDEX('FLPR Rating'!$I$2:$I$21,MATCH(I21,'FLPR Rating'!$T$2:$T$21,0))</x:f>
        <x:v>41.5470737913486</x:v>
      </x:c>
      <x:c r="F21" s="95" t="n">
        <x:f>INDEX('FLPR Rating'!$M$2:$M$21,MATCH(I21,'FLPR Rating'!$T$2:$T$21,0))</x:f>
        <x:v>59.82649997539006</x:v>
      </x:c>
      <x:c r="G21" s="95" t="n">
        <x:f>INDEX('FLPR Rating'!$N$2:$N$21,MATCH(I21,'FLPR Rating'!$T$2:$T$21,0))</x:f>
        <x:v>19.30395302445127</x:v>
      </x:c>
      <x:c r="H21" s="95" t="n">
        <x:f>INDEX('FLPR Rating'!$R$2:$R$21,MATCH(I21,'FLPR Rating'!$T$2:$T$21,0))</x:f>
        <x:v>45.56926885044465</x:v>
      </x:c>
      <x:c r="I21" s="95" t="n">
        <x:f>LARGE('FLPR Rating'!$T$2:$T$21,A21)</x:f>
        <x:v>45.89574377725399</x:v>
      </x:c>
      <x:c r="J21" s="139" t="str">
        <x:f>INDEX('FLPR Rating'!$U$2:$U$21,MATCH(I21,'FLPR Rating'!$T$2:$T$21,0))</x:f>
        <x:v>C</x:v>
      </x:c>
    </x:row>
    <x:row r="22">
      <x:c r="A22" s="139" t="n">
        <x:v>11</x:v>
      </x:c>
      <x:c r="B22" s="139" t="str">
        <x:f>INDEX('FLPR Rating'!$B$2:$B$21,MATCH(I22,'FLPR Rating'!$T$2:$T$21,0))</x:f>
        <x:v>Michael</x:v>
      </x:c>
      <x:c r="C22" s="139" t="n">
        <x:f>INDEX('FLPR Rating'!$C$2:$C$21,MATCH(I22,'FLPR Rating'!$T$2:$T$21,0))</x:f>
        <x:v>13</x:v>
      </x:c>
      <x:c r="D22" s="93" t="n">
        <x:f>INDEX('FLPR Rating'!$G$2:$G$21,MATCH(I22,'FLPR Rating'!$T$2:$T$21,0))</x:f>
        <x:v>0.47619047619047616</x:v>
      </x:c>
      <x:c r="E22" s="95" t="n">
        <x:f>INDEX('FLPR Rating'!$I$2:$I$21,MATCH(I22,'FLPR Rating'!$T$2:$T$21,0))</x:f>
        <x:v>42.59541984732824</x:v>
      </x:c>
      <x:c r="F22" s="95" t="n">
        <x:f>INDEX('FLPR Rating'!$M$2:$M$21,MATCH(I22,'FLPR Rating'!$T$2:$T$21,0))</x:f>
        <x:v>61.351047436591564</x:v>
      </x:c>
      <x:c r="G22" s="95" t="n">
        <x:f>INDEX('FLPR Rating'!$N$2:$N$21,MATCH(I22,'FLPR Rating'!$T$2:$T$21,0))</x:f>
        <x:v>19.30962877855592</x:v>
      </x:c>
      <x:c r="H22" s="95" t="n">
        <x:f>INDEX('FLPR Rating'!$R$2:$R$21,MATCH(I22,'FLPR Rating'!$T$2:$T$21,0))</x:f>
        <x:v>45.007463216662</x:v>
      </x:c>
      <x:c r="I22" s="95" t="n">
        <x:f>LARGE('FLPR Rating'!$T$2:$T$21,A22)</x:f>
        <x:v>45.67313478777373</x:v>
      </x:c>
      <x:c r="J22" s="139" t="str">
        <x:f>INDEX('FLPR Rating'!$U$2:$U$21,MATCH(I22,'FLPR Rating'!$T$2:$T$21,0))</x:f>
        <x:v>C</x:v>
      </x:c>
    </x:row>
    <x:row r="23">
      <x:c r="A23" s="139" t="n">
        <x:v>12</x:v>
      </x:c>
      <x:c r="B23" s="139" t="str">
        <x:f>INDEX('FLPR Rating'!$B$2:$B$21,MATCH(I23,'FLPR Rating'!$T$2:$T$21,0))</x:f>
        <x:v>Nicholas</x:v>
      </x:c>
      <x:c r="C23" s="139" t="n">
        <x:f>INDEX('FLPR Rating'!$C$2:$C$21,MATCH(I23,'FLPR Rating'!$T$2:$T$21,0))</x:f>
        <x:v>7</x:v>
      </x:c>
      <x:c r="D23" s="93" t="n">
        <x:f>INDEX('FLPR Rating'!$G$2:$G$21,MATCH(I23,'FLPR Rating'!$T$2:$T$21,0))</x:f>
        <x:v>0.4666666666666667</x:v>
      </x:c>
      <x:c r="E23" s="95" t="n">
        <x:f>INDEX('FLPR Rating'!$I$2:$I$21,MATCH(I23,'FLPR Rating'!$T$2:$T$21,0))</x:f>
        <x:v>28.77862595419847</x:v>
      </x:c>
      <x:c r="F23" s="95" t="n">
        <x:f>INDEX('FLPR Rating'!$M$2:$M$21,MATCH(I23,'FLPR Rating'!$T$2:$T$21,0))</x:f>
        <x:v>78.1164963893713</x:v>
      </x:c>
      <x:c r="G23" s="95" t="n">
        <x:f>INDEX('FLPR Rating'!$N$2:$N$21,MATCH(I23,'FLPR Rating'!$T$2:$T$21,0))</x:f>
        <x:v>47.09650160189037</x:v>
      </x:c>
      <x:c r="H23" s="95" t="n">
        <x:f>INDEX('FLPR Rating'!$R$2:$R$21,MATCH(I23,'FLPR Rating'!$T$2:$T$21,0))</x:f>
        <x:v>44.20005700481476</x:v>
      </x:c>
      <x:c r="I23" s="95" t="n">
        <x:f>LARGE('FLPR Rating'!$T$2:$T$21,A23)</x:f>
        <x:v>45.28271303058267</x:v>
      </x:c>
      <x:c r="J23" s="139" t="str">
        <x:f>INDEX('FLPR Rating'!$U$2:$U$21,MATCH(I23,'FLPR Rating'!$T$2:$T$21,0))</x:f>
        <x:v>C</x:v>
      </x:c>
    </x:row>
    <x:row r="24">
      <x:c r="A24" s="139" t="n">
        <x:v>13</x:v>
      </x:c>
      <x:c r="B24" s="139" t="str">
        <x:f>INDEX('FLPR Rating'!$B$2:$B$21,MATCH(I24,'FLPR Rating'!$T$2:$T$21,0))</x:f>
        <x:v>David</x:v>
      </x:c>
      <x:c r="C24" s="139" t="n">
        <x:f>INDEX('FLPR Rating'!$C$2:$C$21,MATCH(I24,'FLPR Rating'!$T$2:$T$21,0))</x:f>
        <x:v>12</x:v>
      </x:c>
      <x:c r="D24" s="93" t="n">
        <x:f>INDEX('FLPR Rating'!$G$2:$G$21,MATCH(I24,'FLPR Rating'!$T$2:$T$21,0))</x:f>
        <x:v>0.45</x:v>
      </x:c>
      <x:c r="E24" s="95" t="n">
        <x:f>INDEX('FLPR Rating'!$I$2:$I$21,MATCH(I24,'FLPR Rating'!$T$2:$T$21,0))</x:f>
        <x:v>21.99745547073792</x:v>
      </x:c>
      <x:c r="F24" s="95" t="n">
        <x:f>INDEX('FLPR Rating'!$M$2:$M$21,MATCH(I24,'FLPR Rating'!$T$2:$T$21,0))</x:f>
        <x:v>73.21824088202</x:v>
      </x:c>
      <x:c r="G24" s="95" t="n">
        <x:f>INDEX('FLPR Rating'!$N$2:$N$21,MATCH(I24,'FLPR Rating'!$T$2:$T$21,0))</x:f>
        <x:v>39.23089593949447</x:v>
      </x:c>
      <x:c r="H24" s="95" t="n">
        <x:f>INDEX('FLPR Rating'!$R$2:$R$21,MATCH(I24,'FLPR Rating'!$T$2:$T$21,0))</x:f>
        <x:v>42.28132066503668</x:v>
      </x:c>
      <x:c r="I24" s="95" t="n">
        <x:f>LARGE('FLPR Rating'!$T$2:$T$21,A24)</x:f>
        <x:v>43.36193577193154</x:v>
      </x:c>
      <x:c r="J24" s="139" t="str">
        <x:f>INDEX('FLPR Rating'!$U$2:$U$21,MATCH(I24,'FLPR Rating'!$T$2:$T$21,0))</x:f>
        <x:v>D</x:v>
      </x:c>
    </x:row>
    <x:row r="25">
      <x:c r="A25" s="139" t="n">
        <x:v>14</x:v>
      </x:c>
      <x:c r="B25" s="139" t="str">
        <x:f>INDEX('FLPR Rating'!$B$2:$B$21,MATCH(I25,'FLPR Rating'!$T$2:$T$21,0))</x:f>
        <x:v>Donny</x:v>
      </x:c>
      <x:c r="C25" s="139" t="n">
        <x:f>INDEX('FLPR Rating'!$C$2:$C$21,MATCH(I25,'FLPR Rating'!$T$2:$T$21,0))</x:f>
        <x:v>11</x:v>
      </x:c>
      <x:c r="D25" s="93" t="n">
        <x:f>INDEX('FLPR Rating'!$G$2:$G$21,MATCH(I25,'FLPR Rating'!$T$2:$T$21,0))</x:f>
        <x:v>0.42105263157894735</x:v>
      </x:c>
      <x:c r="E25" s="95" t="n">
        <x:f>INDEX('FLPR Rating'!$I$2:$I$21,MATCH(I25,'FLPR Rating'!$T$2:$T$21,0))</x:f>
        <x:v>25.89174184594032</x:v>
      </x:c>
      <x:c r="F25" s="95" t="n">
        <x:f>INDEX('FLPR Rating'!$M$2:$M$21,MATCH(I25,'FLPR Rating'!$T$2:$T$21,0))</x:f>
        <x:v>76.619333563026</x:v>
      </x:c>
      <x:c r="G25" s="95" t="n">
        <x:f>INDEX('FLPR Rating'!$N$2:$N$21,MATCH(I25,'FLPR Rating'!$T$2:$T$21,0))</x:f>
        <x:v>45.44591959880753</x:v>
      </x:c>
      <x:c r="H25" s="95" t="n">
        <x:f>INDEX('FLPR Rating'!$R$2:$R$21,MATCH(I25,'FLPR Rating'!$T$2:$T$21,0))</x:f>
        <x:v>41.410002572562895</x:v>
      </x:c>
      <x:c r="I25" s="95" t="n">
        <x:f>LARGE('FLPR Rating'!$T$2:$T$21,A25)</x:f>
        <x:v>42.67589693029047</x:v>
      </x:c>
      <x:c r="J25" s="139" t="str">
        <x:f>INDEX('FLPR Rating'!$U$2:$U$21,MATCH(I25,'FLPR Rating'!$T$2:$T$21,0))</x:f>
        <x:v>D</x:v>
      </x:c>
    </x:row>
    <x:row r="26">
      <x:c r="A26" s="139" t="n">
        <x:v>15</x:v>
      </x:c>
      <x:c r="B26" s="139" t="str">
        <x:f>INDEX('FLPR Rating'!$B$2:$B$21,MATCH(I26,'FLPR Rating'!$T$2:$T$21,0))</x:f>
        <x:v>Reza</x:v>
      </x:c>
      <x:c r="C26" s="139" t="n">
        <x:f>INDEX('FLPR Rating'!$C$2:$C$21,MATCH(I26,'FLPR Rating'!$T$2:$T$21,0))</x:f>
        <x:v>6</x:v>
      </x:c>
      <x:c r="D26" s="93" t="n">
        <x:f>INDEX('FLPR Rating'!$G$2:$G$21,MATCH(I26,'FLPR Rating'!$T$2:$T$21,0))</x:f>
        <x:v>0.42857142857142855</x:v>
      </x:c>
      <x:c r="E26" s="95" t="n">
        <x:f>INDEX('FLPR Rating'!$I$2:$I$21,MATCH(I26,'FLPR Rating'!$T$2:$T$21,0))</x:f>
        <x:v>2.315521628498725</x:v>
      </x:c>
      <x:c r="F26" s="95" t="n">
        <x:f>INDEX('FLPR Rating'!$M$2:$M$21,MATCH(I26,'FLPR Rating'!$T$2:$T$21,0))</x:f>
        <x:v>100</x:v>
      </x:c>
      <x:c r="G26" s="95" t="n">
        <x:f>INDEX('FLPR Rating'!$N$2:$N$21,MATCH(I26,'FLPR Rating'!$T$2:$T$21,0))</x:f>
        <x:v>29.38288020948974</x:v>
      </x:c>
      <x:c r="H26" s="95" t="n">
        <x:f>INDEX('FLPR Rating'!$R$2:$R$21,MATCH(I26,'FLPR Rating'!$T$2:$T$21,0))</x:f>
        <x:v>37.94489115462909</x:v>
      </x:c>
      <x:c r="I26" s="95" t="n">
        <x:f>LARGE('FLPR Rating'!$T$2:$T$21,A26)</x:f>
        <x:v>40.35591292370327</x:v>
      </x:c>
      <x:c r="J26" s="139" t="str">
        <x:f>INDEX('FLPR Rating'!$U$2:$U$21,MATCH(I26,'FLPR Rating'!$T$2:$T$21,0))</x:f>
        <x:v>D</x:v>
      </x:c>
    </x:row>
    <x:row r="27">
      <x:c r="A27" s="139" t="n">
        <x:v>16</x:v>
      </x:c>
      <x:c r="B27" s="139" t="str">
        <x:f>INDEX('FLPR Rating'!$B$2:$B$21,MATCH(I27,'FLPR Rating'!$T$2:$T$21,0))</x:f>
        <x:v>Nico</x:v>
      </x:c>
      <x:c r="C27" s="139" t="n">
        <x:f>INDEX('FLPR Rating'!$C$2:$C$21,MATCH(I27,'FLPR Rating'!$T$2:$T$21,0))</x:f>
        <x:v>6</x:v>
      </x:c>
      <x:c r="D27" s="93" t="n">
        <x:f>INDEX('FLPR Rating'!$G$2:$G$21,MATCH(I27,'FLPR Rating'!$T$2:$T$21,0))</x:f>
        <x:v>0.42857142857142855</x:v>
      </x:c>
      <x:c r="E27" s="95" t="n">
        <x:f>INDEX('FLPR Rating'!$I$2:$I$21,MATCH(I27,'FLPR Rating'!$T$2:$T$21,0))</x:f>
        <x:v>23.15521628498727</x:v>
      </x:c>
      <x:c r="F27" s="95" t="n">
        <x:f>INDEX('FLPR Rating'!$M$2:$M$21,MATCH(I27,'FLPR Rating'!$T$2:$T$21,0))</x:f>
        <x:v>63.609907958852176</x:v>
      </x:c>
      <x:c r="G27" s="95" t="n">
        <x:f>INDEX('FLPR Rating'!$N$2:$N$21,MATCH(I27,'FLPR Rating'!$T$2:$T$21,0))</x:f>
        <x:v>14.75756011290767</x:v>
      </x:c>
      <x:c r="H27" s="95" t="n">
        <x:f>INDEX('FLPR Rating'!$R$2:$R$21,MATCH(I27,'FLPR Rating'!$T$2:$T$21,0))</x:f>
        <x:v>34.94772401045636</x:v>
      </x:c>
      <x:c r="I27" s="95" t="n">
        <x:f>LARGE('FLPR Rating'!$T$2:$T$21,A27)</x:f>
        <x:v>37.95817920836509</x:v>
      </x:c>
      <x:c r="J27" s="139" t="str">
        <x:f>INDEX('FLPR Rating'!$U$2:$U$21,MATCH(I27,'FLPR Rating'!$T$2:$T$21,0))</x:f>
        <x:v>D</x:v>
      </x:c>
    </x:row>
    <x:row r="28">
      <x:c r="A28" s="139" t="n">
        <x:v>17</x:v>
      </x:c>
      <x:c r="B28" s="139" t="str">
        <x:f>INDEX('FLPR Rating'!$B$2:$B$21,MATCH(I28,'FLPR Rating'!$T$2:$T$21,0))</x:f>
        <x:v>Alwin</x:v>
      </x:c>
      <x:c r="C28" s="139" t="n">
        <x:f>INDEX('FLPR Rating'!$C$2:$C$21,MATCH(I28,'FLPR Rating'!$T$2:$T$21,0))</x:f>
        <x:v>6</x:v>
      </x:c>
      <x:c r="D28" s="93" t="n">
        <x:f>INDEX('FLPR Rating'!$G$2:$G$21,MATCH(I28,'FLPR Rating'!$T$2:$T$21,0))</x:f>
        <x:v>0.35714285714285715</x:v>
      </x:c>
      <x:c r="E28" s="95" t="n">
        <x:f>INDEX('FLPR Rating'!$I$2:$I$21,MATCH(I28,'FLPR Rating'!$T$2:$T$21,0))</x:f>
        <x:v>6.946564885496183</x:v>
      </x:c>
      <x:c r="F28" s="95" t="n">
        <x:f>INDEX('FLPR Rating'!$M$2:$M$21,MATCH(I28,'FLPR Rating'!$T$2:$T$21,0))</x:f>
        <x:v>95.83107742284788</x:v>
      </x:c>
      <x:c r="G28" s="95" t="n">
        <x:f>INDEX('FLPR Rating'!$N$2:$N$21,MATCH(I28,'FLPR Rating'!$T$2:$T$21,0))</x:f>
        <x:v>39.92521673675382</x:v>
      </x:c>
      <x:c r="H28" s="95" t="n">
        <x:f>INDEX('FLPR Rating'!$R$2:$R$21,MATCH(I28,'FLPR Rating'!$T$2:$T$21,0))</x:f>
        <x:v>32.34892659000923</x:v>
      </x:c>
      <x:c r="I28" s="95" t="n">
        <x:f>LARGE('FLPR Rating'!$T$2:$T$21,A28)</x:f>
        <x:v>35.87914127200738</x:v>
      </x:c>
      <x:c r="J28" s="139" t="str">
        <x:f>INDEX('FLPR Rating'!$U$2:$U$21,MATCH(I28,'FLPR Rating'!$T$2:$T$21,0))</x:f>
        <x:v>D</x:v>
      </x:c>
    </x:row>
    <x:row r="29">
      <x:c r="A29" s="139" t="n">
        <x:v>18</x:v>
      </x:c>
      <x:c r="B29" s="139" t="str">
        <x:f>INDEX('FLPR Rating'!$B$2:$B$21,MATCH(I29,'FLPR Rating'!$T$2:$T$21,0))</x:f>
        <x:v>Hansen</x:v>
      </x:c>
      <x:c r="C29" s="139" t="n">
        <x:f>INDEX('FLPR Rating'!$C$2:$C$21,MATCH(I29,'FLPR Rating'!$T$2:$T$21,0))</x:f>
        <x:v>6</x:v>
      </x:c>
      <x:c r="D29" s="93" t="n">
        <x:f>INDEX('FLPR Rating'!$G$2:$G$21,MATCH(I29,'FLPR Rating'!$T$2:$T$21,0))</x:f>
        <x:v>0.2857142857142857</x:v>
      </x:c>
      <x:c r="E29" s="95" t="n">
        <x:f>INDEX('FLPR Rating'!$I$2:$I$21,MATCH(I29,'FLPR Rating'!$T$2:$T$21,0))</x:f>
        <x:v>0</x:v>
      </x:c>
      <x:c r="F29" s="95" t="n">
        <x:f>INDEX('FLPR Rating'!$M$2:$M$21,MATCH(I29,'FLPR Rating'!$T$2:$T$21,0))</x:f>
        <x:v>98.53817000541419</x:v>
      </x:c>
      <x:c r="G29" s="95" t="n">
        <x:f>INDEX('FLPR Rating'!$N$2:$N$21,MATCH(I29,'FLPR Rating'!$T$2:$T$21,0))</x:f>
        <x:v>100</x:v>
      </x:c>
      <x:c r="H29" s="95" t="n">
        <x:f>INDEX('FLPR Rating'!$R$2:$R$21,MATCH(I29,'FLPR Rating'!$T$2:$T$21,0))</x:f>
        <x:v>30.925245571969988</x:v>
      </x:c>
      <x:c r="I29" s="95" t="n">
        <x:f>LARGE('FLPR Rating'!$T$2:$T$21,A29)</x:f>
        <x:v>34.74019645757599</x:v>
      </x:c>
      <x:c r="J29" s="139" t="str">
        <x:f>INDEX('FLPR Rating'!$U$2:$U$21,MATCH(I29,'FLPR Rating'!$T$2:$T$21,0))</x:f>
        <x:v>D</x:v>
      </x:c>
    </x:row>
    <x:row r="30">
      <x:c r="A30" s="139" t="n">
        <x:v>19</x:v>
      </x:c>
      <x:c r="B30" s="139" t="str">
        <x:f>INDEX('FLPR Rating'!$B$2:$B$21,MATCH(I30,'FLPR Rating'!$T$2:$T$21,0))</x:f>
        <x:v>Welly</x:v>
      </x:c>
      <x:c r="C30" s="139" t="n">
        <x:f>INDEX('FLPR Rating'!$C$2:$C$21,MATCH(I30,'FLPR Rating'!$T$2:$T$21,0))</x:f>
        <x:v>10</x:v>
      </x:c>
      <x:c r="D30" s="93" t="n">
        <x:f>INDEX('FLPR Rating'!$G$2:$G$21,MATCH(I30,'FLPR Rating'!$T$2:$T$21,0))</x:f>
        <x:v>0.3333333333333333</x:v>
      </x:c>
      <x:c r="E30" s="95" t="n">
        <x:f>INDEX('FLPR Rating'!$I$2:$I$21,MATCH(I30,'FLPR Rating'!$T$2:$T$21,0))</x:f>
        <x:v>12.50381679389313</x:v>
      </x:c>
      <x:c r="F30" s="95" t="n">
        <x:f>INDEX('FLPR Rating'!$M$2:$M$21,MATCH(I30,'FLPR Rating'!$T$2:$T$21,0))</x:f>
        <x:v>86.39513707732439</x:v>
      </x:c>
      <x:c r="G30" s="95" t="n">
        <x:f>INDEX('FLPR Rating'!$N$2:$N$21,MATCH(I30,'FLPR Rating'!$T$2:$T$21,0))</x:f>
        <x:v>26.02145116423826</x:v>
      </x:c>
      <x:c r="H30" s="95" t="n">
        <x:f>INDEX('FLPR Rating'!$R$2:$R$21,MATCH(I30,'FLPR Rating'!$T$2:$T$21,0))</x:f>
        <x:v>30.60222022617174</x:v>
      </x:c>
      <x:c r="I30" s="95" t="n">
        <x:f>LARGE('FLPR Rating'!$T$2:$T$21,A30)</x:f>
        <x:v>33.619652635433916</x:v>
      </x:c>
      <x:c r="J30" s="139" t="str">
        <x:f>INDEX('FLPR Rating'!$U$2:$U$21,MATCH(I30,'FLPR Rating'!$T$2:$T$21,0))</x:f>
        <x:v>D</x:v>
      </x:c>
    </x:row>
    <x:row r="31">
      <x:c r="A31" s="139" t="n">
        <x:v>20</x:v>
      </x:c>
      <x:c r="B31" s="139" t="str">
        <x:f>INDEX('FLPR Rating'!$B$2:$B$21,MATCH(I31,'FLPR Rating'!$T$2:$T$21,0))</x:f>
        <x:v>Alice</x:v>
      </x:c>
      <x:c r="C31" s="139" t="n">
        <x:f>INDEX('FLPR Rating'!$C$2:$C$21,MATCH(I31,'FLPR Rating'!$T$2:$T$21,0))</x:f>
        <x:v>14</x:v>
      </x:c>
      <x:c r="D31" s="93" t="n">
        <x:f>INDEX('FLPR Rating'!$G$2:$G$21,MATCH(I31,'FLPR Rating'!$T$2:$T$21,0))</x:f>
        <x:v>0.22727272727272727</x:v>
      </x:c>
      <x:c r="E31" s="95" t="n">
        <x:f>INDEX('FLPR Rating'!$I$2:$I$21,MATCH(I31,'FLPR Rating'!$T$2:$T$21,0))</x:f>
        <x:v>5.954198473282439</x:v>
      </x:c>
      <x:c r="F31" s="95" t="n">
        <x:f>INDEX('FLPR Rating'!$M$2:$M$21,MATCH(I31,'FLPR Rating'!$T$2:$T$21,0))</x:f>
        <x:v>83.87706635540958</x:v>
      </x:c>
      <x:c r="G31" s="95" t="n">
        <x:f>INDEX('FLPR Rating'!$N$2:$N$21,MATCH(I31,'FLPR Rating'!$T$2:$T$21,0))</x:f>
        <x:v>72.51048417976679</x:v>
      </x:c>
      <x:c r="H31" s="95" t="n">
        <x:f>INDEX('FLPR Rating'!$R$2:$R$21,MATCH(I31,'FLPR Rating'!$T$2:$T$21,0))</x:f>
        <x:v>28.7064567981571</x:v>
      </x:c>
      <x:c r="I31" s="95" t="n">
        <x:f>LARGE('FLPR Rating'!$T$2:$T$21,A31)</x:f>
        <x:v>31.416544114755286</x:v>
      </x:c>
      <x:c r="J31" s="139" t="str">
        <x:f>INDEX('FLPR Rating'!$U$2:$U$21,MATCH(I31,'FLPR Rating'!$T$2:$T$21,0))</x:f>
        <x:v>D</x:v>
      </x:c>
    </x:row>
    <x:row r="32">
      <x:c r="A32" s="139" t="n"/>
      <x:c r="B32" s="139" t="n"/>
      <x:c r="C32" s="139" t="n"/>
      <x:c r="D32" s="139" t="n"/>
      <x:c r="E32" s="139" t="n"/>
      <x:c r="F32" s="139" t="n"/>
      <x:c r="G32" s="139" t="n"/>
      <x:c r="H32" s="139" t="n"/>
      <x:c r="I32" s="139" t="n"/>
      <x:c r="J32" s="139" t="n"/>
    </x:row>
    <x:row r="33">
      <x:c r="A33" s="139" t="n"/>
      <x:c r="B33" s="139" t="n"/>
      <x:c r="C33" s="139" t="n"/>
      <x:c r="D33" s="139" t="n"/>
      <x:c r="E33" s="139" t="n"/>
      <x:c r="F33" s="139" t="n"/>
      <x:c r="G33" s="139" t="n"/>
      <x:c r="H33" s="139" t="n"/>
      <x:c r="I33" s="139" t="n"/>
      <x:c r="J33" s="139" t="n"/>
    </x:row>
    <x:row r="34">
      <x:c r="A34" s="139" t="n"/>
      <x:c r="B34" s="139" t="n"/>
      <x:c r="C34" s="139" t="n"/>
      <x:c r="D34" s="139" t="n"/>
      <x:c r="E34" s="139" t="n"/>
      <x:c r="F34" s="139" t="n"/>
      <x:c r="G34" s="139" t="n"/>
      <x:c r="H34" s="139" t="n"/>
      <x:c r="I34" s="139" t="n"/>
      <x:c r="J34" s="139" t="n"/>
    </x:row>
    <x:row r="35">
      <x:c r="A35" s="139" t="n"/>
      <x:c r="B35" s="139" t="n"/>
      <x:c r="C35" s="139" t="n"/>
      <x:c r="D35" s="139" t="n"/>
      <x:c r="E35" s="139" t="n"/>
      <x:c r="F35" s="139" t="n"/>
      <x:c r="G35" s="139" t="n"/>
      <x:c r="H35" s="139" t="n"/>
      <x:c r="I35" s="139" t="n"/>
      <x:c r="J35" s="139" t="n"/>
    </x:row>
    <x:row r="36">
      <x:c r="A36" s="139" t="n"/>
      <x:c r="B36" s="139" t="n"/>
      <x:c r="C36" s="139" t="n"/>
      <x:c r="D36" s="139" t="n"/>
      <x:c r="E36" s="139" t="n"/>
      <x:c r="F36" s="139" t="n"/>
      <x:c r="G36" s="139" t="n"/>
      <x:c r="H36" s="139" t="n"/>
      <x:c r="I36" s="139" t="n"/>
      <x:c r="J36" s="139" t="n"/>
    </x:row>
    <x:row r="37">
      <x:c r="A37" s="139" t="n"/>
      <x:c r="B37" s="139" t="n"/>
      <x:c r="C37" s="139" t="n"/>
      <x:c r="D37" s="139" t="n"/>
      <x:c r="E37" s="139" t="n"/>
      <x:c r="F37" s="139" t="n"/>
      <x:c r="G37" s="139" t="n"/>
      <x:c r="H37" s="139" t="n"/>
      <x:c r="I37" s="139" t="n"/>
      <x:c r="J37" s="139" t="n"/>
    </x:row>
    <x:row r="38">
      <x:c r="A38" s="139" t="n"/>
      <x:c r="B38" s="139" t="n"/>
      <x:c r="C38" s="139" t="n"/>
      <x:c r="D38" s="139" t="n"/>
      <x:c r="E38" s="139" t="n"/>
      <x:c r="F38" s="139" t="n"/>
      <x:c r="G38" s="139" t="n"/>
      <x:c r="H38" s="139" t="n"/>
      <x:c r="I38" s="139" t="n"/>
      <x:c r="J38" s="139" t="n"/>
    </x:row>
    <x:row r="39">
      <x:c r="A39" s="139" t="n"/>
      <x:c r="B39" s="139" t="n"/>
      <x:c r="C39" s="139" t="n"/>
      <x:c r="D39" s="139" t="n"/>
      <x:c r="E39" s="139" t="n"/>
      <x:c r="F39" s="139" t="n"/>
      <x:c r="G39" s="139" t="n"/>
      <x:c r="H39" s="139" t="n"/>
      <x:c r="I39" s="139" t="n"/>
      <x:c r="J39" s="139" t="n"/>
    </x:row>
    <x:row r="40">
      <x:c r="A40" s="139" t="n"/>
      <x:c r="B40" s="139" t="n"/>
      <x:c r="C40" s="139" t="n"/>
      <x:c r="D40" s="139" t="n"/>
      <x:c r="E40" s="139" t="n"/>
      <x:c r="F40" s="139" t="n"/>
      <x:c r="G40" s="139" t="n"/>
      <x:c r="H40" s="139" t="n"/>
      <x:c r="I40" s="139" t="n"/>
      <x:c r="J40" s="139" t="n"/>
    </x:row>
  </x:sheetData>
  <x:mergeCells>
    <x:mergeCell ref="A1:J1"/>
  </x:mergeCells>
  <x:conditionalFormatting sqref="I12:I31">
    <x:cfRule type="dataBar" priority="1">
      <x:dataBar>
        <x:cfvo type="min"/>
        <x:cfvo type="max"/>
        <x:color rgb="FFA02B93"/>
      </x:dataBar>
    </x:cfRule>
  </x:conditionalFormatting>
  <x:pageMargins left="0.7" right="0.7" top="0.75" bottom="0.75" header="0.3" footer="0.3"/>
  <x:drawing xmlns:r="http://schemas.openxmlformats.org/officeDocument/2006/relationships" r:id="R2b3613e5a92b4239"/>
</x:worksheet>
</file>

<file path=xl/worksheets/sheet15.xml><?xml version="1.0" encoding="utf-8"?>
<x:worksheet xmlns:x="http://schemas.openxmlformats.org/spreadsheetml/2006/main">
  <x:sheetFormatPr baseColWidth="8" defaultRowHeight="15"/>
  <x:cols>
    <x:col min="1" max="1" width="31" style="125" customWidth="1"/>
    <x:col min="2" max="2" width="18" style="125" customWidth="1"/>
    <x:col min="3" max="3" width="19" style="125" customWidth="1"/>
    <x:col min="4" max="4" width="18" style="125" customWidth="1"/>
    <x:col min="5" max="5" width="54" style="125" customWidth="1"/>
  </x:cols>
  <x:sheetData>
    <x:row r="1">
      <x:c r="A1" s="71" t="inlineStr">
        <x:is>
          <x:t xml:space="preserve">FLPR Stage 6 — Handicap &amp; Tournament Settings v1.0</x:t>
        </x:is>
      </x:c>
      <x:c r="B1" s="1" t="n"/>
      <x:c r="C1" s="1" t="n"/>
      <x:c r="D1" s="1" t="n"/>
      <x:c r="E1" s="1" t="n"/>
    </x:row>
    <x:row r="2">
      <x:c r="A2" s="139" t="n"/>
      <x:c r="B2" s="139" t="n"/>
      <x:c r="C2" s="139" t="n"/>
      <x:c r="D2" s="139" t="n"/>
      <x:c r="E2" s="139" t="n"/>
    </x:row>
    <x:row r="3">
      <x:c r="A3" s="62" t="inlineStr">
        <x:is>
          <x:t xml:space="preserve">Parameter</x:t>
        </x:is>
      </x:c>
      <x:c r="B3" s="62" t="inlineStr">
        <x:is>
          <x:t xml:space="preserve">Value</x:t>
        </x:is>
      </x:c>
      <x:c r="C3" s="62" t="inlineStr">
        <x:is>
          <x:t xml:space="preserve">Unit</x:t>
        </x:is>
      </x:c>
      <x:c r="D3" s="62" t="inlineStr">
        <x:is>
          <x:t xml:space="preserve">Editable</x:t>
        </x:is>
      </x:c>
      <x:c r="E3" s="62" t="inlineStr">
        <x:is>
          <x:t xml:space="preserve">Purpose</x:t>
        </x:is>
      </x:c>
    </x:row>
    <x:row r="4">
      <x:c r="A4" s="139" t="inlineStr">
        <x:is>
          <x:t xml:space="preserve">Primary Format</x:t>
        </x:is>
      </x:c>
      <x:c r="B4" s="139" t="inlineStr">
        <x:is>
          <x:t xml:space="preserve">Weekly Americano</x:t>
        </x:is>
      </x:c>
      <x:c r="C4" s="139" t="str"/>
      <x:c r="D4" s="139" t="inlineStr">
        <x:is>
          <x:t xml:space="preserve">Yes</x:t>
        </x:is>
      </x:c>
      <x:c r="E4" s="139" t="inlineStr">
        <x:is>
          <x:t xml:space="preserve">Default competition format</x:t>
        </x:is>
      </x:c>
    </x:row>
    <x:row r="5">
      <x:c r="A5" s="139" t="inlineStr">
        <x:is>
          <x:t xml:space="preserve">Handicap Change Speed</x:t>
        </x:is>
      </x:c>
      <x:c r="B5" s="139" t="inlineStr">
        <x:is>
          <x:t xml:space="preserve">Medium</x:t>
        </x:is>
      </x:c>
      <x:c r="C5" s="139" t="str"/>
      <x:c r="D5" s="139" t="inlineStr">
        <x:is>
          <x:t xml:space="preserve">Yes</x:t>
        </x:is>
      </x:c>
      <x:c r="E5" s="139" t="inlineStr">
        <x:is>
          <x:t xml:space="preserve">Moderate movement over 2–3 tournaments</x:t>
        </x:is>
      </x:c>
    </x:row>
    <x:row r="6">
      <x:c r="A6" s="139" t="inlineStr">
        <x:is>
          <x:t xml:space="preserve">New Player Initial Rating</x:t>
        </x:is>
      </x:c>
      <x:c r="B6" s="139" t="n">
        <x:v>50</x:v>
      </x:c>
      <x:c r="C6" s="139" t="inlineStr">
        <x:is>
          <x:t xml:space="preserve">rating</x:t>
        </x:is>
      </x:c>
      <x:c r="D6" s="139" t="inlineStr">
        <x:is>
          <x:t xml:space="preserve">Yes</x:t>
        </x:is>
      </x:c>
      <x:c r="E6" s="139" t="inlineStr">
        <x:is>
          <x:t xml:space="preserve">Starting point for provisional players</x:t>
        </x:is>
      </x:c>
    </x:row>
    <x:row r="7">
      <x:c r="A7" s="139" t="inlineStr">
        <x:is>
          <x:t xml:space="preserve">Provisional Match Limit</x:t>
        </x:is>
      </x:c>
      <x:c r="B7" s="139" t="n">
        <x:v>10</x:v>
      </x:c>
      <x:c r="C7" s="139" t="inlineStr">
        <x:is>
          <x:t xml:space="preserve">matches</x:t>
        </x:is>
      </x:c>
      <x:c r="D7" s="139" t="inlineStr">
        <x:is>
          <x:t xml:space="preserve">Yes</x:t>
        </x:is>
      </x:c>
      <x:c r="E7" s="139" t="inlineStr">
        <x:is>
          <x:t xml:space="preserve">Status becomes established after this limit</x:t>
        </x:is>
      </x:c>
    </x:row>
    <x:row r="8">
      <x:c r="A8" s="139" t="inlineStr">
        <x:is>
          <x:t xml:space="preserve">Max Handicap Change / Event</x:t>
        </x:is>
      </x:c>
      <x:c r="B8" s="139" t="n">
        <x:v>1</x:v>
      </x:c>
      <x:c r="C8" s="139" t="inlineStr">
        <x:is>
          <x:t xml:space="preserve">index</x:t>
        </x:is>
      </x:c>
      <x:c r="D8" s="139" t="inlineStr">
        <x:is>
          <x:t xml:space="preserve">Yes</x:t>
        </x:is>
      </x:c>
      <x:c r="E8" s="139" t="inlineStr">
        <x:is>
          <x:t xml:space="preserve">Controls volatility</x:t>
        </x:is>
      </x:c>
    </x:row>
    <x:row r="9">
      <x:c r="A9" s="139" t="inlineStr">
        <x:is>
          <x:t xml:space="preserve">Rating Points per Handicap Step</x:t>
        </x:is>
      </x:c>
      <x:c r="B9" s="139" t="n">
        <x:v>5</x:v>
      </x:c>
      <x:c r="C9" s="139" t="inlineStr">
        <x:is>
          <x:t xml:space="preserve">rating</x:t>
        </x:is>
      </x:c>
      <x:c r="D9" s="139" t="inlineStr">
        <x:is>
          <x:t xml:space="preserve">Yes</x:t>
        </x:is>
      </x:c>
      <x:c r="E9" s="139" t="inlineStr">
        <x:is>
          <x:t xml:space="preserve">Converts rating gap to handicap</x:t>
        </x:is>
      </x:c>
    </x:row>
    <x:row r="10">
      <x:c r="A10" s="139" t="inlineStr">
        <x:is>
          <x:t xml:space="preserve">Balance Target</x:t>
        </x:is>
      </x:c>
      <x:c r="B10" s="139" t="n">
        <x:v>5</x:v>
      </x:c>
      <x:c r="C10" s="139" t="inlineStr">
        <x:is>
          <x:t xml:space="preserve">rating points</x:t>
        </x:is>
      </x:c>
      <x:c r="D10" s="139" t="inlineStr">
        <x:is>
          <x:t xml:space="preserve">Yes</x:t>
        </x:is>
      </x:c>
      <x:c r="E10" s="139" t="inlineStr">
        <x:is>
          <x:t xml:space="preserve">Ideal team-rating difference</x:t>
        </x:is>
      </x:c>
    </x:row>
    <x:row r="11">
      <x:c r="A11" s="139" t="inlineStr">
        <x:is>
          <x:t xml:space="preserve">Acceptable Difference</x:t>
        </x:is>
      </x:c>
      <x:c r="B11" s="139" t="n">
        <x:v>10</x:v>
      </x:c>
      <x:c r="C11" s="139" t="inlineStr">
        <x:is>
          <x:t xml:space="preserve">rating points</x:t>
        </x:is>
      </x:c>
      <x:c r="D11" s="139" t="inlineStr">
        <x:is>
          <x:t xml:space="preserve">Yes</x:t>
        </x:is>
      </x:c>
      <x:c r="E11" s="139" t="inlineStr">
        <x:is>
          <x:t xml:space="preserve">Good match threshold</x:t>
        </x:is>
      </x:c>
    </x:row>
    <x:row r="12">
      <x:c r="A12" s="139" t="inlineStr">
        <x:is>
          <x:t xml:space="preserve">Maximum Recommended Difference</x:t>
        </x:is>
      </x:c>
      <x:c r="B12" s="139" t="n">
        <x:v>18</x:v>
      </x:c>
      <x:c r="C12" s="139" t="inlineStr">
        <x:is>
          <x:t xml:space="preserve">rating points</x:t>
        </x:is>
      </x:c>
      <x:c r="D12" s="139" t="inlineStr">
        <x:is>
          <x:t xml:space="preserve">Yes</x:t>
        </x:is>
      </x:c>
      <x:c r="E12" s="139" t="inlineStr">
        <x:is>
          <x:t xml:space="preserve">Beyond this, pairing is discouraged</x:t>
        </x:is>
      </x:c>
    </x:row>
    <x:row r="13">
      <x:c r="A13" s="139" t="inlineStr">
        <x:is>
          <x:t xml:space="preserve">Win Probability Scale</x:t>
        </x:is>
      </x:c>
      <x:c r="B13" s="139" t="n">
        <x:v>12</x:v>
      </x:c>
      <x:c r="C13" s="139" t="inlineStr">
        <x:is>
          <x:t xml:space="preserve">rating points</x:t>
        </x:is>
      </x:c>
      <x:c r="D13" s="139" t="inlineStr">
        <x:is>
          <x:t xml:space="preserve">Yes</x:t>
        </x:is>
      </x:c>
      <x:c r="E13" s="139" t="inlineStr">
        <x:is>
          <x:t xml:space="preserve">Logistic prediction sensitivity</x:t>
        </x:is>
      </x:c>
    </x:row>
    <x:row r="14">
      <x:c r="A14" s="139" t="inlineStr">
        <x:is>
          <x:t xml:space="preserve">Supported Formats</x:t>
        </x:is>
      </x:c>
      <x:c r="B14" s="139" t="inlineStr">
        <x:is>
          <x:t xml:space="preserve">Americano; Mexicano; King of the Court; Team League</x:t>
        </x:is>
      </x:c>
      <x:c r="C14" s="139" t="str"/>
      <x:c r="D14" s="139" t="inlineStr">
        <x:is>
          <x:t xml:space="preserve">No</x:t>
        </x:is>
      </x:c>
      <x:c r="E14" s="139" t="inlineStr">
        <x:is>
          <x:t xml:space="preserve">Multi-format architecture</x:t>
        </x:is>
      </x:c>
    </x:row>
    <x:row r="15">
      <x:c r="A15" s="139" t="inlineStr">
        <x:is>
          <x:t xml:space="preserve">Target Capacity</x:t>
        </x:is>
      </x:c>
      <x:c r="B15" s="139" t="n">
        <x:v>200</x:v>
      </x:c>
      <x:c r="C15" s="139" t="inlineStr">
        <x:is>
          <x:t xml:space="preserve">players</x:t>
        </x:is>
      </x:c>
      <x:c r="D15" s="139" t="inlineStr">
        <x:is>
          <x:t xml:space="preserve">No</x:t>
        </x:is>
      </x:c>
      <x:c r="E15" s="139" t="inlineStr">
        <x:is>
          <x:t xml:space="preserve">Workbook capacity; suitable for 100+ players</x:t>
        </x:is>
      </x:c>
    </x:row>
    <x:row r="16">
      <x:c r="A16" s="139" t="n"/>
      <x:c r="B16" s="139" t="n"/>
      <x:c r="C16" s="139" t="n"/>
      <x:c r="D16" s="139" t="n"/>
      <x:c r="E16" s="139" t="n"/>
    </x:row>
    <x:row r="17">
      <x:c r="A17" s="139" t="n"/>
      <x:c r="B17" s="139" t="n"/>
      <x:c r="C17" s="139" t="n"/>
      <x:c r="D17" s="139" t="n"/>
      <x:c r="E17" s="139" t="n"/>
    </x:row>
    <x:row r="18">
      <x:c r="A18" s="62" t="inlineStr">
        <x:is>
          <x:t xml:space="preserve">Minimum Rating</x:t>
        </x:is>
      </x:c>
      <x:c r="B18" s="62" t="inlineStr">
        <x:is>
          <x:t xml:space="preserve">Maximum Rating</x:t>
        </x:is>
      </x:c>
      <x:c r="C18" s="62" t="inlineStr">
        <x:is>
          <x:t xml:space="preserve">Handicap Index</x:t>
        </x:is>
      </x:c>
      <x:c r="D18" s="62" t="inlineStr">
        <x:is>
          <x:t xml:space="preserve">Handicap Class</x:t>
        </x:is>
      </x:c>
      <x:c r="E18" s="139" t="n"/>
    </x:row>
    <x:row r="19">
      <x:c r="A19" s="139" t="n">
        <x:v>75</x:v>
      </x:c>
      <x:c r="B19" s="95" t="n">
        <x:v>100</x:v>
      </x:c>
      <x:c r="C19" s="99" t="n">
        <x:v>4</x:v>
      </x:c>
      <x:c r="D19" s="139" t="inlineStr">
        <x:is>
          <x:t xml:space="preserve">Elite+</x:t>
        </x:is>
      </x:c>
      <x:c r="E19" s="139" t="n"/>
    </x:row>
    <x:row r="20">
      <x:c r="A20" s="139" t="n">
        <x:v>70</x:v>
      </x:c>
      <x:c r="B20" s="95" t="n">
        <x:v>74.999</x:v>
      </x:c>
      <x:c r="C20" s="99" t="n">
        <x:v>3</x:v>
      </x:c>
      <x:c r="D20" s="139" t="inlineStr">
        <x:is>
          <x:t xml:space="preserve">Elite</x:t>
        </x:is>
      </x:c>
      <x:c r="E20" s="139" t="n"/>
    </x:row>
    <x:row r="21">
      <x:c r="A21" s="139" t="n">
        <x:v>65</x:v>
      </x:c>
      <x:c r="B21" s="95" t="n">
        <x:v>69.999</x:v>
      </x:c>
      <x:c r="C21" s="99" t="n">
        <x:v>2</x:v>
      </x:c>
      <x:c r="D21" s="139" t="inlineStr">
        <x:is>
          <x:t xml:space="preserve">A+</x:t>
        </x:is>
      </x:c>
      <x:c r="E21" s="139" t="n"/>
    </x:row>
    <x:row r="22">
      <x:c r="A22" s="139" t="n">
        <x:v>60</x:v>
      </x:c>
      <x:c r="B22" s="95" t="n">
        <x:v>64.999</x:v>
      </x:c>
      <x:c r="C22" s="99" t="n">
        <x:v>1</x:v>
      </x:c>
      <x:c r="D22" s="139" t="inlineStr">
        <x:is>
          <x:t xml:space="preserve">A</x:t>
        </x:is>
      </x:c>
      <x:c r="E22" s="139" t="n"/>
    </x:row>
    <x:row r="23">
      <x:c r="A23" s="139" t="n">
        <x:v>55</x:v>
      </x:c>
      <x:c r="B23" s="95" t="n">
        <x:v>59.999</x:v>
      </x:c>
      <x:c r="C23" s="99" t="n">
        <x:v>0</x:v>
      </x:c>
      <x:c r="D23" s="139" t="inlineStr">
        <x:is>
          <x:t xml:space="preserve">B+</x:t>
        </x:is>
      </x:c>
      <x:c r="E23" s="139" t="n"/>
    </x:row>
    <x:row r="24">
      <x:c r="A24" s="139" t="n">
        <x:v>50</x:v>
      </x:c>
      <x:c r="B24" s="95" t="n">
        <x:v>54.999</x:v>
      </x:c>
      <x:c r="C24" s="99" t="n">
        <x:v>-1</x:v>
      </x:c>
      <x:c r="D24" s="139" t="inlineStr">
        <x:is>
          <x:t xml:space="preserve">B</x:t>
        </x:is>
      </x:c>
      <x:c r="E24" s="139" t="n"/>
    </x:row>
    <x:row r="25">
      <x:c r="A25" s="139" t="n">
        <x:v>45</x:v>
      </x:c>
      <x:c r="B25" s="95" t="n">
        <x:v>49.999</x:v>
      </x:c>
      <x:c r="C25" s="99" t="n">
        <x:v>-2</x:v>
      </x:c>
      <x:c r="D25" s="139" t="inlineStr">
        <x:is>
          <x:t xml:space="preserve">C+</x:t>
        </x:is>
      </x:c>
      <x:c r="E25" s="139" t="n"/>
    </x:row>
    <x:row r="26">
      <x:c r="A26" s="139" t="n">
        <x:v>40</x:v>
      </x:c>
      <x:c r="B26" s="95" t="n">
        <x:v>44.999</x:v>
      </x:c>
      <x:c r="C26" s="99" t="n">
        <x:v>-3</x:v>
      </x:c>
      <x:c r="D26" s="139" t="inlineStr">
        <x:is>
          <x:t xml:space="preserve">C</x:t>
        </x:is>
      </x:c>
      <x:c r="E26" s="139" t="n"/>
    </x:row>
    <x:row r="27">
      <x:c r="A27" s="139" t="n">
        <x:v>0</x:v>
      </x:c>
      <x:c r="B27" s="95" t="n">
        <x:v>39.999</x:v>
      </x:c>
      <x:c r="C27" s="99" t="n">
        <x:v>-4</x:v>
      </x:c>
      <x:c r="D27" s="139" t="inlineStr">
        <x:is>
          <x:t xml:space="preserve">D</x:t>
        </x:is>
      </x:c>
      <x:c r="E27" s="139" t="n"/>
    </x:row>
    <x:row r="28">
      <x:c r="A28" s="139" t="n"/>
      <x:c r="B28" s="139" t="n"/>
      <x:c r="C28" s="139" t="n"/>
      <x:c r="D28" s="139" t="n"/>
      <x:c r="E28" s="139" t="n"/>
    </x:row>
    <x:row r="29">
      <x:c r="A29" s="139" t="n"/>
      <x:c r="B29" s="139" t="n"/>
      <x:c r="C29" s="139" t="n"/>
      <x:c r="D29" s="139" t="n"/>
      <x:c r="E29" s="139" t="n"/>
    </x:row>
    <x:row r="30">
      <x:c r="A30" s="139" t="n"/>
      <x:c r="B30" s="139" t="n"/>
      <x:c r="C30" s="139" t="n"/>
      <x:c r="D30" s="139" t="n"/>
      <x:c r="E30" s="139" t="n"/>
    </x:row>
  </x:sheetData>
  <x:mergeCells>
    <x:mergeCell ref="A1:E1"/>
  </x:mergeCells>
  <x:conditionalFormatting sqref="B4:B14">
    <x:cfRule type="expression" dxfId="4" priority="1">
      <x:formula>$D4="Yes"</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13" style="125" customWidth="1"/>
    <x:col min="2" max="2" width="18" style="125" customWidth="1"/>
    <x:col min="3" max="3" width="14" style="125" customWidth="1"/>
    <x:col min="4" max="4" width="7" style="125" customWidth="1"/>
    <x:col min="5" max="5" width="12" style="125" customWidth="1"/>
    <x:col min="6" max="6" width="13" style="125" customWidth="1"/>
    <x:col min="7" max="7" width="11" style="125" customWidth="1"/>
    <x:col min="8" max="8" width="12" style="125" customWidth="1"/>
    <x:col min="9" max="9" width="14" style="125" customWidth="1"/>
    <x:col min="10" max="10" width="10" style="125" customWidth="1"/>
    <x:col min="11" max="11" width="14" style="125" customWidth="1"/>
    <x:col min="12" max="12" width="13" style="125" customWidth="1"/>
    <x:col min="13" max="13" width="13" style="125" customWidth="1"/>
    <x:col min="14" max="14" width="8" style="125" customWidth="1"/>
    <x:col min="15" max="15" width="18" style="125" customWidth="1"/>
    <x:col min="16" max="16" width="30" style="125" customWidth="1"/>
  </x:cols>
  <x:sheetData>
    <x:row r="1">
      <x:c r="A1" s="60" t="inlineStr">
        <x:is>
          <x:t xml:space="preserve">Player ID</x:t>
        </x:is>
      </x:c>
      <x:c r="B1" s="60" t="inlineStr">
        <x:is>
          <x:t xml:space="preserve">Player</x:t>
        </x:is>
      </x:c>
      <x:c r="C1" s="60" t="inlineStr">
        <x:is>
          <x:t xml:space="preserve">Source</x:t>
        </x:is>
      </x:c>
      <x:c r="D1" s="60" t="inlineStr">
        <x:is>
          <x:t xml:space="preserve">MP</x:t>
        </x:is>
      </x:c>
      <x:c r="E1" s="60" t="inlineStr">
        <x:is>
          <x:t xml:space="preserve">FLPR Rating</x:t>
        </x:is>
      </x:c>
      <x:c r="F1" s="60" t="inlineStr">
        <x:is>
          <x:t xml:space="preserve">Rating Status</x:t>
        </x:is>
      </x:c>
      <x:c r="G1" s="60" t="inlineStr">
        <x:is>
          <x:t xml:space="preserve">Reliability</x:t>
        </x:is>
      </x:c>
      <x:c r="H1" s="60" t="inlineStr">
        <x:is>
          <x:t xml:space="preserve">Base Handicap</x:t>
        </x:is>
      </x:c>
      <x:c r="I1" s="60" t="inlineStr">
        <x:is>
          <x:t xml:space="preserve">Previous Handicap</x:t>
        </x:is>
      </x:c>
      <x:c r="J1" s="60" t="inlineStr">
        <x:is>
          <x:t xml:space="preserve">Change Cap</x:t>
        </x:is>
      </x:c>
      <x:c r="K1" s="60" t="inlineStr">
        <x:is>
          <x:t xml:space="preserve">Official Handicap</x:t>
        </x:is>
      </x:c>
      <x:c r="L1" s="60" t="inlineStr">
        <x:is>
          <x:t xml:space="preserve">Handicap Class</x:t>
        </x:is>
      </x:c>
      <x:c r="M1" s="60" t="inlineStr">
        <x:is>
          <x:t xml:space="preserve">Confidence</x:t>
        </x:is>
      </x:c>
      <x:c r="N1" s="60" t="inlineStr">
        <x:is>
          <x:t xml:space="preserve">Active</x:t>
        </x:is>
      </x:c>
      <x:c r="O1" s="60" t="inlineStr">
        <x:is>
          <x:t xml:space="preserve">Primary Format</x:t>
        </x:is>
      </x:c>
      <x:c r="P1" s="60" t="inlineStr">
        <x:is>
          <x:t xml:space="preserve">Notes</x:t>
        </x:is>
      </x:c>
    </x:row>
    <x:row r="2">
      <x:c r="A2" t="inlineStr">
        <x:is>
          <x:t xml:space="preserve">FLPR-0001</x:t>
        </x:is>
      </x:c>
      <x:c r="B2" t="str">
        <x:f>'FLPR Rating'!B2</x:f>
        <x:v>Alice</x:v>
      </x:c>
      <x:c r="C2" t="inlineStr">
        <x:is>
          <x:t xml:space="preserve">Stage 5</x:t>
        </x:is>
      </x:c>
      <x:c r="D2" t="n">
        <x:f>'FLPR Rating'!C2</x:f>
        <x:v>14</x:v>
      </x:c>
      <x:c r="E2" s="88" t="n">
        <x:f>'FLPR Rating'!T2</x:f>
        <x:v>31.416544114755286</x:v>
      </x:c>
      <x:c r="F2" t="str">
        <x:f>'FLPR Rating'!W2</x:f>
        <x:v>Established</x:v>
      </x:c>
      <x:c r="G2" s="126" t="n">
        <x:f>'FLPR Rating'!S2</x:f>
        <x:v>0.8727272727272728</x:v>
      </x:c>
      <x:c r="H2" s="100" t="n">
        <x:f>IF(B2="","",IF(E2&gt;=75,4,IF(E2&gt;=70,3,IF(E2&gt;=65,2,IF(E2&gt;=60,1,IF(E2&gt;=55,0,IF(E2&gt;=50,-1,IF(E2&gt;=45,-2,IF(E2&gt;=40,-3,-4)))))))))</x:f>
        <x:v>-4</x:v>
      </x:c>
      <x:c r="I2" s="100" t="n">
        <x:f>IF(B2="","",H2)</x:f>
        <x:v>-4</x:v>
      </x:c>
      <x:c r="J2" s="100" t="n">
        <x:f>IF(B2="","",'Handicap Settings'!$B$8)</x:f>
        <x:v>1</x:v>
      </x:c>
      <x:c r="K2" s="100" t="n">
        <x:f>IF(B2="","",MAX(I2-J2,MIN(I2+J2,H2)))</x:f>
        <x:v>-4</x:v>
      </x:c>
      <x:c r="L2" t="str">
        <x:f>IF(B2="","",IF(K2=4,"Elite+",IF(K2=3,"Elite",IF(K2=2,"A+",IF(K2=1,"A",IF(K2=0,"B+",IF(K2=-1,"B",IF(K2=-2,"C+",IF(K2=-3,"C","D")))))))))</x:f>
        <x:v>D</x:v>
      </x:c>
      <x:c r="M2" t="str">
        <x:f>IF(B2="","",IF(D2&gt;=25,"★★★★★",IF(D2&gt;=15,"★★★★",IF(D2&gt;=10,"★★★",IF(D2&gt;=6,"★★","★")))))</x:f>
        <x:v>★★★</x:v>
      </x:c>
      <x:c r="N2" t="b">
        <x:f>IF(B2="","",TRUE)</x:f>
        <x:v>1</x:v>
      </x:c>
      <x:c r="O2" t="str">
        <x:f>IF(B2="","",'Handicap Settings'!$B$4)</x:f>
        <x:v>Weekly Americano</x:v>
      </x:c>
    </x:row>
    <x:row r="3">
      <x:c r="A3" t="inlineStr">
        <x:is>
          <x:t xml:space="preserve">FLPR-0002</x:t>
        </x:is>
      </x:c>
      <x:c r="B3" t="str">
        <x:f>'FLPR Rating'!B3</x:f>
        <x:v>Alwin</x:v>
      </x:c>
      <x:c r="C3" t="inlineStr">
        <x:is>
          <x:t xml:space="preserve">Stage 5</x:t>
        </x:is>
      </x:c>
      <x:c r="D3" t="n">
        <x:f>'FLPR Rating'!C3</x:f>
        <x:v>6</x:v>
      </x:c>
      <x:c r="E3" s="88" t="n">
        <x:f>'FLPR Rating'!T3</x:f>
        <x:v>35.87914127200738</x:v>
      </x:c>
      <x:c r="F3" t="str">
        <x:f>'FLPR Rating'!W3</x:f>
        <x:v>Developing</x:v>
      </x:c>
      <x:c r="G3" s="126" t="n">
        <x:f>'FLPR Rating'!S3</x:f>
        <x:v>0.8</x:v>
      </x:c>
      <x:c r="H3" s="100" t="n">
        <x:f>IF(B3="","",IF(E3&gt;=75,4,IF(E3&gt;=70,3,IF(E3&gt;=65,2,IF(E3&gt;=60,1,IF(E3&gt;=55,0,IF(E3&gt;=50,-1,IF(E3&gt;=45,-2,IF(E3&gt;=40,-3,-4)))))))))</x:f>
        <x:v>-4</x:v>
      </x:c>
      <x:c r="I3" s="100" t="n">
        <x:f>IF(B3="","",H3)</x:f>
        <x:v>-4</x:v>
      </x:c>
      <x:c r="J3" s="100" t="n">
        <x:f>IF(B3="","",'Handicap Settings'!$B$8)</x:f>
        <x:v>1</x:v>
      </x:c>
      <x:c r="K3" s="100" t="n">
        <x:f>IF(B3="","",MAX(I3-J3,MIN(I3+J3,H3)))</x:f>
        <x:v>-4</x:v>
      </x:c>
      <x:c r="L3" t="str">
        <x:f>IF(B3="","",IF(K3=4,"Elite+",IF(K3=3,"Elite",IF(K3=2,"A+",IF(K3=1,"A",IF(K3=0,"B+",IF(K3=-1,"B",IF(K3=-2,"C+",IF(K3=-3,"C","D")))))))))</x:f>
        <x:v>D</x:v>
      </x:c>
      <x:c r="M3" t="str">
        <x:f>IF(B3="","",IF(D3&gt;=25,"★★★★★",IF(D3&gt;=15,"★★★★",IF(D3&gt;=10,"★★★",IF(D3&gt;=6,"★★","★")))))</x:f>
        <x:v>★★</x:v>
      </x:c>
      <x:c r="N3" t="b">
        <x:f>IF(B3="","",TRUE)</x:f>
        <x:v>1</x:v>
      </x:c>
      <x:c r="O3" t="str">
        <x:f>IF(B3="","",'Handicap Settings'!$B$4)</x:f>
        <x:v>Weekly Americano</x:v>
      </x:c>
    </x:row>
    <x:row r="4">
      <x:c r="A4" t="inlineStr">
        <x:is>
          <x:t xml:space="preserve">FLPR-0003</x:t>
        </x:is>
      </x:c>
      <x:c r="B4" t="str">
        <x:f>'FLPR Rating'!B4</x:f>
        <x:v>Austin</x:v>
      </x:c>
      <x:c r="C4" t="inlineStr">
        <x:is>
          <x:t xml:space="preserve">Stage 5</x:t>
        </x:is>
      </x:c>
      <x:c r="D4" t="n">
        <x:f>'FLPR Rating'!C4</x:f>
        <x:v>14</x:v>
      </x:c>
      <x:c r="E4" s="88" t="n">
        <x:f>'FLPR Rating'!T4</x:f>
        <x:v>59.40079845232992</x:v>
      </x:c>
      <x:c r="F4" t="str">
        <x:f>'FLPR Rating'!W4</x:f>
        <x:v>Established</x:v>
      </x:c>
      <x:c r="G4" s="126" t="n">
        <x:f>'FLPR Rating'!S4</x:f>
        <x:v>0.8727272727272728</x:v>
      </x:c>
      <x:c r="H4" s="100" t="n">
        <x:f>IF(B4="","",IF(E4&gt;=75,4,IF(E4&gt;=70,3,IF(E4&gt;=65,2,IF(E4&gt;=60,1,IF(E4&gt;=55,0,IF(E4&gt;=50,-1,IF(E4&gt;=45,-2,IF(E4&gt;=40,-3,-4)))))))))</x:f>
        <x:v>0</x:v>
      </x:c>
      <x:c r="I4" s="100" t="n">
        <x:f>IF(B4="","",H4)</x:f>
        <x:v>0</x:v>
      </x:c>
      <x:c r="J4" s="100" t="n">
        <x:f>IF(B4="","",'Handicap Settings'!$B$8)</x:f>
        <x:v>1</x:v>
      </x:c>
      <x:c r="K4" s="100" t="n">
        <x:f>IF(B4="","",MAX(I4-J4,MIN(I4+J4,H4)))</x:f>
        <x:v>0</x:v>
      </x:c>
      <x:c r="L4" t="str">
        <x:f>IF(B4="","",IF(K4=4,"Elite+",IF(K4=3,"Elite",IF(K4=2,"A+",IF(K4=1,"A",IF(K4=0,"B+",IF(K4=-1,"B",IF(K4=-2,"C+",IF(K4=-3,"C","D")))))))))</x:f>
        <x:v>B+</x:v>
      </x:c>
      <x:c r="M4" t="str">
        <x:f>IF(B4="","",IF(D4&gt;=25,"★★★★★",IF(D4&gt;=15,"★★★★",IF(D4&gt;=10,"★★★",IF(D4&gt;=6,"★★","★")))))</x:f>
        <x:v>★★★</x:v>
      </x:c>
      <x:c r="N4" t="b">
        <x:f>IF(B4="","",TRUE)</x:f>
        <x:v>1</x:v>
      </x:c>
      <x:c r="O4" t="str">
        <x:f>IF(B4="","",'Handicap Settings'!$B$4)</x:f>
        <x:v>Weekly Americano</x:v>
      </x:c>
    </x:row>
    <x:row r="5">
      <x:c r="A5" t="inlineStr">
        <x:is>
          <x:t xml:space="preserve">FLPR-0004</x:t>
        </x:is>
      </x:c>
      <x:c r="B5" t="str">
        <x:f>'FLPR Rating'!B5</x:f>
        <x:v>David</x:v>
      </x:c>
      <x:c r="C5" t="inlineStr">
        <x:is>
          <x:t xml:space="preserve">Stage 5</x:t>
        </x:is>
      </x:c>
      <x:c r="D5" t="n">
        <x:f>'FLPR Rating'!C5</x:f>
        <x:v>12</x:v>
      </x:c>
      <x:c r="E5" s="88" t="n">
        <x:f>'FLPR Rating'!T5</x:f>
        <x:v>43.36193577193154</x:v>
      </x:c>
      <x:c r="F5" t="str">
        <x:f>'FLPR Rating'!W5</x:f>
        <x:v>Established</x:v>
      </x:c>
      <x:c r="G5" s="126" t="n">
        <x:f>'FLPR Rating'!S5</x:f>
        <x:v>0.86</x:v>
      </x:c>
      <x:c r="H5" s="100" t="n">
        <x:f>IF(B5="","",IF(E5&gt;=75,4,IF(E5&gt;=70,3,IF(E5&gt;=65,2,IF(E5&gt;=60,1,IF(E5&gt;=55,0,IF(E5&gt;=50,-1,IF(E5&gt;=45,-2,IF(E5&gt;=40,-3,-4)))))))))</x:f>
        <x:v>-3</x:v>
      </x:c>
      <x:c r="I5" s="100" t="n">
        <x:f>IF(B5="","",H5)</x:f>
        <x:v>-3</x:v>
      </x:c>
      <x:c r="J5" s="100" t="n">
        <x:f>IF(B5="","",'Handicap Settings'!$B$8)</x:f>
        <x:v>1</x:v>
      </x:c>
      <x:c r="K5" s="100" t="n">
        <x:f>IF(B5="","",MAX(I5-J5,MIN(I5+J5,H5)))</x:f>
        <x:v>-3</x:v>
      </x:c>
      <x:c r="L5" t="str">
        <x:f>IF(B5="","",IF(K5=4,"Elite+",IF(K5=3,"Elite",IF(K5=2,"A+",IF(K5=1,"A",IF(K5=0,"B+",IF(K5=-1,"B",IF(K5=-2,"C+",IF(K5=-3,"C","D")))))))))</x:f>
        <x:v>C</x:v>
      </x:c>
      <x:c r="M5" t="str">
        <x:f>IF(B5="","",IF(D5&gt;=25,"★★★★★",IF(D5&gt;=15,"★★★★",IF(D5&gt;=10,"★★★",IF(D5&gt;=6,"★★","★")))))</x:f>
        <x:v>★★★</x:v>
      </x:c>
      <x:c r="N5" t="b">
        <x:f>IF(B5="","",TRUE)</x:f>
        <x:v>1</x:v>
      </x:c>
      <x:c r="O5" t="str">
        <x:f>IF(B5="","",'Handicap Settings'!$B$4)</x:f>
        <x:v>Weekly Americano</x:v>
      </x:c>
    </x:row>
    <x:row r="6">
      <x:c r="A6" t="inlineStr">
        <x:is>
          <x:t xml:space="preserve">FLPR-0005</x:t>
        </x:is>
      </x:c>
      <x:c r="B6" t="str">
        <x:f>'FLPR Rating'!B6</x:f>
        <x:v>Donny</x:v>
      </x:c>
      <x:c r="C6" t="inlineStr">
        <x:is>
          <x:t xml:space="preserve">Stage 5</x:t>
        </x:is>
      </x:c>
      <x:c r="D6" t="n">
        <x:f>'FLPR Rating'!C6</x:f>
        <x:v>11</x:v>
      </x:c>
      <x:c r="E6" s="88" t="n">
        <x:f>'FLPR Rating'!T6</x:f>
        <x:v>42.67589693029047</x:v>
      </x:c>
      <x:c r="F6" t="str">
        <x:f>'FLPR Rating'!W6</x:f>
        <x:v>Developing</x:v>
      </x:c>
      <x:c r="G6" s="126" t="n">
        <x:f>'FLPR Rating'!S6</x:f>
        <x:v>0.8526315789473684</x:v>
      </x:c>
      <x:c r="H6" s="100" t="n">
        <x:f>IF(B6="","",IF(E6&gt;=75,4,IF(E6&gt;=70,3,IF(E6&gt;=65,2,IF(E6&gt;=60,1,IF(E6&gt;=55,0,IF(E6&gt;=50,-1,IF(E6&gt;=45,-2,IF(E6&gt;=40,-3,-4)))))))))</x:f>
        <x:v>-3</x:v>
      </x:c>
      <x:c r="I6" s="100" t="n">
        <x:f>IF(B6="","",H6)</x:f>
        <x:v>-3</x:v>
      </x:c>
      <x:c r="J6" s="100" t="n">
        <x:f>IF(B6="","",'Handicap Settings'!$B$8)</x:f>
        <x:v>1</x:v>
      </x:c>
      <x:c r="K6" s="100" t="n">
        <x:f>IF(B6="","",MAX(I6-J6,MIN(I6+J6,H6)))</x:f>
        <x:v>-3</x:v>
      </x:c>
      <x:c r="L6" t="str">
        <x:f>IF(B6="","",IF(K6=4,"Elite+",IF(K6=3,"Elite",IF(K6=2,"A+",IF(K6=1,"A",IF(K6=0,"B+",IF(K6=-1,"B",IF(K6=-2,"C+",IF(K6=-3,"C","D")))))))))</x:f>
        <x:v>C</x:v>
      </x:c>
      <x:c r="M6" t="str">
        <x:f>IF(B6="","",IF(D6&gt;=25,"★★★★★",IF(D6&gt;=15,"★★★★",IF(D6&gt;=10,"★★★",IF(D6&gt;=6,"★★","★")))))</x:f>
        <x:v>★★★</x:v>
      </x:c>
      <x:c r="N6" t="b">
        <x:f>IF(B6="","",TRUE)</x:f>
        <x:v>1</x:v>
      </x:c>
      <x:c r="O6" t="str">
        <x:f>IF(B6="","",'Handicap Settings'!$B$4)</x:f>
        <x:v>Weekly Americano</x:v>
      </x:c>
    </x:row>
    <x:row r="7">
      <x:c r="A7" t="inlineStr">
        <x:is>
          <x:t xml:space="preserve">FLPR-0006</x:t>
        </x:is>
      </x:c>
      <x:c r="B7" t="str">
        <x:f>'FLPR Rating'!B7</x:f>
        <x:v>Edy SP</x:v>
      </x:c>
      <x:c r="C7" t="inlineStr">
        <x:is>
          <x:t xml:space="preserve">Stage 5</x:t>
        </x:is>
      </x:c>
      <x:c r="D7" t="n">
        <x:f>'FLPR Rating'!C7</x:f>
        <x:v>30</x:v>
      </x:c>
      <x:c r="E7" s="88" t="n">
        <x:f>'FLPR Rating'!T7</x:f>
        <x:v>45.89574377725399</x:v>
      </x:c>
      <x:c r="F7" t="str">
        <x:f>'FLPR Rating'!W7</x:f>
        <x:v>Established</x:v>
      </x:c>
      <x:c r="G7" s="126" t="n">
        <x:f>'FLPR Rating'!S7</x:f>
        <x:v>0.9263157894736842</x:v>
      </x:c>
      <x:c r="H7" s="100" t="n">
        <x:f>IF(B7="","",IF(E7&gt;=75,4,IF(E7&gt;=70,3,IF(E7&gt;=65,2,IF(E7&gt;=60,1,IF(E7&gt;=55,0,IF(E7&gt;=50,-1,IF(E7&gt;=45,-2,IF(E7&gt;=40,-3,-4)))))))))</x:f>
        <x:v>-2</x:v>
      </x:c>
      <x:c r="I7" s="100" t="n">
        <x:f>IF(B7="","",H7)</x:f>
        <x:v>-2</x:v>
      </x:c>
      <x:c r="J7" s="100" t="n">
        <x:f>IF(B7="","",'Handicap Settings'!$B$8)</x:f>
        <x:v>1</x:v>
      </x:c>
      <x:c r="K7" s="100" t="n">
        <x:f>IF(B7="","",MAX(I7-J7,MIN(I7+J7,H7)))</x:f>
        <x:v>-2</x:v>
      </x:c>
      <x:c r="L7" t="str">
        <x:f>IF(B7="","",IF(K7=4,"Elite+",IF(K7=3,"Elite",IF(K7=2,"A+",IF(K7=1,"A",IF(K7=0,"B+",IF(K7=-1,"B",IF(K7=-2,"C+",IF(K7=-3,"C","D")))))))))</x:f>
        <x:v>C+</x:v>
      </x:c>
      <x:c r="M7" t="str">
        <x:f>IF(B7="","",IF(D7&gt;=25,"★★★★★",IF(D7&gt;=15,"★★★★",IF(D7&gt;=10,"★★★",IF(D7&gt;=6,"★★","★")))))</x:f>
        <x:v>★★★★★</x:v>
      </x:c>
      <x:c r="N7" t="b">
        <x:f>IF(B7="","",TRUE)</x:f>
        <x:v>1</x:v>
      </x:c>
      <x:c r="O7" t="str">
        <x:f>IF(B7="","",'Handicap Settings'!$B$4)</x:f>
        <x:v>Weekly Americano</x:v>
      </x:c>
    </x:row>
    <x:row r="8">
      <x:c r="A8" t="inlineStr">
        <x:is>
          <x:t xml:space="preserve">FLPR-0007</x:t>
        </x:is>
      </x:c>
      <x:c r="B8" t="str">
        <x:f>'FLPR Rating'!B8</x:f>
        <x:v>Hansen</x:v>
      </x:c>
      <x:c r="C8" t="inlineStr">
        <x:is>
          <x:t xml:space="preserve">Stage 5</x:t>
        </x:is>
      </x:c>
      <x:c r="D8" t="n">
        <x:f>'FLPR Rating'!C8</x:f>
        <x:v>6</x:v>
      </x:c>
      <x:c r="E8" s="88" t="n">
        <x:f>'FLPR Rating'!T8</x:f>
        <x:v>34.74019645757599</x:v>
      </x:c>
      <x:c r="F8" t="str">
        <x:f>'FLPR Rating'!W8</x:f>
        <x:v>Developing</x:v>
      </x:c>
      <x:c r="G8" s="126" t="n">
        <x:f>'FLPR Rating'!S8</x:f>
        <x:v>0.8</x:v>
      </x:c>
      <x:c r="H8" s="100" t="n">
        <x:f>IF(B8="","",IF(E8&gt;=75,4,IF(E8&gt;=70,3,IF(E8&gt;=65,2,IF(E8&gt;=60,1,IF(E8&gt;=55,0,IF(E8&gt;=50,-1,IF(E8&gt;=45,-2,IF(E8&gt;=40,-3,-4)))))))))</x:f>
        <x:v>-4</x:v>
      </x:c>
      <x:c r="I8" s="100" t="n">
        <x:f>IF(B8="","",H8)</x:f>
        <x:v>-4</x:v>
      </x:c>
      <x:c r="J8" s="100" t="n">
        <x:f>IF(B8="","",'Handicap Settings'!$B$8)</x:f>
        <x:v>1</x:v>
      </x:c>
      <x:c r="K8" s="100" t="n">
        <x:f>IF(B8="","",MAX(I8-J8,MIN(I8+J8,H8)))</x:f>
        <x:v>-4</x:v>
      </x:c>
      <x:c r="L8" t="str">
        <x:f>IF(B8="","",IF(K8=4,"Elite+",IF(K8=3,"Elite",IF(K8=2,"A+",IF(K8=1,"A",IF(K8=0,"B+",IF(K8=-1,"B",IF(K8=-2,"C+",IF(K8=-3,"C","D")))))))))</x:f>
        <x:v>D</x:v>
      </x:c>
      <x:c r="M8" t="str">
        <x:f>IF(B8="","",IF(D8&gt;=25,"★★★★★",IF(D8&gt;=15,"★★★★",IF(D8&gt;=10,"★★★",IF(D8&gt;=6,"★★","★")))))</x:f>
        <x:v>★★</x:v>
      </x:c>
      <x:c r="N8" t="b">
        <x:f>IF(B8="","",TRUE)</x:f>
        <x:v>1</x:v>
      </x:c>
      <x:c r="O8" t="str">
        <x:f>IF(B8="","",'Handicap Settings'!$B$4)</x:f>
        <x:v>Weekly Americano</x:v>
      </x:c>
    </x:row>
    <x:row r="9">
      <x:c r="A9" t="inlineStr">
        <x:is>
          <x:t xml:space="preserve">FLPR-0008</x:t>
        </x:is>
      </x:c>
      <x:c r="B9" t="str">
        <x:f>'FLPR Rating'!B9</x:f>
        <x:v>Jonathan</x:v>
      </x:c>
      <x:c r="C9" t="inlineStr">
        <x:is>
          <x:t xml:space="preserve">Stage 5</x:t>
        </x:is>
      </x:c>
      <x:c r="D9" t="n">
        <x:f>'FLPR Rating'!C9</x:f>
        <x:v>6</x:v>
      </x:c>
      <x:c r="E9" s="88" t="n">
        <x:f>'FLPR Rating'!T9</x:f>
        <x:v>51.86227380674279</x:v>
      </x:c>
      <x:c r="F9" t="str">
        <x:f>'FLPR Rating'!W9</x:f>
        <x:v>Developing</x:v>
      </x:c>
      <x:c r="G9" s="126" t="n">
        <x:f>'FLPR Rating'!S9</x:f>
        <x:v>0.8</x:v>
      </x:c>
      <x:c r="H9" s="100" t="n">
        <x:f>IF(B9="","",IF(E9&gt;=75,4,IF(E9&gt;=70,3,IF(E9&gt;=65,2,IF(E9&gt;=60,1,IF(E9&gt;=55,0,IF(E9&gt;=50,-1,IF(E9&gt;=45,-2,IF(E9&gt;=40,-3,-4)))))))))</x:f>
        <x:v>-1</x:v>
      </x:c>
      <x:c r="I9" s="100" t="n">
        <x:f>IF(B9="","",H9)</x:f>
        <x:v>-1</x:v>
      </x:c>
      <x:c r="J9" s="100" t="n">
        <x:f>IF(B9="","",'Handicap Settings'!$B$8)</x:f>
        <x:v>1</x:v>
      </x:c>
      <x:c r="K9" s="100" t="n">
        <x:f>IF(B9="","",MAX(I9-J9,MIN(I9+J9,H9)))</x:f>
        <x:v>-1</x:v>
      </x:c>
      <x:c r="L9" t="str">
        <x:f>IF(B9="","",IF(K9=4,"Elite+",IF(K9=3,"Elite",IF(K9=2,"A+",IF(K9=1,"A",IF(K9=0,"B+",IF(K9=-1,"B",IF(K9=-2,"C+",IF(K9=-3,"C","D")))))))))</x:f>
        <x:v>B</x:v>
      </x:c>
      <x:c r="M9" t="str">
        <x:f>IF(B9="","",IF(D9&gt;=25,"★★★★★",IF(D9&gt;=15,"★★★★",IF(D9&gt;=10,"★★★",IF(D9&gt;=6,"★★","★")))))</x:f>
        <x:v>★★</x:v>
      </x:c>
      <x:c r="N9" t="b">
        <x:f>IF(B9="","",TRUE)</x:f>
        <x:v>1</x:v>
      </x:c>
      <x:c r="O9" t="str">
        <x:f>IF(B9="","",'Handicap Settings'!$B$4)</x:f>
        <x:v>Weekly Americano</x:v>
      </x:c>
    </x:row>
    <x:row r="10">
      <x:c r="A10" t="inlineStr">
        <x:is>
          <x:t xml:space="preserve">FLPR-0009</x:t>
        </x:is>
      </x:c>
      <x:c r="B10" t="str">
        <x:f>'FLPR Rating'!B10</x:f>
        <x:v>Kennard</x:v>
      </x:c>
      <x:c r="C10" t="inlineStr">
        <x:is>
          <x:t xml:space="preserve">Stage 5</x:t>
        </x:is>
      </x:c>
      <x:c r="D10" t="n">
        <x:f>'FLPR Rating'!C10</x:f>
        <x:v>13</x:v>
      </x:c>
      <x:c r="E10" s="88" t="n">
        <x:f>'FLPR Rating'!T10</x:f>
        <x:v>50.28911547688009</x:v>
      </x:c>
      <x:c r="F10" t="str">
        <x:f>'FLPR Rating'!W10</x:f>
        <x:v>Established</x:v>
      </x:c>
      <x:c r="G10" s="126" t="n">
        <x:f>'FLPR Rating'!S10</x:f>
        <x:v>0.8666666666666667</x:v>
      </x:c>
      <x:c r="H10" s="100" t="n">
        <x:f>IF(B10="","",IF(E10&gt;=75,4,IF(E10&gt;=70,3,IF(E10&gt;=65,2,IF(E10&gt;=60,1,IF(E10&gt;=55,0,IF(E10&gt;=50,-1,IF(E10&gt;=45,-2,IF(E10&gt;=40,-3,-4)))))))))</x:f>
        <x:v>-1</x:v>
      </x:c>
      <x:c r="I10" s="100" t="n">
        <x:f>IF(B10="","",H10)</x:f>
        <x:v>-1</x:v>
      </x:c>
      <x:c r="J10" s="100" t="n">
        <x:f>IF(B10="","",'Handicap Settings'!$B$8)</x:f>
        <x:v>1</x:v>
      </x:c>
      <x:c r="K10" s="100" t="n">
        <x:f>IF(B10="","",MAX(I10-J10,MIN(I10+J10,H10)))</x:f>
        <x:v>-1</x:v>
      </x:c>
      <x:c r="L10" t="str">
        <x:f>IF(B10="","",IF(K10=4,"Elite+",IF(K10=3,"Elite",IF(K10=2,"A+",IF(K10=1,"A",IF(K10=0,"B+",IF(K10=-1,"B",IF(K10=-2,"C+",IF(K10=-3,"C","D")))))))))</x:f>
        <x:v>B</x:v>
      </x:c>
      <x:c r="M10" t="str">
        <x:f>IF(B10="","",IF(D10&gt;=25,"★★★★★",IF(D10&gt;=15,"★★★★",IF(D10&gt;=10,"★★★",IF(D10&gt;=6,"★★","★")))))</x:f>
        <x:v>★★★</x:v>
      </x:c>
      <x:c r="N10" t="b">
        <x:f>IF(B10="","",TRUE)</x:f>
        <x:v>1</x:v>
      </x:c>
      <x:c r="O10" t="str">
        <x:f>IF(B10="","",'Handicap Settings'!$B$4)</x:f>
        <x:v>Weekly Americano</x:v>
      </x:c>
    </x:row>
    <x:row r="11">
      <x:c r="A11" t="inlineStr">
        <x:is>
          <x:t xml:space="preserve">FLPR-0010</x:t>
        </x:is>
      </x:c>
      <x:c r="B11" t="str">
        <x:f>'FLPR Rating'!B11</x:f>
        <x:v>Michael</x:v>
      </x:c>
      <x:c r="C11" t="inlineStr">
        <x:is>
          <x:t xml:space="preserve">Stage 5</x:t>
        </x:is>
      </x:c>
      <x:c r="D11" t="n">
        <x:f>'FLPR Rating'!C11</x:f>
        <x:v>13</x:v>
      </x:c>
      <x:c r="E11" s="88" t="n">
        <x:f>'FLPR Rating'!T11</x:f>
        <x:v>45.67313478777373</x:v>
      </x:c>
      <x:c r="F11" t="str">
        <x:f>'FLPR Rating'!W11</x:f>
        <x:v>Established</x:v>
      </x:c>
      <x:c r="G11" s="126" t="n">
        <x:f>'FLPR Rating'!S11</x:f>
        <x:v>0.8666666666666667</x:v>
      </x:c>
      <x:c r="H11" s="100" t="n">
        <x:f>IF(B11="","",IF(E11&gt;=75,4,IF(E11&gt;=70,3,IF(E11&gt;=65,2,IF(E11&gt;=60,1,IF(E11&gt;=55,0,IF(E11&gt;=50,-1,IF(E11&gt;=45,-2,IF(E11&gt;=40,-3,-4)))))))))</x:f>
        <x:v>-2</x:v>
      </x:c>
      <x:c r="I11" s="100" t="n">
        <x:f>IF(B11="","",H11)</x:f>
        <x:v>-2</x:v>
      </x:c>
      <x:c r="J11" s="100" t="n">
        <x:f>IF(B11="","",'Handicap Settings'!$B$8)</x:f>
        <x:v>1</x:v>
      </x:c>
      <x:c r="K11" s="100" t="n">
        <x:f>IF(B11="","",MAX(I11-J11,MIN(I11+J11,H11)))</x:f>
        <x:v>-2</x:v>
      </x:c>
      <x:c r="L11" t="str">
        <x:f>IF(B11="","",IF(K11=4,"Elite+",IF(K11=3,"Elite",IF(K11=2,"A+",IF(K11=1,"A",IF(K11=0,"B+",IF(K11=-1,"B",IF(K11=-2,"C+",IF(K11=-3,"C","D")))))))))</x:f>
        <x:v>C+</x:v>
      </x:c>
      <x:c r="M11" t="str">
        <x:f>IF(B11="","",IF(D11&gt;=25,"★★★★★",IF(D11&gt;=15,"★★★★",IF(D11&gt;=10,"★★★",IF(D11&gt;=6,"★★","★")))))</x:f>
        <x:v>★★★</x:v>
      </x:c>
      <x:c r="N11" t="b">
        <x:f>IF(B11="","",TRUE)</x:f>
        <x:v>1</x:v>
      </x:c>
      <x:c r="O11" t="str">
        <x:f>IF(B11="","",'Handicap Settings'!$B$4)</x:f>
        <x:v>Weekly Americano</x:v>
      </x:c>
    </x:row>
    <x:row r="12">
      <x:c r="A12" t="inlineStr">
        <x:is>
          <x:t xml:space="preserve">FLPR-0011</x:t>
        </x:is>
      </x:c>
      <x:c r="B12" t="str">
        <x:f>'FLPR Rating'!B12</x:f>
        <x:v>Nicholas</x:v>
      </x:c>
      <x:c r="C12" t="inlineStr">
        <x:is>
          <x:t xml:space="preserve">Stage 5</x:t>
        </x:is>
      </x:c>
      <x:c r="D12" t="n">
        <x:f>'FLPR Rating'!C12</x:f>
        <x:v>7</x:v>
      </x:c>
      <x:c r="E12" s="88" t="n">
        <x:f>'FLPR Rating'!T12</x:f>
        <x:v>45.28271303058267</x:v>
      </x:c>
      <x:c r="F12" t="str">
        <x:f>'FLPR Rating'!W12</x:f>
        <x:v>Developing</x:v>
      </x:c>
      <x:c r="G12" s="126" t="n">
        <x:f>'FLPR Rating'!S12</x:f>
        <x:v>0.8133333333333334</x:v>
      </x:c>
      <x:c r="H12" s="100" t="n">
        <x:f>IF(B12="","",IF(E12&gt;=75,4,IF(E12&gt;=70,3,IF(E12&gt;=65,2,IF(E12&gt;=60,1,IF(E12&gt;=55,0,IF(E12&gt;=50,-1,IF(E12&gt;=45,-2,IF(E12&gt;=40,-3,-4)))))))))</x:f>
        <x:v>-2</x:v>
      </x:c>
      <x:c r="I12" s="100" t="n">
        <x:f>IF(B12="","",H12)</x:f>
        <x:v>-2</x:v>
      </x:c>
      <x:c r="J12" s="100" t="n">
        <x:f>IF(B12="","",'Handicap Settings'!$B$8)</x:f>
        <x:v>1</x:v>
      </x:c>
      <x:c r="K12" s="100" t="n">
        <x:f>IF(B12="","",MAX(I12-J12,MIN(I12+J12,H12)))</x:f>
        <x:v>-2</x:v>
      </x:c>
      <x:c r="L12" t="str">
        <x:f>IF(B12="","",IF(K12=4,"Elite+",IF(K12=3,"Elite",IF(K12=2,"A+",IF(K12=1,"A",IF(K12=0,"B+",IF(K12=-1,"B",IF(K12=-2,"C+",IF(K12=-3,"C","D")))))))))</x:f>
        <x:v>C+</x:v>
      </x:c>
      <x:c r="M12" t="str">
        <x:f>IF(B12="","",IF(D12&gt;=25,"★★★★★",IF(D12&gt;=15,"★★★★",IF(D12&gt;=10,"★★★",IF(D12&gt;=6,"★★","★")))))</x:f>
        <x:v>★★</x:v>
      </x:c>
      <x:c r="N12" t="b">
        <x:f>IF(B12="","",TRUE)</x:f>
        <x:v>1</x:v>
      </x:c>
      <x:c r="O12" t="str">
        <x:f>IF(B12="","",'Handicap Settings'!$B$4)</x:f>
        <x:v>Weekly Americano</x:v>
      </x:c>
    </x:row>
    <x:row r="13">
      <x:c r="A13" t="inlineStr">
        <x:is>
          <x:t xml:space="preserve">FLPR-0012</x:t>
        </x:is>
      </x:c>
      <x:c r="B13" t="str">
        <x:f>'FLPR Rating'!B13</x:f>
        <x:v>Nico</x:v>
      </x:c>
      <x:c r="C13" t="inlineStr">
        <x:is>
          <x:t xml:space="preserve">Stage 5</x:t>
        </x:is>
      </x:c>
      <x:c r="D13" t="n">
        <x:f>'FLPR Rating'!C13</x:f>
        <x:v>6</x:v>
      </x:c>
      <x:c r="E13" s="88" t="n">
        <x:f>'FLPR Rating'!T13</x:f>
        <x:v>37.95817920836509</x:v>
      </x:c>
      <x:c r="F13" t="str">
        <x:f>'FLPR Rating'!W13</x:f>
        <x:v>Developing</x:v>
      </x:c>
      <x:c r="G13" s="126" t="n">
        <x:f>'FLPR Rating'!S13</x:f>
        <x:v>0.8</x:v>
      </x:c>
      <x:c r="H13" s="100" t="n">
        <x:f>IF(B13="","",IF(E13&gt;=75,4,IF(E13&gt;=70,3,IF(E13&gt;=65,2,IF(E13&gt;=60,1,IF(E13&gt;=55,0,IF(E13&gt;=50,-1,IF(E13&gt;=45,-2,IF(E13&gt;=40,-3,-4)))))))))</x:f>
        <x:v>-4</x:v>
      </x:c>
      <x:c r="I13" s="100" t="n">
        <x:f>IF(B13="","",H13)</x:f>
        <x:v>-4</x:v>
      </x:c>
      <x:c r="J13" s="100" t="n">
        <x:f>IF(B13="","",'Handicap Settings'!$B$8)</x:f>
        <x:v>1</x:v>
      </x:c>
      <x:c r="K13" s="100" t="n">
        <x:f>IF(B13="","",MAX(I13-J13,MIN(I13+J13,H13)))</x:f>
        <x:v>-4</x:v>
      </x:c>
      <x:c r="L13" t="str">
        <x:f>IF(B13="","",IF(K13=4,"Elite+",IF(K13=3,"Elite",IF(K13=2,"A+",IF(K13=1,"A",IF(K13=0,"B+",IF(K13=-1,"B",IF(K13=-2,"C+",IF(K13=-3,"C","D")))))))))</x:f>
        <x:v>D</x:v>
      </x:c>
      <x:c r="M13" t="str">
        <x:f>IF(B13="","",IF(D13&gt;=25,"★★★★★",IF(D13&gt;=15,"★★★★",IF(D13&gt;=10,"★★★",IF(D13&gt;=6,"★★","★")))))</x:f>
        <x:v>★★</x:v>
      </x:c>
      <x:c r="N13" t="b">
        <x:f>IF(B13="","",TRUE)</x:f>
        <x:v>1</x:v>
      </x:c>
      <x:c r="O13" t="str">
        <x:f>IF(B13="","",'Handicap Settings'!$B$4)</x:f>
        <x:v>Weekly Americano</x:v>
      </x:c>
    </x:row>
    <x:row r="14">
      <x:c r="A14" t="inlineStr">
        <x:is>
          <x:t xml:space="preserve">FLPR-0013</x:t>
        </x:is>
      </x:c>
      <x:c r="B14" t="str">
        <x:f>'FLPR Rating'!B14</x:f>
        <x:v>Rey</x:v>
      </x:c>
      <x:c r="C14" t="inlineStr">
        <x:is>
          <x:t xml:space="preserve">Stage 5</x:t>
        </x:is>
      </x:c>
      <x:c r="D14" t="n">
        <x:f>'FLPR Rating'!C14</x:f>
        <x:v>7</x:v>
      </x:c>
      <x:c r="E14" s="88" t="n">
        <x:f>'FLPR Rating'!T14</x:f>
        <x:v>59.36910718873768</x:v>
      </x:c>
      <x:c r="F14" t="str">
        <x:f>'FLPR Rating'!W14</x:f>
        <x:v>Developing</x:v>
      </x:c>
      <x:c r="G14" s="126" t="n">
        <x:f>'FLPR Rating'!S14</x:f>
        <x:v>0.8133333333333334</x:v>
      </x:c>
      <x:c r="H14" s="100" t="n">
        <x:f>IF(B14="","",IF(E14&gt;=75,4,IF(E14&gt;=70,3,IF(E14&gt;=65,2,IF(E14&gt;=60,1,IF(E14&gt;=55,0,IF(E14&gt;=50,-1,IF(E14&gt;=45,-2,IF(E14&gt;=40,-3,-4)))))))))</x:f>
        <x:v>0</x:v>
      </x:c>
      <x:c r="I14" s="100" t="n">
        <x:f>IF(B14="","",H14)</x:f>
        <x:v>0</x:v>
      </x:c>
      <x:c r="J14" s="100" t="n">
        <x:f>IF(B14="","",'Handicap Settings'!$B$8)</x:f>
        <x:v>1</x:v>
      </x:c>
      <x:c r="K14" s="100" t="n">
        <x:f>IF(B14="","",MAX(I14-J14,MIN(I14+J14,H14)))</x:f>
        <x:v>0</x:v>
      </x:c>
      <x:c r="L14" t="str">
        <x:f>IF(B14="","",IF(K14=4,"Elite+",IF(K14=3,"Elite",IF(K14=2,"A+",IF(K14=1,"A",IF(K14=0,"B+",IF(K14=-1,"B",IF(K14=-2,"C+",IF(K14=-3,"C","D")))))))))</x:f>
        <x:v>B+</x:v>
      </x:c>
      <x:c r="M14" t="str">
        <x:f>IF(B14="","",IF(D14&gt;=25,"★★★★★",IF(D14&gt;=15,"★★★★",IF(D14&gt;=10,"★★★",IF(D14&gt;=6,"★★","★")))))</x:f>
        <x:v>★★</x:v>
      </x:c>
      <x:c r="N14" t="b">
        <x:f>IF(B14="","",TRUE)</x:f>
        <x:v>1</x:v>
      </x:c>
      <x:c r="O14" t="str">
        <x:f>IF(B14="","",'Handicap Settings'!$B$4)</x:f>
        <x:v>Weekly Americano</x:v>
      </x:c>
    </x:row>
    <x:row r="15">
      <x:c r="A15" t="inlineStr">
        <x:is>
          <x:t xml:space="preserve">FLPR-0014</x:t>
        </x:is>
      </x:c>
      <x:c r="B15" t="str">
        <x:f>'FLPR Rating'!B15</x:f>
        <x:v>Reza</x:v>
      </x:c>
      <x:c r="C15" t="inlineStr">
        <x:is>
          <x:t xml:space="preserve">Stage 5</x:t>
        </x:is>
      </x:c>
      <x:c r="D15" t="n">
        <x:f>'FLPR Rating'!C15</x:f>
        <x:v>6</x:v>
      </x:c>
      <x:c r="E15" s="88" t="n">
        <x:f>'FLPR Rating'!T15</x:f>
        <x:v>40.35591292370327</x:v>
      </x:c>
      <x:c r="F15" t="str">
        <x:f>'FLPR Rating'!W15</x:f>
        <x:v>Developing</x:v>
      </x:c>
      <x:c r="G15" s="126" t="n">
        <x:f>'FLPR Rating'!S15</x:f>
        <x:v>0.8</x:v>
      </x:c>
      <x:c r="H15" s="100" t="n">
        <x:f>IF(B15="","",IF(E15&gt;=75,4,IF(E15&gt;=70,3,IF(E15&gt;=65,2,IF(E15&gt;=60,1,IF(E15&gt;=55,0,IF(E15&gt;=50,-1,IF(E15&gt;=45,-2,IF(E15&gt;=40,-3,-4)))))))))</x:f>
        <x:v>-3</x:v>
      </x:c>
      <x:c r="I15" s="100" t="n">
        <x:f>IF(B15="","",H15)</x:f>
        <x:v>-3</x:v>
      </x:c>
      <x:c r="J15" s="100" t="n">
        <x:f>IF(B15="","",'Handicap Settings'!$B$8)</x:f>
        <x:v>1</x:v>
      </x:c>
      <x:c r="K15" s="100" t="n">
        <x:f>IF(B15="","",MAX(I15-J15,MIN(I15+J15,H15)))</x:f>
        <x:v>-3</x:v>
      </x:c>
      <x:c r="L15" t="str">
        <x:f>IF(B15="","",IF(K15=4,"Elite+",IF(K15=3,"Elite",IF(K15=2,"A+",IF(K15=1,"A",IF(K15=0,"B+",IF(K15=-1,"B",IF(K15=-2,"C+",IF(K15=-3,"C","D")))))))))</x:f>
        <x:v>C</x:v>
      </x:c>
      <x:c r="M15" t="str">
        <x:f>IF(B15="","",IF(D15&gt;=25,"★★★★★",IF(D15&gt;=15,"★★★★",IF(D15&gt;=10,"★★★",IF(D15&gt;=6,"★★","★")))))</x:f>
        <x:v>★★</x:v>
      </x:c>
      <x:c r="N15" t="b">
        <x:f>IF(B15="","",TRUE)</x:f>
        <x:v>1</x:v>
      </x:c>
      <x:c r="O15" t="str">
        <x:f>IF(B15="","",'Handicap Settings'!$B$4)</x:f>
        <x:v>Weekly Americano</x:v>
      </x:c>
    </x:row>
    <x:row r="16">
      <x:c r="A16" t="inlineStr">
        <x:is>
          <x:t xml:space="preserve">FLPR-0015</x:t>
        </x:is>
      </x:c>
      <x:c r="B16" t="str">
        <x:f>'FLPR Rating'!B16</x:f>
        <x:v>Ricky</x:v>
      </x:c>
      <x:c r="C16" t="inlineStr">
        <x:is>
          <x:t xml:space="preserve">Stage 5</x:t>
        </x:is>
      </x:c>
      <x:c r="D16" t="n">
        <x:f>'FLPR Rating'!C16</x:f>
        <x:v>26</x:v>
      </x:c>
      <x:c r="E16" s="88" t="n">
        <x:f>'FLPR Rating'!T16</x:f>
        <x:v>54.08585475906235</x:v>
      </x:c>
      <x:c r="F16" t="str">
        <x:f>'FLPR Rating'!W16</x:f>
        <x:v>Established</x:v>
      </x:c>
      <x:c r="G16" s="126" t="n">
        <x:f>'FLPR Rating'!S16</x:f>
        <x:v>0.9176470588235294</x:v>
      </x:c>
      <x:c r="H16" s="100" t="n">
        <x:f>IF(B16="","",IF(E16&gt;=75,4,IF(E16&gt;=70,3,IF(E16&gt;=65,2,IF(E16&gt;=60,1,IF(E16&gt;=55,0,IF(E16&gt;=50,-1,IF(E16&gt;=45,-2,IF(E16&gt;=40,-3,-4)))))))))</x:f>
        <x:v>-1</x:v>
      </x:c>
      <x:c r="I16" s="100" t="n">
        <x:f>IF(B16="","",H16)</x:f>
        <x:v>-1</x:v>
      </x:c>
      <x:c r="J16" s="100" t="n">
        <x:f>IF(B16="","",'Handicap Settings'!$B$8)</x:f>
        <x:v>1</x:v>
      </x:c>
      <x:c r="K16" s="100" t="n">
        <x:f>IF(B16="","",MAX(I16-J16,MIN(I16+J16,H16)))</x:f>
        <x:v>-1</x:v>
      </x:c>
      <x:c r="L16" t="str">
        <x:f>IF(B16="","",IF(K16=4,"Elite+",IF(K16=3,"Elite",IF(K16=2,"A+",IF(K16=1,"A",IF(K16=0,"B+",IF(K16=-1,"B",IF(K16=-2,"C+",IF(K16=-3,"C","D")))))))))</x:f>
        <x:v>B</x:v>
      </x:c>
      <x:c r="M16" t="str">
        <x:f>IF(B16="","",IF(D16&gt;=25,"★★★★★",IF(D16&gt;=15,"★★★★",IF(D16&gt;=10,"★★★",IF(D16&gt;=6,"★★","★")))))</x:f>
        <x:v>★★★★★</x:v>
      </x:c>
      <x:c r="N16" t="b">
        <x:f>IF(B16="","",TRUE)</x:f>
        <x:v>1</x:v>
      </x:c>
      <x:c r="O16" t="str">
        <x:f>IF(B16="","",'Handicap Settings'!$B$4)</x:f>
        <x:v>Weekly Americano</x:v>
      </x:c>
    </x:row>
    <x:row r="17">
      <x:c r="A17" t="inlineStr">
        <x:is>
          <x:t xml:space="preserve">FLPR-0016</x:t>
        </x:is>
      </x:c>
      <x:c r="B17" t="str">
        <x:f>'FLPR Rating'!B17</x:f>
        <x:v>Rizky</x:v>
      </x:c>
      <x:c r="C17" t="inlineStr">
        <x:is>
          <x:t xml:space="preserve">Stage 5</x:t>
        </x:is>
      </x:c>
      <x:c r="D17" t="n">
        <x:f>'FLPR Rating'!C17</x:f>
        <x:v>6</x:v>
      </x:c>
      <x:c r="E17" s="88" t="n">
        <x:f>'FLPR Rating'!T17</x:f>
        <x:v>49.194585879291715</x:v>
      </x:c>
      <x:c r="F17" t="str">
        <x:f>'FLPR Rating'!W17</x:f>
        <x:v>Developing</x:v>
      </x:c>
      <x:c r="G17" s="126" t="n">
        <x:f>'FLPR Rating'!S17</x:f>
        <x:v>0.8</x:v>
      </x:c>
      <x:c r="H17" s="100" t="n">
        <x:f>IF(B17="","",IF(E17&gt;=75,4,IF(E17&gt;=70,3,IF(E17&gt;=65,2,IF(E17&gt;=60,1,IF(E17&gt;=55,0,IF(E17&gt;=50,-1,IF(E17&gt;=45,-2,IF(E17&gt;=40,-3,-4)))))))))</x:f>
        <x:v>-2</x:v>
      </x:c>
      <x:c r="I17" s="100" t="n">
        <x:f>IF(B17="","",H17)</x:f>
        <x:v>-2</x:v>
      </x:c>
      <x:c r="J17" s="100" t="n">
        <x:f>IF(B17="","",'Handicap Settings'!$B$8)</x:f>
        <x:v>1</x:v>
      </x:c>
      <x:c r="K17" s="100" t="n">
        <x:f>IF(B17="","",MAX(I17-J17,MIN(I17+J17,H17)))</x:f>
        <x:v>-2</x:v>
      </x:c>
      <x:c r="L17" t="str">
        <x:f>IF(B17="","",IF(K17=4,"Elite+",IF(K17=3,"Elite",IF(K17=2,"A+",IF(K17=1,"A",IF(K17=0,"B+",IF(K17=-1,"B",IF(K17=-2,"C+",IF(K17=-3,"C","D")))))))))</x:f>
        <x:v>C+</x:v>
      </x:c>
      <x:c r="M17" t="str">
        <x:f>IF(B17="","",IF(D17&gt;=25,"★★★★★",IF(D17&gt;=15,"★★★★",IF(D17&gt;=10,"★★★",IF(D17&gt;=6,"★★","★")))))</x:f>
        <x:v>★★</x:v>
      </x:c>
      <x:c r="N17" t="b">
        <x:f>IF(B17="","",TRUE)</x:f>
        <x:v>1</x:v>
      </x:c>
      <x:c r="O17" t="str">
        <x:f>IF(B17="","",'Handicap Settings'!$B$4)</x:f>
        <x:v>Weekly Americano</x:v>
      </x:c>
    </x:row>
    <x:row r="18">
      <x:c r="A18" t="inlineStr">
        <x:is>
          <x:t xml:space="preserve">FLPR-0017</x:t>
        </x:is>
      </x:c>
      <x:c r="B18" t="str">
        <x:f>'FLPR Rating'!B18</x:f>
        <x:v>Ronald</x:v>
      </x:c>
      <x:c r="C18" t="inlineStr">
        <x:is>
          <x:t xml:space="preserve">Stage 5</x:t>
        </x:is>
      </x:c>
      <x:c r="D18" t="n">
        <x:f>'FLPR Rating'!C18</x:f>
        <x:v>18</x:v>
      </x:c>
      <x:c r="E18" s="88" t="n">
        <x:f>'FLPR Rating'!T18</x:f>
        <x:v>58.39066504604191</x:v>
      </x:c>
      <x:c r="F18" t="str">
        <x:f>'FLPR Rating'!W18</x:f>
        <x:v>Established</x:v>
      </x:c>
      <x:c r="G18" s="126" t="n">
        <x:f>'FLPR Rating'!S18</x:f>
        <x:v>0.8923076923076922</x:v>
      </x:c>
      <x:c r="H18" s="100" t="n">
        <x:f>IF(B18="","",IF(E18&gt;=75,4,IF(E18&gt;=70,3,IF(E18&gt;=65,2,IF(E18&gt;=60,1,IF(E18&gt;=55,0,IF(E18&gt;=50,-1,IF(E18&gt;=45,-2,IF(E18&gt;=40,-3,-4)))))))))</x:f>
        <x:v>0</x:v>
      </x:c>
      <x:c r="I18" s="100" t="n">
        <x:f>IF(B18="","",H18)</x:f>
        <x:v>0</x:v>
      </x:c>
      <x:c r="J18" s="100" t="n">
        <x:f>IF(B18="","",'Handicap Settings'!$B$8)</x:f>
        <x:v>1</x:v>
      </x:c>
      <x:c r="K18" s="100" t="n">
        <x:f>IF(B18="","",MAX(I18-J18,MIN(I18+J18,H18)))</x:f>
        <x:v>0</x:v>
      </x:c>
      <x:c r="L18" t="str">
        <x:f>IF(B18="","",IF(K18=4,"Elite+",IF(K18=3,"Elite",IF(K18=2,"A+",IF(K18=1,"A",IF(K18=0,"B+",IF(K18=-1,"B",IF(K18=-2,"C+",IF(K18=-3,"C","D")))))))))</x:f>
        <x:v>B+</x:v>
      </x:c>
      <x:c r="M18" t="str">
        <x:f>IF(B18="","",IF(D18&gt;=25,"★★★★★",IF(D18&gt;=15,"★★★★",IF(D18&gt;=10,"★★★",IF(D18&gt;=6,"★★","★")))))</x:f>
        <x:v>★★★★</x:v>
      </x:c>
      <x:c r="N18" t="b">
        <x:f>IF(B18="","",TRUE)</x:f>
        <x:v>1</x:v>
      </x:c>
      <x:c r="O18" t="str">
        <x:f>IF(B18="","",'Handicap Settings'!$B$4)</x:f>
        <x:v>Weekly Americano</x:v>
      </x:c>
    </x:row>
    <x:row r="19">
      <x:c r="A19" t="inlineStr">
        <x:is>
          <x:t xml:space="preserve">FLPR-0018</x:t>
        </x:is>
      </x:c>
      <x:c r="B19" t="str">
        <x:f>'FLPR Rating'!B19</x:f>
        <x:v>Sandy</x:v>
      </x:c>
      <x:c r="C19" t="inlineStr">
        <x:is>
          <x:t xml:space="preserve">Stage 5</x:t>
        </x:is>
      </x:c>
      <x:c r="D19" t="n">
        <x:f>'FLPR Rating'!C19</x:f>
        <x:v>13</x:v>
      </x:c>
      <x:c r="E19" s="88" t="n">
        <x:f>'FLPR Rating'!T19</x:f>
        <x:v>70.51306635024372</x:v>
      </x:c>
      <x:c r="F19" t="str">
        <x:f>'FLPR Rating'!W19</x:f>
        <x:v>Established</x:v>
      </x:c>
      <x:c r="G19" s="126" t="n">
        <x:f>'FLPR Rating'!S19</x:f>
        <x:v>0.8666666666666667</x:v>
      </x:c>
      <x:c r="H19" s="100" t="n">
        <x:f>IF(B19="","",IF(E19&gt;=75,4,IF(E19&gt;=70,3,IF(E19&gt;=65,2,IF(E19&gt;=60,1,IF(E19&gt;=55,0,IF(E19&gt;=50,-1,IF(E19&gt;=45,-2,IF(E19&gt;=40,-3,-4)))))))))</x:f>
        <x:v>3</x:v>
      </x:c>
      <x:c r="I19" s="100" t="n">
        <x:f>IF(B19="","",H19)</x:f>
        <x:v>3</x:v>
      </x:c>
      <x:c r="J19" s="100" t="n">
        <x:f>IF(B19="","",'Handicap Settings'!$B$8)</x:f>
        <x:v>1</x:v>
      </x:c>
      <x:c r="K19" s="100" t="n">
        <x:f>IF(B19="","",MAX(I19-J19,MIN(I19+J19,H19)))</x:f>
        <x:v>3</x:v>
      </x:c>
      <x:c r="L19" t="str">
        <x:f>IF(B19="","",IF(K19=4,"Elite+",IF(K19=3,"Elite",IF(K19=2,"A+",IF(K19=1,"A",IF(K19=0,"B+",IF(K19=-1,"B",IF(K19=-2,"C+",IF(K19=-3,"C","D")))))))))</x:f>
        <x:v>Elite</x:v>
      </x:c>
      <x:c r="M19" t="str">
        <x:f>IF(B19="","",IF(D19&gt;=25,"★★★★★",IF(D19&gt;=15,"★★★★",IF(D19&gt;=10,"★★★",IF(D19&gt;=6,"★★","★")))))</x:f>
        <x:v>★★★</x:v>
      </x:c>
      <x:c r="N19" t="b">
        <x:f>IF(B19="","",TRUE)</x:f>
        <x:v>1</x:v>
      </x:c>
      <x:c r="O19" t="str">
        <x:f>IF(B19="","",'Handicap Settings'!$B$4)</x:f>
        <x:v>Weekly Americano</x:v>
      </x:c>
    </x:row>
    <x:row r="20">
      <x:c r="A20" t="inlineStr">
        <x:is>
          <x:t xml:space="preserve">FLPR-0019</x:t>
        </x:is>
      </x:c>
      <x:c r="B20" t="str">
        <x:f>'FLPR Rating'!B20</x:f>
        <x:v>Thohir</x:v>
      </x:c>
      <x:c r="C20" t="inlineStr">
        <x:is>
          <x:t xml:space="preserve">Stage 5</x:t>
        </x:is>
      </x:c>
      <x:c r="D20" t="n">
        <x:f>'FLPR Rating'!C20</x:f>
        <x:v>4</x:v>
      </x:c>
      <x:c r="E20" s="88" t="n">
        <x:f>'FLPR Rating'!T20</x:f>
        <x:v>64.66887046003484</x:v>
      </x:c>
      <x:c r="F20" t="str">
        <x:f>'FLPR Rating'!W20</x:f>
        <x:v>Provisional</x:v>
      </x:c>
      <x:c r="G20" s="126" t="n">
        <x:f>'FLPR Rating'!S20</x:f>
        <x:v>0.7666666666666667</x:v>
      </x:c>
      <x:c r="H20" s="100" t="n">
        <x:f>IF(B20="","",IF(E20&gt;=75,4,IF(E20&gt;=70,3,IF(E20&gt;=65,2,IF(E20&gt;=60,1,IF(E20&gt;=55,0,IF(E20&gt;=50,-1,IF(E20&gt;=45,-2,IF(E20&gt;=40,-3,-4)))))))))</x:f>
        <x:v>1</x:v>
      </x:c>
      <x:c r="I20" s="100" t="n">
        <x:f>IF(B20="","",H20)</x:f>
        <x:v>1</x:v>
      </x:c>
      <x:c r="J20" s="100" t="n">
        <x:f>IF(B20="","",'Handicap Settings'!$B$8)</x:f>
        <x:v>1</x:v>
      </x:c>
      <x:c r="K20" s="100" t="n">
        <x:f>IF(B20="","",MAX(I20-J20,MIN(I20+J20,H20)))</x:f>
        <x:v>1</x:v>
      </x:c>
      <x:c r="L20" t="str">
        <x:f>IF(B20="","",IF(K20=4,"Elite+",IF(K20=3,"Elite",IF(K20=2,"A+",IF(K20=1,"A",IF(K20=0,"B+",IF(K20=-1,"B",IF(K20=-2,"C+",IF(K20=-3,"C","D")))))))))</x:f>
        <x:v>A</x:v>
      </x:c>
      <x:c r="M20" t="str">
        <x:f>IF(B20="","",IF(D20&gt;=25,"★★★★★",IF(D20&gt;=15,"★★★★",IF(D20&gt;=10,"★★★",IF(D20&gt;=6,"★★","★")))))</x:f>
        <x:v>★</x:v>
      </x:c>
      <x:c r="N20" t="b">
        <x:f>IF(B20="","",TRUE)</x:f>
        <x:v>1</x:v>
      </x:c>
      <x:c r="O20" t="str">
        <x:f>IF(B20="","",'Handicap Settings'!$B$4)</x:f>
        <x:v>Weekly Americano</x:v>
      </x:c>
    </x:row>
    <x:row r="21">
      <x:c r="A21" t="inlineStr">
        <x:is>
          <x:t xml:space="preserve">FLPR-0020</x:t>
        </x:is>
      </x:c>
      <x:c r="B21" t="str">
        <x:f>'FLPR Rating'!B21</x:f>
        <x:v>Welly</x:v>
      </x:c>
      <x:c r="C21" t="inlineStr">
        <x:is>
          <x:t xml:space="preserve">Stage 5</x:t>
        </x:is>
      </x:c>
      <x:c r="D21" t="n">
        <x:f>'FLPR Rating'!C21</x:f>
        <x:v>10</x:v>
      </x:c>
      <x:c r="E21" s="88" t="n">
        <x:f>'FLPR Rating'!T21</x:f>
        <x:v>33.619652635433916</x:v>
      </x:c>
      <x:c r="F21" t="str">
        <x:f>'FLPR Rating'!W21</x:f>
        <x:v>Developing</x:v>
      </x:c>
      <x:c r="G21" s="126" t="n">
        <x:f>'FLPR Rating'!S21</x:f>
        <x:v>0.8444444444444444</x:v>
      </x:c>
      <x:c r="H21" s="100" t="n">
        <x:f>IF(B21="","",IF(E21&gt;=75,4,IF(E21&gt;=70,3,IF(E21&gt;=65,2,IF(E21&gt;=60,1,IF(E21&gt;=55,0,IF(E21&gt;=50,-1,IF(E21&gt;=45,-2,IF(E21&gt;=40,-3,-4)))))))))</x:f>
        <x:v>-4</x:v>
      </x:c>
      <x:c r="I21" s="100" t="n">
        <x:f>IF(B21="","",H21)</x:f>
        <x:v>-4</x:v>
      </x:c>
      <x:c r="J21" s="100" t="n">
        <x:f>IF(B21="","",'Handicap Settings'!$B$8)</x:f>
        <x:v>1</x:v>
      </x:c>
      <x:c r="K21" s="100" t="n">
        <x:f>IF(B21="","",MAX(I21-J21,MIN(I21+J21,H21)))</x:f>
        <x:v>-4</x:v>
      </x:c>
      <x:c r="L21" t="str">
        <x:f>IF(B21="","",IF(K21=4,"Elite+",IF(K21=3,"Elite",IF(K21=2,"A+",IF(K21=1,"A",IF(K21=0,"B+",IF(K21=-1,"B",IF(K21=-2,"C+",IF(K21=-3,"C","D")))))))))</x:f>
        <x:v>D</x:v>
      </x:c>
      <x:c r="M21" t="str">
        <x:f>IF(B21="","",IF(D21&gt;=25,"★★★★★",IF(D21&gt;=15,"★★★★",IF(D21&gt;=10,"★★★",IF(D21&gt;=6,"★★","★")))))</x:f>
        <x:v>★★★</x:v>
      </x:c>
      <x:c r="N21" t="b">
        <x:f>IF(B21="","",TRUE)</x:f>
        <x:v>1</x:v>
      </x:c>
      <x:c r="O21" t="str">
        <x:f>IF(B21="","",'Handicap Settings'!$B$4)</x:f>
        <x:v>Weekly Americano</x:v>
      </x:c>
    </x:row>
    <x:row r="22">
      <x:c r="A22" t="inlineStr">
        <x:is>
          <x:t xml:space="preserve">FLPR-0021</x:t>
        </x:is>
      </x:c>
      <x:c r="C22" t="inlineStr">
        <x:is>
          <x:t xml:space="preserve">New / Manual</x:t>
        </x:is>
      </x:c>
      <x:c r="D22" t="n">
        <x:v>0</x:v>
      </x:c>
      <x:c r="E22" s="88" t="str">
        <x:f>IF(B22="","",'Handicap Settings'!$B$6)</x:f>
      </x:c>
      <x:c r="F22" t="str">
        <x:f>IF(B22="","",IF(D22&lt;'Handicap Settings'!$B$7,"Provisional","Established"))</x:f>
      </x:c>
      <x:c r="G22" s="126" t="str">
        <x:f>IF(B22="","",MIN(1,0.65+0.35*D22/(D22+8)))</x:f>
      </x:c>
      <x:c r="H22" s="100" t="str">
        <x:f>IF(B22="","",IF(E22&gt;=75,4,IF(E22&gt;=70,3,IF(E22&gt;=65,2,IF(E22&gt;=60,1,IF(E22&gt;=55,0,IF(E22&gt;=50,-1,IF(E22&gt;=45,-2,IF(E22&gt;=40,-3,-4)))))))))</x:f>
      </x:c>
      <x:c r="I22" s="100" t="str">
        <x:f>IF(B22="","",H22)</x:f>
      </x:c>
      <x:c r="J22" s="100" t="str">
        <x:f>IF(B22="","",'Handicap Settings'!$B$8)</x:f>
      </x:c>
      <x:c r="K22" s="100" t="str">
        <x:f>IF(B22="","",MAX(I22-J22,MIN(I22+J22,H22)))</x:f>
      </x:c>
      <x:c r="L22" t="str">
        <x:f>IF(B22="","",IF(K22=4,"Elite+",IF(K22=3,"Elite",IF(K22=2,"A+",IF(K22=1,"A",IF(K22=0,"B+",IF(K22=-1,"B",IF(K22=-2,"C+",IF(K22=-3,"C","D")))))))))</x:f>
      </x:c>
      <x:c r="M22" t="str">
        <x:f>IF(B22="","",IF(D22&gt;=25,"★★★★★",IF(D22&gt;=15,"★★★★",IF(D22&gt;=10,"★★★",IF(D22&gt;=6,"★★","★")))))</x:f>
      </x:c>
      <x:c r="N22" t="str">
        <x:f>IF(B22="","",TRUE)</x:f>
      </x:c>
      <x:c r="O22" t="str">
        <x:f>IF(B22="","",'Handicap Settings'!$B$4)</x:f>
      </x:c>
    </x:row>
    <x:row r="23">
      <x:c r="A23" t="inlineStr">
        <x:is>
          <x:t xml:space="preserve">FLPR-0022</x:t>
        </x:is>
      </x:c>
      <x:c r="C23" t="inlineStr">
        <x:is>
          <x:t xml:space="preserve">New / Manual</x:t>
        </x:is>
      </x:c>
      <x:c r="D23" t="n">
        <x:v>0</x:v>
      </x:c>
      <x:c r="E23" s="88" t="str">
        <x:f>IF(B23="","",'Handicap Settings'!$B$6)</x:f>
      </x:c>
      <x:c r="F23" t="str">
        <x:f>IF(B23="","",IF(D23&lt;'Handicap Settings'!$B$7,"Provisional","Established"))</x:f>
      </x:c>
      <x:c r="G23" s="126" t="str">
        <x:f>IF(B23="","",MIN(1,0.65+0.35*D23/(D23+8)))</x:f>
      </x:c>
      <x:c r="H23" s="100" t="str">
        <x:f>IF(B23="","",IF(E23&gt;=75,4,IF(E23&gt;=70,3,IF(E23&gt;=65,2,IF(E23&gt;=60,1,IF(E23&gt;=55,0,IF(E23&gt;=50,-1,IF(E23&gt;=45,-2,IF(E23&gt;=40,-3,-4)))))))))</x:f>
      </x:c>
      <x:c r="I23" s="100" t="str">
        <x:f>IF(B23="","",H23)</x:f>
      </x:c>
      <x:c r="J23" s="100" t="str">
        <x:f>IF(B23="","",'Handicap Settings'!$B$8)</x:f>
      </x:c>
      <x:c r="K23" s="100" t="str">
        <x:f>IF(B23="","",MAX(I23-J23,MIN(I23+J23,H23)))</x:f>
      </x:c>
      <x:c r="L23" t="str">
        <x:f>IF(B23="","",IF(K23=4,"Elite+",IF(K23=3,"Elite",IF(K23=2,"A+",IF(K23=1,"A",IF(K23=0,"B+",IF(K23=-1,"B",IF(K23=-2,"C+",IF(K23=-3,"C","D")))))))))</x:f>
      </x:c>
      <x:c r="M23" t="str">
        <x:f>IF(B23="","",IF(D23&gt;=25,"★★★★★",IF(D23&gt;=15,"★★★★",IF(D23&gt;=10,"★★★",IF(D23&gt;=6,"★★","★")))))</x:f>
      </x:c>
      <x:c r="N23" t="str">
        <x:f>IF(B23="","",TRUE)</x:f>
      </x:c>
      <x:c r="O23" t="str">
        <x:f>IF(B23="","",'Handicap Settings'!$B$4)</x:f>
      </x:c>
    </x:row>
    <x:row r="24">
      <x:c r="A24" t="inlineStr">
        <x:is>
          <x:t xml:space="preserve">FLPR-0023</x:t>
        </x:is>
      </x:c>
      <x:c r="C24" t="inlineStr">
        <x:is>
          <x:t xml:space="preserve">New / Manual</x:t>
        </x:is>
      </x:c>
      <x:c r="D24" t="n">
        <x:v>0</x:v>
      </x:c>
      <x:c r="E24" s="88" t="str">
        <x:f>IF(B24="","",'Handicap Settings'!$B$6)</x:f>
      </x:c>
      <x:c r="F24" t="str">
        <x:f>IF(B24="","",IF(D24&lt;'Handicap Settings'!$B$7,"Provisional","Established"))</x:f>
      </x:c>
      <x:c r="G24" s="126" t="str">
        <x:f>IF(B24="","",MIN(1,0.65+0.35*D24/(D24+8)))</x:f>
      </x:c>
      <x:c r="H24" s="100" t="str">
        <x:f>IF(B24="","",IF(E24&gt;=75,4,IF(E24&gt;=70,3,IF(E24&gt;=65,2,IF(E24&gt;=60,1,IF(E24&gt;=55,0,IF(E24&gt;=50,-1,IF(E24&gt;=45,-2,IF(E24&gt;=40,-3,-4)))))))))</x:f>
      </x:c>
      <x:c r="I24" s="100" t="str">
        <x:f>IF(B24="","",H24)</x:f>
      </x:c>
      <x:c r="J24" s="100" t="str">
        <x:f>IF(B24="","",'Handicap Settings'!$B$8)</x:f>
      </x:c>
      <x:c r="K24" s="100" t="str">
        <x:f>IF(B24="","",MAX(I24-J24,MIN(I24+J24,H24)))</x:f>
      </x:c>
      <x:c r="L24" t="str">
        <x:f>IF(B24="","",IF(K24=4,"Elite+",IF(K24=3,"Elite",IF(K24=2,"A+",IF(K24=1,"A",IF(K24=0,"B+",IF(K24=-1,"B",IF(K24=-2,"C+",IF(K24=-3,"C","D")))))))))</x:f>
      </x:c>
      <x:c r="M24" t="str">
        <x:f>IF(B24="","",IF(D24&gt;=25,"★★★★★",IF(D24&gt;=15,"★★★★",IF(D24&gt;=10,"★★★",IF(D24&gt;=6,"★★","★")))))</x:f>
      </x:c>
      <x:c r="N24" t="str">
        <x:f>IF(B24="","",TRUE)</x:f>
      </x:c>
      <x:c r="O24" t="str">
        <x:f>IF(B24="","",'Handicap Settings'!$B$4)</x:f>
      </x:c>
    </x:row>
    <x:row r="25">
      <x:c r="A25" t="inlineStr">
        <x:is>
          <x:t xml:space="preserve">FLPR-0024</x:t>
        </x:is>
      </x:c>
      <x:c r="C25" t="inlineStr">
        <x:is>
          <x:t xml:space="preserve">New / Manual</x:t>
        </x:is>
      </x:c>
      <x:c r="D25" t="n">
        <x:v>0</x:v>
      </x:c>
      <x:c r="E25" s="88" t="str">
        <x:f>IF(B25="","",'Handicap Settings'!$B$6)</x:f>
      </x:c>
      <x:c r="F25" t="str">
        <x:f>IF(B25="","",IF(D25&lt;'Handicap Settings'!$B$7,"Provisional","Established"))</x:f>
      </x:c>
      <x:c r="G25" s="126" t="str">
        <x:f>IF(B25="","",MIN(1,0.65+0.35*D25/(D25+8)))</x:f>
      </x:c>
      <x:c r="H25" s="100" t="str">
        <x:f>IF(B25="","",IF(E25&gt;=75,4,IF(E25&gt;=70,3,IF(E25&gt;=65,2,IF(E25&gt;=60,1,IF(E25&gt;=55,0,IF(E25&gt;=50,-1,IF(E25&gt;=45,-2,IF(E25&gt;=40,-3,-4)))))))))</x:f>
      </x:c>
      <x:c r="I25" s="100" t="str">
        <x:f>IF(B25="","",H25)</x:f>
      </x:c>
      <x:c r="J25" s="100" t="str">
        <x:f>IF(B25="","",'Handicap Settings'!$B$8)</x:f>
      </x:c>
      <x:c r="K25" s="100" t="str">
        <x:f>IF(B25="","",MAX(I25-J25,MIN(I25+J25,H25)))</x:f>
      </x:c>
      <x:c r="L25" t="str">
        <x:f>IF(B25="","",IF(K25=4,"Elite+",IF(K25=3,"Elite",IF(K25=2,"A+",IF(K25=1,"A",IF(K25=0,"B+",IF(K25=-1,"B",IF(K25=-2,"C+",IF(K25=-3,"C","D")))))))))</x:f>
      </x:c>
      <x:c r="M25" t="str">
        <x:f>IF(B25="","",IF(D25&gt;=25,"★★★★★",IF(D25&gt;=15,"★★★★",IF(D25&gt;=10,"★★★",IF(D25&gt;=6,"★★","★")))))</x:f>
      </x:c>
      <x:c r="N25" t="str">
        <x:f>IF(B25="","",TRUE)</x:f>
      </x:c>
      <x:c r="O25" t="str">
        <x:f>IF(B25="","",'Handicap Settings'!$B$4)</x:f>
      </x:c>
    </x:row>
    <x:row r="26">
      <x:c r="A26" t="inlineStr">
        <x:is>
          <x:t xml:space="preserve">FLPR-0025</x:t>
        </x:is>
      </x:c>
      <x:c r="C26" t="inlineStr">
        <x:is>
          <x:t xml:space="preserve">New / Manual</x:t>
        </x:is>
      </x:c>
      <x:c r="D26" t="n">
        <x:v>0</x:v>
      </x:c>
      <x:c r="E26" s="88" t="str">
        <x:f>IF(B26="","",'Handicap Settings'!$B$6)</x:f>
      </x:c>
      <x:c r="F26" t="str">
        <x:f>IF(B26="","",IF(D26&lt;'Handicap Settings'!$B$7,"Provisional","Established"))</x:f>
      </x:c>
      <x:c r="G26" s="126" t="str">
        <x:f>IF(B26="","",MIN(1,0.65+0.35*D26/(D26+8)))</x:f>
      </x:c>
      <x:c r="H26" s="100" t="str">
        <x:f>IF(B26="","",IF(E26&gt;=75,4,IF(E26&gt;=70,3,IF(E26&gt;=65,2,IF(E26&gt;=60,1,IF(E26&gt;=55,0,IF(E26&gt;=50,-1,IF(E26&gt;=45,-2,IF(E26&gt;=40,-3,-4)))))))))</x:f>
      </x:c>
      <x:c r="I26" s="100" t="str">
        <x:f>IF(B26="","",H26)</x:f>
      </x:c>
      <x:c r="J26" s="100" t="str">
        <x:f>IF(B26="","",'Handicap Settings'!$B$8)</x:f>
      </x:c>
      <x:c r="K26" s="100" t="str">
        <x:f>IF(B26="","",MAX(I26-J26,MIN(I26+J26,H26)))</x:f>
      </x:c>
      <x:c r="L26" t="str">
        <x:f>IF(B26="","",IF(K26=4,"Elite+",IF(K26=3,"Elite",IF(K26=2,"A+",IF(K26=1,"A",IF(K26=0,"B+",IF(K26=-1,"B",IF(K26=-2,"C+",IF(K26=-3,"C","D")))))))))</x:f>
      </x:c>
      <x:c r="M26" t="str">
        <x:f>IF(B26="","",IF(D26&gt;=25,"★★★★★",IF(D26&gt;=15,"★★★★",IF(D26&gt;=10,"★★★",IF(D26&gt;=6,"★★","★")))))</x:f>
      </x:c>
      <x:c r="N26" t="str">
        <x:f>IF(B26="","",TRUE)</x:f>
      </x:c>
      <x:c r="O26" t="str">
        <x:f>IF(B26="","",'Handicap Settings'!$B$4)</x:f>
      </x:c>
    </x:row>
    <x:row r="27">
      <x:c r="A27" t="inlineStr">
        <x:is>
          <x:t xml:space="preserve">FLPR-0026</x:t>
        </x:is>
      </x:c>
      <x:c r="C27" t="inlineStr">
        <x:is>
          <x:t xml:space="preserve">New / Manual</x:t>
        </x:is>
      </x:c>
      <x:c r="D27" t="n">
        <x:v>0</x:v>
      </x:c>
      <x:c r="E27" s="88" t="str">
        <x:f>IF(B27="","",'Handicap Settings'!$B$6)</x:f>
      </x:c>
      <x:c r="F27" t="str">
        <x:f>IF(B27="","",IF(D27&lt;'Handicap Settings'!$B$7,"Provisional","Established"))</x:f>
      </x:c>
      <x:c r="G27" s="126" t="str">
        <x:f>IF(B27="","",MIN(1,0.65+0.35*D27/(D27+8)))</x:f>
      </x:c>
      <x:c r="H27" s="100" t="str">
        <x:f>IF(B27="","",IF(E27&gt;=75,4,IF(E27&gt;=70,3,IF(E27&gt;=65,2,IF(E27&gt;=60,1,IF(E27&gt;=55,0,IF(E27&gt;=50,-1,IF(E27&gt;=45,-2,IF(E27&gt;=40,-3,-4)))))))))</x:f>
      </x:c>
      <x:c r="I27" s="100" t="str">
        <x:f>IF(B27="","",H27)</x:f>
      </x:c>
      <x:c r="J27" s="100" t="str">
        <x:f>IF(B27="","",'Handicap Settings'!$B$8)</x:f>
      </x:c>
      <x:c r="K27" s="100" t="str">
        <x:f>IF(B27="","",MAX(I27-J27,MIN(I27+J27,H27)))</x:f>
      </x:c>
      <x:c r="L27" t="str">
        <x:f>IF(B27="","",IF(K27=4,"Elite+",IF(K27=3,"Elite",IF(K27=2,"A+",IF(K27=1,"A",IF(K27=0,"B+",IF(K27=-1,"B",IF(K27=-2,"C+",IF(K27=-3,"C","D")))))))))</x:f>
      </x:c>
      <x:c r="M27" t="str">
        <x:f>IF(B27="","",IF(D27&gt;=25,"★★★★★",IF(D27&gt;=15,"★★★★",IF(D27&gt;=10,"★★★",IF(D27&gt;=6,"★★","★")))))</x:f>
      </x:c>
      <x:c r="N27" t="str">
        <x:f>IF(B27="","",TRUE)</x:f>
      </x:c>
      <x:c r="O27" t="str">
        <x:f>IF(B27="","",'Handicap Settings'!$B$4)</x:f>
      </x:c>
    </x:row>
    <x:row r="28">
      <x:c r="A28" t="inlineStr">
        <x:is>
          <x:t xml:space="preserve">FLPR-0027</x:t>
        </x:is>
      </x:c>
      <x:c r="C28" t="inlineStr">
        <x:is>
          <x:t xml:space="preserve">New / Manual</x:t>
        </x:is>
      </x:c>
      <x:c r="D28" t="n">
        <x:v>0</x:v>
      </x:c>
      <x:c r="E28" s="88" t="str">
        <x:f>IF(B28="","",'Handicap Settings'!$B$6)</x:f>
      </x:c>
      <x:c r="F28" t="str">
        <x:f>IF(B28="","",IF(D28&lt;'Handicap Settings'!$B$7,"Provisional","Established"))</x:f>
      </x:c>
      <x:c r="G28" s="126" t="str">
        <x:f>IF(B28="","",MIN(1,0.65+0.35*D28/(D28+8)))</x:f>
      </x:c>
      <x:c r="H28" s="100" t="str">
        <x:f>IF(B28="","",IF(E28&gt;=75,4,IF(E28&gt;=70,3,IF(E28&gt;=65,2,IF(E28&gt;=60,1,IF(E28&gt;=55,0,IF(E28&gt;=50,-1,IF(E28&gt;=45,-2,IF(E28&gt;=40,-3,-4)))))))))</x:f>
      </x:c>
      <x:c r="I28" s="100" t="str">
        <x:f>IF(B28="","",H28)</x:f>
      </x:c>
      <x:c r="J28" s="100" t="str">
        <x:f>IF(B28="","",'Handicap Settings'!$B$8)</x:f>
      </x:c>
      <x:c r="K28" s="100" t="str">
        <x:f>IF(B28="","",MAX(I28-J28,MIN(I28+J28,H28)))</x:f>
      </x:c>
      <x:c r="L28" t="str">
        <x:f>IF(B28="","",IF(K28=4,"Elite+",IF(K28=3,"Elite",IF(K28=2,"A+",IF(K28=1,"A",IF(K28=0,"B+",IF(K28=-1,"B",IF(K28=-2,"C+",IF(K28=-3,"C","D")))))))))</x:f>
      </x:c>
      <x:c r="M28" t="str">
        <x:f>IF(B28="","",IF(D28&gt;=25,"★★★★★",IF(D28&gt;=15,"★★★★",IF(D28&gt;=10,"★★★",IF(D28&gt;=6,"★★","★")))))</x:f>
      </x:c>
      <x:c r="N28" t="str">
        <x:f>IF(B28="","",TRUE)</x:f>
      </x:c>
      <x:c r="O28" t="str">
        <x:f>IF(B28="","",'Handicap Settings'!$B$4)</x:f>
      </x:c>
    </x:row>
    <x:row r="29">
      <x:c r="A29" t="inlineStr">
        <x:is>
          <x:t xml:space="preserve">FLPR-0028</x:t>
        </x:is>
      </x:c>
      <x:c r="C29" t="inlineStr">
        <x:is>
          <x:t xml:space="preserve">New / Manual</x:t>
        </x:is>
      </x:c>
      <x:c r="D29" t="n">
        <x:v>0</x:v>
      </x:c>
      <x:c r="E29" s="88" t="str">
        <x:f>IF(B29="","",'Handicap Settings'!$B$6)</x:f>
      </x:c>
      <x:c r="F29" t="str">
        <x:f>IF(B29="","",IF(D29&lt;'Handicap Settings'!$B$7,"Provisional","Established"))</x:f>
      </x:c>
      <x:c r="G29" s="126" t="str">
        <x:f>IF(B29="","",MIN(1,0.65+0.35*D29/(D29+8)))</x:f>
      </x:c>
      <x:c r="H29" s="100" t="str">
        <x:f>IF(B29="","",IF(E29&gt;=75,4,IF(E29&gt;=70,3,IF(E29&gt;=65,2,IF(E29&gt;=60,1,IF(E29&gt;=55,0,IF(E29&gt;=50,-1,IF(E29&gt;=45,-2,IF(E29&gt;=40,-3,-4)))))))))</x:f>
      </x:c>
      <x:c r="I29" s="100" t="str">
        <x:f>IF(B29="","",H29)</x:f>
      </x:c>
      <x:c r="J29" s="100" t="str">
        <x:f>IF(B29="","",'Handicap Settings'!$B$8)</x:f>
      </x:c>
      <x:c r="K29" s="100" t="str">
        <x:f>IF(B29="","",MAX(I29-J29,MIN(I29+J29,H29)))</x:f>
      </x:c>
      <x:c r="L29" t="str">
        <x:f>IF(B29="","",IF(K29=4,"Elite+",IF(K29=3,"Elite",IF(K29=2,"A+",IF(K29=1,"A",IF(K29=0,"B+",IF(K29=-1,"B",IF(K29=-2,"C+",IF(K29=-3,"C","D")))))))))</x:f>
      </x:c>
      <x:c r="M29" t="str">
        <x:f>IF(B29="","",IF(D29&gt;=25,"★★★★★",IF(D29&gt;=15,"★★★★",IF(D29&gt;=10,"★★★",IF(D29&gt;=6,"★★","★")))))</x:f>
      </x:c>
      <x:c r="N29" t="str">
        <x:f>IF(B29="","",TRUE)</x:f>
      </x:c>
      <x:c r="O29" t="str">
        <x:f>IF(B29="","",'Handicap Settings'!$B$4)</x:f>
      </x:c>
    </x:row>
    <x:row r="30">
      <x:c r="A30" t="inlineStr">
        <x:is>
          <x:t xml:space="preserve">FLPR-0029</x:t>
        </x:is>
      </x:c>
      <x:c r="C30" t="inlineStr">
        <x:is>
          <x:t xml:space="preserve">New / Manual</x:t>
        </x:is>
      </x:c>
      <x:c r="D30" t="n">
        <x:v>0</x:v>
      </x:c>
      <x:c r="E30" s="88" t="str">
        <x:f>IF(B30="","",'Handicap Settings'!$B$6)</x:f>
      </x:c>
      <x:c r="F30" t="str">
        <x:f>IF(B30="","",IF(D30&lt;'Handicap Settings'!$B$7,"Provisional","Established"))</x:f>
      </x:c>
      <x:c r="G30" s="126" t="str">
        <x:f>IF(B30="","",MIN(1,0.65+0.35*D30/(D30+8)))</x:f>
      </x:c>
      <x:c r="H30" s="100" t="str">
        <x:f>IF(B30="","",IF(E30&gt;=75,4,IF(E30&gt;=70,3,IF(E30&gt;=65,2,IF(E30&gt;=60,1,IF(E30&gt;=55,0,IF(E30&gt;=50,-1,IF(E30&gt;=45,-2,IF(E30&gt;=40,-3,-4)))))))))</x:f>
      </x:c>
      <x:c r="I30" s="100" t="str">
        <x:f>IF(B30="","",H30)</x:f>
      </x:c>
      <x:c r="J30" s="100" t="str">
        <x:f>IF(B30="","",'Handicap Settings'!$B$8)</x:f>
      </x:c>
      <x:c r="K30" s="100" t="str">
        <x:f>IF(B30="","",MAX(I30-J30,MIN(I30+J30,H30)))</x:f>
      </x:c>
      <x:c r="L30" t="str">
        <x:f>IF(B30="","",IF(K30=4,"Elite+",IF(K30=3,"Elite",IF(K30=2,"A+",IF(K30=1,"A",IF(K30=0,"B+",IF(K30=-1,"B",IF(K30=-2,"C+",IF(K30=-3,"C","D")))))))))</x:f>
      </x:c>
      <x:c r="M30" t="str">
        <x:f>IF(B30="","",IF(D30&gt;=25,"★★★★★",IF(D30&gt;=15,"★★★★",IF(D30&gt;=10,"★★★",IF(D30&gt;=6,"★★","★")))))</x:f>
      </x:c>
      <x:c r="N30" t="str">
        <x:f>IF(B30="","",TRUE)</x:f>
      </x:c>
      <x:c r="O30" t="str">
        <x:f>IF(B30="","",'Handicap Settings'!$B$4)</x:f>
      </x:c>
    </x:row>
    <x:row r="31">
      <x:c r="A31" t="inlineStr">
        <x:is>
          <x:t xml:space="preserve">FLPR-0030</x:t>
        </x:is>
      </x:c>
      <x:c r="C31" t="inlineStr">
        <x:is>
          <x:t xml:space="preserve">New / Manual</x:t>
        </x:is>
      </x:c>
      <x:c r="D31" t="n">
        <x:v>0</x:v>
      </x:c>
      <x:c r="E31" s="88" t="str">
        <x:f>IF(B31="","",'Handicap Settings'!$B$6)</x:f>
      </x:c>
      <x:c r="F31" t="str">
        <x:f>IF(B31="","",IF(D31&lt;'Handicap Settings'!$B$7,"Provisional","Established"))</x:f>
      </x:c>
      <x:c r="G31" s="126" t="str">
        <x:f>IF(B31="","",MIN(1,0.65+0.35*D31/(D31+8)))</x:f>
      </x:c>
      <x:c r="H31" s="100" t="str">
        <x:f>IF(B31="","",IF(E31&gt;=75,4,IF(E31&gt;=70,3,IF(E31&gt;=65,2,IF(E31&gt;=60,1,IF(E31&gt;=55,0,IF(E31&gt;=50,-1,IF(E31&gt;=45,-2,IF(E31&gt;=40,-3,-4)))))))))</x:f>
      </x:c>
      <x:c r="I31" s="100" t="str">
        <x:f>IF(B31="","",H31)</x:f>
      </x:c>
      <x:c r="J31" s="100" t="str">
        <x:f>IF(B31="","",'Handicap Settings'!$B$8)</x:f>
      </x:c>
      <x:c r="K31" s="100" t="str">
        <x:f>IF(B31="","",MAX(I31-J31,MIN(I31+J31,H31)))</x:f>
      </x:c>
      <x:c r="L31" t="str">
        <x:f>IF(B31="","",IF(K31=4,"Elite+",IF(K31=3,"Elite",IF(K31=2,"A+",IF(K31=1,"A",IF(K31=0,"B+",IF(K31=-1,"B",IF(K31=-2,"C+",IF(K31=-3,"C","D")))))))))</x:f>
      </x:c>
      <x:c r="M31" t="str">
        <x:f>IF(B31="","",IF(D31&gt;=25,"★★★★★",IF(D31&gt;=15,"★★★★",IF(D31&gt;=10,"★★★",IF(D31&gt;=6,"★★","★")))))</x:f>
      </x:c>
      <x:c r="N31" t="str">
        <x:f>IF(B31="","",TRUE)</x:f>
      </x:c>
      <x:c r="O31" t="str">
        <x:f>IF(B31="","",'Handicap Settings'!$B$4)</x:f>
      </x:c>
    </x:row>
    <x:row r="32">
      <x:c r="A32" t="inlineStr">
        <x:is>
          <x:t xml:space="preserve">FLPR-0031</x:t>
        </x:is>
      </x:c>
      <x:c r="C32" t="inlineStr">
        <x:is>
          <x:t xml:space="preserve">New / Manual</x:t>
        </x:is>
      </x:c>
      <x:c r="D32" t="n">
        <x:v>0</x:v>
      </x:c>
      <x:c r="E32" s="88" t="str">
        <x:f>IF(B32="","",'Handicap Settings'!$B$6)</x:f>
      </x:c>
      <x:c r="F32" t="str">
        <x:f>IF(B32="","",IF(D32&lt;'Handicap Settings'!$B$7,"Provisional","Established"))</x:f>
      </x:c>
      <x:c r="G32" s="126" t="str">
        <x:f>IF(B32="","",MIN(1,0.65+0.35*D32/(D32+8)))</x:f>
      </x:c>
      <x:c r="H32" s="100" t="str">
        <x:f>IF(B32="","",IF(E32&gt;=75,4,IF(E32&gt;=70,3,IF(E32&gt;=65,2,IF(E32&gt;=60,1,IF(E32&gt;=55,0,IF(E32&gt;=50,-1,IF(E32&gt;=45,-2,IF(E32&gt;=40,-3,-4)))))))))</x:f>
      </x:c>
      <x:c r="I32" s="100" t="str">
        <x:f>IF(B32="","",H32)</x:f>
      </x:c>
      <x:c r="J32" s="100" t="str">
        <x:f>IF(B32="","",'Handicap Settings'!$B$8)</x:f>
      </x:c>
      <x:c r="K32" s="100" t="str">
        <x:f>IF(B32="","",MAX(I32-J32,MIN(I32+J32,H32)))</x:f>
      </x:c>
      <x:c r="L32" t="str">
        <x:f>IF(B32="","",IF(K32=4,"Elite+",IF(K32=3,"Elite",IF(K32=2,"A+",IF(K32=1,"A",IF(K32=0,"B+",IF(K32=-1,"B",IF(K32=-2,"C+",IF(K32=-3,"C","D")))))))))</x:f>
      </x:c>
      <x:c r="M32" t="str">
        <x:f>IF(B32="","",IF(D32&gt;=25,"★★★★★",IF(D32&gt;=15,"★★★★",IF(D32&gt;=10,"★★★",IF(D32&gt;=6,"★★","★")))))</x:f>
      </x:c>
      <x:c r="N32" t="str">
        <x:f>IF(B32="","",TRUE)</x:f>
      </x:c>
      <x:c r="O32" t="str">
        <x:f>IF(B32="","",'Handicap Settings'!$B$4)</x:f>
      </x:c>
    </x:row>
    <x:row r="33">
      <x:c r="A33" t="inlineStr">
        <x:is>
          <x:t xml:space="preserve">FLPR-0032</x:t>
        </x:is>
      </x:c>
      <x:c r="C33" t="inlineStr">
        <x:is>
          <x:t xml:space="preserve">New / Manual</x:t>
        </x:is>
      </x:c>
      <x:c r="D33" t="n">
        <x:v>0</x:v>
      </x:c>
      <x:c r="E33" s="88" t="str">
        <x:f>IF(B33="","",'Handicap Settings'!$B$6)</x:f>
      </x:c>
      <x:c r="F33" t="str">
        <x:f>IF(B33="","",IF(D33&lt;'Handicap Settings'!$B$7,"Provisional","Established"))</x:f>
      </x:c>
      <x:c r="G33" s="126" t="str">
        <x:f>IF(B33="","",MIN(1,0.65+0.35*D33/(D33+8)))</x:f>
      </x:c>
      <x:c r="H33" s="100" t="str">
        <x:f>IF(B33="","",IF(E33&gt;=75,4,IF(E33&gt;=70,3,IF(E33&gt;=65,2,IF(E33&gt;=60,1,IF(E33&gt;=55,0,IF(E33&gt;=50,-1,IF(E33&gt;=45,-2,IF(E33&gt;=40,-3,-4)))))))))</x:f>
      </x:c>
      <x:c r="I33" s="100" t="str">
        <x:f>IF(B33="","",H33)</x:f>
      </x:c>
      <x:c r="J33" s="100" t="str">
        <x:f>IF(B33="","",'Handicap Settings'!$B$8)</x:f>
      </x:c>
      <x:c r="K33" s="100" t="str">
        <x:f>IF(B33="","",MAX(I33-J33,MIN(I33+J33,H33)))</x:f>
      </x:c>
      <x:c r="L33" t="str">
        <x:f>IF(B33="","",IF(K33=4,"Elite+",IF(K33=3,"Elite",IF(K33=2,"A+",IF(K33=1,"A",IF(K33=0,"B+",IF(K33=-1,"B",IF(K33=-2,"C+",IF(K33=-3,"C","D")))))))))</x:f>
      </x:c>
      <x:c r="M33" t="str">
        <x:f>IF(B33="","",IF(D33&gt;=25,"★★★★★",IF(D33&gt;=15,"★★★★",IF(D33&gt;=10,"★★★",IF(D33&gt;=6,"★★","★")))))</x:f>
      </x:c>
      <x:c r="N33" t="str">
        <x:f>IF(B33="","",TRUE)</x:f>
      </x:c>
      <x:c r="O33" t="str">
        <x:f>IF(B33="","",'Handicap Settings'!$B$4)</x:f>
      </x:c>
    </x:row>
    <x:row r="34">
      <x:c r="A34" t="inlineStr">
        <x:is>
          <x:t xml:space="preserve">FLPR-0033</x:t>
        </x:is>
      </x:c>
      <x:c r="C34" t="inlineStr">
        <x:is>
          <x:t xml:space="preserve">New / Manual</x:t>
        </x:is>
      </x:c>
      <x:c r="D34" t="n">
        <x:v>0</x:v>
      </x:c>
      <x:c r="E34" s="88" t="str">
        <x:f>IF(B34="","",'Handicap Settings'!$B$6)</x:f>
      </x:c>
      <x:c r="F34" t="str">
        <x:f>IF(B34="","",IF(D34&lt;'Handicap Settings'!$B$7,"Provisional","Established"))</x:f>
      </x:c>
      <x:c r="G34" s="126" t="str">
        <x:f>IF(B34="","",MIN(1,0.65+0.35*D34/(D34+8)))</x:f>
      </x:c>
      <x:c r="H34" s="100" t="str">
        <x:f>IF(B34="","",IF(E34&gt;=75,4,IF(E34&gt;=70,3,IF(E34&gt;=65,2,IF(E34&gt;=60,1,IF(E34&gt;=55,0,IF(E34&gt;=50,-1,IF(E34&gt;=45,-2,IF(E34&gt;=40,-3,-4)))))))))</x:f>
      </x:c>
      <x:c r="I34" s="100" t="str">
        <x:f>IF(B34="","",H34)</x:f>
      </x:c>
      <x:c r="J34" s="100" t="str">
        <x:f>IF(B34="","",'Handicap Settings'!$B$8)</x:f>
      </x:c>
      <x:c r="K34" s="100" t="str">
        <x:f>IF(B34="","",MAX(I34-J34,MIN(I34+J34,H34)))</x:f>
      </x:c>
      <x:c r="L34" t="str">
        <x:f>IF(B34="","",IF(K34=4,"Elite+",IF(K34=3,"Elite",IF(K34=2,"A+",IF(K34=1,"A",IF(K34=0,"B+",IF(K34=-1,"B",IF(K34=-2,"C+",IF(K34=-3,"C","D")))))))))</x:f>
      </x:c>
      <x:c r="M34" t="str">
        <x:f>IF(B34="","",IF(D34&gt;=25,"★★★★★",IF(D34&gt;=15,"★★★★",IF(D34&gt;=10,"★★★",IF(D34&gt;=6,"★★","★")))))</x:f>
      </x:c>
      <x:c r="N34" t="str">
        <x:f>IF(B34="","",TRUE)</x:f>
      </x:c>
      <x:c r="O34" t="str">
        <x:f>IF(B34="","",'Handicap Settings'!$B$4)</x:f>
      </x:c>
    </x:row>
    <x:row r="35">
      <x:c r="A35" t="inlineStr">
        <x:is>
          <x:t xml:space="preserve">FLPR-0034</x:t>
        </x:is>
      </x:c>
      <x:c r="C35" t="inlineStr">
        <x:is>
          <x:t xml:space="preserve">New / Manual</x:t>
        </x:is>
      </x:c>
      <x:c r="D35" t="n">
        <x:v>0</x:v>
      </x:c>
      <x:c r="E35" s="88" t="str">
        <x:f>IF(B35="","",'Handicap Settings'!$B$6)</x:f>
      </x:c>
      <x:c r="F35" t="str">
        <x:f>IF(B35="","",IF(D35&lt;'Handicap Settings'!$B$7,"Provisional","Established"))</x:f>
      </x:c>
      <x:c r="G35" s="126" t="str">
        <x:f>IF(B35="","",MIN(1,0.65+0.35*D35/(D35+8)))</x:f>
      </x:c>
      <x:c r="H35" s="100" t="str">
        <x:f>IF(B35="","",IF(E35&gt;=75,4,IF(E35&gt;=70,3,IF(E35&gt;=65,2,IF(E35&gt;=60,1,IF(E35&gt;=55,0,IF(E35&gt;=50,-1,IF(E35&gt;=45,-2,IF(E35&gt;=40,-3,-4)))))))))</x:f>
      </x:c>
      <x:c r="I35" s="100" t="str">
        <x:f>IF(B35="","",H35)</x:f>
      </x:c>
      <x:c r="J35" s="100" t="str">
        <x:f>IF(B35="","",'Handicap Settings'!$B$8)</x:f>
      </x:c>
      <x:c r="K35" s="100" t="str">
        <x:f>IF(B35="","",MAX(I35-J35,MIN(I35+J35,H35)))</x:f>
      </x:c>
      <x:c r="L35" t="str">
        <x:f>IF(B35="","",IF(K35=4,"Elite+",IF(K35=3,"Elite",IF(K35=2,"A+",IF(K35=1,"A",IF(K35=0,"B+",IF(K35=-1,"B",IF(K35=-2,"C+",IF(K35=-3,"C","D")))))))))</x:f>
      </x:c>
      <x:c r="M35" t="str">
        <x:f>IF(B35="","",IF(D35&gt;=25,"★★★★★",IF(D35&gt;=15,"★★★★",IF(D35&gt;=10,"★★★",IF(D35&gt;=6,"★★","★")))))</x:f>
      </x:c>
      <x:c r="N35" t="str">
        <x:f>IF(B35="","",TRUE)</x:f>
      </x:c>
      <x:c r="O35" t="str">
        <x:f>IF(B35="","",'Handicap Settings'!$B$4)</x:f>
      </x:c>
    </x:row>
    <x:row r="36">
      <x:c r="A36" t="inlineStr">
        <x:is>
          <x:t xml:space="preserve">FLPR-0035</x:t>
        </x:is>
      </x:c>
      <x:c r="C36" t="inlineStr">
        <x:is>
          <x:t xml:space="preserve">New / Manual</x:t>
        </x:is>
      </x:c>
      <x:c r="D36" t="n">
        <x:v>0</x:v>
      </x:c>
      <x:c r="E36" s="88" t="str">
        <x:f>IF(B36="","",'Handicap Settings'!$B$6)</x:f>
      </x:c>
      <x:c r="F36" t="str">
        <x:f>IF(B36="","",IF(D36&lt;'Handicap Settings'!$B$7,"Provisional","Established"))</x:f>
      </x:c>
      <x:c r="G36" s="126" t="str">
        <x:f>IF(B36="","",MIN(1,0.65+0.35*D36/(D36+8)))</x:f>
      </x:c>
      <x:c r="H36" s="100" t="str">
        <x:f>IF(B36="","",IF(E36&gt;=75,4,IF(E36&gt;=70,3,IF(E36&gt;=65,2,IF(E36&gt;=60,1,IF(E36&gt;=55,0,IF(E36&gt;=50,-1,IF(E36&gt;=45,-2,IF(E36&gt;=40,-3,-4)))))))))</x:f>
      </x:c>
      <x:c r="I36" s="100" t="str">
        <x:f>IF(B36="","",H36)</x:f>
      </x:c>
      <x:c r="J36" s="100" t="str">
        <x:f>IF(B36="","",'Handicap Settings'!$B$8)</x:f>
      </x:c>
      <x:c r="K36" s="100" t="str">
        <x:f>IF(B36="","",MAX(I36-J36,MIN(I36+J36,H36)))</x:f>
      </x:c>
      <x:c r="L36" t="str">
        <x:f>IF(B36="","",IF(K36=4,"Elite+",IF(K36=3,"Elite",IF(K36=2,"A+",IF(K36=1,"A",IF(K36=0,"B+",IF(K36=-1,"B",IF(K36=-2,"C+",IF(K36=-3,"C","D")))))))))</x:f>
      </x:c>
      <x:c r="M36" t="str">
        <x:f>IF(B36="","",IF(D36&gt;=25,"★★★★★",IF(D36&gt;=15,"★★★★",IF(D36&gt;=10,"★★★",IF(D36&gt;=6,"★★","★")))))</x:f>
      </x:c>
      <x:c r="N36" t="str">
        <x:f>IF(B36="","",TRUE)</x:f>
      </x:c>
      <x:c r="O36" t="str">
        <x:f>IF(B36="","",'Handicap Settings'!$B$4)</x:f>
      </x:c>
    </x:row>
    <x:row r="37">
      <x:c r="A37" t="inlineStr">
        <x:is>
          <x:t xml:space="preserve">FLPR-0036</x:t>
        </x:is>
      </x:c>
      <x:c r="C37" t="inlineStr">
        <x:is>
          <x:t xml:space="preserve">New / Manual</x:t>
        </x:is>
      </x:c>
      <x:c r="D37" t="n">
        <x:v>0</x:v>
      </x:c>
      <x:c r="E37" s="88" t="str">
        <x:f>IF(B37="","",'Handicap Settings'!$B$6)</x:f>
      </x:c>
      <x:c r="F37" t="str">
        <x:f>IF(B37="","",IF(D37&lt;'Handicap Settings'!$B$7,"Provisional","Established"))</x:f>
      </x:c>
      <x:c r="G37" s="126" t="str">
        <x:f>IF(B37="","",MIN(1,0.65+0.35*D37/(D37+8)))</x:f>
      </x:c>
      <x:c r="H37" s="100" t="str">
        <x:f>IF(B37="","",IF(E37&gt;=75,4,IF(E37&gt;=70,3,IF(E37&gt;=65,2,IF(E37&gt;=60,1,IF(E37&gt;=55,0,IF(E37&gt;=50,-1,IF(E37&gt;=45,-2,IF(E37&gt;=40,-3,-4)))))))))</x:f>
      </x:c>
      <x:c r="I37" s="100" t="str">
        <x:f>IF(B37="","",H37)</x:f>
      </x:c>
      <x:c r="J37" s="100" t="str">
        <x:f>IF(B37="","",'Handicap Settings'!$B$8)</x:f>
      </x:c>
      <x:c r="K37" s="100" t="str">
        <x:f>IF(B37="","",MAX(I37-J37,MIN(I37+J37,H37)))</x:f>
      </x:c>
      <x:c r="L37" t="str">
        <x:f>IF(B37="","",IF(K37=4,"Elite+",IF(K37=3,"Elite",IF(K37=2,"A+",IF(K37=1,"A",IF(K37=0,"B+",IF(K37=-1,"B",IF(K37=-2,"C+",IF(K37=-3,"C","D")))))))))</x:f>
      </x:c>
      <x:c r="M37" t="str">
        <x:f>IF(B37="","",IF(D37&gt;=25,"★★★★★",IF(D37&gt;=15,"★★★★",IF(D37&gt;=10,"★★★",IF(D37&gt;=6,"★★","★")))))</x:f>
      </x:c>
      <x:c r="N37" t="str">
        <x:f>IF(B37="","",TRUE)</x:f>
      </x:c>
      <x:c r="O37" t="str">
        <x:f>IF(B37="","",'Handicap Settings'!$B$4)</x:f>
      </x:c>
    </x:row>
    <x:row r="38">
      <x:c r="A38" t="inlineStr">
        <x:is>
          <x:t xml:space="preserve">FLPR-0037</x:t>
        </x:is>
      </x:c>
      <x:c r="C38" t="inlineStr">
        <x:is>
          <x:t xml:space="preserve">New / Manual</x:t>
        </x:is>
      </x:c>
      <x:c r="D38" t="n">
        <x:v>0</x:v>
      </x:c>
      <x:c r="E38" s="88" t="str">
        <x:f>IF(B38="","",'Handicap Settings'!$B$6)</x:f>
      </x:c>
      <x:c r="F38" t="str">
        <x:f>IF(B38="","",IF(D38&lt;'Handicap Settings'!$B$7,"Provisional","Established"))</x:f>
      </x:c>
      <x:c r="G38" s="126" t="str">
        <x:f>IF(B38="","",MIN(1,0.65+0.35*D38/(D38+8)))</x:f>
      </x:c>
      <x:c r="H38" s="100" t="str">
        <x:f>IF(B38="","",IF(E38&gt;=75,4,IF(E38&gt;=70,3,IF(E38&gt;=65,2,IF(E38&gt;=60,1,IF(E38&gt;=55,0,IF(E38&gt;=50,-1,IF(E38&gt;=45,-2,IF(E38&gt;=40,-3,-4)))))))))</x:f>
      </x:c>
      <x:c r="I38" s="100" t="str">
        <x:f>IF(B38="","",H38)</x:f>
      </x:c>
      <x:c r="J38" s="100" t="str">
        <x:f>IF(B38="","",'Handicap Settings'!$B$8)</x:f>
      </x:c>
      <x:c r="K38" s="100" t="str">
        <x:f>IF(B38="","",MAX(I38-J38,MIN(I38+J38,H38)))</x:f>
      </x:c>
      <x:c r="L38" t="str">
        <x:f>IF(B38="","",IF(K38=4,"Elite+",IF(K38=3,"Elite",IF(K38=2,"A+",IF(K38=1,"A",IF(K38=0,"B+",IF(K38=-1,"B",IF(K38=-2,"C+",IF(K38=-3,"C","D")))))))))</x:f>
      </x:c>
      <x:c r="M38" t="str">
        <x:f>IF(B38="","",IF(D38&gt;=25,"★★★★★",IF(D38&gt;=15,"★★★★",IF(D38&gt;=10,"★★★",IF(D38&gt;=6,"★★","★")))))</x:f>
      </x:c>
      <x:c r="N38" t="str">
        <x:f>IF(B38="","",TRUE)</x:f>
      </x:c>
      <x:c r="O38" t="str">
        <x:f>IF(B38="","",'Handicap Settings'!$B$4)</x:f>
      </x:c>
    </x:row>
    <x:row r="39">
      <x:c r="A39" t="inlineStr">
        <x:is>
          <x:t xml:space="preserve">FLPR-0038</x:t>
        </x:is>
      </x:c>
      <x:c r="C39" t="inlineStr">
        <x:is>
          <x:t xml:space="preserve">New / Manual</x:t>
        </x:is>
      </x:c>
      <x:c r="D39" t="n">
        <x:v>0</x:v>
      </x:c>
      <x:c r="E39" s="88" t="str">
        <x:f>IF(B39="","",'Handicap Settings'!$B$6)</x:f>
      </x:c>
      <x:c r="F39" t="str">
        <x:f>IF(B39="","",IF(D39&lt;'Handicap Settings'!$B$7,"Provisional","Established"))</x:f>
      </x:c>
      <x:c r="G39" s="126" t="str">
        <x:f>IF(B39="","",MIN(1,0.65+0.35*D39/(D39+8)))</x:f>
      </x:c>
      <x:c r="H39" s="100" t="str">
        <x:f>IF(B39="","",IF(E39&gt;=75,4,IF(E39&gt;=70,3,IF(E39&gt;=65,2,IF(E39&gt;=60,1,IF(E39&gt;=55,0,IF(E39&gt;=50,-1,IF(E39&gt;=45,-2,IF(E39&gt;=40,-3,-4)))))))))</x:f>
      </x:c>
      <x:c r="I39" s="100" t="str">
        <x:f>IF(B39="","",H39)</x:f>
      </x:c>
      <x:c r="J39" s="100" t="str">
        <x:f>IF(B39="","",'Handicap Settings'!$B$8)</x:f>
      </x:c>
      <x:c r="K39" s="100" t="str">
        <x:f>IF(B39="","",MAX(I39-J39,MIN(I39+J39,H39)))</x:f>
      </x:c>
      <x:c r="L39" t="str">
        <x:f>IF(B39="","",IF(K39=4,"Elite+",IF(K39=3,"Elite",IF(K39=2,"A+",IF(K39=1,"A",IF(K39=0,"B+",IF(K39=-1,"B",IF(K39=-2,"C+",IF(K39=-3,"C","D")))))))))</x:f>
      </x:c>
      <x:c r="M39" t="str">
        <x:f>IF(B39="","",IF(D39&gt;=25,"★★★★★",IF(D39&gt;=15,"★★★★",IF(D39&gt;=10,"★★★",IF(D39&gt;=6,"★★","★")))))</x:f>
      </x:c>
      <x:c r="N39" t="str">
        <x:f>IF(B39="","",TRUE)</x:f>
      </x:c>
      <x:c r="O39" t="str">
        <x:f>IF(B39="","",'Handicap Settings'!$B$4)</x:f>
      </x:c>
    </x:row>
    <x:row r="40">
      <x:c r="A40" t="inlineStr">
        <x:is>
          <x:t xml:space="preserve">FLPR-0039</x:t>
        </x:is>
      </x:c>
      <x:c r="C40" t="inlineStr">
        <x:is>
          <x:t xml:space="preserve">New / Manual</x:t>
        </x:is>
      </x:c>
      <x:c r="D40" t="n">
        <x:v>0</x:v>
      </x:c>
      <x:c r="E40" s="88" t="str">
        <x:f>IF(B40="","",'Handicap Settings'!$B$6)</x:f>
      </x:c>
      <x:c r="F40" t="str">
        <x:f>IF(B40="","",IF(D40&lt;'Handicap Settings'!$B$7,"Provisional","Established"))</x:f>
      </x:c>
      <x:c r="G40" s="126" t="str">
        <x:f>IF(B40="","",MIN(1,0.65+0.35*D40/(D40+8)))</x:f>
      </x:c>
      <x:c r="H40" s="100" t="str">
        <x:f>IF(B40="","",IF(E40&gt;=75,4,IF(E40&gt;=70,3,IF(E40&gt;=65,2,IF(E40&gt;=60,1,IF(E40&gt;=55,0,IF(E40&gt;=50,-1,IF(E40&gt;=45,-2,IF(E40&gt;=40,-3,-4)))))))))</x:f>
      </x:c>
      <x:c r="I40" s="100" t="str">
        <x:f>IF(B40="","",H40)</x:f>
      </x:c>
      <x:c r="J40" s="100" t="str">
        <x:f>IF(B40="","",'Handicap Settings'!$B$8)</x:f>
      </x:c>
      <x:c r="K40" s="100" t="str">
        <x:f>IF(B40="","",MAX(I40-J40,MIN(I40+J40,H40)))</x:f>
      </x:c>
      <x:c r="L40" t="str">
        <x:f>IF(B40="","",IF(K40=4,"Elite+",IF(K40=3,"Elite",IF(K40=2,"A+",IF(K40=1,"A",IF(K40=0,"B+",IF(K40=-1,"B",IF(K40=-2,"C+",IF(K40=-3,"C","D")))))))))</x:f>
      </x:c>
      <x:c r="M40" t="str">
        <x:f>IF(B40="","",IF(D40&gt;=25,"★★★★★",IF(D40&gt;=15,"★★★★",IF(D40&gt;=10,"★★★",IF(D40&gt;=6,"★★","★")))))</x:f>
      </x:c>
      <x:c r="N40" t="str">
        <x:f>IF(B40="","",TRUE)</x:f>
      </x:c>
      <x:c r="O40" t="str">
        <x:f>IF(B40="","",'Handicap Settings'!$B$4)</x:f>
      </x:c>
    </x:row>
    <x:row r="41">
      <x:c r="A41" t="inlineStr">
        <x:is>
          <x:t xml:space="preserve">FLPR-0040</x:t>
        </x:is>
      </x:c>
      <x:c r="C41" t="inlineStr">
        <x:is>
          <x:t xml:space="preserve">New / Manual</x:t>
        </x:is>
      </x:c>
      <x:c r="D41" t="n">
        <x:v>0</x:v>
      </x:c>
      <x:c r="E41" s="88" t="str">
        <x:f>IF(B41="","",'Handicap Settings'!$B$6)</x:f>
      </x:c>
      <x:c r="F41" t="str">
        <x:f>IF(B41="","",IF(D41&lt;'Handicap Settings'!$B$7,"Provisional","Established"))</x:f>
      </x:c>
      <x:c r="G41" s="126" t="str">
        <x:f>IF(B41="","",MIN(1,0.65+0.35*D41/(D41+8)))</x:f>
      </x:c>
      <x:c r="H41" s="100" t="str">
        <x:f>IF(B41="","",IF(E41&gt;=75,4,IF(E41&gt;=70,3,IF(E41&gt;=65,2,IF(E41&gt;=60,1,IF(E41&gt;=55,0,IF(E41&gt;=50,-1,IF(E41&gt;=45,-2,IF(E41&gt;=40,-3,-4)))))))))</x:f>
      </x:c>
      <x:c r="I41" s="100" t="str">
        <x:f>IF(B41="","",H41)</x:f>
      </x:c>
      <x:c r="J41" s="100" t="str">
        <x:f>IF(B41="","",'Handicap Settings'!$B$8)</x:f>
      </x:c>
      <x:c r="K41" s="100" t="str">
        <x:f>IF(B41="","",MAX(I41-J41,MIN(I41+J41,H41)))</x:f>
      </x:c>
      <x:c r="L41" t="str">
        <x:f>IF(B41="","",IF(K41=4,"Elite+",IF(K41=3,"Elite",IF(K41=2,"A+",IF(K41=1,"A",IF(K41=0,"B+",IF(K41=-1,"B",IF(K41=-2,"C+",IF(K41=-3,"C","D")))))))))</x:f>
      </x:c>
      <x:c r="M41" t="str">
        <x:f>IF(B41="","",IF(D41&gt;=25,"★★★★★",IF(D41&gt;=15,"★★★★",IF(D41&gt;=10,"★★★",IF(D41&gt;=6,"★★","★")))))</x:f>
      </x:c>
      <x:c r="N41" t="str">
        <x:f>IF(B41="","",TRUE)</x:f>
      </x:c>
      <x:c r="O41" t="str">
        <x:f>IF(B41="","",'Handicap Settings'!$B$4)</x:f>
      </x:c>
    </x:row>
    <x:row r="42">
      <x:c r="A42" t="inlineStr">
        <x:is>
          <x:t xml:space="preserve">FLPR-0041</x:t>
        </x:is>
      </x:c>
      <x:c r="C42" t="inlineStr">
        <x:is>
          <x:t xml:space="preserve">New / Manual</x:t>
        </x:is>
      </x:c>
      <x:c r="D42" t="n">
        <x:v>0</x:v>
      </x:c>
      <x:c r="E42" s="88" t="str">
        <x:f>IF(B42="","",'Handicap Settings'!$B$6)</x:f>
      </x:c>
      <x:c r="F42" t="str">
        <x:f>IF(B42="","",IF(D42&lt;'Handicap Settings'!$B$7,"Provisional","Established"))</x:f>
      </x:c>
      <x:c r="G42" s="126" t="str">
        <x:f>IF(B42="","",MIN(1,0.65+0.35*D42/(D42+8)))</x:f>
      </x:c>
      <x:c r="H42" s="100" t="str">
        <x:f>IF(B42="","",IF(E42&gt;=75,4,IF(E42&gt;=70,3,IF(E42&gt;=65,2,IF(E42&gt;=60,1,IF(E42&gt;=55,0,IF(E42&gt;=50,-1,IF(E42&gt;=45,-2,IF(E42&gt;=40,-3,-4)))))))))</x:f>
      </x:c>
      <x:c r="I42" s="100" t="str">
        <x:f>IF(B42="","",H42)</x:f>
      </x:c>
      <x:c r="J42" s="100" t="str">
        <x:f>IF(B42="","",'Handicap Settings'!$B$8)</x:f>
      </x:c>
      <x:c r="K42" s="100" t="str">
        <x:f>IF(B42="","",MAX(I42-J42,MIN(I42+J42,H42)))</x:f>
      </x:c>
      <x:c r="L42" t="str">
        <x:f>IF(B42="","",IF(K42=4,"Elite+",IF(K42=3,"Elite",IF(K42=2,"A+",IF(K42=1,"A",IF(K42=0,"B+",IF(K42=-1,"B",IF(K42=-2,"C+",IF(K42=-3,"C","D")))))))))</x:f>
      </x:c>
      <x:c r="M42" t="str">
        <x:f>IF(B42="","",IF(D42&gt;=25,"★★★★★",IF(D42&gt;=15,"★★★★",IF(D42&gt;=10,"★★★",IF(D42&gt;=6,"★★","★")))))</x:f>
      </x:c>
      <x:c r="N42" t="str">
        <x:f>IF(B42="","",TRUE)</x:f>
      </x:c>
      <x:c r="O42" t="str">
        <x:f>IF(B42="","",'Handicap Settings'!$B$4)</x:f>
      </x:c>
    </x:row>
    <x:row r="43">
      <x:c r="A43" t="inlineStr">
        <x:is>
          <x:t xml:space="preserve">FLPR-0042</x:t>
        </x:is>
      </x:c>
      <x:c r="C43" t="inlineStr">
        <x:is>
          <x:t xml:space="preserve">New / Manual</x:t>
        </x:is>
      </x:c>
      <x:c r="D43" t="n">
        <x:v>0</x:v>
      </x:c>
      <x:c r="E43" s="88" t="str">
        <x:f>IF(B43="","",'Handicap Settings'!$B$6)</x:f>
      </x:c>
      <x:c r="F43" t="str">
        <x:f>IF(B43="","",IF(D43&lt;'Handicap Settings'!$B$7,"Provisional","Established"))</x:f>
      </x:c>
      <x:c r="G43" s="126" t="str">
        <x:f>IF(B43="","",MIN(1,0.65+0.35*D43/(D43+8)))</x:f>
      </x:c>
      <x:c r="H43" s="100" t="str">
        <x:f>IF(B43="","",IF(E43&gt;=75,4,IF(E43&gt;=70,3,IF(E43&gt;=65,2,IF(E43&gt;=60,1,IF(E43&gt;=55,0,IF(E43&gt;=50,-1,IF(E43&gt;=45,-2,IF(E43&gt;=40,-3,-4)))))))))</x:f>
      </x:c>
      <x:c r="I43" s="100" t="str">
        <x:f>IF(B43="","",H43)</x:f>
      </x:c>
      <x:c r="J43" s="100" t="str">
        <x:f>IF(B43="","",'Handicap Settings'!$B$8)</x:f>
      </x:c>
      <x:c r="K43" s="100" t="str">
        <x:f>IF(B43="","",MAX(I43-J43,MIN(I43+J43,H43)))</x:f>
      </x:c>
      <x:c r="L43" t="str">
        <x:f>IF(B43="","",IF(K43=4,"Elite+",IF(K43=3,"Elite",IF(K43=2,"A+",IF(K43=1,"A",IF(K43=0,"B+",IF(K43=-1,"B",IF(K43=-2,"C+",IF(K43=-3,"C","D")))))))))</x:f>
      </x:c>
      <x:c r="M43" t="str">
        <x:f>IF(B43="","",IF(D43&gt;=25,"★★★★★",IF(D43&gt;=15,"★★★★",IF(D43&gt;=10,"★★★",IF(D43&gt;=6,"★★","★")))))</x:f>
      </x:c>
      <x:c r="N43" t="str">
        <x:f>IF(B43="","",TRUE)</x:f>
      </x:c>
      <x:c r="O43" t="str">
        <x:f>IF(B43="","",'Handicap Settings'!$B$4)</x:f>
      </x:c>
    </x:row>
    <x:row r="44">
      <x:c r="A44" t="inlineStr">
        <x:is>
          <x:t xml:space="preserve">FLPR-0043</x:t>
        </x:is>
      </x:c>
      <x:c r="C44" t="inlineStr">
        <x:is>
          <x:t xml:space="preserve">New / Manual</x:t>
        </x:is>
      </x:c>
      <x:c r="D44" t="n">
        <x:v>0</x:v>
      </x:c>
      <x:c r="E44" s="88" t="str">
        <x:f>IF(B44="","",'Handicap Settings'!$B$6)</x:f>
      </x:c>
      <x:c r="F44" t="str">
        <x:f>IF(B44="","",IF(D44&lt;'Handicap Settings'!$B$7,"Provisional","Established"))</x:f>
      </x:c>
      <x:c r="G44" s="126" t="str">
        <x:f>IF(B44="","",MIN(1,0.65+0.35*D44/(D44+8)))</x:f>
      </x:c>
      <x:c r="H44" s="100" t="str">
        <x:f>IF(B44="","",IF(E44&gt;=75,4,IF(E44&gt;=70,3,IF(E44&gt;=65,2,IF(E44&gt;=60,1,IF(E44&gt;=55,0,IF(E44&gt;=50,-1,IF(E44&gt;=45,-2,IF(E44&gt;=40,-3,-4)))))))))</x:f>
      </x:c>
      <x:c r="I44" s="100" t="str">
        <x:f>IF(B44="","",H44)</x:f>
      </x:c>
      <x:c r="J44" s="100" t="str">
        <x:f>IF(B44="","",'Handicap Settings'!$B$8)</x:f>
      </x:c>
      <x:c r="K44" s="100" t="str">
        <x:f>IF(B44="","",MAX(I44-J44,MIN(I44+J44,H44)))</x:f>
      </x:c>
      <x:c r="L44" t="str">
        <x:f>IF(B44="","",IF(K44=4,"Elite+",IF(K44=3,"Elite",IF(K44=2,"A+",IF(K44=1,"A",IF(K44=0,"B+",IF(K44=-1,"B",IF(K44=-2,"C+",IF(K44=-3,"C","D")))))))))</x:f>
      </x:c>
      <x:c r="M44" t="str">
        <x:f>IF(B44="","",IF(D44&gt;=25,"★★★★★",IF(D44&gt;=15,"★★★★",IF(D44&gt;=10,"★★★",IF(D44&gt;=6,"★★","★")))))</x:f>
      </x:c>
      <x:c r="N44" t="str">
        <x:f>IF(B44="","",TRUE)</x:f>
      </x:c>
      <x:c r="O44" t="str">
        <x:f>IF(B44="","",'Handicap Settings'!$B$4)</x:f>
      </x:c>
    </x:row>
    <x:row r="45">
      <x:c r="A45" t="inlineStr">
        <x:is>
          <x:t xml:space="preserve">FLPR-0044</x:t>
        </x:is>
      </x:c>
      <x:c r="C45" t="inlineStr">
        <x:is>
          <x:t xml:space="preserve">New / Manual</x:t>
        </x:is>
      </x:c>
      <x:c r="D45" t="n">
        <x:v>0</x:v>
      </x:c>
      <x:c r="E45" s="88" t="str">
        <x:f>IF(B45="","",'Handicap Settings'!$B$6)</x:f>
      </x:c>
      <x:c r="F45" t="str">
        <x:f>IF(B45="","",IF(D45&lt;'Handicap Settings'!$B$7,"Provisional","Established"))</x:f>
      </x:c>
      <x:c r="G45" s="126" t="str">
        <x:f>IF(B45="","",MIN(1,0.65+0.35*D45/(D45+8)))</x:f>
      </x:c>
      <x:c r="H45" s="100" t="str">
        <x:f>IF(B45="","",IF(E45&gt;=75,4,IF(E45&gt;=70,3,IF(E45&gt;=65,2,IF(E45&gt;=60,1,IF(E45&gt;=55,0,IF(E45&gt;=50,-1,IF(E45&gt;=45,-2,IF(E45&gt;=40,-3,-4)))))))))</x:f>
      </x:c>
      <x:c r="I45" s="100" t="str">
        <x:f>IF(B45="","",H45)</x:f>
      </x:c>
      <x:c r="J45" s="100" t="str">
        <x:f>IF(B45="","",'Handicap Settings'!$B$8)</x:f>
      </x:c>
      <x:c r="K45" s="100" t="str">
        <x:f>IF(B45="","",MAX(I45-J45,MIN(I45+J45,H45)))</x:f>
      </x:c>
      <x:c r="L45" t="str">
        <x:f>IF(B45="","",IF(K45=4,"Elite+",IF(K45=3,"Elite",IF(K45=2,"A+",IF(K45=1,"A",IF(K45=0,"B+",IF(K45=-1,"B",IF(K45=-2,"C+",IF(K45=-3,"C","D")))))))))</x:f>
      </x:c>
      <x:c r="M45" t="str">
        <x:f>IF(B45="","",IF(D45&gt;=25,"★★★★★",IF(D45&gt;=15,"★★★★",IF(D45&gt;=10,"★★★",IF(D45&gt;=6,"★★","★")))))</x:f>
      </x:c>
      <x:c r="N45" t="str">
        <x:f>IF(B45="","",TRUE)</x:f>
      </x:c>
      <x:c r="O45" t="str">
        <x:f>IF(B45="","",'Handicap Settings'!$B$4)</x:f>
      </x:c>
    </x:row>
    <x:row r="46">
      <x:c r="A46" t="inlineStr">
        <x:is>
          <x:t xml:space="preserve">FLPR-0045</x:t>
        </x:is>
      </x:c>
      <x:c r="C46" t="inlineStr">
        <x:is>
          <x:t xml:space="preserve">New / Manual</x:t>
        </x:is>
      </x:c>
      <x:c r="D46" t="n">
        <x:v>0</x:v>
      </x:c>
      <x:c r="E46" s="88" t="str">
        <x:f>IF(B46="","",'Handicap Settings'!$B$6)</x:f>
      </x:c>
      <x:c r="F46" t="str">
        <x:f>IF(B46="","",IF(D46&lt;'Handicap Settings'!$B$7,"Provisional","Established"))</x:f>
      </x:c>
      <x:c r="G46" s="126" t="str">
        <x:f>IF(B46="","",MIN(1,0.65+0.35*D46/(D46+8)))</x:f>
      </x:c>
      <x:c r="H46" s="100" t="str">
        <x:f>IF(B46="","",IF(E46&gt;=75,4,IF(E46&gt;=70,3,IF(E46&gt;=65,2,IF(E46&gt;=60,1,IF(E46&gt;=55,0,IF(E46&gt;=50,-1,IF(E46&gt;=45,-2,IF(E46&gt;=40,-3,-4)))))))))</x:f>
      </x:c>
      <x:c r="I46" s="100" t="str">
        <x:f>IF(B46="","",H46)</x:f>
      </x:c>
      <x:c r="J46" s="100" t="str">
        <x:f>IF(B46="","",'Handicap Settings'!$B$8)</x:f>
      </x:c>
      <x:c r="K46" s="100" t="str">
        <x:f>IF(B46="","",MAX(I46-J46,MIN(I46+J46,H46)))</x:f>
      </x:c>
      <x:c r="L46" t="str">
        <x:f>IF(B46="","",IF(K46=4,"Elite+",IF(K46=3,"Elite",IF(K46=2,"A+",IF(K46=1,"A",IF(K46=0,"B+",IF(K46=-1,"B",IF(K46=-2,"C+",IF(K46=-3,"C","D")))))))))</x:f>
      </x:c>
      <x:c r="M46" t="str">
        <x:f>IF(B46="","",IF(D46&gt;=25,"★★★★★",IF(D46&gt;=15,"★★★★",IF(D46&gt;=10,"★★★",IF(D46&gt;=6,"★★","★")))))</x:f>
      </x:c>
      <x:c r="N46" t="str">
        <x:f>IF(B46="","",TRUE)</x:f>
      </x:c>
      <x:c r="O46" t="str">
        <x:f>IF(B46="","",'Handicap Settings'!$B$4)</x:f>
      </x:c>
    </x:row>
    <x:row r="47">
      <x:c r="A47" t="inlineStr">
        <x:is>
          <x:t xml:space="preserve">FLPR-0046</x:t>
        </x:is>
      </x:c>
      <x:c r="C47" t="inlineStr">
        <x:is>
          <x:t xml:space="preserve">New / Manual</x:t>
        </x:is>
      </x:c>
      <x:c r="D47" t="n">
        <x:v>0</x:v>
      </x:c>
      <x:c r="E47" s="88" t="str">
        <x:f>IF(B47="","",'Handicap Settings'!$B$6)</x:f>
      </x:c>
      <x:c r="F47" t="str">
        <x:f>IF(B47="","",IF(D47&lt;'Handicap Settings'!$B$7,"Provisional","Established"))</x:f>
      </x:c>
      <x:c r="G47" s="126" t="str">
        <x:f>IF(B47="","",MIN(1,0.65+0.35*D47/(D47+8)))</x:f>
      </x:c>
      <x:c r="H47" s="100" t="str">
        <x:f>IF(B47="","",IF(E47&gt;=75,4,IF(E47&gt;=70,3,IF(E47&gt;=65,2,IF(E47&gt;=60,1,IF(E47&gt;=55,0,IF(E47&gt;=50,-1,IF(E47&gt;=45,-2,IF(E47&gt;=40,-3,-4)))))))))</x:f>
      </x:c>
      <x:c r="I47" s="100" t="str">
        <x:f>IF(B47="","",H47)</x:f>
      </x:c>
      <x:c r="J47" s="100" t="str">
        <x:f>IF(B47="","",'Handicap Settings'!$B$8)</x:f>
      </x:c>
      <x:c r="K47" s="100" t="str">
        <x:f>IF(B47="","",MAX(I47-J47,MIN(I47+J47,H47)))</x:f>
      </x:c>
      <x:c r="L47" t="str">
        <x:f>IF(B47="","",IF(K47=4,"Elite+",IF(K47=3,"Elite",IF(K47=2,"A+",IF(K47=1,"A",IF(K47=0,"B+",IF(K47=-1,"B",IF(K47=-2,"C+",IF(K47=-3,"C","D")))))))))</x:f>
      </x:c>
      <x:c r="M47" t="str">
        <x:f>IF(B47="","",IF(D47&gt;=25,"★★★★★",IF(D47&gt;=15,"★★★★",IF(D47&gt;=10,"★★★",IF(D47&gt;=6,"★★","★")))))</x:f>
      </x:c>
      <x:c r="N47" t="str">
        <x:f>IF(B47="","",TRUE)</x:f>
      </x:c>
      <x:c r="O47" t="str">
        <x:f>IF(B47="","",'Handicap Settings'!$B$4)</x:f>
      </x:c>
    </x:row>
    <x:row r="48">
      <x:c r="A48" t="inlineStr">
        <x:is>
          <x:t xml:space="preserve">FLPR-0047</x:t>
        </x:is>
      </x:c>
      <x:c r="C48" t="inlineStr">
        <x:is>
          <x:t xml:space="preserve">New / Manual</x:t>
        </x:is>
      </x:c>
      <x:c r="D48" t="n">
        <x:v>0</x:v>
      </x:c>
      <x:c r="E48" s="88" t="str">
        <x:f>IF(B48="","",'Handicap Settings'!$B$6)</x:f>
      </x:c>
      <x:c r="F48" t="str">
        <x:f>IF(B48="","",IF(D48&lt;'Handicap Settings'!$B$7,"Provisional","Established"))</x:f>
      </x:c>
      <x:c r="G48" s="126" t="str">
        <x:f>IF(B48="","",MIN(1,0.65+0.35*D48/(D48+8)))</x:f>
      </x:c>
      <x:c r="H48" s="100" t="str">
        <x:f>IF(B48="","",IF(E48&gt;=75,4,IF(E48&gt;=70,3,IF(E48&gt;=65,2,IF(E48&gt;=60,1,IF(E48&gt;=55,0,IF(E48&gt;=50,-1,IF(E48&gt;=45,-2,IF(E48&gt;=40,-3,-4)))))))))</x:f>
      </x:c>
      <x:c r="I48" s="100" t="str">
        <x:f>IF(B48="","",H48)</x:f>
      </x:c>
      <x:c r="J48" s="100" t="str">
        <x:f>IF(B48="","",'Handicap Settings'!$B$8)</x:f>
      </x:c>
      <x:c r="K48" s="100" t="str">
        <x:f>IF(B48="","",MAX(I48-J48,MIN(I48+J48,H48)))</x:f>
      </x:c>
      <x:c r="L48" t="str">
        <x:f>IF(B48="","",IF(K48=4,"Elite+",IF(K48=3,"Elite",IF(K48=2,"A+",IF(K48=1,"A",IF(K48=0,"B+",IF(K48=-1,"B",IF(K48=-2,"C+",IF(K48=-3,"C","D")))))))))</x:f>
      </x:c>
      <x:c r="M48" t="str">
        <x:f>IF(B48="","",IF(D48&gt;=25,"★★★★★",IF(D48&gt;=15,"★★★★",IF(D48&gt;=10,"★★★",IF(D48&gt;=6,"★★","★")))))</x:f>
      </x:c>
      <x:c r="N48" t="str">
        <x:f>IF(B48="","",TRUE)</x:f>
      </x:c>
      <x:c r="O48" t="str">
        <x:f>IF(B48="","",'Handicap Settings'!$B$4)</x:f>
      </x:c>
    </x:row>
    <x:row r="49">
      <x:c r="A49" t="inlineStr">
        <x:is>
          <x:t xml:space="preserve">FLPR-0048</x:t>
        </x:is>
      </x:c>
      <x:c r="C49" t="inlineStr">
        <x:is>
          <x:t xml:space="preserve">New / Manual</x:t>
        </x:is>
      </x:c>
      <x:c r="D49" t="n">
        <x:v>0</x:v>
      </x:c>
      <x:c r="E49" s="88" t="str">
        <x:f>IF(B49="","",'Handicap Settings'!$B$6)</x:f>
      </x:c>
      <x:c r="F49" t="str">
        <x:f>IF(B49="","",IF(D49&lt;'Handicap Settings'!$B$7,"Provisional","Established"))</x:f>
      </x:c>
      <x:c r="G49" s="126" t="str">
        <x:f>IF(B49="","",MIN(1,0.65+0.35*D49/(D49+8)))</x:f>
      </x:c>
      <x:c r="H49" s="100" t="str">
        <x:f>IF(B49="","",IF(E49&gt;=75,4,IF(E49&gt;=70,3,IF(E49&gt;=65,2,IF(E49&gt;=60,1,IF(E49&gt;=55,0,IF(E49&gt;=50,-1,IF(E49&gt;=45,-2,IF(E49&gt;=40,-3,-4)))))))))</x:f>
      </x:c>
      <x:c r="I49" s="100" t="str">
        <x:f>IF(B49="","",H49)</x:f>
      </x:c>
      <x:c r="J49" s="100" t="str">
        <x:f>IF(B49="","",'Handicap Settings'!$B$8)</x:f>
      </x:c>
      <x:c r="K49" s="100" t="str">
        <x:f>IF(B49="","",MAX(I49-J49,MIN(I49+J49,H49)))</x:f>
      </x:c>
      <x:c r="L49" t="str">
        <x:f>IF(B49="","",IF(K49=4,"Elite+",IF(K49=3,"Elite",IF(K49=2,"A+",IF(K49=1,"A",IF(K49=0,"B+",IF(K49=-1,"B",IF(K49=-2,"C+",IF(K49=-3,"C","D")))))))))</x:f>
      </x:c>
      <x:c r="M49" t="str">
        <x:f>IF(B49="","",IF(D49&gt;=25,"★★★★★",IF(D49&gt;=15,"★★★★",IF(D49&gt;=10,"★★★",IF(D49&gt;=6,"★★","★")))))</x:f>
      </x:c>
      <x:c r="N49" t="str">
        <x:f>IF(B49="","",TRUE)</x:f>
      </x:c>
      <x:c r="O49" t="str">
        <x:f>IF(B49="","",'Handicap Settings'!$B$4)</x:f>
      </x:c>
    </x:row>
    <x:row r="50">
      <x:c r="A50" t="inlineStr">
        <x:is>
          <x:t xml:space="preserve">FLPR-0049</x:t>
        </x:is>
      </x:c>
      <x:c r="C50" t="inlineStr">
        <x:is>
          <x:t xml:space="preserve">New / Manual</x:t>
        </x:is>
      </x:c>
      <x:c r="D50" t="n">
        <x:v>0</x:v>
      </x:c>
      <x:c r="E50" s="88" t="str">
        <x:f>IF(B50="","",'Handicap Settings'!$B$6)</x:f>
      </x:c>
      <x:c r="F50" t="str">
        <x:f>IF(B50="","",IF(D50&lt;'Handicap Settings'!$B$7,"Provisional","Established"))</x:f>
      </x:c>
      <x:c r="G50" s="126" t="str">
        <x:f>IF(B50="","",MIN(1,0.65+0.35*D50/(D50+8)))</x:f>
      </x:c>
      <x:c r="H50" s="100" t="str">
        <x:f>IF(B50="","",IF(E50&gt;=75,4,IF(E50&gt;=70,3,IF(E50&gt;=65,2,IF(E50&gt;=60,1,IF(E50&gt;=55,0,IF(E50&gt;=50,-1,IF(E50&gt;=45,-2,IF(E50&gt;=40,-3,-4)))))))))</x:f>
      </x:c>
      <x:c r="I50" s="100" t="str">
        <x:f>IF(B50="","",H50)</x:f>
      </x:c>
      <x:c r="J50" s="100" t="str">
        <x:f>IF(B50="","",'Handicap Settings'!$B$8)</x:f>
      </x:c>
      <x:c r="K50" s="100" t="str">
        <x:f>IF(B50="","",MAX(I50-J50,MIN(I50+J50,H50)))</x:f>
      </x:c>
      <x:c r="L50" t="str">
        <x:f>IF(B50="","",IF(K50=4,"Elite+",IF(K50=3,"Elite",IF(K50=2,"A+",IF(K50=1,"A",IF(K50=0,"B+",IF(K50=-1,"B",IF(K50=-2,"C+",IF(K50=-3,"C","D")))))))))</x:f>
      </x:c>
      <x:c r="M50" t="str">
        <x:f>IF(B50="","",IF(D50&gt;=25,"★★★★★",IF(D50&gt;=15,"★★★★",IF(D50&gt;=10,"★★★",IF(D50&gt;=6,"★★","★")))))</x:f>
      </x:c>
      <x:c r="N50" t="str">
        <x:f>IF(B50="","",TRUE)</x:f>
      </x:c>
      <x:c r="O50" t="str">
        <x:f>IF(B50="","",'Handicap Settings'!$B$4)</x:f>
      </x:c>
    </x:row>
    <x:row r="51">
      <x:c r="A51" t="inlineStr">
        <x:is>
          <x:t xml:space="preserve">FLPR-0050</x:t>
        </x:is>
      </x:c>
      <x:c r="C51" t="inlineStr">
        <x:is>
          <x:t xml:space="preserve">New / Manual</x:t>
        </x:is>
      </x:c>
      <x:c r="D51" t="n">
        <x:v>0</x:v>
      </x:c>
      <x:c r="E51" s="88" t="str">
        <x:f>IF(B51="","",'Handicap Settings'!$B$6)</x:f>
      </x:c>
      <x:c r="F51" t="str">
        <x:f>IF(B51="","",IF(D51&lt;'Handicap Settings'!$B$7,"Provisional","Established"))</x:f>
      </x:c>
      <x:c r="G51" s="126" t="str">
        <x:f>IF(B51="","",MIN(1,0.65+0.35*D51/(D51+8)))</x:f>
      </x:c>
      <x:c r="H51" s="100" t="str">
        <x:f>IF(B51="","",IF(E51&gt;=75,4,IF(E51&gt;=70,3,IF(E51&gt;=65,2,IF(E51&gt;=60,1,IF(E51&gt;=55,0,IF(E51&gt;=50,-1,IF(E51&gt;=45,-2,IF(E51&gt;=40,-3,-4)))))))))</x:f>
      </x:c>
      <x:c r="I51" s="100" t="str">
        <x:f>IF(B51="","",H51)</x:f>
      </x:c>
      <x:c r="J51" s="100" t="str">
        <x:f>IF(B51="","",'Handicap Settings'!$B$8)</x:f>
      </x:c>
      <x:c r="K51" s="100" t="str">
        <x:f>IF(B51="","",MAX(I51-J51,MIN(I51+J51,H51)))</x:f>
      </x:c>
      <x:c r="L51" t="str">
        <x:f>IF(B51="","",IF(K51=4,"Elite+",IF(K51=3,"Elite",IF(K51=2,"A+",IF(K51=1,"A",IF(K51=0,"B+",IF(K51=-1,"B",IF(K51=-2,"C+",IF(K51=-3,"C","D")))))))))</x:f>
      </x:c>
      <x:c r="M51" t="str">
        <x:f>IF(B51="","",IF(D51&gt;=25,"★★★★★",IF(D51&gt;=15,"★★★★",IF(D51&gt;=10,"★★★",IF(D51&gt;=6,"★★","★")))))</x:f>
      </x:c>
      <x:c r="N51" t="str">
        <x:f>IF(B51="","",TRUE)</x:f>
      </x:c>
      <x:c r="O51" t="str">
        <x:f>IF(B51="","",'Handicap Settings'!$B$4)</x:f>
      </x:c>
    </x:row>
    <x:row r="52">
      <x:c r="A52" t="inlineStr">
        <x:is>
          <x:t xml:space="preserve">FLPR-0051</x:t>
        </x:is>
      </x:c>
      <x:c r="C52" t="inlineStr">
        <x:is>
          <x:t xml:space="preserve">New / Manual</x:t>
        </x:is>
      </x:c>
      <x:c r="D52" t="n">
        <x:v>0</x:v>
      </x:c>
      <x:c r="E52" s="88" t="str">
        <x:f>IF(B52="","",'Handicap Settings'!$B$6)</x:f>
      </x:c>
      <x:c r="F52" t="str">
        <x:f>IF(B52="","",IF(D52&lt;'Handicap Settings'!$B$7,"Provisional","Established"))</x:f>
      </x:c>
      <x:c r="G52" s="126" t="str">
        <x:f>IF(B52="","",MIN(1,0.65+0.35*D52/(D52+8)))</x:f>
      </x:c>
      <x:c r="H52" s="100" t="str">
        <x:f>IF(B52="","",IF(E52&gt;=75,4,IF(E52&gt;=70,3,IF(E52&gt;=65,2,IF(E52&gt;=60,1,IF(E52&gt;=55,0,IF(E52&gt;=50,-1,IF(E52&gt;=45,-2,IF(E52&gt;=40,-3,-4)))))))))</x:f>
      </x:c>
      <x:c r="I52" s="100" t="str">
        <x:f>IF(B52="","",H52)</x:f>
      </x:c>
      <x:c r="J52" s="100" t="str">
        <x:f>IF(B52="","",'Handicap Settings'!$B$8)</x:f>
      </x:c>
      <x:c r="K52" s="100" t="str">
        <x:f>IF(B52="","",MAX(I52-J52,MIN(I52+J52,H52)))</x:f>
      </x:c>
      <x:c r="L52" t="str">
        <x:f>IF(B52="","",IF(K52=4,"Elite+",IF(K52=3,"Elite",IF(K52=2,"A+",IF(K52=1,"A",IF(K52=0,"B+",IF(K52=-1,"B",IF(K52=-2,"C+",IF(K52=-3,"C","D")))))))))</x:f>
      </x:c>
      <x:c r="M52" t="str">
        <x:f>IF(B52="","",IF(D52&gt;=25,"★★★★★",IF(D52&gt;=15,"★★★★",IF(D52&gt;=10,"★★★",IF(D52&gt;=6,"★★","★")))))</x:f>
      </x:c>
      <x:c r="N52" t="str">
        <x:f>IF(B52="","",TRUE)</x:f>
      </x:c>
      <x:c r="O52" t="str">
        <x:f>IF(B52="","",'Handicap Settings'!$B$4)</x:f>
      </x:c>
    </x:row>
    <x:row r="53">
      <x:c r="A53" t="inlineStr">
        <x:is>
          <x:t xml:space="preserve">FLPR-0052</x:t>
        </x:is>
      </x:c>
      <x:c r="C53" t="inlineStr">
        <x:is>
          <x:t xml:space="preserve">New / Manual</x:t>
        </x:is>
      </x:c>
      <x:c r="D53" t="n">
        <x:v>0</x:v>
      </x:c>
      <x:c r="E53" s="88" t="str">
        <x:f>IF(B53="","",'Handicap Settings'!$B$6)</x:f>
      </x:c>
      <x:c r="F53" t="str">
        <x:f>IF(B53="","",IF(D53&lt;'Handicap Settings'!$B$7,"Provisional","Established"))</x:f>
      </x:c>
      <x:c r="G53" s="126" t="str">
        <x:f>IF(B53="","",MIN(1,0.65+0.35*D53/(D53+8)))</x:f>
      </x:c>
      <x:c r="H53" s="100" t="str">
        <x:f>IF(B53="","",IF(E53&gt;=75,4,IF(E53&gt;=70,3,IF(E53&gt;=65,2,IF(E53&gt;=60,1,IF(E53&gt;=55,0,IF(E53&gt;=50,-1,IF(E53&gt;=45,-2,IF(E53&gt;=40,-3,-4)))))))))</x:f>
      </x:c>
      <x:c r="I53" s="100" t="str">
        <x:f>IF(B53="","",H53)</x:f>
      </x:c>
      <x:c r="J53" s="100" t="str">
        <x:f>IF(B53="","",'Handicap Settings'!$B$8)</x:f>
      </x:c>
      <x:c r="K53" s="100" t="str">
        <x:f>IF(B53="","",MAX(I53-J53,MIN(I53+J53,H53)))</x:f>
      </x:c>
      <x:c r="L53" t="str">
        <x:f>IF(B53="","",IF(K53=4,"Elite+",IF(K53=3,"Elite",IF(K53=2,"A+",IF(K53=1,"A",IF(K53=0,"B+",IF(K53=-1,"B",IF(K53=-2,"C+",IF(K53=-3,"C","D")))))))))</x:f>
      </x:c>
      <x:c r="M53" t="str">
        <x:f>IF(B53="","",IF(D53&gt;=25,"★★★★★",IF(D53&gt;=15,"★★★★",IF(D53&gt;=10,"★★★",IF(D53&gt;=6,"★★","★")))))</x:f>
      </x:c>
      <x:c r="N53" t="str">
        <x:f>IF(B53="","",TRUE)</x:f>
      </x:c>
      <x:c r="O53" t="str">
        <x:f>IF(B53="","",'Handicap Settings'!$B$4)</x:f>
      </x:c>
    </x:row>
    <x:row r="54">
      <x:c r="A54" t="inlineStr">
        <x:is>
          <x:t xml:space="preserve">FLPR-0053</x:t>
        </x:is>
      </x:c>
      <x:c r="C54" t="inlineStr">
        <x:is>
          <x:t xml:space="preserve">New / Manual</x:t>
        </x:is>
      </x:c>
      <x:c r="D54" t="n">
        <x:v>0</x:v>
      </x:c>
      <x:c r="E54" s="88" t="str">
        <x:f>IF(B54="","",'Handicap Settings'!$B$6)</x:f>
      </x:c>
      <x:c r="F54" t="str">
        <x:f>IF(B54="","",IF(D54&lt;'Handicap Settings'!$B$7,"Provisional","Established"))</x:f>
      </x:c>
      <x:c r="G54" s="126" t="str">
        <x:f>IF(B54="","",MIN(1,0.65+0.35*D54/(D54+8)))</x:f>
      </x:c>
      <x:c r="H54" s="100" t="str">
        <x:f>IF(B54="","",IF(E54&gt;=75,4,IF(E54&gt;=70,3,IF(E54&gt;=65,2,IF(E54&gt;=60,1,IF(E54&gt;=55,0,IF(E54&gt;=50,-1,IF(E54&gt;=45,-2,IF(E54&gt;=40,-3,-4)))))))))</x:f>
      </x:c>
      <x:c r="I54" s="100" t="str">
        <x:f>IF(B54="","",H54)</x:f>
      </x:c>
      <x:c r="J54" s="100" t="str">
        <x:f>IF(B54="","",'Handicap Settings'!$B$8)</x:f>
      </x:c>
      <x:c r="K54" s="100" t="str">
        <x:f>IF(B54="","",MAX(I54-J54,MIN(I54+J54,H54)))</x:f>
      </x:c>
      <x:c r="L54" t="str">
        <x:f>IF(B54="","",IF(K54=4,"Elite+",IF(K54=3,"Elite",IF(K54=2,"A+",IF(K54=1,"A",IF(K54=0,"B+",IF(K54=-1,"B",IF(K54=-2,"C+",IF(K54=-3,"C","D")))))))))</x:f>
      </x:c>
      <x:c r="M54" t="str">
        <x:f>IF(B54="","",IF(D54&gt;=25,"★★★★★",IF(D54&gt;=15,"★★★★",IF(D54&gt;=10,"★★★",IF(D54&gt;=6,"★★","★")))))</x:f>
      </x:c>
      <x:c r="N54" t="str">
        <x:f>IF(B54="","",TRUE)</x:f>
      </x:c>
      <x:c r="O54" t="str">
        <x:f>IF(B54="","",'Handicap Settings'!$B$4)</x:f>
      </x:c>
    </x:row>
    <x:row r="55">
      <x:c r="A55" t="inlineStr">
        <x:is>
          <x:t xml:space="preserve">FLPR-0054</x:t>
        </x:is>
      </x:c>
      <x:c r="C55" t="inlineStr">
        <x:is>
          <x:t xml:space="preserve">New / Manual</x:t>
        </x:is>
      </x:c>
      <x:c r="D55" t="n">
        <x:v>0</x:v>
      </x:c>
      <x:c r="E55" s="88" t="str">
        <x:f>IF(B55="","",'Handicap Settings'!$B$6)</x:f>
      </x:c>
      <x:c r="F55" t="str">
        <x:f>IF(B55="","",IF(D55&lt;'Handicap Settings'!$B$7,"Provisional","Established"))</x:f>
      </x:c>
      <x:c r="G55" s="126" t="str">
        <x:f>IF(B55="","",MIN(1,0.65+0.35*D55/(D55+8)))</x:f>
      </x:c>
      <x:c r="H55" s="100" t="str">
        <x:f>IF(B55="","",IF(E55&gt;=75,4,IF(E55&gt;=70,3,IF(E55&gt;=65,2,IF(E55&gt;=60,1,IF(E55&gt;=55,0,IF(E55&gt;=50,-1,IF(E55&gt;=45,-2,IF(E55&gt;=40,-3,-4)))))))))</x:f>
      </x:c>
      <x:c r="I55" s="100" t="str">
        <x:f>IF(B55="","",H55)</x:f>
      </x:c>
      <x:c r="J55" s="100" t="str">
        <x:f>IF(B55="","",'Handicap Settings'!$B$8)</x:f>
      </x:c>
      <x:c r="K55" s="100" t="str">
        <x:f>IF(B55="","",MAX(I55-J55,MIN(I55+J55,H55)))</x:f>
      </x:c>
      <x:c r="L55" t="str">
        <x:f>IF(B55="","",IF(K55=4,"Elite+",IF(K55=3,"Elite",IF(K55=2,"A+",IF(K55=1,"A",IF(K55=0,"B+",IF(K55=-1,"B",IF(K55=-2,"C+",IF(K55=-3,"C","D")))))))))</x:f>
      </x:c>
      <x:c r="M55" t="str">
        <x:f>IF(B55="","",IF(D55&gt;=25,"★★★★★",IF(D55&gt;=15,"★★★★",IF(D55&gt;=10,"★★★",IF(D55&gt;=6,"★★","★")))))</x:f>
      </x:c>
      <x:c r="N55" t="str">
        <x:f>IF(B55="","",TRUE)</x:f>
      </x:c>
      <x:c r="O55" t="str">
        <x:f>IF(B55="","",'Handicap Settings'!$B$4)</x:f>
      </x:c>
    </x:row>
    <x:row r="56">
      <x:c r="A56" t="inlineStr">
        <x:is>
          <x:t xml:space="preserve">FLPR-0055</x:t>
        </x:is>
      </x:c>
      <x:c r="C56" t="inlineStr">
        <x:is>
          <x:t xml:space="preserve">New / Manual</x:t>
        </x:is>
      </x:c>
      <x:c r="D56" t="n">
        <x:v>0</x:v>
      </x:c>
      <x:c r="E56" s="88" t="str">
        <x:f>IF(B56="","",'Handicap Settings'!$B$6)</x:f>
      </x:c>
      <x:c r="F56" t="str">
        <x:f>IF(B56="","",IF(D56&lt;'Handicap Settings'!$B$7,"Provisional","Established"))</x:f>
      </x:c>
      <x:c r="G56" s="126" t="str">
        <x:f>IF(B56="","",MIN(1,0.65+0.35*D56/(D56+8)))</x:f>
      </x:c>
      <x:c r="H56" s="100" t="str">
        <x:f>IF(B56="","",IF(E56&gt;=75,4,IF(E56&gt;=70,3,IF(E56&gt;=65,2,IF(E56&gt;=60,1,IF(E56&gt;=55,0,IF(E56&gt;=50,-1,IF(E56&gt;=45,-2,IF(E56&gt;=40,-3,-4)))))))))</x:f>
      </x:c>
      <x:c r="I56" s="100" t="str">
        <x:f>IF(B56="","",H56)</x:f>
      </x:c>
      <x:c r="J56" s="100" t="str">
        <x:f>IF(B56="","",'Handicap Settings'!$B$8)</x:f>
      </x:c>
      <x:c r="K56" s="100" t="str">
        <x:f>IF(B56="","",MAX(I56-J56,MIN(I56+J56,H56)))</x:f>
      </x:c>
      <x:c r="L56" t="str">
        <x:f>IF(B56="","",IF(K56=4,"Elite+",IF(K56=3,"Elite",IF(K56=2,"A+",IF(K56=1,"A",IF(K56=0,"B+",IF(K56=-1,"B",IF(K56=-2,"C+",IF(K56=-3,"C","D")))))))))</x:f>
      </x:c>
      <x:c r="M56" t="str">
        <x:f>IF(B56="","",IF(D56&gt;=25,"★★★★★",IF(D56&gt;=15,"★★★★",IF(D56&gt;=10,"★★★",IF(D56&gt;=6,"★★","★")))))</x:f>
      </x:c>
      <x:c r="N56" t="str">
        <x:f>IF(B56="","",TRUE)</x:f>
      </x:c>
      <x:c r="O56" t="str">
        <x:f>IF(B56="","",'Handicap Settings'!$B$4)</x:f>
      </x:c>
    </x:row>
    <x:row r="57">
      <x:c r="A57" t="inlineStr">
        <x:is>
          <x:t xml:space="preserve">FLPR-0056</x:t>
        </x:is>
      </x:c>
      <x:c r="C57" t="inlineStr">
        <x:is>
          <x:t xml:space="preserve">New / Manual</x:t>
        </x:is>
      </x:c>
      <x:c r="D57" t="n">
        <x:v>0</x:v>
      </x:c>
      <x:c r="E57" s="88" t="str">
        <x:f>IF(B57="","",'Handicap Settings'!$B$6)</x:f>
      </x:c>
      <x:c r="F57" t="str">
        <x:f>IF(B57="","",IF(D57&lt;'Handicap Settings'!$B$7,"Provisional","Established"))</x:f>
      </x:c>
      <x:c r="G57" s="126" t="str">
        <x:f>IF(B57="","",MIN(1,0.65+0.35*D57/(D57+8)))</x:f>
      </x:c>
      <x:c r="H57" s="100" t="str">
        <x:f>IF(B57="","",IF(E57&gt;=75,4,IF(E57&gt;=70,3,IF(E57&gt;=65,2,IF(E57&gt;=60,1,IF(E57&gt;=55,0,IF(E57&gt;=50,-1,IF(E57&gt;=45,-2,IF(E57&gt;=40,-3,-4)))))))))</x:f>
      </x:c>
      <x:c r="I57" s="100" t="str">
        <x:f>IF(B57="","",H57)</x:f>
      </x:c>
      <x:c r="J57" s="100" t="str">
        <x:f>IF(B57="","",'Handicap Settings'!$B$8)</x:f>
      </x:c>
      <x:c r="K57" s="100" t="str">
        <x:f>IF(B57="","",MAX(I57-J57,MIN(I57+J57,H57)))</x:f>
      </x:c>
      <x:c r="L57" t="str">
        <x:f>IF(B57="","",IF(K57=4,"Elite+",IF(K57=3,"Elite",IF(K57=2,"A+",IF(K57=1,"A",IF(K57=0,"B+",IF(K57=-1,"B",IF(K57=-2,"C+",IF(K57=-3,"C","D")))))))))</x:f>
      </x:c>
      <x:c r="M57" t="str">
        <x:f>IF(B57="","",IF(D57&gt;=25,"★★★★★",IF(D57&gt;=15,"★★★★",IF(D57&gt;=10,"★★★",IF(D57&gt;=6,"★★","★")))))</x:f>
      </x:c>
      <x:c r="N57" t="str">
        <x:f>IF(B57="","",TRUE)</x:f>
      </x:c>
      <x:c r="O57" t="str">
        <x:f>IF(B57="","",'Handicap Settings'!$B$4)</x:f>
      </x:c>
    </x:row>
    <x:row r="58">
      <x:c r="A58" t="inlineStr">
        <x:is>
          <x:t xml:space="preserve">FLPR-0057</x:t>
        </x:is>
      </x:c>
      <x:c r="C58" t="inlineStr">
        <x:is>
          <x:t xml:space="preserve">New / Manual</x:t>
        </x:is>
      </x:c>
      <x:c r="D58" t="n">
        <x:v>0</x:v>
      </x:c>
      <x:c r="E58" s="88" t="str">
        <x:f>IF(B58="","",'Handicap Settings'!$B$6)</x:f>
      </x:c>
      <x:c r="F58" t="str">
        <x:f>IF(B58="","",IF(D58&lt;'Handicap Settings'!$B$7,"Provisional","Established"))</x:f>
      </x:c>
      <x:c r="G58" s="126" t="str">
        <x:f>IF(B58="","",MIN(1,0.65+0.35*D58/(D58+8)))</x:f>
      </x:c>
      <x:c r="H58" s="100" t="str">
        <x:f>IF(B58="","",IF(E58&gt;=75,4,IF(E58&gt;=70,3,IF(E58&gt;=65,2,IF(E58&gt;=60,1,IF(E58&gt;=55,0,IF(E58&gt;=50,-1,IF(E58&gt;=45,-2,IF(E58&gt;=40,-3,-4)))))))))</x:f>
      </x:c>
      <x:c r="I58" s="100" t="str">
        <x:f>IF(B58="","",H58)</x:f>
      </x:c>
      <x:c r="J58" s="100" t="str">
        <x:f>IF(B58="","",'Handicap Settings'!$B$8)</x:f>
      </x:c>
      <x:c r="K58" s="100" t="str">
        <x:f>IF(B58="","",MAX(I58-J58,MIN(I58+J58,H58)))</x:f>
      </x:c>
      <x:c r="L58" t="str">
        <x:f>IF(B58="","",IF(K58=4,"Elite+",IF(K58=3,"Elite",IF(K58=2,"A+",IF(K58=1,"A",IF(K58=0,"B+",IF(K58=-1,"B",IF(K58=-2,"C+",IF(K58=-3,"C","D")))))))))</x:f>
      </x:c>
      <x:c r="M58" t="str">
        <x:f>IF(B58="","",IF(D58&gt;=25,"★★★★★",IF(D58&gt;=15,"★★★★",IF(D58&gt;=10,"★★★",IF(D58&gt;=6,"★★","★")))))</x:f>
      </x:c>
      <x:c r="N58" t="str">
        <x:f>IF(B58="","",TRUE)</x:f>
      </x:c>
      <x:c r="O58" t="str">
        <x:f>IF(B58="","",'Handicap Settings'!$B$4)</x:f>
      </x:c>
    </x:row>
    <x:row r="59">
      <x:c r="A59" t="inlineStr">
        <x:is>
          <x:t xml:space="preserve">FLPR-0058</x:t>
        </x:is>
      </x:c>
      <x:c r="C59" t="inlineStr">
        <x:is>
          <x:t xml:space="preserve">New / Manual</x:t>
        </x:is>
      </x:c>
      <x:c r="D59" t="n">
        <x:v>0</x:v>
      </x:c>
      <x:c r="E59" s="88" t="str">
        <x:f>IF(B59="","",'Handicap Settings'!$B$6)</x:f>
      </x:c>
      <x:c r="F59" t="str">
        <x:f>IF(B59="","",IF(D59&lt;'Handicap Settings'!$B$7,"Provisional","Established"))</x:f>
      </x:c>
      <x:c r="G59" s="126" t="str">
        <x:f>IF(B59="","",MIN(1,0.65+0.35*D59/(D59+8)))</x:f>
      </x:c>
      <x:c r="H59" s="100" t="str">
        <x:f>IF(B59="","",IF(E59&gt;=75,4,IF(E59&gt;=70,3,IF(E59&gt;=65,2,IF(E59&gt;=60,1,IF(E59&gt;=55,0,IF(E59&gt;=50,-1,IF(E59&gt;=45,-2,IF(E59&gt;=40,-3,-4)))))))))</x:f>
      </x:c>
      <x:c r="I59" s="100" t="str">
        <x:f>IF(B59="","",H59)</x:f>
      </x:c>
      <x:c r="J59" s="100" t="str">
        <x:f>IF(B59="","",'Handicap Settings'!$B$8)</x:f>
      </x:c>
      <x:c r="K59" s="100" t="str">
        <x:f>IF(B59="","",MAX(I59-J59,MIN(I59+J59,H59)))</x:f>
      </x:c>
      <x:c r="L59" t="str">
        <x:f>IF(B59="","",IF(K59=4,"Elite+",IF(K59=3,"Elite",IF(K59=2,"A+",IF(K59=1,"A",IF(K59=0,"B+",IF(K59=-1,"B",IF(K59=-2,"C+",IF(K59=-3,"C","D")))))))))</x:f>
      </x:c>
      <x:c r="M59" t="str">
        <x:f>IF(B59="","",IF(D59&gt;=25,"★★★★★",IF(D59&gt;=15,"★★★★",IF(D59&gt;=10,"★★★",IF(D59&gt;=6,"★★","★")))))</x:f>
      </x:c>
      <x:c r="N59" t="str">
        <x:f>IF(B59="","",TRUE)</x:f>
      </x:c>
      <x:c r="O59" t="str">
        <x:f>IF(B59="","",'Handicap Settings'!$B$4)</x:f>
      </x:c>
    </x:row>
    <x:row r="60">
      <x:c r="A60" t="inlineStr">
        <x:is>
          <x:t xml:space="preserve">FLPR-0059</x:t>
        </x:is>
      </x:c>
      <x:c r="C60" t="inlineStr">
        <x:is>
          <x:t xml:space="preserve">New / Manual</x:t>
        </x:is>
      </x:c>
      <x:c r="D60" t="n">
        <x:v>0</x:v>
      </x:c>
      <x:c r="E60" s="88" t="str">
        <x:f>IF(B60="","",'Handicap Settings'!$B$6)</x:f>
      </x:c>
      <x:c r="F60" t="str">
        <x:f>IF(B60="","",IF(D60&lt;'Handicap Settings'!$B$7,"Provisional","Established"))</x:f>
      </x:c>
      <x:c r="G60" s="126" t="str">
        <x:f>IF(B60="","",MIN(1,0.65+0.35*D60/(D60+8)))</x:f>
      </x:c>
      <x:c r="H60" s="100" t="str">
        <x:f>IF(B60="","",IF(E60&gt;=75,4,IF(E60&gt;=70,3,IF(E60&gt;=65,2,IF(E60&gt;=60,1,IF(E60&gt;=55,0,IF(E60&gt;=50,-1,IF(E60&gt;=45,-2,IF(E60&gt;=40,-3,-4)))))))))</x:f>
      </x:c>
      <x:c r="I60" s="100" t="str">
        <x:f>IF(B60="","",H60)</x:f>
      </x:c>
      <x:c r="J60" s="100" t="str">
        <x:f>IF(B60="","",'Handicap Settings'!$B$8)</x:f>
      </x:c>
      <x:c r="K60" s="100" t="str">
        <x:f>IF(B60="","",MAX(I60-J60,MIN(I60+J60,H60)))</x:f>
      </x:c>
      <x:c r="L60" t="str">
        <x:f>IF(B60="","",IF(K60=4,"Elite+",IF(K60=3,"Elite",IF(K60=2,"A+",IF(K60=1,"A",IF(K60=0,"B+",IF(K60=-1,"B",IF(K60=-2,"C+",IF(K60=-3,"C","D")))))))))</x:f>
      </x:c>
      <x:c r="M60" t="str">
        <x:f>IF(B60="","",IF(D60&gt;=25,"★★★★★",IF(D60&gt;=15,"★★★★",IF(D60&gt;=10,"★★★",IF(D60&gt;=6,"★★","★")))))</x:f>
      </x:c>
      <x:c r="N60" t="str">
        <x:f>IF(B60="","",TRUE)</x:f>
      </x:c>
      <x:c r="O60" t="str">
        <x:f>IF(B60="","",'Handicap Settings'!$B$4)</x:f>
      </x:c>
    </x:row>
    <x:row r="61">
      <x:c r="A61" t="inlineStr">
        <x:is>
          <x:t xml:space="preserve">FLPR-0060</x:t>
        </x:is>
      </x:c>
      <x:c r="C61" t="inlineStr">
        <x:is>
          <x:t xml:space="preserve">New / Manual</x:t>
        </x:is>
      </x:c>
      <x:c r="D61" t="n">
        <x:v>0</x:v>
      </x:c>
      <x:c r="E61" s="88" t="str">
        <x:f>IF(B61="","",'Handicap Settings'!$B$6)</x:f>
      </x:c>
      <x:c r="F61" t="str">
        <x:f>IF(B61="","",IF(D61&lt;'Handicap Settings'!$B$7,"Provisional","Established"))</x:f>
      </x:c>
      <x:c r="G61" s="126" t="str">
        <x:f>IF(B61="","",MIN(1,0.65+0.35*D61/(D61+8)))</x:f>
      </x:c>
      <x:c r="H61" s="100" t="str">
        <x:f>IF(B61="","",IF(E61&gt;=75,4,IF(E61&gt;=70,3,IF(E61&gt;=65,2,IF(E61&gt;=60,1,IF(E61&gt;=55,0,IF(E61&gt;=50,-1,IF(E61&gt;=45,-2,IF(E61&gt;=40,-3,-4)))))))))</x:f>
      </x:c>
      <x:c r="I61" s="100" t="str">
        <x:f>IF(B61="","",H61)</x:f>
      </x:c>
      <x:c r="J61" s="100" t="str">
        <x:f>IF(B61="","",'Handicap Settings'!$B$8)</x:f>
      </x:c>
      <x:c r="K61" s="100" t="str">
        <x:f>IF(B61="","",MAX(I61-J61,MIN(I61+J61,H61)))</x:f>
      </x:c>
      <x:c r="L61" t="str">
        <x:f>IF(B61="","",IF(K61=4,"Elite+",IF(K61=3,"Elite",IF(K61=2,"A+",IF(K61=1,"A",IF(K61=0,"B+",IF(K61=-1,"B",IF(K61=-2,"C+",IF(K61=-3,"C","D")))))))))</x:f>
      </x:c>
      <x:c r="M61" t="str">
        <x:f>IF(B61="","",IF(D61&gt;=25,"★★★★★",IF(D61&gt;=15,"★★★★",IF(D61&gt;=10,"★★★",IF(D61&gt;=6,"★★","★")))))</x:f>
      </x:c>
      <x:c r="N61" t="str">
        <x:f>IF(B61="","",TRUE)</x:f>
      </x:c>
      <x:c r="O61" t="str">
        <x:f>IF(B61="","",'Handicap Settings'!$B$4)</x:f>
      </x:c>
    </x:row>
    <x:row r="62">
      <x:c r="A62" t="inlineStr">
        <x:is>
          <x:t xml:space="preserve">FLPR-0061</x:t>
        </x:is>
      </x:c>
      <x:c r="C62" t="inlineStr">
        <x:is>
          <x:t xml:space="preserve">New / Manual</x:t>
        </x:is>
      </x:c>
      <x:c r="D62" t="n">
        <x:v>0</x:v>
      </x:c>
      <x:c r="E62" s="88" t="str">
        <x:f>IF(B62="","",'Handicap Settings'!$B$6)</x:f>
      </x:c>
      <x:c r="F62" t="str">
        <x:f>IF(B62="","",IF(D62&lt;'Handicap Settings'!$B$7,"Provisional","Established"))</x:f>
      </x:c>
      <x:c r="G62" s="126" t="str">
        <x:f>IF(B62="","",MIN(1,0.65+0.35*D62/(D62+8)))</x:f>
      </x:c>
      <x:c r="H62" s="100" t="str">
        <x:f>IF(B62="","",IF(E62&gt;=75,4,IF(E62&gt;=70,3,IF(E62&gt;=65,2,IF(E62&gt;=60,1,IF(E62&gt;=55,0,IF(E62&gt;=50,-1,IF(E62&gt;=45,-2,IF(E62&gt;=40,-3,-4)))))))))</x:f>
      </x:c>
      <x:c r="I62" s="100" t="str">
        <x:f>IF(B62="","",H62)</x:f>
      </x:c>
      <x:c r="J62" s="100" t="str">
        <x:f>IF(B62="","",'Handicap Settings'!$B$8)</x:f>
      </x:c>
      <x:c r="K62" s="100" t="str">
        <x:f>IF(B62="","",MAX(I62-J62,MIN(I62+J62,H62)))</x:f>
      </x:c>
      <x:c r="L62" t="str">
        <x:f>IF(B62="","",IF(K62=4,"Elite+",IF(K62=3,"Elite",IF(K62=2,"A+",IF(K62=1,"A",IF(K62=0,"B+",IF(K62=-1,"B",IF(K62=-2,"C+",IF(K62=-3,"C","D")))))))))</x:f>
      </x:c>
      <x:c r="M62" t="str">
        <x:f>IF(B62="","",IF(D62&gt;=25,"★★★★★",IF(D62&gt;=15,"★★★★",IF(D62&gt;=10,"★★★",IF(D62&gt;=6,"★★","★")))))</x:f>
      </x:c>
      <x:c r="N62" t="str">
        <x:f>IF(B62="","",TRUE)</x:f>
      </x:c>
      <x:c r="O62" t="str">
        <x:f>IF(B62="","",'Handicap Settings'!$B$4)</x:f>
      </x:c>
    </x:row>
    <x:row r="63">
      <x:c r="A63" t="inlineStr">
        <x:is>
          <x:t xml:space="preserve">FLPR-0062</x:t>
        </x:is>
      </x:c>
      <x:c r="C63" t="inlineStr">
        <x:is>
          <x:t xml:space="preserve">New / Manual</x:t>
        </x:is>
      </x:c>
      <x:c r="D63" t="n">
        <x:v>0</x:v>
      </x:c>
      <x:c r="E63" s="88" t="str">
        <x:f>IF(B63="","",'Handicap Settings'!$B$6)</x:f>
      </x:c>
      <x:c r="F63" t="str">
        <x:f>IF(B63="","",IF(D63&lt;'Handicap Settings'!$B$7,"Provisional","Established"))</x:f>
      </x:c>
      <x:c r="G63" s="126" t="str">
        <x:f>IF(B63="","",MIN(1,0.65+0.35*D63/(D63+8)))</x:f>
      </x:c>
      <x:c r="H63" s="100" t="str">
        <x:f>IF(B63="","",IF(E63&gt;=75,4,IF(E63&gt;=70,3,IF(E63&gt;=65,2,IF(E63&gt;=60,1,IF(E63&gt;=55,0,IF(E63&gt;=50,-1,IF(E63&gt;=45,-2,IF(E63&gt;=40,-3,-4)))))))))</x:f>
      </x:c>
      <x:c r="I63" s="100" t="str">
        <x:f>IF(B63="","",H63)</x:f>
      </x:c>
      <x:c r="J63" s="100" t="str">
        <x:f>IF(B63="","",'Handicap Settings'!$B$8)</x:f>
      </x:c>
      <x:c r="K63" s="100" t="str">
        <x:f>IF(B63="","",MAX(I63-J63,MIN(I63+J63,H63)))</x:f>
      </x:c>
      <x:c r="L63" t="str">
        <x:f>IF(B63="","",IF(K63=4,"Elite+",IF(K63=3,"Elite",IF(K63=2,"A+",IF(K63=1,"A",IF(K63=0,"B+",IF(K63=-1,"B",IF(K63=-2,"C+",IF(K63=-3,"C","D")))))))))</x:f>
      </x:c>
      <x:c r="M63" t="str">
        <x:f>IF(B63="","",IF(D63&gt;=25,"★★★★★",IF(D63&gt;=15,"★★★★",IF(D63&gt;=10,"★★★",IF(D63&gt;=6,"★★","★")))))</x:f>
      </x:c>
      <x:c r="N63" t="str">
        <x:f>IF(B63="","",TRUE)</x:f>
      </x:c>
      <x:c r="O63" t="str">
        <x:f>IF(B63="","",'Handicap Settings'!$B$4)</x:f>
      </x:c>
    </x:row>
    <x:row r="64">
      <x:c r="A64" t="inlineStr">
        <x:is>
          <x:t xml:space="preserve">FLPR-0063</x:t>
        </x:is>
      </x:c>
      <x:c r="C64" t="inlineStr">
        <x:is>
          <x:t xml:space="preserve">New / Manual</x:t>
        </x:is>
      </x:c>
      <x:c r="D64" t="n">
        <x:v>0</x:v>
      </x:c>
      <x:c r="E64" s="88" t="str">
        <x:f>IF(B64="","",'Handicap Settings'!$B$6)</x:f>
      </x:c>
      <x:c r="F64" t="str">
        <x:f>IF(B64="","",IF(D64&lt;'Handicap Settings'!$B$7,"Provisional","Established"))</x:f>
      </x:c>
      <x:c r="G64" s="126" t="str">
        <x:f>IF(B64="","",MIN(1,0.65+0.35*D64/(D64+8)))</x:f>
      </x:c>
      <x:c r="H64" s="100" t="str">
        <x:f>IF(B64="","",IF(E64&gt;=75,4,IF(E64&gt;=70,3,IF(E64&gt;=65,2,IF(E64&gt;=60,1,IF(E64&gt;=55,0,IF(E64&gt;=50,-1,IF(E64&gt;=45,-2,IF(E64&gt;=40,-3,-4)))))))))</x:f>
      </x:c>
      <x:c r="I64" s="100" t="str">
        <x:f>IF(B64="","",H64)</x:f>
      </x:c>
      <x:c r="J64" s="100" t="str">
        <x:f>IF(B64="","",'Handicap Settings'!$B$8)</x:f>
      </x:c>
      <x:c r="K64" s="100" t="str">
        <x:f>IF(B64="","",MAX(I64-J64,MIN(I64+J64,H64)))</x:f>
      </x:c>
      <x:c r="L64" t="str">
        <x:f>IF(B64="","",IF(K64=4,"Elite+",IF(K64=3,"Elite",IF(K64=2,"A+",IF(K64=1,"A",IF(K64=0,"B+",IF(K64=-1,"B",IF(K64=-2,"C+",IF(K64=-3,"C","D")))))))))</x:f>
      </x:c>
      <x:c r="M64" t="str">
        <x:f>IF(B64="","",IF(D64&gt;=25,"★★★★★",IF(D64&gt;=15,"★★★★",IF(D64&gt;=10,"★★★",IF(D64&gt;=6,"★★","★")))))</x:f>
      </x:c>
      <x:c r="N64" t="str">
        <x:f>IF(B64="","",TRUE)</x:f>
      </x:c>
      <x:c r="O64" t="str">
        <x:f>IF(B64="","",'Handicap Settings'!$B$4)</x:f>
      </x:c>
    </x:row>
    <x:row r="65">
      <x:c r="A65" t="inlineStr">
        <x:is>
          <x:t xml:space="preserve">FLPR-0064</x:t>
        </x:is>
      </x:c>
      <x:c r="C65" t="inlineStr">
        <x:is>
          <x:t xml:space="preserve">New / Manual</x:t>
        </x:is>
      </x:c>
      <x:c r="D65" t="n">
        <x:v>0</x:v>
      </x:c>
      <x:c r="E65" s="88" t="str">
        <x:f>IF(B65="","",'Handicap Settings'!$B$6)</x:f>
      </x:c>
      <x:c r="F65" t="str">
        <x:f>IF(B65="","",IF(D65&lt;'Handicap Settings'!$B$7,"Provisional","Established"))</x:f>
      </x:c>
      <x:c r="G65" s="126" t="str">
        <x:f>IF(B65="","",MIN(1,0.65+0.35*D65/(D65+8)))</x:f>
      </x:c>
      <x:c r="H65" s="100" t="str">
        <x:f>IF(B65="","",IF(E65&gt;=75,4,IF(E65&gt;=70,3,IF(E65&gt;=65,2,IF(E65&gt;=60,1,IF(E65&gt;=55,0,IF(E65&gt;=50,-1,IF(E65&gt;=45,-2,IF(E65&gt;=40,-3,-4)))))))))</x:f>
      </x:c>
      <x:c r="I65" s="100" t="str">
        <x:f>IF(B65="","",H65)</x:f>
      </x:c>
      <x:c r="J65" s="100" t="str">
        <x:f>IF(B65="","",'Handicap Settings'!$B$8)</x:f>
      </x:c>
      <x:c r="K65" s="100" t="str">
        <x:f>IF(B65="","",MAX(I65-J65,MIN(I65+J65,H65)))</x:f>
      </x:c>
      <x:c r="L65" t="str">
        <x:f>IF(B65="","",IF(K65=4,"Elite+",IF(K65=3,"Elite",IF(K65=2,"A+",IF(K65=1,"A",IF(K65=0,"B+",IF(K65=-1,"B",IF(K65=-2,"C+",IF(K65=-3,"C","D")))))))))</x:f>
      </x:c>
      <x:c r="M65" t="str">
        <x:f>IF(B65="","",IF(D65&gt;=25,"★★★★★",IF(D65&gt;=15,"★★★★",IF(D65&gt;=10,"★★★",IF(D65&gt;=6,"★★","★")))))</x:f>
      </x:c>
      <x:c r="N65" t="str">
        <x:f>IF(B65="","",TRUE)</x:f>
      </x:c>
      <x:c r="O65" t="str">
        <x:f>IF(B65="","",'Handicap Settings'!$B$4)</x:f>
      </x:c>
    </x:row>
    <x:row r="66">
      <x:c r="A66" t="inlineStr">
        <x:is>
          <x:t xml:space="preserve">FLPR-0065</x:t>
        </x:is>
      </x:c>
      <x:c r="C66" t="inlineStr">
        <x:is>
          <x:t xml:space="preserve">New / Manual</x:t>
        </x:is>
      </x:c>
      <x:c r="D66" t="n">
        <x:v>0</x:v>
      </x:c>
      <x:c r="E66" s="88" t="str">
        <x:f>IF(B66="","",'Handicap Settings'!$B$6)</x:f>
      </x:c>
      <x:c r="F66" t="str">
        <x:f>IF(B66="","",IF(D66&lt;'Handicap Settings'!$B$7,"Provisional","Established"))</x:f>
      </x:c>
      <x:c r="G66" s="126" t="str">
        <x:f>IF(B66="","",MIN(1,0.65+0.35*D66/(D66+8)))</x:f>
      </x:c>
      <x:c r="H66" s="100" t="str">
        <x:f>IF(B66="","",IF(E66&gt;=75,4,IF(E66&gt;=70,3,IF(E66&gt;=65,2,IF(E66&gt;=60,1,IF(E66&gt;=55,0,IF(E66&gt;=50,-1,IF(E66&gt;=45,-2,IF(E66&gt;=40,-3,-4)))))))))</x:f>
      </x:c>
      <x:c r="I66" s="100" t="str">
        <x:f>IF(B66="","",H66)</x:f>
      </x:c>
      <x:c r="J66" s="100" t="str">
        <x:f>IF(B66="","",'Handicap Settings'!$B$8)</x:f>
      </x:c>
      <x:c r="K66" s="100" t="str">
        <x:f>IF(B66="","",MAX(I66-J66,MIN(I66+J66,H66)))</x:f>
      </x:c>
      <x:c r="L66" t="str">
        <x:f>IF(B66="","",IF(K66=4,"Elite+",IF(K66=3,"Elite",IF(K66=2,"A+",IF(K66=1,"A",IF(K66=0,"B+",IF(K66=-1,"B",IF(K66=-2,"C+",IF(K66=-3,"C","D")))))))))</x:f>
      </x:c>
      <x:c r="M66" t="str">
        <x:f>IF(B66="","",IF(D66&gt;=25,"★★★★★",IF(D66&gt;=15,"★★★★",IF(D66&gt;=10,"★★★",IF(D66&gt;=6,"★★","★")))))</x:f>
      </x:c>
      <x:c r="N66" t="str">
        <x:f>IF(B66="","",TRUE)</x:f>
      </x:c>
      <x:c r="O66" t="str">
        <x:f>IF(B66="","",'Handicap Settings'!$B$4)</x:f>
      </x:c>
    </x:row>
    <x:row r="67">
      <x:c r="A67" t="inlineStr">
        <x:is>
          <x:t xml:space="preserve">FLPR-0066</x:t>
        </x:is>
      </x:c>
      <x:c r="C67" t="inlineStr">
        <x:is>
          <x:t xml:space="preserve">New / Manual</x:t>
        </x:is>
      </x:c>
      <x:c r="D67" t="n">
        <x:v>0</x:v>
      </x:c>
      <x:c r="E67" s="88" t="str">
        <x:f>IF(B67="","",'Handicap Settings'!$B$6)</x:f>
      </x:c>
      <x:c r="F67" t="str">
        <x:f>IF(B67="","",IF(D67&lt;'Handicap Settings'!$B$7,"Provisional","Established"))</x:f>
      </x:c>
      <x:c r="G67" s="126" t="str">
        <x:f>IF(B67="","",MIN(1,0.65+0.35*D67/(D67+8)))</x:f>
      </x:c>
      <x:c r="H67" s="100" t="str">
        <x:f>IF(B67="","",IF(E67&gt;=75,4,IF(E67&gt;=70,3,IF(E67&gt;=65,2,IF(E67&gt;=60,1,IF(E67&gt;=55,0,IF(E67&gt;=50,-1,IF(E67&gt;=45,-2,IF(E67&gt;=40,-3,-4)))))))))</x:f>
      </x:c>
      <x:c r="I67" s="100" t="str">
        <x:f>IF(B67="","",H67)</x:f>
      </x:c>
      <x:c r="J67" s="100" t="str">
        <x:f>IF(B67="","",'Handicap Settings'!$B$8)</x:f>
      </x:c>
      <x:c r="K67" s="100" t="str">
        <x:f>IF(B67="","",MAX(I67-J67,MIN(I67+J67,H67)))</x:f>
      </x:c>
      <x:c r="L67" t="str">
        <x:f>IF(B67="","",IF(K67=4,"Elite+",IF(K67=3,"Elite",IF(K67=2,"A+",IF(K67=1,"A",IF(K67=0,"B+",IF(K67=-1,"B",IF(K67=-2,"C+",IF(K67=-3,"C","D")))))))))</x:f>
      </x:c>
      <x:c r="M67" t="str">
        <x:f>IF(B67="","",IF(D67&gt;=25,"★★★★★",IF(D67&gt;=15,"★★★★",IF(D67&gt;=10,"★★★",IF(D67&gt;=6,"★★","★")))))</x:f>
      </x:c>
      <x:c r="N67" t="str">
        <x:f>IF(B67="","",TRUE)</x:f>
      </x:c>
      <x:c r="O67" t="str">
        <x:f>IF(B67="","",'Handicap Settings'!$B$4)</x:f>
      </x:c>
    </x:row>
    <x:row r="68">
      <x:c r="A68" t="inlineStr">
        <x:is>
          <x:t xml:space="preserve">FLPR-0067</x:t>
        </x:is>
      </x:c>
      <x:c r="C68" t="inlineStr">
        <x:is>
          <x:t xml:space="preserve">New / Manual</x:t>
        </x:is>
      </x:c>
      <x:c r="D68" t="n">
        <x:v>0</x:v>
      </x:c>
      <x:c r="E68" s="88" t="str">
        <x:f>IF(B68="","",'Handicap Settings'!$B$6)</x:f>
      </x:c>
      <x:c r="F68" t="str">
        <x:f>IF(B68="","",IF(D68&lt;'Handicap Settings'!$B$7,"Provisional","Established"))</x:f>
      </x:c>
      <x:c r="G68" s="126" t="str">
        <x:f>IF(B68="","",MIN(1,0.65+0.35*D68/(D68+8)))</x:f>
      </x:c>
      <x:c r="H68" s="100" t="str">
        <x:f>IF(B68="","",IF(E68&gt;=75,4,IF(E68&gt;=70,3,IF(E68&gt;=65,2,IF(E68&gt;=60,1,IF(E68&gt;=55,0,IF(E68&gt;=50,-1,IF(E68&gt;=45,-2,IF(E68&gt;=40,-3,-4)))))))))</x:f>
      </x:c>
      <x:c r="I68" s="100" t="str">
        <x:f>IF(B68="","",H68)</x:f>
      </x:c>
      <x:c r="J68" s="100" t="str">
        <x:f>IF(B68="","",'Handicap Settings'!$B$8)</x:f>
      </x:c>
      <x:c r="K68" s="100" t="str">
        <x:f>IF(B68="","",MAX(I68-J68,MIN(I68+J68,H68)))</x:f>
      </x:c>
      <x:c r="L68" t="str">
        <x:f>IF(B68="","",IF(K68=4,"Elite+",IF(K68=3,"Elite",IF(K68=2,"A+",IF(K68=1,"A",IF(K68=0,"B+",IF(K68=-1,"B",IF(K68=-2,"C+",IF(K68=-3,"C","D")))))))))</x:f>
      </x:c>
      <x:c r="M68" t="str">
        <x:f>IF(B68="","",IF(D68&gt;=25,"★★★★★",IF(D68&gt;=15,"★★★★",IF(D68&gt;=10,"★★★",IF(D68&gt;=6,"★★","★")))))</x:f>
      </x:c>
      <x:c r="N68" t="str">
        <x:f>IF(B68="","",TRUE)</x:f>
      </x:c>
      <x:c r="O68" t="str">
        <x:f>IF(B68="","",'Handicap Settings'!$B$4)</x:f>
      </x:c>
    </x:row>
    <x:row r="69">
      <x:c r="A69" t="inlineStr">
        <x:is>
          <x:t xml:space="preserve">FLPR-0068</x:t>
        </x:is>
      </x:c>
      <x:c r="C69" t="inlineStr">
        <x:is>
          <x:t xml:space="preserve">New / Manual</x:t>
        </x:is>
      </x:c>
      <x:c r="D69" t="n">
        <x:v>0</x:v>
      </x:c>
      <x:c r="E69" s="88" t="str">
        <x:f>IF(B69="","",'Handicap Settings'!$B$6)</x:f>
      </x:c>
      <x:c r="F69" t="str">
        <x:f>IF(B69="","",IF(D69&lt;'Handicap Settings'!$B$7,"Provisional","Established"))</x:f>
      </x:c>
      <x:c r="G69" s="126" t="str">
        <x:f>IF(B69="","",MIN(1,0.65+0.35*D69/(D69+8)))</x:f>
      </x:c>
      <x:c r="H69" s="100" t="str">
        <x:f>IF(B69="","",IF(E69&gt;=75,4,IF(E69&gt;=70,3,IF(E69&gt;=65,2,IF(E69&gt;=60,1,IF(E69&gt;=55,0,IF(E69&gt;=50,-1,IF(E69&gt;=45,-2,IF(E69&gt;=40,-3,-4)))))))))</x:f>
      </x:c>
      <x:c r="I69" s="100" t="str">
        <x:f>IF(B69="","",H69)</x:f>
      </x:c>
      <x:c r="J69" s="100" t="str">
        <x:f>IF(B69="","",'Handicap Settings'!$B$8)</x:f>
      </x:c>
      <x:c r="K69" s="100" t="str">
        <x:f>IF(B69="","",MAX(I69-J69,MIN(I69+J69,H69)))</x:f>
      </x:c>
      <x:c r="L69" t="str">
        <x:f>IF(B69="","",IF(K69=4,"Elite+",IF(K69=3,"Elite",IF(K69=2,"A+",IF(K69=1,"A",IF(K69=0,"B+",IF(K69=-1,"B",IF(K69=-2,"C+",IF(K69=-3,"C","D")))))))))</x:f>
      </x:c>
      <x:c r="M69" t="str">
        <x:f>IF(B69="","",IF(D69&gt;=25,"★★★★★",IF(D69&gt;=15,"★★★★",IF(D69&gt;=10,"★★★",IF(D69&gt;=6,"★★","★")))))</x:f>
      </x:c>
      <x:c r="N69" t="str">
        <x:f>IF(B69="","",TRUE)</x:f>
      </x:c>
      <x:c r="O69" t="str">
        <x:f>IF(B69="","",'Handicap Settings'!$B$4)</x:f>
      </x:c>
    </x:row>
    <x:row r="70">
      <x:c r="A70" t="inlineStr">
        <x:is>
          <x:t xml:space="preserve">FLPR-0069</x:t>
        </x:is>
      </x:c>
      <x:c r="C70" t="inlineStr">
        <x:is>
          <x:t xml:space="preserve">New / Manual</x:t>
        </x:is>
      </x:c>
      <x:c r="D70" t="n">
        <x:v>0</x:v>
      </x:c>
      <x:c r="E70" s="88" t="str">
        <x:f>IF(B70="","",'Handicap Settings'!$B$6)</x:f>
      </x:c>
      <x:c r="F70" t="str">
        <x:f>IF(B70="","",IF(D70&lt;'Handicap Settings'!$B$7,"Provisional","Established"))</x:f>
      </x:c>
      <x:c r="G70" s="126" t="str">
        <x:f>IF(B70="","",MIN(1,0.65+0.35*D70/(D70+8)))</x:f>
      </x:c>
      <x:c r="H70" s="100" t="str">
        <x:f>IF(B70="","",IF(E70&gt;=75,4,IF(E70&gt;=70,3,IF(E70&gt;=65,2,IF(E70&gt;=60,1,IF(E70&gt;=55,0,IF(E70&gt;=50,-1,IF(E70&gt;=45,-2,IF(E70&gt;=40,-3,-4)))))))))</x:f>
      </x:c>
      <x:c r="I70" s="100" t="str">
        <x:f>IF(B70="","",H70)</x:f>
      </x:c>
      <x:c r="J70" s="100" t="str">
        <x:f>IF(B70="","",'Handicap Settings'!$B$8)</x:f>
      </x:c>
      <x:c r="K70" s="100" t="str">
        <x:f>IF(B70="","",MAX(I70-J70,MIN(I70+J70,H70)))</x:f>
      </x:c>
      <x:c r="L70" t="str">
        <x:f>IF(B70="","",IF(K70=4,"Elite+",IF(K70=3,"Elite",IF(K70=2,"A+",IF(K70=1,"A",IF(K70=0,"B+",IF(K70=-1,"B",IF(K70=-2,"C+",IF(K70=-3,"C","D")))))))))</x:f>
      </x:c>
      <x:c r="M70" t="str">
        <x:f>IF(B70="","",IF(D70&gt;=25,"★★★★★",IF(D70&gt;=15,"★★★★",IF(D70&gt;=10,"★★★",IF(D70&gt;=6,"★★","★")))))</x:f>
      </x:c>
      <x:c r="N70" t="str">
        <x:f>IF(B70="","",TRUE)</x:f>
      </x:c>
      <x:c r="O70" t="str">
        <x:f>IF(B70="","",'Handicap Settings'!$B$4)</x:f>
      </x:c>
    </x:row>
    <x:row r="71">
      <x:c r="A71" t="inlineStr">
        <x:is>
          <x:t xml:space="preserve">FLPR-0070</x:t>
        </x:is>
      </x:c>
      <x:c r="C71" t="inlineStr">
        <x:is>
          <x:t xml:space="preserve">New / Manual</x:t>
        </x:is>
      </x:c>
      <x:c r="D71" t="n">
        <x:v>0</x:v>
      </x:c>
      <x:c r="E71" s="88" t="str">
        <x:f>IF(B71="","",'Handicap Settings'!$B$6)</x:f>
      </x:c>
      <x:c r="F71" t="str">
        <x:f>IF(B71="","",IF(D71&lt;'Handicap Settings'!$B$7,"Provisional","Established"))</x:f>
      </x:c>
      <x:c r="G71" s="126" t="str">
        <x:f>IF(B71="","",MIN(1,0.65+0.35*D71/(D71+8)))</x:f>
      </x:c>
      <x:c r="H71" s="100" t="str">
        <x:f>IF(B71="","",IF(E71&gt;=75,4,IF(E71&gt;=70,3,IF(E71&gt;=65,2,IF(E71&gt;=60,1,IF(E71&gt;=55,0,IF(E71&gt;=50,-1,IF(E71&gt;=45,-2,IF(E71&gt;=40,-3,-4)))))))))</x:f>
      </x:c>
      <x:c r="I71" s="100" t="str">
        <x:f>IF(B71="","",H71)</x:f>
      </x:c>
      <x:c r="J71" s="100" t="str">
        <x:f>IF(B71="","",'Handicap Settings'!$B$8)</x:f>
      </x:c>
      <x:c r="K71" s="100" t="str">
        <x:f>IF(B71="","",MAX(I71-J71,MIN(I71+J71,H71)))</x:f>
      </x:c>
      <x:c r="L71" t="str">
        <x:f>IF(B71="","",IF(K71=4,"Elite+",IF(K71=3,"Elite",IF(K71=2,"A+",IF(K71=1,"A",IF(K71=0,"B+",IF(K71=-1,"B",IF(K71=-2,"C+",IF(K71=-3,"C","D")))))))))</x:f>
      </x:c>
      <x:c r="M71" t="str">
        <x:f>IF(B71="","",IF(D71&gt;=25,"★★★★★",IF(D71&gt;=15,"★★★★",IF(D71&gt;=10,"★★★",IF(D71&gt;=6,"★★","★")))))</x:f>
      </x:c>
      <x:c r="N71" t="str">
        <x:f>IF(B71="","",TRUE)</x:f>
      </x:c>
      <x:c r="O71" t="str">
        <x:f>IF(B71="","",'Handicap Settings'!$B$4)</x:f>
      </x:c>
    </x:row>
    <x:row r="72">
      <x:c r="A72" t="inlineStr">
        <x:is>
          <x:t xml:space="preserve">FLPR-0071</x:t>
        </x:is>
      </x:c>
      <x:c r="C72" t="inlineStr">
        <x:is>
          <x:t xml:space="preserve">New / Manual</x:t>
        </x:is>
      </x:c>
      <x:c r="D72" t="n">
        <x:v>0</x:v>
      </x:c>
      <x:c r="E72" s="88" t="str">
        <x:f>IF(B72="","",'Handicap Settings'!$B$6)</x:f>
      </x:c>
      <x:c r="F72" t="str">
        <x:f>IF(B72="","",IF(D72&lt;'Handicap Settings'!$B$7,"Provisional","Established"))</x:f>
      </x:c>
      <x:c r="G72" s="126" t="str">
        <x:f>IF(B72="","",MIN(1,0.65+0.35*D72/(D72+8)))</x:f>
      </x:c>
      <x:c r="H72" s="100" t="str">
        <x:f>IF(B72="","",IF(E72&gt;=75,4,IF(E72&gt;=70,3,IF(E72&gt;=65,2,IF(E72&gt;=60,1,IF(E72&gt;=55,0,IF(E72&gt;=50,-1,IF(E72&gt;=45,-2,IF(E72&gt;=40,-3,-4)))))))))</x:f>
      </x:c>
      <x:c r="I72" s="100" t="str">
        <x:f>IF(B72="","",H72)</x:f>
      </x:c>
      <x:c r="J72" s="100" t="str">
        <x:f>IF(B72="","",'Handicap Settings'!$B$8)</x:f>
      </x:c>
      <x:c r="K72" s="100" t="str">
        <x:f>IF(B72="","",MAX(I72-J72,MIN(I72+J72,H72)))</x:f>
      </x:c>
      <x:c r="L72" t="str">
        <x:f>IF(B72="","",IF(K72=4,"Elite+",IF(K72=3,"Elite",IF(K72=2,"A+",IF(K72=1,"A",IF(K72=0,"B+",IF(K72=-1,"B",IF(K72=-2,"C+",IF(K72=-3,"C","D")))))))))</x:f>
      </x:c>
      <x:c r="M72" t="str">
        <x:f>IF(B72="","",IF(D72&gt;=25,"★★★★★",IF(D72&gt;=15,"★★★★",IF(D72&gt;=10,"★★★",IF(D72&gt;=6,"★★","★")))))</x:f>
      </x:c>
      <x:c r="N72" t="str">
        <x:f>IF(B72="","",TRUE)</x:f>
      </x:c>
      <x:c r="O72" t="str">
        <x:f>IF(B72="","",'Handicap Settings'!$B$4)</x:f>
      </x:c>
    </x:row>
    <x:row r="73">
      <x:c r="A73" t="inlineStr">
        <x:is>
          <x:t xml:space="preserve">FLPR-0072</x:t>
        </x:is>
      </x:c>
      <x:c r="C73" t="inlineStr">
        <x:is>
          <x:t xml:space="preserve">New / Manual</x:t>
        </x:is>
      </x:c>
      <x:c r="D73" t="n">
        <x:v>0</x:v>
      </x:c>
      <x:c r="E73" s="88" t="str">
        <x:f>IF(B73="","",'Handicap Settings'!$B$6)</x:f>
      </x:c>
      <x:c r="F73" t="str">
        <x:f>IF(B73="","",IF(D73&lt;'Handicap Settings'!$B$7,"Provisional","Established"))</x:f>
      </x:c>
      <x:c r="G73" s="126" t="str">
        <x:f>IF(B73="","",MIN(1,0.65+0.35*D73/(D73+8)))</x:f>
      </x:c>
      <x:c r="H73" s="100" t="str">
        <x:f>IF(B73="","",IF(E73&gt;=75,4,IF(E73&gt;=70,3,IF(E73&gt;=65,2,IF(E73&gt;=60,1,IF(E73&gt;=55,0,IF(E73&gt;=50,-1,IF(E73&gt;=45,-2,IF(E73&gt;=40,-3,-4)))))))))</x:f>
      </x:c>
      <x:c r="I73" s="100" t="str">
        <x:f>IF(B73="","",H73)</x:f>
      </x:c>
      <x:c r="J73" s="100" t="str">
        <x:f>IF(B73="","",'Handicap Settings'!$B$8)</x:f>
      </x:c>
      <x:c r="K73" s="100" t="str">
        <x:f>IF(B73="","",MAX(I73-J73,MIN(I73+J73,H73)))</x:f>
      </x:c>
      <x:c r="L73" t="str">
        <x:f>IF(B73="","",IF(K73=4,"Elite+",IF(K73=3,"Elite",IF(K73=2,"A+",IF(K73=1,"A",IF(K73=0,"B+",IF(K73=-1,"B",IF(K73=-2,"C+",IF(K73=-3,"C","D")))))))))</x:f>
      </x:c>
      <x:c r="M73" t="str">
        <x:f>IF(B73="","",IF(D73&gt;=25,"★★★★★",IF(D73&gt;=15,"★★★★",IF(D73&gt;=10,"★★★",IF(D73&gt;=6,"★★","★")))))</x:f>
      </x:c>
      <x:c r="N73" t="str">
        <x:f>IF(B73="","",TRUE)</x:f>
      </x:c>
      <x:c r="O73" t="str">
        <x:f>IF(B73="","",'Handicap Settings'!$B$4)</x:f>
      </x:c>
    </x:row>
    <x:row r="74">
      <x:c r="A74" t="inlineStr">
        <x:is>
          <x:t xml:space="preserve">FLPR-0073</x:t>
        </x:is>
      </x:c>
      <x:c r="C74" t="inlineStr">
        <x:is>
          <x:t xml:space="preserve">New / Manual</x:t>
        </x:is>
      </x:c>
      <x:c r="D74" t="n">
        <x:v>0</x:v>
      </x:c>
      <x:c r="E74" s="88" t="str">
        <x:f>IF(B74="","",'Handicap Settings'!$B$6)</x:f>
      </x:c>
      <x:c r="F74" t="str">
        <x:f>IF(B74="","",IF(D74&lt;'Handicap Settings'!$B$7,"Provisional","Established"))</x:f>
      </x:c>
      <x:c r="G74" s="126" t="str">
        <x:f>IF(B74="","",MIN(1,0.65+0.35*D74/(D74+8)))</x:f>
      </x:c>
      <x:c r="H74" s="100" t="str">
        <x:f>IF(B74="","",IF(E74&gt;=75,4,IF(E74&gt;=70,3,IF(E74&gt;=65,2,IF(E74&gt;=60,1,IF(E74&gt;=55,0,IF(E74&gt;=50,-1,IF(E74&gt;=45,-2,IF(E74&gt;=40,-3,-4)))))))))</x:f>
      </x:c>
      <x:c r="I74" s="100" t="str">
        <x:f>IF(B74="","",H74)</x:f>
      </x:c>
      <x:c r="J74" s="100" t="str">
        <x:f>IF(B74="","",'Handicap Settings'!$B$8)</x:f>
      </x:c>
      <x:c r="K74" s="100" t="str">
        <x:f>IF(B74="","",MAX(I74-J74,MIN(I74+J74,H74)))</x:f>
      </x:c>
      <x:c r="L74" t="str">
        <x:f>IF(B74="","",IF(K74=4,"Elite+",IF(K74=3,"Elite",IF(K74=2,"A+",IF(K74=1,"A",IF(K74=0,"B+",IF(K74=-1,"B",IF(K74=-2,"C+",IF(K74=-3,"C","D")))))))))</x:f>
      </x:c>
      <x:c r="M74" t="str">
        <x:f>IF(B74="","",IF(D74&gt;=25,"★★★★★",IF(D74&gt;=15,"★★★★",IF(D74&gt;=10,"★★★",IF(D74&gt;=6,"★★","★")))))</x:f>
      </x:c>
      <x:c r="N74" t="str">
        <x:f>IF(B74="","",TRUE)</x:f>
      </x:c>
      <x:c r="O74" t="str">
        <x:f>IF(B74="","",'Handicap Settings'!$B$4)</x:f>
      </x:c>
    </x:row>
    <x:row r="75">
      <x:c r="A75" t="inlineStr">
        <x:is>
          <x:t xml:space="preserve">FLPR-0074</x:t>
        </x:is>
      </x:c>
      <x:c r="C75" t="inlineStr">
        <x:is>
          <x:t xml:space="preserve">New / Manual</x:t>
        </x:is>
      </x:c>
      <x:c r="D75" t="n">
        <x:v>0</x:v>
      </x:c>
      <x:c r="E75" s="88" t="str">
        <x:f>IF(B75="","",'Handicap Settings'!$B$6)</x:f>
      </x:c>
      <x:c r="F75" t="str">
        <x:f>IF(B75="","",IF(D75&lt;'Handicap Settings'!$B$7,"Provisional","Established"))</x:f>
      </x:c>
      <x:c r="G75" s="126" t="str">
        <x:f>IF(B75="","",MIN(1,0.65+0.35*D75/(D75+8)))</x:f>
      </x:c>
      <x:c r="H75" s="100" t="str">
        <x:f>IF(B75="","",IF(E75&gt;=75,4,IF(E75&gt;=70,3,IF(E75&gt;=65,2,IF(E75&gt;=60,1,IF(E75&gt;=55,0,IF(E75&gt;=50,-1,IF(E75&gt;=45,-2,IF(E75&gt;=40,-3,-4)))))))))</x:f>
      </x:c>
      <x:c r="I75" s="100" t="str">
        <x:f>IF(B75="","",H75)</x:f>
      </x:c>
      <x:c r="J75" s="100" t="str">
        <x:f>IF(B75="","",'Handicap Settings'!$B$8)</x:f>
      </x:c>
      <x:c r="K75" s="100" t="str">
        <x:f>IF(B75="","",MAX(I75-J75,MIN(I75+J75,H75)))</x:f>
      </x:c>
      <x:c r="L75" t="str">
        <x:f>IF(B75="","",IF(K75=4,"Elite+",IF(K75=3,"Elite",IF(K75=2,"A+",IF(K75=1,"A",IF(K75=0,"B+",IF(K75=-1,"B",IF(K75=-2,"C+",IF(K75=-3,"C","D")))))))))</x:f>
      </x:c>
      <x:c r="M75" t="str">
        <x:f>IF(B75="","",IF(D75&gt;=25,"★★★★★",IF(D75&gt;=15,"★★★★",IF(D75&gt;=10,"★★★",IF(D75&gt;=6,"★★","★")))))</x:f>
      </x:c>
      <x:c r="N75" t="str">
        <x:f>IF(B75="","",TRUE)</x:f>
      </x:c>
      <x:c r="O75" t="str">
        <x:f>IF(B75="","",'Handicap Settings'!$B$4)</x:f>
      </x:c>
    </x:row>
    <x:row r="76">
      <x:c r="A76" t="inlineStr">
        <x:is>
          <x:t xml:space="preserve">FLPR-0075</x:t>
        </x:is>
      </x:c>
      <x:c r="C76" t="inlineStr">
        <x:is>
          <x:t xml:space="preserve">New / Manual</x:t>
        </x:is>
      </x:c>
      <x:c r="D76" t="n">
        <x:v>0</x:v>
      </x:c>
      <x:c r="E76" s="88" t="str">
        <x:f>IF(B76="","",'Handicap Settings'!$B$6)</x:f>
      </x:c>
      <x:c r="F76" t="str">
        <x:f>IF(B76="","",IF(D76&lt;'Handicap Settings'!$B$7,"Provisional","Established"))</x:f>
      </x:c>
      <x:c r="G76" s="126" t="str">
        <x:f>IF(B76="","",MIN(1,0.65+0.35*D76/(D76+8)))</x:f>
      </x:c>
      <x:c r="H76" s="100" t="str">
        <x:f>IF(B76="","",IF(E76&gt;=75,4,IF(E76&gt;=70,3,IF(E76&gt;=65,2,IF(E76&gt;=60,1,IF(E76&gt;=55,0,IF(E76&gt;=50,-1,IF(E76&gt;=45,-2,IF(E76&gt;=40,-3,-4)))))))))</x:f>
      </x:c>
      <x:c r="I76" s="100" t="str">
        <x:f>IF(B76="","",H76)</x:f>
      </x:c>
      <x:c r="J76" s="100" t="str">
        <x:f>IF(B76="","",'Handicap Settings'!$B$8)</x:f>
      </x:c>
      <x:c r="K76" s="100" t="str">
        <x:f>IF(B76="","",MAX(I76-J76,MIN(I76+J76,H76)))</x:f>
      </x:c>
      <x:c r="L76" t="str">
        <x:f>IF(B76="","",IF(K76=4,"Elite+",IF(K76=3,"Elite",IF(K76=2,"A+",IF(K76=1,"A",IF(K76=0,"B+",IF(K76=-1,"B",IF(K76=-2,"C+",IF(K76=-3,"C","D")))))))))</x:f>
      </x:c>
      <x:c r="M76" t="str">
        <x:f>IF(B76="","",IF(D76&gt;=25,"★★★★★",IF(D76&gt;=15,"★★★★",IF(D76&gt;=10,"★★★",IF(D76&gt;=6,"★★","★")))))</x:f>
      </x:c>
      <x:c r="N76" t="str">
        <x:f>IF(B76="","",TRUE)</x:f>
      </x:c>
      <x:c r="O76" t="str">
        <x:f>IF(B76="","",'Handicap Settings'!$B$4)</x:f>
      </x:c>
    </x:row>
    <x:row r="77">
      <x:c r="A77" t="inlineStr">
        <x:is>
          <x:t xml:space="preserve">FLPR-0076</x:t>
        </x:is>
      </x:c>
      <x:c r="C77" t="inlineStr">
        <x:is>
          <x:t xml:space="preserve">New / Manual</x:t>
        </x:is>
      </x:c>
      <x:c r="D77" t="n">
        <x:v>0</x:v>
      </x:c>
      <x:c r="E77" s="88" t="str">
        <x:f>IF(B77="","",'Handicap Settings'!$B$6)</x:f>
      </x:c>
      <x:c r="F77" t="str">
        <x:f>IF(B77="","",IF(D77&lt;'Handicap Settings'!$B$7,"Provisional","Established"))</x:f>
      </x:c>
      <x:c r="G77" s="126" t="str">
        <x:f>IF(B77="","",MIN(1,0.65+0.35*D77/(D77+8)))</x:f>
      </x:c>
      <x:c r="H77" s="100" t="str">
        <x:f>IF(B77="","",IF(E77&gt;=75,4,IF(E77&gt;=70,3,IF(E77&gt;=65,2,IF(E77&gt;=60,1,IF(E77&gt;=55,0,IF(E77&gt;=50,-1,IF(E77&gt;=45,-2,IF(E77&gt;=40,-3,-4)))))))))</x:f>
      </x:c>
      <x:c r="I77" s="100" t="str">
        <x:f>IF(B77="","",H77)</x:f>
      </x:c>
      <x:c r="J77" s="100" t="str">
        <x:f>IF(B77="","",'Handicap Settings'!$B$8)</x:f>
      </x:c>
      <x:c r="K77" s="100" t="str">
        <x:f>IF(B77="","",MAX(I77-J77,MIN(I77+J77,H77)))</x:f>
      </x:c>
      <x:c r="L77" t="str">
        <x:f>IF(B77="","",IF(K77=4,"Elite+",IF(K77=3,"Elite",IF(K77=2,"A+",IF(K77=1,"A",IF(K77=0,"B+",IF(K77=-1,"B",IF(K77=-2,"C+",IF(K77=-3,"C","D")))))))))</x:f>
      </x:c>
      <x:c r="M77" t="str">
        <x:f>IF(B77="","",IF(D77&gt;=25,"★★★★★",IF(D77&gt;=15,"★★★★",IF(D77&gt;=10,"★★★",IF(D77&gt;=6,"★★","★")))))</x:f>
      </x:c>
      <x:c r="N77" t="str">
        <x:f>IF(B77="","",TRUE)</x:f>
      </x:c>
      <x:c r="O77" t="str">
        <x:f>IF(B77="","",'Handicap Settings'!$B$4)</x:f>
      </x:c>
    </x:row>
    <x:row r="78">
      <x:c r="A78" t="inlineStr">
        <x:is>
          <x:t xml:space="preserve">FLPR-0077</x:t>
        </x:is>
      </x:c>
      <x:c r="C78" t="inlineStr">
        <x:is>
          <x:t xml:space="preserve">New / Manual</x:t>
        </x:is>
      </x:c>
      <x:c r="D78" t="n">
        <x:v>0</x:v>
      </x:c>
      <x:c r="E78" s="88" t="str">
        <x:f>IF(B78="","",'Handicap Settings'!$B$6)</x:f>
      </x:c>
      <x:c r="F78" t="str">
        <x:f>IF(B78="","",IF(D78&lt;'Handicap Settings'!$B$7,"Provisional","Established"))</x:f>
      </x:c>
      <x:c r="G78" s="126" t="str">
        <x:f>IF(B78="","",MIN(1,0.65+0.35*D78/(D78+8)))</x:f>
      </x:c>
      <x:c r="H78" s="100" t="str">
        <x:f>IF(B78="","",IF(E78&gt;=75,4,IF(E78&gt;=70,3,IF(E78&gt;=65,2,IF(E78&gt;=60,1,IF(E78&gt;=55,0,IF(E78&gt;=50,-1,IF(E78&gt;=45,-2,IF(E78&gt;=40,-3,-4)))))))))</x:f>
      </x:c>
      <x:c r="I78" s="100" t="str">
        <x:f>IF(B78="","",H78)</x:f>
      </x:c>
      <x:c r="J78" s="100" t="str">
        <x:f>IF(B78="","",'Handicap Settings'!$B$8)</x:f>
      </x:c>
      <x:c r="K78" s="100" t="str">
        <x:f>IF(B78="","",MAX(I78-J78,MIN(I78+J78,H78)))</x:f>
      </x:c>
      <x:c r="L78" t="str">
        <x:f>IF(B78="","",IF(K78=4,"Elite+",IF(K78=3,"Elite",IF(K78=2,"A+",IF(K78=1,"A",IF(K78=0,"B+",IF(K78=-1,"B",IF(K78=-2,"C+",IF(K78=-3,"C","D")))))))))</x:f>
      </x:c>
      <x:c r="M78" t="str">
        <x:f>IF(B78="","",IF(D78&gt;=25,"★★★★★",IF(D78&gt;=15,"★★★★",IF(D78&gt;=10,"★★★",IF(D78&gt;=6,"★★","★")))))</x:f>
      </x:c>
      <x:c r="N78" t="str">
        <x:f>IF(B78="","",TRUE)</x:f>
      </x:c>
      <x:c r="O78" t="str">
        <x:f>IF(B78="","",'Handicap Settings'!$B$4)</x:f>
      </x:c>
    </x:row>
    <x:row r="79">
      <x:c r="A79" t="inlineStr">
        <x:is>
          <x:t xml:space="preserve">FLPR-0078</x:t>
        </x:is>
      </x:c>
      <x:c r="C79" t="inlineStr">
        <x:is>
          <x:t xml:space="preserve">New / Manual</x:t>
        </x:is>
      </x:c>
      <x:c r="D79" t="n">
        <x:v>0</x:v>
      </x:c>
      <x:c r="E79" s="88" t="str">
        <x:f>IF(B79="","",'Handicap Settings'!$B$6)</x:f>
      </x:c>
      <x:c r="F79" t="str">
        <x:f>IF(B79="","",IF(D79&lt;'Handicap Settings'!$B$7,"Provisional","Established"))</x:f>
      </x:c>
      <x:c r="G79" s="126" t="str">
        <x:f>IF(B79="","",MIN(1,0.65+0.35*D79/(D79+8)))</x:f>
      </x:c>
      <x:c r="H79" s="100" t="str">
        <x:f>IF(B79="","",IF(E79&gt;=75,4,IF(E79&gt;=70,3,IF(E79&gt;=65,2,IF(E79&gt;=60,1,IF(E79&gt;=55,0,IF(E79&gt;=50,-1,IF(E79&gt;=45,-2,IF(E79&gt;=40,-3,-4)))))))))</x:f>
      </x:c>
      <x:c r="I79" s="100" t="str">
        <x:f>IF(B79="","",H79)</x:f>
      </x:c>
      <x:c r="J79" s="100" t="str">
        <x:f>IF(B79="","",'Handicap Settings'!$B$8)</x:f>
      </x:c>
      <x:c r="K79" s="100" t="str">
        <x:f>IF(B79="","",MAX(I79-J79,MIN(I79+J79,H79)))</x:f>
      </x:c>
      <x:c r="L79" t="str">
        <x:f>IF(B79="","",IF(K79=4,"Elite+",IF(K79=3,"Elite",IF(K79=2,"A+",IF(K79=1,"A",IF(K79=0,"B+",IF(K79=-1,"B",IF(K79=-2,"C+",IF(K79=-3,"C","D")))))))))</x:f>
      </x:c>
      <x:c r="M79" t="str">
        <x:f>IF(B79="","",IF(D79&gt;=25,"★★★★★",IF(D79&gt;=15,"★★★★",IF(D79&gt;=10,"★★★",IF(D79&gt;=6,"★★","★")))))</x:f>
      </x:c>
      <x:c r="N79" t="str">
        <x:f>IF(B79="","",TRUE)</x:f>
      </x:c>
      <x:c r="O79" t="str">
        <x:f>IF(B79="","",'Handicap Settings'!$B$4)</x:f>
      </x:c>
    </x:row>
    <x:row r="80">
      <x:c r="A80" t="inlineStr">
        <x:is>
          <x:t xml:space="preserve">FLPR-0079</x:t>
        </x:is>
      </x:c>
      <x:c r="C80" t="inlineStr">
        <x:is>
          <x:t xml:space="preserve">New / Manual</x:t>
        </x:is>
      </x:c>
      <x:c r="D80" t="n">
        <x:v>0</x:v>
      </x:c>
      <x:c r="E80" s="88" t="str">
        <x:f>IF(B80="","",'Handicap Settings'!$B$6)</x:f>
      </x:c>
      <x:c r="F80" t="str">
        <x:f>IF(B80="","",IF(D80&lt;'Handicap Settings'!$B$7,"Provisional","Established"))</x:f>
      </x:c>
      <x:c r="G80" s="126" t="str">
        <x:f>IF(B80="","",MIN(1,0.65+0.35*D80/(D80+8)))</x:f>
      </x:c>
      <x:c r="H80" s="100" t="str">
        <x:f>IF(B80="","",IF(E80&gt;=75,4,IF(E80&gt;=70,3,IF(E80&gt;=65,2,IF(E80&gt;=60,1,IF(E80&gt;=55,0,IF(E80&gt;=50,-1,IF(E80&gt;=45,-2,IF(E80&gt;=40,-3,-4)))))))))</x:f>
      </x:c>
      <x:c r="I80" s="100" t="str">
        <x:f>IF(B80="","",H80)</x:f>
      </x:c>
      <x:c r="J80" s="100" t="str">
        <x:f>IF(B80="","",'Handicap Settings'!$B$8)</x:f>
      </x:c>
      <x:c r="K80" s="100" t="str">
        <x:f>IF(B80="","",MAX(I80-J80,MIN(I80+J80,H80)))</x:f>
      </x:c>
      <x:c r="L80" t="str">
        <x:f>IF(B80="","",IF(K80=4,"Elite+",IF(K80=3,"Elite",IF(K80=2,"A+",IF(K80=1,"A",IF(K80=0,"B+",IF(K80=-1,"B",IF(K80=-2,"C+",IF(K80=-3,"C","D")))))))))</x:f>
      </x:c>
      <x:c r="M80" t="str">
        <x:f>IF(B80="","",IF(D80&gt;=25,"★★★★★",IF(D80&gt;=15,"★★★★",IF(D80&gt;=10,"★★★",IF(D80&gt;=6,"★★","★")))))</x:f>
      </x:c>
      <x:c r="N80" t="str">
        <x:f>IF(B80="","",TRUE)</x:f>
      </x:c>
      <x:c r="O80" t="str">
        <x:f>IF(B80="","",'Handicap Settings'!$B$4)</x:f>
      </x:c>
    </x:row>
    <x:row r="81">
      <x:c r="A81" t="inlineStr">
        <x:is>
          <x:t xml:space="preserve">FLPR-0080</x:t>
        </x:is>
      </x:c>
      <x:c r="C81" t="inlineStr">
        <x:is>
          <x:t xml:space="preserve">New / Manual</x:t>
        </x:is>
      </x:c>
      <x:c r="D81" t="n">
        <x:v>0</x:v>
      </x:c>
      <x:c r="E81" s="88" t="str">
        <x:f>IF(B81="","",'Handicap Settings'!$B$6)</x:f>
      </x:c>
      <x:c r="F81" t="str">
        <x:f>IF(B81="","",IF(D81&lt;'Handicap Settings'!$B$7,"Provisional","Established"))</x:f>
      </x:c>
      <x:c r="G81" s="126" t="str">
        <x:f>IF(B81="","",MIN(1,0.65+0.35*D81/(D81+8)))</x:f>
      </x:c>
      <x:c r="H81" s="100" t="str">
        <x:f>IF(B81="","",IF(E81&gt;=75,4,IF(E81&gt;=70,3,IF(E81&gt;=65,2,IF(E81&gt;=60,1,IF(E81&gt;=55,0,IF(E81&gt;=50,-1,IF(E81&gt;=45,-2,IF(E81&gt;=40,-3,-4)))))))))</x:f>
      </x:c>
      <x:c r="I81" s="100" t="str">
        <x:f>IF(B81="","",H81)</x:f>
      </x:c>
      <x:c r="J81" s="100" t="str">
        <x:f>IF(B81="","",'Handicap Settings'!$B$8)</x:f>
      </x:c>
      <x:c r="K81" s="100" t="str">
        <x:f>IF(B81="","",MAX(I81-J81,MIN(I81+J81,H81)))</x:f>
      </x:c>
      <x:c r="L81" t="str">
        <x:f>IF(B81="","",IF(K81=4,"Elite+",IF(K81=3,"Elite",IF(K81=2,"A+",IF(K81=1,"A",IF(K81=0,"B+",IF(K81=-1,"B",IF(K81=-2,"C+",IF(K81=-3,"C","D")))))))))</x:f>
      </x:c>
      <x:c r="M81" t="str">
        <x:f>IF(B81="","",IF(D81&gt;=25,"★★★★★",IF(D81&gt;=15,"★★★★",IF(D81&gt;=10,"★★★",IF(D81&gt;=6,"★★","★")))))</x:f>
      </x:c>
      <x:c r="N81" t="str">
        <x:f>IF(B81="","",TRUE)</x:f>
      </x:c>
      <x:c r="O81" t="str">
        <x:f>IF(B81="","",'Handicap Settings'!$B$4)</x:f>
      </x:c>
    </x:row>
    <x:row r="82">
      <x:c r="A82" t="inlineStr">
        <x:is>
          <x:t xml:space="preserve">FLPR-0081</x:t>
        </x:is>
      </x:c>
      <x:c r="C82" t="inlineStr">
        <x:is>
          <x:t xml:space="preserve">New / Manual</x:t>
        </x:is>
      </x:c>
      <x:c r="D82" t="n">
        <x:v>0</x:v>
      </x:c>
      <x:c r="E82" s="88" t="str">
        <x:f>IF(B82="","",'Handicap Settings'!$B$6)</x:f>
      </x:c>
      <x:c r="F82" t="str">
        <x:f>IF(B82="","",IF(D82&lt;'Handicap Settings'!$B$7,"Provisional","Established"))</x:f>
      </x:c>
      <x:c r="G82" s="126" t="str">
        <x:f>IF(B82="","",MIN(1,0.65+0.35*D82/(D82+8)))</x:f>
      </x:c>
      <x:c r="H82" s="100" t="str">
        <x:f>IF(B82="","",IF(E82&gt;=75,4,IF(E82&gt;=70,3,IF(E82&gt;=65,2,IF(E82&gt;=60,1,IF(E82&gt;=55,0,IF(E82&gt;=50,-1,IF(E82&gt;=45,-2,IF(E82&gt;=40,-3,-4)))))))))</x:f>
      </x:c>
      <x:c r="I82" s="100" t="str">
        <x:f>IF(B82="","",H82)</x:f>
      </x:c>
      <x:c r="J82" s="100" t="str">
        <x:f>IF(B82="","",'Handicap Settings'!$B$8)</x:f>
      </x:c>
      <x:c r="K82" s="100" t="str">
        <x:f>IF(B82="","",MAX(I82-J82,MIN(I82+J82,H82)))</x:f>
      </x:c>
      <x:c r="L82" t="str">
        <x:f>IF(B82="","",IF(K82=4,"Elite+",IF(K82=3,"Elite",IF(K82=2,"A+",IF(K82=1,"A",IF(K82=0,"B+",IF(K82=-1,"B",IF(K82=-2,"C+",IF(K82=-3,"C","D")))))))))</x:f>
      </x:c>
      <x:c r="M82" t="str">
        <x:f>IF(B82="","",IF(D82&gt;=25,"★★★★★",IF(D82&gt;=15,"★★★★",IF(D82&gt;=10,"★★★",IF(D82&gt;=6,"★★","★")))))</x:f>
      </x:c>
      <x:c r="N82" t="str">
        <x:f>IF(B82="","",TRUE)</x:f>
      </x:c>
      <x:c r="O82" t="str">
        <x:f>IF(B82="","",'Handicap Settings'!$B$4)</x:f>
      </x:c>
    </x:row>
    <x:row r="83">
      <x:c r="A83" t="inlineStr">
        <x:is>
          <x:t xml:space="preserve">FLPR-0082</x:t>
        </x:is>
      </x:c>
      <x:c r="C83" t="inlineStr">
        <x:is>
          <x:t xml:space="preserve">New / Manual</x:t>
        </x:is>
      </x:c>
      <x:c r="D83" t="n">
        <x:v>0</x:v>
      </x:c>
      <x:c r="E83" s="88" t="str">
        <x:f>IF(B83="","",'Handicap Settings'!$B$6)</x:f>
      </x:c>
      <x:c r="F83" t="str">
        <x:f>IF(B83="","",IF(D83&lt;'Handicap Settings'!$B$7,"Provisional","Established"))</x:f>
      </x:c>
      <x:c r="G83" s="126" t="str">
        <x:f>IF(B83="","",MIN(1,0.65+0.35*D83/(D83+8)))</x:f>
      </x:c>
      <x:c r="H83" s="100" t="str">
        <x:f>IF(B83="","",IF(E83&gt;=75,4,IF(E83&gt;=70,3,IF(E83&gt;=65,2,IF(E83&gt;=60,1,IF(E83&gt;=55,0,IF(E83&gt;=50,-1,IF(E83&gt;=45,-2,IF(E83&gt;=40,-3,-4)))))))))</x:f>
      </x:c>
      <x:c r="I83" s="100" t="str">
        <x:f>IF(B83="","",H83)</x:f>
      </x:c>
      <x:c r="J83" s="100" t="str">
        <x:f>IF(B83="","",'Handicap Settings'!$B$8)</x:f>
      </x:c>
      <x:c r="K83" s="100" t="str">
        <x:f>IF(B83="","",MAX(I83-J83,MIN(I83+J83,H83)))</x:f>
      </x:c>
      <x:c r="L83" t="str">
        <x:f>IF(B83="","",IF(K83=4,"Elite+",IF(K83=3,"Elite",IF(K83=2,"A+",IF(K83=1,"A",IF(K83=0,"B+",IF(K83=-1,"B",IF(K83=-2,"C+",IF(K83=-3,"C","D")))))))))</x:f>
      </x:c>
      <x:c r="M83" t="str">
        <x:f>IF(B83="","",IF(D83&gt;=25,"★★★★★",IF(D83&gt;=15,"★★★★",IF(D83&gt;=10,"★★★",IF(D83&gt;=6,"★★","★")))))</x:f>
      </x:c>
      <x:c r="N83" t="str">
        <x:f>IF(B83="","",TRUE)</x:f>
      </x:c>
      <x:c r="O83" t="str">
        <x:f>IF(B83="","",'Handicap Settings'!$B$4)</x:f>
      </x:c>
    </x:row>
    <x:row r="84">
      <x:c r="A84" t="inlineStr">
        <x:is>
          <x:t xml:space="preserve">FLPR-0083</x:t>
        </x:is>
      </x:c>
      <x:c r="C84" t="inlineStr">
        <x:is>
          <x:t xml:space="preserve">New / Manual</x:t>
        </x:is>
      </x:c>
      <x:c r="D84" t="n">
        <x:v>0</x:v>
      </x:c>
      <x:c r="E84" s="88" t="str">
        <x:f>IF(B84="","",'Handicap Settings'!$B$6)</x:f>
      </x:c>
      <x:c r="F84" t="str">
        <x:f>IF(B84="","",IF(D84&lt;'Handicap Settings'!$B$7,"Provisional","Established"))</x:f>
      </x:c>
      <x:c r="G84" s="126" t="str">
        <x:f>IF(B84="","",MIN(1,0.65+0.35*D84/(D84+8)))</x:f>
      </x:c>
      <x:c r="H84" s="100" t="str">
        <x:f>IF(B84="","",IF(E84&gt;=75,4,IF(E84&gt;=70,3,IF(E84&gt;=65,2,IF(E84&gt;=60,1,IF(E84&gt;=55,0,IF(E84&gt;=50,-1,IF(E84&gt;=45,-2,IF(E84&gt;=40,-3,-4)))))))))</x:f>
      </x:c>
      <x:c r="I84" s="100" t="str">
        <x:f>IF(B84="","",H84)</x:f>
      </x:c>
      <x:c r="J84" s="100" t="str">
        <x:f>IF(B84="","",'Handicap Settings'!$B$8)</x:f>
      </x:c>
      <x:c r="K84" s="100" t="str">
        <x:f>IF(B84="","",MAX(I84-J84,MIN(I84+J84,H84)))</x:f>
      </x:c>
      <x:c r="L84" t="str">
        <x:f>IF(B84="","",IF(K84=4,"Elite+",IF(K84=3,"Elite",IF(K84=2,"A+",IF(K84=1,"A",IF(K84=0,"B+",IF(K84=-1,"B",IF(K84=-2,"C+",IF(K84=-3,"C","D")))))))))</x:f>
      </x:c>
      <x:c r="M84" t="str">
        <x:f>IF(B84="","",IF(D84&gt;=25,"★★★★★",IF(D84&gt;=15,"★★★★",IF(D84&gt;=10,"★★★",IF(D84&gt;=6,"★★","★")))))</x:f>
      </x:c>
      <x:c r="N84" t="str">
        <x:f>IF(B84="","",TRUE)</x:f>
      </x:c>
      <x:c r="O84" t="str">
        <x:f>IF(B84="","",'Handicap Settings'!$B$4)</x:f>
      </x:c>
    </x:row>
    <x:row r="85">
      <x:c r="A85" t="inlineStr">
        <x:is>
          <x:t xml:space="preserve">FLPR-0084</x:t>
        </x:is>
      </x:c>
      <x:c r="C85" t="inlineStr">
        <x:is>
          <x:t xml:space="preserve">New / Manual</x:t>
        </x:is>
      </x:c>
      <x:c r="D85" t="n">
        <x:v>0</x:v>
      </x:c>
      <x:c r="E85" s="88" t="str">
        <x:f>IF(B85="","",'Handicap Settings'!$B$6)</x:f>
      </x:c>
      <x:c r="F85" t="str">
        <x:f>IF(B85="","",IF(D85&lt;'Handicap Settings'!$B$7,"Provisional","Established"))</x:f>
      </x:c>
      <x:c r="G85" s="126" t="str">
        <x:f>IF(B85="","",MIN(1,0.65+0.35*D85/(D85+8)))</x:f>
      </x:c>
      <x:c r="H85" s="100" t="str">
        <x:f>IF(B85="","",IF(E85&gt;=75,4,IF(E85&gt;=70,3,IF(E85&gt;=65,2,IF(E85&gt;=60,1,IF(E85&gt;=55,0,IF(E85&gt;=50,-1,IF(E85&gt;=45,-2,IF(E85&gt;=40,-3,-4)))))))))</x:f>
      </x:c>
      <x:c r="I85" s="100" t="str">
        <x:f>IF(B85="","",H85)</x:f>
      </x:c>
      <x:c r="J85" s="100" t="str">
        <x:f>IF(B85="","",'Handicap Settings'!$B$8)</x:f>
      </x:c>
      <x:c r="K85" s="100" t="str">
        <x:f>IF(B85="","",MAX(I85-J85,MIN(I85+J85,H85)))</x:f>
      </x:c>
      <x:c r="L85" t="str">
        <x:f>IF(B85="","",IF(K85=4,"Elite+",IF(K85=3,"Elite",IF(K85=2,"A+",IF(K85=1,"A",IF(K85=0,"B+",IF(K85=-1,"B",IF(K85=-2,"C+",IF(K85=-3,"C","D")))))))))</x:f>
      </x:c>
      <x:c r="M85" t="str">
        <x:f>IF(B85="","",IF(D85&gt;=25,"★★★★★",IF(D85&gt;=15,"★★★★",IF(D85&gt;=10,"★★★",IF(D85&gt;=6,"★★","★")))))</x:f>
      </x:c>
      <x:c r="N85" t="str">
        <x:f>IF(B85="","",TRUE)</x:f>
      </x:c>
      <x:c r="O85" t="str">
        <x:f>IF(B85="","",'Handicap Settings'!$B$4)</x:f>
      </x:c>
    </x:row>
    <x:row r="86">
      <x:c r="A86" t="inlineStr">
        <x:is>
          <x:t xml:space="preserve">FLPR-0085</x:t>
        </x:is>
      </x:c>
      <x:c r="C86" t="inlineStr">
        <x:is>
          <x:t xml:space="preserve">New / Manual</x:t>
        </x:is>
      </x:c>
      <x:c r="D86" t="n">
        <x:v>0</x:v>
      </x:c>
      <x:c r="E86" s="88" t="str">
        <x:f>IF(B86="","",'Handicap Settings'!$B$6)</x:f>
      </x:c>
      <x:c r="F86" t="str">
        <x:f>IF(B86="","",IF(D86&lt;'Handicap Settings'!$B$7,"Provisional","Established"))</x:f>
      </x:c>
      <x:c r="G86" s="126" t="str">
        <x:f>IF(B86="","",MIN(1,0.65+0.35*D86/(D86+8)))</x:f>
      </x:c>
      <x:c r="H86" s="100" t="str">
        <x:f>IF(B86="","",IF(E86&gt;=75,4,IF(E86&gt;=70,3,IF(E86&gt;=65,2,IF(E86&gt;=60,1,IF(E86&gt;=55,0,IF(E86&gt;=50,-1,IF(E86&gt;=45,-2,IF(E86&gt;=40,-3,-4)))))))))</x:f>
      </x:c>
      <x:c r="I86" s="100" t="str">
        <x:f>IF(B86="","",H86)</x:f>
      </x:c>
      <x:c r="J86" s="100" t="str">
        <x:f>IF(B86="","",'Handicap Settings'!$B$8)</x:f>
      </x:c>
      <x:c r="K86" s="100" t="str">
        <x:f>IF(B86="","",MAX(I86-J86,MIN(I86+J86,H86)))</x:f>
      </x:c>
      <x:c r="L86" t="str">
        <x:f>IF(B86="","",IF(K86=4,"Elite+",IF(K86=3,"Elite",IF(K86=2,"A+",IF(K86=1,"A",IF(K86=0,"B+",IF(K86=-1,"B",IF(K86=-2,"C+",IF(K86=-3,"C","D")))))))))</x:f>
      </x:c>
      <x:c r="M86" t="str">
        <x:f>IF(B86="","",IF(D86&gt;=25,"★★★★★",IF(D86&gt;=15,"★★★★",IF(D86&gt;=10,"★★★",IF(D86&gt;=6,"★★","★")))))</x:f>
      </x:c>
      <x:c r="N86" t="str">
        <x:f>IF(B86="","",TRUE)</x:f>
      </x:c>
      <x:c r="O86" t="str">
        <x:f>IF(B86="","",'Handicap Settings'!$B$4)</x:f>
      </x:c>
    </x:row>
    <x:row r="87">
      <x:c r="A87" t="inlineStr">
        <x:is>
          <x:t xml:space="preserve">FLPR-0086</x:t>
        </x:is>
      </x:c>
      <x:c r="C87" t="inlineStr">
        <x:is>
          <x:t xml:space="preserve">New / Manual</x:t>
        </x:is>
      </x:c>
      <x:c r="D87" t="n">
        <x:v>0</x:v>
      </x:c>
      <x:c r="E87" s="88" t="str">
        <x:f>IF(B87="","",'Handicap Settings'!$B$6)</x:f>
      </x:c>
      <x:c r="F87" t="str">
        <x:f>IF(B87="","",IF(D87&lt;'Handicap Settings'!$B$7,"Provisional","Established"))</x:f>
      </x:c>
      <x:c r="G87" s="126" t="str">
        <x:f>IF(B87="","",MIN(1,0.65+0.35*D87/(D87+8)))</x:f>
      </x:c>
      <x:c r="H87" s="100" t="str">
        <x:f>IF(B87="","",IF(E87&gt;=75,4,IF(E87&gt;=70,3,IF(E87&gt;=65,2,IF(E87&gt;=60,1,IF(E87&gt;=55,0,IF(E87&gt;=50,-1,IF(E87&gt;=45,-2,IF(E87&gt;=40,-3,-4)))))))))</x:f>
      </x:c>
      <x:c r="I87" s="100" t="str">
        <x:f>IF(B87="","",H87)</x:f>
      </x:c>
      <x:c r="J87" s="100" t="str">
        <x:f>IF(B87="","",'Handicap Settings'!$B$8)</x:f>
      </x:c>
      <x:c r="K87" s="100" t="str">
        <x:f>IF(B87="","",MAX(I87-J87,MIN(I87+J87,H87)))</x:f>
      </x:c>
      <x:c r="L87" t="str">
        <x:f>IF(B87="","",IF(K87=4,"Elite+",IF(K87=3,"Elite",IF(K87=2,"A+",IF(K87=1,"A",IF(K87=0,"B+",IF(K87=-1,"B",IF(K87=-2,"C+",IF(K87=-3,"C","D")))))))))</x:f>
      </x:c>
      <x:c r="M87" t="str">
        <x:f>IF(B87="","",IF(D87&gt;=25,"★★★★★",IF(D87&gt;=15,"★★★★",IF(D87&gt;=10,"★★★",IF(D87&gt;=6,"★★","★")))))</x:f>
      </x:c>
      <x:c r="N87" t="str">
        <x:f>IF(B87="","",TRUE)</x:f>
      </x:c>
      <x:c r="O87" t="str">
        <x:f>IF(B87="","",'Handicap Settings'!$B$4)</x:f>
      </x:c>
    </x:row>
    <x:row r="88">
      <x:c r="A88" t="inlineStr">
        <x:is>
          <x:t xml:space="preserve">FLPR-0087</x:t>
        </x:is>
      </x:c>
      <x:c r="C88" t="inlineStr">
        <x:is>
          <x:t xml:space="preserve">New / Manual</x:t>
        </x:is>
      </x:c>
      <x:c r="D88" t="n">
        <x:v>0</x:v>
      </x:c>
      <x:c r="E88" s="88" t="str">
        <x:f>IF(B88="","",'Handicap Settings'!$B$6)</x:f>
      </x:c>
      <x:c r="F88" t="str">
        <x:f>IF(B88="","",IF(D88&lt;'Handicap Settings'!$B$7,"Provisional","Established"))</x:f>
      </x:c>
      <x:c r="G88" s="126" t="str">
        <x:f>IF(B88="","",MIN(1,0.65+0.35*D88/(D88+8)))</x:f>
      </x:c>
      <x:c r="H88" s="100" t="str">
        <x:f>IF(B88="","",IF(E88&gt;=75,4,IF(E88&gt;=70,3,IF(E88&gt;=65,2,IF(E88&gt;=60,1,IF(E88&gt;=55,0,IF(E88&gt;=50,-1,IF(E88&gt;=45,-2,IF(E88&gt;=40,-3,-4)))))))))</x:f>
      </x:c>
      <x:c r="I88" s="100" t="str">
        <x:f>IF(B88="","",H88)</x:f>
      </x:c>
      <x:c r="J88" s="100" t="str">
        <x:f>IF(B88="","",'Handicap Settings'!$B$8)</x:f>
      </x:c>
      <x:c r="K88" s="100" t="str">
        <x:f>IF(B88="","",MAX(I88-J88,MIN(I88+J88,H88)))</x:f>
      </x:c>
      <x:c r="L88" t="str">
        <x:f>IF(B88="","",IF(K88=4,"Elite+",IF(K88=3,"Elite",IF(K88=2,"A+",IF(K88=1,"A",IF(K88=0,"B+",IF(K88=-1,"B",IF(K88=-2,"C+",IF(K88=-3,"C","D")))))))))</x:f>
      </x:c>
      <x:c r="M88" t="str">
        <x:f>IF(B88="","",IF(D88&gt;=25,"★★★★★",IF(D88&gt;=15,"★★★★",IF(D88&gt;=10,"★★★",IF(D88&gt;=6,"★★","★")))))</x:f>
      </x:c>
      <x:c r="N88" t="str">
        <x:f>IF(B88="","",TRUE)</x:f>
      </x:c>
      <x:c r="O88" t="str">
        <x:f>IF(B88="","",'Handicap Settings'!$B$4)</x:f>
      </x:c>
    </x:row>
    <x:row r="89">
      <x:c r="A89" t="inlineStr">
        <x:is>
          <x:t xml:space="preserve">FLPR-0088</x:t>
        </x:is>
      </x:c>
      <x:c r="C89" t="inlineStr">
        <x:is>
          <x:t xml:space="preserve">New / Manual</x:t>
        </x:is>
      </x:c>
      <x:c r="D89" t="n">
        <x:v>0</x:v>
      </x:c>
      <x:c r="E89" s="88" t="str">
        <x:f>IF(B89="","",'Handicap Settings'!$B$6)</x:f>
      </x:c>
      <x:c r="F89" t="str">
        <x:f>IF(B89="","",IF(D89&lt;'Handicap Settings'!$B$7,"Provisional","Established"))</x:f>
      </x:c>
      <x:c r="G89" s="126" t="str">
        <x:f>IF(B89="","",MIN(1,0.65+0.35*D89/(D89+8)))</x:f>
      </x:c>
      <x:c r="H89" s="100" t="str">
        <x:f>IF(B89="","",IF(E89&gt;=75,4,IF(E89&gt;=70,3,IF(E89&gt;=65,2,IF(E89&gt;=60,1,IF(E89&gt;=55,0,IF(E89&gt;=50,-1,IF(E89&gt;=45,-2,IF(E89&gt;=40,-3,-4)))))))))</x:f>
      </x:c>
      <x:c r="I89" s="100" t="str">
        <x:f>IF(B89="","",H89)</x:f>
      </x:c>
      <x:c r="J89" s="100" t="str">
        <x:f>IF(B89="","",'Handicap Settings'!$B$8)</x:f>
      </x:c>
      <x:c r="K89" s="100" t="str">
        <x:f>IF(B89="","",MAX(I89-J89,MIN(I89+J89,H89)))</x:f>
      </x:c>
      <x:c r="L89" t="str">
        <x:f>IF(B89="","",IF(K89=4,"Elite+",IF(K89=3,"Elite",IF(K89=2,"A+",IF(K89=1,"A",IF(K89=0,"B+",IF(K89=-1,"B",IF(K89=-2,"C+",IF(K89=-3,"C","D")))))))))</x:f>
      </x:c>
      <x:c r="M89" t="str">
        <x:f>IF(B89="","",IF(D89&gt;=25,"★★★★★",IF(D89&gt;=15,"★★★★",IF(D89&gt;=10,"★★★",IF(D89&gt;=6,"★★","★")))))</x:f>
      </x:c>
      <x:c r="N89" t="str">
        <x:f>IF(B89="","",TRUE)</x:f>
      </x:c>
      <x:c r="O89" t="str">
        <x:f>IF(B89="","",'Handicap Settings'!$B$4)</x:f>
      </x:c>
    </x:row>
    <x:row r="90">
      <x:c r="A90" t="inlineStr">
        <x:is>
          <x:t xml:space="preserve">FLPR-0089</x:t>
        </x:is>
      </x:c>
      <x:c r="C90" t="inlineStr">
        <x:is>
          <x:t xml:space="preserve">New / Manual</x:t>
        </x:is>
      </x:c>
      <x:c r="D90" t="n">
        <x:v>0</x:v>
      </x:c>
      <x:c r="E90" s="88" t="str">
        <x:f>IF(B90="","",'Handicap Settings'!$B$6)</x:f>
      </x:c>
      <x:c r="F90" t="str">
        <x:f>IF(B90="","",IF(D90&lt;'Handicap Settings'!$B$7,"Provisional","Established"))</x:f>
      </x:c>
      <x:c r="G90" s="126" t="str">
        <x:f>IF(B90="","",MIN(1,0.65+0.35*D90/(D90+8)))</x:f>
      </x:c>
      <x:c r="H90" s="100" t="str">
        <x:f>IF(B90="","",IF(E90&gt;=75,4,IF(E90&gt;=70,3,IF(E90&gt;=65,2,IF(E90&gt;=60,1,IF(E90&gt;=55,0,IF(E90&gt;=50,-1,IF(E90&gt;=45,-2,IF(E90&gt;=40,-3,-4)))))))))</x:f>
      </x:c>
      <x:c r="I90" s="100" t="str">
        <x:f>IF(B90="","",H90)</x:f>
      </x:c>
      <x:c r="J90" s="100" t="str">
        <x:f>IF(B90="","",'Handicap Settings'!$B$8)</x:f>
      </x:c>
      <x:c r="K90" s="100" t="str">
        <x:f>IF(B90="","",MAX(I90-J90,MIN(I90+J90,H90)))</x:f>
      </x:c>
      <x:c r="L90" t="str">
        <x:f>IF(B90="","",IF(K90=4,"Elite+",IF(K90=3,"Elite",IF(K90=2,"A+",IF(K90=1,"A",IF(K90=0,"B+",IF(K90=-1,"B",IF(K90=-2,"C+",IF(K90=-3,"C","D")))))))))</x:f>
      </x:c>
      <x:c r="M90" t="str">
        <x:f>IF(B90="","",IF(D90&gt;=25,"★★★★★",IF(D90&gt;=15,"★★★★",IF(D90&gt;=10,"★★★",IF(D90&gt;=6,"★★","★")))))</x:f>
      </x:c>
      <x:c r="N90" t="str">
        <x:f>IF(B90="","",TRUE)</x:f>
      </x:c>
      <x:c r="O90" t="str">
        <x:f>IF(B90="","",'Handicap Settings'!$B$4)</x:f>
      </x:c>
    </x:row>
    <x:row r="91">
      <x:c r="A91" t="inlineStr">
        <x:is>
          <x:t xml:space="preserve">FLPR-0090</x:t>
        </x:is>
      </x:c>
      <x:c r="C91" t="inlineStr">
        <x:is>
          <x:t xml:space="preserve">New / Manual</x:t>
        </x:is>
      </x:c>
      <x:c r="D91" t="n">
        <x:v>0</x:v>
      </x:c>
      <x:c r="E91" s="88" t="str">
        <x:f>IF(B91="","",'Handicap Settings'!$B$6)</x:f>
      </x:c>
      <x:c r="F91" t="str">
        <x:f>IF(B91="","",IF(D91&lt;'Handicap Settings'!$B$7,"Provisional","Established"))</x:f>
      </x:c>
      <x:c r="G91" s="126" t="str">
        <x:f>IF(B91="","",MIN(1,0.65+0.35*D91/(D91+8)))</x:f>
      </x:c>
      <x:c r="H91" s="100" t="str">
        <x:f>IF(B91="","",IF(E91&gt;=75,4,IF(E91&gt;=70,3,IF(E91&gt;=65,2,IF(E91&gt;=60,1,IF(E91&gt;=55,0,IF(E91&gt;=50,-1,IF(E91&gt;=45,-2,IF(E91&gt;=40,-3,-4)))))))))</x:f>
      </x:c>
      <x:c r="I91" s="100" t="str">
        <x:f>IF(B91="","",H91)</x:f>
      </x:c>
      <x:c r="J91" s="100" t="str">
        <x:f>IF(B91="","",'Handicap Settings'!$B$8)</x:f>
      </x:c>
      <x:c r="K91" s="100" t="str">
        <x:f>IF(B91="","",MAX(I91-J91,MIN(I91+J91,H91)))</x:f>
      </x:c>
      <x:c r="L91" t="str">
        <x:f>IF(B91="","",IF(K91=4,"Elite+",IF(K91=3,"Elite",IF(K91=2,"A+",IF(K91=1,"A",IF(K91=0,"B+",IF(K91=-1,"B",IF(K91=-2,"C+",IF(K91=-3,"C","D")))))))))</x:f>
      </x:c>
      <x:c r="M91" t="str">
        <x:f>IF(B91="","",IF(D91&gt;=25,"★★★★★",IF(D91&gt;=15,"★★★★",IF(D91&gt;=10,"★★★",IF(D91&gt;=6,"★★","★")))))</x:f>
      </x:c>
      <x:c r="N91" t="str">
        <x:f>IF(B91="","",TRUE)</x:f>
      </x:c>
      <x:c r="O91" t="str">
        <x:f>IF(B91="","",'Handicap Settings'!$B$4)</x:f>
      </x:c>
    </x:row>
    <x:row r="92">
      <x:c r="A92" t="inlineStr">
        <x:is>
          <x:t xml:space="preserve">FLPR-0091</x:t>
        </x:is>
      </x:c>
      <x:c r="C92" t="inlineStr">
        <x:is>
          <x:t xml:space="preserve">New / Manual</x:t>
        </x:is>
      </x:c>
      <x:c r="D92" t="n">
        <x:v>0</x:v>
      </x:c>
      <x:c r="E92" s="88" t="str">
        <x:f>IF(B92="","",'Handicap Settings'!$B$6)</x:f>
      </x:c>
      <x:c r="F92" t="str">
        <x:f>IF(B92="","",IF(D92&lt;'Handicap Settings'!$B$7,"Provisional","Established"))</x:f>
      </x:c>
      <x:c r="G92" s="126" t="str">
        <x:f>IF(B92="","",MIN(1,0.65+0.35*D92/(D92+8)))</x:f>
      </x:c>
      <x:c r="H92" s="100" t="str">
        <x:f>IF(B92="","",IF(E92&gt;=75,4,IF(E92&gt;=70,3,IF(E92&gt;=65,2,IF(E92&gt;=60,1,IF(E92&gt;=55,0,IF(E92&gt;=50,-1,IF(E92&gt;=45,-2,IF(E92&gt;=40,-3,-4)))))))))</x:f>
      </x:c>
      <x:c r="I92" s="100" t="str">
        <x:f>IF(B92="","",H92)</x:f>
      </x:c>
      <x:c r="J92" s="100" t="str">
        <x:f>IF(B92="","",'Handicap Settings'!$B$8)</x:f>
      </x:c>
      <x:c r="K92" s="100" t="str">
        <x:f>IF(B92="","",MAX(I92-J92,MIN(I92+J92,H92)))</x:f>
      </x:c>
      <x:c r="L92" t="str">
        <x:f>IF(B92="","",IF(K92=4,"Elite+",IF(K92=3,"Elite",IF(K92=2,"A+",IF(K92=1,"A",IF(K92=0,"B+",IF(K92=-1,"B",IF(K92=-2,"C+",IF(K92=-3,"C","D")))))))))</x:f>
      </x:c>
      <x:c r="M92" t="str">
        <x:f>IF(B92="","",IF(D92&gt;=25,"★★★★★",IF(D92&gt;=15,"★★★★",IF(D92&gt;=10,"★★★",IF(D92&gt;=6,"★★","★")))))</x:f>
      </x:c>
      <x:c r="N92" t="str">
        <x:f>IF(B92="","",TRUE)</x:f>
      </x:c>
      <x:c r="O92" t="str">
        <x:f>IF(B92="","",'Handicap Settings'!$B$4)</x:f>
      </x:c>
    </x:row>
    <x:row r="93">
      <x:c r="A93" t="inlineStr">
        <x:is>
          <x:t xml:space="preserve">FLPR-0092</x:t>
        </x:is>
      </x:c>
      <x:c r="C93" t="inlineStr">
        <x:is>
          <x:t xml:space="preserve">New / Manual</x:t>
        </x:is>
      </x:c>
      <x:c r="D93" t="n">
        <x:v>0</x:v>
      </x:c>
      <x:c r="E93" s="88" t="str">
        <x:f>IF(B93="","",'Handicap Settings'!$B$6)</x:f>
      </x:c>
      <x:c r="F93" t="str">
        <x:f>IF(B93="","",IF(D93&lt;'Handicap Settings'!$B$7,"Provisional","Established"))</x:f>
      </x:c>
      <x:c r="G93" s="126" t="str">
        <x:f>IF(B93="","",MIN(1,0.65+0.35*D93/(D93+8)))</x:f>
      </x:c>
      <x:c r="H93" s="100" t="str">
        <x:f>IF(B93="","",IF(E93&gt;=75,4,IF(E93&gt;=70,3,IF(E93&gt;=65,2,IF(E93&gt;=60,1,IF(E93&gt;=55,0,IF(E93&gt;=50,-1,IF(E93&gt;=45,-2,IF(E93&gt;=40,-3,-4)))))))))</x:f>
      </x:c>
      <x:c r="I93" s="100" t="str">
        <x:f>IF(B93="","",H93)</x:f>
      </x:c>
      <x:c r="J93" s="100" t="str">
        <x:f>IF(B93="","",'Handicap Settings'!$B$8)</x:f>
      </x:c>
      <x:c r="K93" s="100" t="str">
        <x:f>IF(B93="","",MAX(I93-J93,MIN(I93+J93,H93)))</x:f>
      </x:c>
      <x:c r="L93" t="str">
        <x:f>IF(B93="","",IF(K93=4,"Elite+",IF(K93=3,"Elite",IF(K93=2,"A+",IF(K93=1,"A",IF(K93=0,"B+",IF(K93=-1,"B",IF(K93=-2,"C+",IF(K93=-3,"C","D")))))))))</x:f>
      </x:c>
      <x:c r="M93" t="str">
        <x:f>IF(B93="","",IF(D93&gt;=25,"★★★★★",IF(D93&gt;=15,"★★★★",IF(D93&gt;=10,"★★★",IF(D93&gt;=6,"★★","★")))))</x:f>
      </x:c>
      <x:c r="N93" t="str">
        <x:f>IF(B93="","",TRUE)</x:f>
      </x:c>
      <x:c r="O93" t="str">
        <x:f>IF(B93="","",'Handicap Settings'!$B$4)</x:f>
      </x:c>
    </x:row>
    <x:row r="94">
      <x:c r="A94" t="inlineStr">
        <x:is>
          <x:t xml:space="preserve">FLPR-0093</x:t>
        </x:is>
      </x:c>
      <x:c r="C94" t="inlineStr">
        <x:is>
          <x:t xml:space="preserve">New / Manual</x:t>
        </x:is>
      </x:c>
      <x:c r="D94" t="n">
        <x:v>0</x:v>
      </x:c>
      <x:c r="E94" s="88" t="str">
        <x:f>IF(B94="","",'Handicap Settings'!$B$6)</x:f>
      </x:c>
      <x:c r="F94" t="str">
        <x:f>IF(B94="","",IF(D94&lt;'Handicap Settings'!$B$7,"Provisional","Established"))</x:f>
      </x:c>
      <x:c r="G94" s="126" t="str">
        <x:f>IF(B94="","",MIN(1,0.65+0.35*D94/(D94+8)))</x:f>
      </x:c>
      <x:c r="H94" s="100" t="str">
        <x:f>IF(B94="","",IF(E94&gt;=75,4,IF(E94&gt;=70,3,IF(E94&gt;=65,2,IF(E94&gt;=60,1,IF(E94&gt;=55,0,IF(E94&gt;=50,-1,IF(E94&gt;=45,-2,IF(E94&gt;=40,-3,-4)))))))))</x:f>
      </x:c>
      <x:c r="I94" s="100" t="str">
        <x:f>IF(B94="","",H94)</x:f>
      </x:c>
      <x:c r="J94" s="100" t="str">
        <x:f>IF(B94="","",'Handicap Settings'!$B$8)</x:f>
      </x:c>
      <x:c r="K94" s="100" t="str">
        <x:f>IF(B94="","",MAX(I94-J94,MIN(I94+J94,H94)))</x:f>
      </x:c>
      <x:c r="L94" t="str">
        <x:f>IF(B94="","",IF(K94=4,"Elite+",IF(K94=3,"Elite",IF(K94=2,"A+",IF(K94=1,"A",IF(K94=0,"B+",IF(K94=-1,"B",IF(K94=-2,"C+",IF(K94=-3,"C","D")))))))))</x:f>
      </x:c>
      <x:c r="M94" t="str">
        <x:f>IF(B94="","",IF(D94&gt;=25,"★★★★★",IF(D94&gt;=15,"★★★★",IF(D94&gt;=10,"★★★",IF(D94&gt;=6,"★★","★")))))</x:f>
      </x:c>
      <x:c r="N94" t="str">
        <x:f>IF(B94="","",TRUE)</x:f>
      </x:c>
      <x:c r="O94" t="str">
        <x:f>IF(B94="","",'Handicap Settings'!$B$4)</x:f>
      </x:c>
    </x:row>
    <x:row r="95">
      <x:c r="A95" t="inlineStr">
        <x:is>
          <x:t xml:space="preserve">FLPR-0094</x:t>
        </x:is>
      </x:c>
      <x:c r="C95" t="inlineStr">
        <x:is>
          <x:t xml:space="preserve">New / Manual</x:t>
        </x:is>
      </x:c>
      <x:c r="D95" t="n">
        <x:v>0</x:v>
      </x:c>
      <x:c r="E95" s="88" t="str">
        <x:f>IF(B95="","",'Handicap Settings'!$B$6)</x:f>
      </x:c>
      <x:c r="F95" t="str">
        <x:f>IF(B95="","",IF(D95&lt;'Handicap Settings'!$B$7,"Provisional","Established"))</x:f>
      </x:c>
      <x:c r="G95" s="126" t="str">
        <x:f>IF(B95="","",MIN(1,0.65+0.35*D95/(D95+8)))</x:f>
      </x:c>
      <x:c r="H95" s="100" t="str">
        <x:f>IF(B95="","",IF(E95&gt;=75,4,IF(E95&gt;=70,3,IF(E95&gt;=65,2,IF(E95&gt;=60,1,IF(E95&gt;=55,0,IF(E95&gt;=50,-1,IF(E95&gt;=45,-2,IF(E95&gt;=40,-3,-4)))))))))</x:f>
      </x:c>
      <x:c r="I95" s="100" t="str">
        <x:f>IF(B95="","",H95)</x:f>
      </x:c>
      <x:c r="J95" s="100" t="str">
        <x:f>IF(B95="","",'Handicap Settings'!$B$8)</x:f>
      </x:c>
      <x:c r="K95" s="100" t="str">
        <x:f>IF(B95="","",MAX(I95-J95,MIN(I95+J95,H95)))</x:f>
      </x:c>
      <x:c r="L95" t="str">
        <x:f>IF(B95="","",IF(K95=4,"Elite+",IF(K95=3,"Elite",IF(K95=2,"A+",IF(K95=1,"A",IF(K95=0,"B+",IF(K95=-1,"B",IF(K95=-2,"C+",IF(K95=-3,"C","D")))))))))</x:f>
      </x:c>
      <x:c r="M95" t="str">
        <x:f>IF(B95="","",IF(D95&gt;=25,"★★★★★",IF(D95&gt;=15,"★★★★",IF(D95&gt;=10,"★★★",IF(D95&gt;=6,"★★","★")))))</x:f>
      </x:c>
      <x:c r="N95" t="str">
        <x:f>IF(B95="","",TRUE)</x:f>
      </x:c>
      <x:c r="O95" t="str">
        <x:f>IF(B95="","",'Handicap Settings'!$B$4)</x:f>
      </x:c>
    </x:row>
    <x:row r="96">
      <x:c r="A96" t="inlineStr">
        <x:is>
          <x:t xml:space="preserve">FLPR-0095</x:t>
        </x:is>
      </x:c>
      <x:c r="C96" t="inlineStr">
        <x:is>
          <x:t xml:space="preserve">New / Manual</x:t>
        </x:is>
      </x:c>
      <x:c r="D96" t="n">
        <x:v>0</x:v>
      </x:c>
      <x:c r="E96" s="88" t="str">
        <x:f>IF(B96="","",'Handicap Settings'!$B$6)</x:f>
      </x:c>
      <x:c r="F96" t="str">
        <x:f>IF(B96="","",IF(D96&lt;'Handicap Settings'!$B$7,"Provisional","Established"))</x:f>
      </x:c>
      <x:c r="G96" s="126" t="str">
        <x:f>IF(B96="","",MIN(1,0.65+0.35*D96/(D96+8)))</x:f>
      </x:c>
      <x:c r="H96" s="100" t="str">
        <x:f>IF(B96="","",IF(E96&gt;=75,4,IF(E96&gt;=70,3,IF(E96&gt;=65,2,IF(E96&gt;=60,1,IF(E96&gt;=55,0,IF(E96&gt;=50,-1,IF(E96&gt;=45,-2,IF(E96&gt;=40,-3,-4)))))))))</x:f>
      </x:c>
      <x:c r="I96" s="100" t="str">
        <x:f>IF(B96="","",H96)</x:f>
      </x:c>
      <x:c r="J96" s="100" t="str">
        <x:f>IF(B96="","",'Handicap Settings'!$B$8)</x:f>
      </x:c>
      <x:c r="K96" s="100" t="str">
        <x:f>IF(B96="","",MAX(I96-J96,MIN(I96+J96,H96)))</x:f>
      </x:c>
      <x:c r="L96" t="str">
        <x:f>IF(B96="","",IF(K96=4,"Elite+",IF(K96=3,"Elite",IF(K96=2,"A+",IF(K96=1,"A",IF(K96=0,"B+",IF(K96=-1,"B",IF(K96=-2,"C+",IF(K96=-3,"C","D")))))))))</x:f>
      </x:c>
      <x:c r="M96" t="str">
        <x:f>IF(B96="","",IF(D96&gt;=25,"★★★★★",IF(D96&gt;=15,"★★★★",IF(D96&gt;=10,"★★★",IF(D96&gt;=6,"★★","★")))))</x:f>
      </x:c>
      <x:c r="N96" t="str">
        <x:f>IF(B96="","",TRUE)</x:f>
      </x:c>
      <x:c r="O96" t="str">
        <x:f>IF(B96="","",'Handicap Settings'!$B$4)</x:f>
      </x:c>
    </x:row>
    <x:row r="97">
      <x:c r="A97" t="inlineStr">
        <x:is>
          <x:t xml:space="preserve">FLPR-0096</x:t>
        </x:is>
      </x:c>
      <x:c r="C97" t="inlineStr">
        <x:is>
          <x:t xml:space="preserve">New / Manual</x:t>
        </x:is>
      </x:c>
      <x:c r="D97" t="n">
        <x:v>0</x:v>
      </x:c>
      <x:c r="E97" s="88" t="str">
        <x:f>IF(B97="","",'Handicap Settings'!$B$6)</x:f>
      </x:c>
      <x:c r="F97" t="str">
        <x:f>IF(B97="","",IF(D97&lt;'Handicap Settings'!$B$7,"Provisional","Established"))</x:f>
      </x:c>
      <x:c r="G97" s="126" t="str">
        <x:f>IF(B97="","",MIN(1,0.65+0.35*D97/(D97+8)))</x:f>
      </x:c>
      <x:c r="H97" s="100" t="str">
        <x:f>IF(B97="","",IF(E97&gt;=75,4,IF(E97&gt;=70,3,IF(E97&gt;=65,2,IF(E97&gt;=60,1,IF(E97&gt;=55,0,IF(E97&gt;=50,-1,IF(E97&gt;=45,-2,IF(E97&gt;=40,-3,-4)))))))))</x:f>
      </x:c>
      <x:c r="I97" s="100" t="str">
        <x:f>IF(B97="","",H97)</x:f>
      </x:c>
      <x:c r="J97" s="100" t="str">
        <x:f>IF(B97="","",'Handicap Settings'!$B$8)</x:f>
      </x:c>
      <x:c r="K97" s="100" t="str">
        <x:f>IF(B97="","",MAX(I97-J97,MIN(I97+J97,H97)))</x:f>
      </x:c>
      <x:c r="L97" t="str">
        <x:f>IF(B97="","",IF(K97=4,"Elite+",IF(K97=3,"Elite",IF(K97=2,"A+",IF(K97=1,"A",IF(K97=0,"B+",IF(K97=-1,"B",IF(K97=-2,"C+",IF(K97=-3,"C","D")))))))))</x:f>
      </x:c>
      <x:c r="M97" t="str">
        <x:f>IF(B97="","",IF(D97&gt;=25,"★★★★★",IF(D97&gt;=15,"★★★★",IF(D97&gt;=10,"★★★",IF(D97&gt;=6,"★★","★")))))</x:f>
      </x:c>
      <x:c r="N97" t="str">
        <x:f>IF(B97="","",TRUE)</x:f>
      </x:c>
      <x:c r="O97" t="str">
        <x:f>IF(B97="","",'Handicap Settings'!$B$4)</x:f>
      </x:c>
    </x:row>
    <x:row r="98">
      <x:c r="A98" t="inlineStr">
        <x:is>
          <x:t xml:space="preserve">FLPR-0097</x:t>
        </x:is>
      </x:c>
      <x:c r="C98" t="inlineStr">
        <x:is>
          <x:t xml:space="preserve">New / Manual</x:t>
        </x:is>
      </x:c>
      <x:c r="D98" t="n">
        <x:v>0</x:v>
      </x:c>
      <x:c r="E98" s="88" t="str">
        <x:f>IF(B98="","",'Handicap Settings'!$B$6)</x:f>
      </x:c>
      <x:c r="F98" t="str">
        <x:f>IF(B98="","",IF(D98&lt;'Handicap Settings'!$B$7,"Provisional","Established"))</x:f>
      </x:c>
      <x:c r="G98" s="126" t="str">
        <x:f>IF(B98="","",MIN(1,0.65+0.35*D98/(D98+8)))</x:f>
      </x:c>
      <x:c r="H98" s="100" t="str">
        <x:f>IF(B98="","",IF(E98&gt;=75,4,IF(E98&gt;=70,3,IF(E98&gt;=65,2,IF(E98&gt;=60,1,IF(E98&gt;=55,0,IF(E98&gt;=50,-1,IF(E98&gt;=45,-2,IF(E98&gt;=40,-3,-4)))))))))</x:f>
      </x:c>
      <x:c r="I98" s="100" t="str">
        <x:f>IF(B98="","",H98)</x:f>
      </x:c>
      <x:c r="J98" s="100" t="str">
        <x:f>IF(B98="","",'Handicap Settings'!$B$8)</x:f>
      </x:c>
      <x:c r="K98" s="100" t="str">
        <x:f>IF(B98="","",MAX(I98-J98,MIN(I98+J98,H98)))</x:f>
      </x:c>
      <x:c r="L98" t="str">
        <x:f>IF(B98="","",IF(K98=4,"Elite+",IF(K98=3,"Elite",IF(K98=2,"A+",IF(K98=1,"A",IF(K98=0,"B+",IF(K98=-1,"B",IF(K98=-2,"C+",IF(K98=-3,"C","D")))))))))</x:f>
      </x:c>
      <x:c r="M98" t="str">
        <x:f>IF(B98="","",IF(D98&gt;=25,"★★★★★",IF(D98&gt;=15,"★★★★",IF(D98&gt;=10,"★★★",IF(D98&gt;=6,"★★","★")))))</x:f>
      </x:c>
      <x:c r="N98" t="str">
        <x:f>IF(B98="","",TRUE)</x:f>
      </x:c>
      <x:c r="O98" t="str">
        <x:f>IF(B98="","",'Handicap Settings'!$B$4)</x:f>
      </x:c>
    </x:row>
    <x:row r="99">
      <x:c r="A99" t="inlineStr">
        <x:is>
          <x:t xml:space="preserve">FLPR-0098</x:t>
        </x:is>
      </x:c>
      <x:c r="C99" t="inlineStr">
        <x:is>
          <x:t xml:space="preserve">New / Manual</x:t>
        </x:is>
      </x:c>
      <x:c r="D99" t="n">
        <x:v>0</x:v>
      </x:c>
      <x:c r="E99" s="88" t="str">
        <x:f>IF(B99="","",'Handicap Settings'!$B$6)</x:f>
      </x:c>
      <x:c r="F99" t="str">
        <x:f>IF(B99="","",IF(D99&lt;'Handicap Settings'!$B$7,"Provisional","Established"))</x:f>
      </x:c>
      <x:c r="G99" s="126" t="str">
        <x:f>IF(B99="","",MIN(1,0.65+0.35*D99/(D99+8)))</x:f>
      </x:c>
      <x:c r="H99" s="100" t="str">
        <x:f>IF(B99="","",IF(E99&gt;=75,4,IF(E99&gt;=70,3,IF(E99&gt;=65,2,IF(E99&gt;=60,1,IF(E99&gt;=55,0,IF(E99&gt;=50,-1,IF(E99&gt;=45,-2,IF(E99&gt;=40,-3,-4)))))))))</x:f>
      </x:c>
      <x:c r="I99" s="100" t="str">
        <x:f>IF(B99="","",H99)</x:f>
      </x:c>
      <x:c r="J99" s="100" t="str">
        <x:f>IF(B99="","",'Handicap Settings'!$B$8)</x:f>
      </x:c>
      <x:c r="K99" s="100" t="str">
        <x:f>IF(B99="","",MAX(I99-J99,MIN(I99+J99,H99)))</x:f>
      </x:c>
      <x:c r="L99" t="str">
        <x:f>IF(B99="","",IF(K99=4,"Elite+",IF(K99=3,"Elite",IF(K99=2,"A+",IF(K99=1,"A",IF(K99=0,"B+",IF(K99=-1,"B",IF(K99=-2,"C+",IF(K99=-3,"C","D")))))))))</x:f>
      </x:c>
      <x:c r="M99" t="str">
        <x:f>IF(B99="","",IF(D99&gt;=25,"★★★★★",IF(D99&gt;=15,"★★★★",IF(D99&gt;=10,"★★★",IF(D99&gt;=6,"★★","★")))))</x:f>
      </x:c>
      <x:c r="N99" t="str">
        <x:f>IF(B99="","",TRUE)</x:f>
      </x:c>
      <x:c r="O99" t="str">
        <x:f>IF(B99="","",'Handicap Settings'!$B$4)</x:f>
      </x:c>
    </x:row>
    <x:row r="100">
      <x:c r="A100" t="inlineStr">
        <x:is>
          <x:t xml:space="preserve">FLPR-0099</x:t>
        </x:is>
      </x:c>
      <x:c r="C100" t="inlineStr">
        <x:is>
          <x:t xml:space="preserve">New / Manual</x:t>
        </x:is>
      </x:c>
      <x:c r="D100" t="n">
        <x:v>0</x:v>
      </x:c>
      <x:c r="E100" s="88" t="str">
        <x:f>IF(B100="","",'Handicap Settings'!$B$6)</x:f>
      </x:c>
      <x:c r="F100" t="str">
        <x:f>IF(B100="","",IF(D100&lt;'Handicap Settings'!$B$7,"Provisional","Established"))</x:f>
      </x:c>
      <x:c r="G100" s="126" t="str">
        <x:f>IF(B100="","",MIN(1,0.65+0.35*D100/(D100+8)))</x:f>
      </x:c>
      <x:c r="H100" s="100" t="str">
        <x:f>IF(B100="","",IF(E100&gt;=75,4,IF(E100&gt;=70,3,IF(E100&gt;=65,2,IF(E100&gt;=60,1,IF(E100&gt;=55,0,IF(E100&gt;=50,-1,IF(E100&gt;=45,-2,IF(E100&gt;=40,-3,-4)))))))))</x:f>
      </x:c>
      <x:c r="I100" s="100" t="str">
        <x:f>IF(B100="","",H100)</x:f>
      </x:c>
      <x:c r="J100" s="100" t="str">
        <x:f>IF(B100="","",'Handicap Settings'!$B$8)</x:f>
      </x:c>
      <x:c r="K100" s="100" t="str">
        <x:f>IF(B100="","",MAX(I100-J100,MIN(I100+J100,H100)))</x:f>
      </x:c>
      <x:c r="L100" t="str">
        <x:f>IF(B100="","",IF(K100=4,"Elite+",IF(K100=3,"Elite",IF(K100=2,"A+",IF(K100=1,"A",IF(K100=0,"B+",IF(K100=-1,"B",IF(K100=-2,"C+",IF(K100=-3,"C","D")))))))))</x:f>
      </x:c>
      <x:c r="M100" t="str">
        <x:f>IF(B100="","",IF(D100&gt;=25,"★★★★★",IF(D100&gt;=15,"★★★★",IF(D100&gt;=10,"★★★",IF(D100&gt;=6,"★★","★")))))</x:f>
      </x:c>
      <x:c r="N100" t="str">
        <x:f>IF(B100="","",TRUE)</x:f>
      </x:c>
      <x:c r="O100" t="str">
        <x:f>IF(B100="","",'Handicap Settings'!$B$4)</x:f>
      </x:c>
    </x:row>
    <x:row r="101">
      <x:c r="A101" t="inlineStr">
        <x:is>
          <x:t xml:space="preserve">FLPR-0100</x:t>
        </x:is>
      </x:c>
      <x:c r="C101" t="inlineStr">
        <x:is>
          <x:t xml:space="preserve">New / Manual</x:t>
        </x:is>
      </x:c>
      <x:c r="D101" t="n">
        <x:v>0</x:v>
      </x:c>
      <x:c r="E101" s="88" t="str">
        <x:f>IF(B101="","",'Handicap Settings'!$B$6)</x:f>
      </x:c>
      <x:c r="F101" t="str">
        <x:f>IF(B101="","",IF(D101&lt;'Handicap Settings'!$B$7,"Provisional","Established"))</x:f>
      </x:c>
      <x:c r="G101" s="126" t="str">
        <x:f>IF(B101="","",MIN(1,0.65+0.35*D101/(D101+8)))</x:f>
      </x:c>
      <x:c r="H101" s="100" t="str">
        <x:f>IF(B101="","",IF(E101&gt;=75,4,IF(E101&gt;=70,3,IF(E101&gt;=65,2,IF(E101&gt;=60,1,IF(E101&gt;=55,0,IF(E101&gt;=50,-1,IF(E101&gt;=45,-2,IF(E101&gt;=40,-3,-4)))))))))</x:f>
      </x:c>
      <x:c r="I101" s="100" t="str">
        <x:f>IF(B101="","",H101)</x:f>
      </x:c>
      <x:c r="J101" s="100" t="str">
        <x:f>IF(B101="","",'Handicap Settings'!$B$8)</x:f>
      </x:c>
      <x:c r="K101" s="100" t="str">
        <x:f>IF(B101="","",MAX(I101-J101,MIN(I101+J101,H101)))</x:f>
      </x:c>
      <x:c r="L101" t="str">
        <x:f>IF(B101="","",IF(K101=4,"Elite+",IF(K101=3,"Elite",IF(K101=2,"A+",IF(K101=1,"A",IF(K101=0,"B+",IF(K101=-1,"B",IF(K101=-2,"C+",IF(K101=-3,"C","D")))))))))</x:f>
      </x:c>
      <x:c r="M101" t="str">
        <x:f>IF(B101="","",IF(D101&gt;=25,"★★★★★",IF(D101&gt;=15,"★★★★",IF(D101&gt;=10,"★★★",IF(D101&gt;=6,"★★","★")))))</x:f>
      </x:c>
      <x:c r="N101" t="str">
        <x:f>IF(B101="","",TRUE)</x:f>
      </x:c>
      <x:c r="O101" t="str">
        <x:f>IF(B101="","",'Handicap Settings'!$B$4)</x:f>
      </x:c>
    </x:row>
    <x:row r="102">
      <x:c r="A102" t="inlineStr">
        <x:is>
          <x:t xml:space="preserve">FLPR-0101</x:t>
        </x:is>
      </x:c>
      <x:c r="C102" t="inlineStr">
        <x:is>
          <x:t xml:space="preserve">New / Manual</x:t>
        </x:is>
      </x:c>
      <x:c r="D102" t="n">
        <x:v>0</x:v>
      </x:c>
      <x:c r="E102" s="88" t="str">
        <x:f>IF(B102="","",'Handicap Settings'!$B$6)</x:f>
      </x:c>
      <x:c r="F102" t="str">
        <x:f>IF(B102="","",IF(D102&lt;'Handicap Settings'!$B$7,"Provisional","Established"))</x:f>
      </x:c>
      <x:c r="G102" s="126" t="str">
        <x:f>IF(B102="","",MIN(1,0.65+0.35*D102/(D102+8)))</x:f>
      </x:c>
      <x:c r="H102" s="100" t="str">
        <x:f>IF(B102="","",IF(E102&gt;=75,4,IF(E102&gt;=70,3,IF(E102&gt;=65,2,IF(E102&gt;=60,1,IF(E102&gt;=55,0,IF(E102&gt;=50,-1,IF(E102&gt;=45,-2,IF(E102&gt;=40,-3,-4)))))))))</x:f>
      </x:c>
      <x:c r="I102" s="100" t="str">
        <x:f>IF(B102="","",H102)</x:f>
      </x:c>
      <x:c r="J102" s="100" t="str">
        <x:f>IF(B102="","",'Handicap Settings'!$B$8)</x:f>
      </x:c>
      <x:c r="K102" s="100" t="str">
        <x:f>IF(B102="","",MAX(I102-J102,MIN(I102+J102,H102)))</x:f>
      </x:c>
      <x:c r="L102" t="str">
        <x:f>IF(B102="","",IF(K102=4,"Elite+",IF(K102=3,"Elite",IF(K102=2,"A+",IF(K102=1,"A",IF(K102=0,"B+",IF(K102=-1,"B",IF(K102=-2,"C+",IF(K102=-3,"C","D")))))))))</x:f>
      </x:c>
      <x:c r="M102" t="str">
        <x:f>IF(B102="","",IF(D102&gt;=25,"★★★★★",IF(D102&gt;=15,"★★★★",IF(D102&gt;=10,"★★★",IF(D102&gt;=6,"★★","★")))))</x:f>
      </x:c>
      <x:c r="N102" t="str">
        <x:f>IF(B102="","",TRUE)</x:f>
      </x:c>
      <x:c r="O102" t="str">
        <x:f>IF(B102="","",'Handicap Settings'!$B$4)</x:f>
      </x:c>
    </x:row>
    <x:row r="103">
      <x:c r="A103" t="inlineStr">
        <x:is>
          <x:t xml:space="preserve">FLPR-0102</x:t>
        </x:is>
      </x:c>
      <x:c r="C103" t="inlineStr">
        <x:is>
          <x:t xml:space="preserve">New / Manual</x:t>
        </x:is>
      </x:c>
      <x:c r="D103" t="n">
        <x:v>0</x:v>
      </x:c>
      <x:c r="E103" s="88" t="str">
        <x:f>IF(B103="","",'Handicap Settings'!$B$6)</x:f>
      </x:c>
      <x:c r="F103" t="str">
        <x:f>IF(B103="","",IF(D103&lt;'Handicap Settings'!$B$7,"Provisional","Established"))</x:f>
      </x:c>
      <x:c r="G103" s="126" t="str">
        <x:f>IF(B103="","",MIN(1,0.65+0.35*D103/(D103+8)))</x:f>
      </x:c>
      <x:c r="H103" s="100" t="str">
        <x:f>IF(B103="","",IF(E103&gt;=75,4,IF(E103&gt;=70,3,IF(E103&gt;=65,2,IF(E103&gt;=60,1,IF(E103&gt;=55,0,IF(E103&gt;=50,-1,IF(E103&gt;=45,-2,IF(E103&gt;=40,-3,-4)))))))))</x:f>
      </x:c>
      <x:c r="I103" s="100" t="str">
        <x:f>IF(B103="","",H103)</x:f>
      </x:c>
      <x:c r="J103" s="100" t="str">
        <x:f>IF(B103="","",'Handicap Settings'!$B$8)</x:f>
      </x:c>
      <x:c r="K103" s="100" t="str">
        <x:f>IF(B103="","",MAX(I103-J103,MIN(I103+J103,H103)))</x:f>
      </x:c>
      <x:c r="L103" t="str">
        <x:f>IF(B103="","",IF(K103=4,"Elite+",IF(K103=3,"Elite",IF(K103=2,"A+",IF(K103=1,"A",IF(K103=0,"B+",IF(K103=-1,"B",IF(K103=-2,"C+",IF(K103=-3,"C","D")))))))))</x:f>
      </x:c>
      <x:c r="M103" t="str">
        <x:f>IF(B103="","",IF(D103&gt;=25,"★★★★★",IF(D103&gt;=15,"★★★★",IF(D103&gt;=10,"★★★",IF(D103&gt;=6,"★★","★")))))</x:f>
      </x:c>
      <x:c r="N103" t="str">
        <x:f>IF(B103="","",TRUE)</x:f>
      </x:c>
      <x:c r="O103" t="str">
        <x:f>IF(B103="","",'Handicap Settings'!$B$4)</x:f>
      </x:c>
    </x:row>
    <x:row r="104">
      <x:c r="A104" t="inlineStr">
        <x:is>
          <x:t xml:space="preserve">FLPR-0103</x:t>
        </x:is>
      </x:c>
      <x:c r="C104" t="inlineStr">
        <x:is>
          <x:t xml:space="preserve">New / Manual</x:t>
        </x:is>
      </x:c>
      <x:c r="D104" t="n">
        <x:v>0</x:v>
      </x:c>
      <x:c r="E104" s="88" t="str">
        <x:f>IF(B104="","",'Handicap Settings'!$B$6)</x:f>
      </x:c>
      <x:c r="F104" t="str">
        <x:f>IF(B104="","",IF(D104&lt;'Handicap Settings'!$B$7,"Provisional","Established"))</x:f>
      </x:c>
      <x:c r="G104" s="126" t="str">
        <x:f>IF(B104="","",MIN(1,0.65+0.35*D104/(D104+8)))</x:f>
      </x:c>
      <x:c r="H104" s="100" t="str">
        <x:f>IF(B104="","",IF(E104&gt;=75,4,IF(E104&gt;=70,3,IF(E104&gt;=65,2,IF(E104&gt;=60,1,IF(E104&gt;=55,0,IF(E104&gt;=50,-1,IF(E104&gt;=45,-2,IF(E104&gt;=40,-3,-4)))))))))</x:f>
      </x:c>
      <x:c r="I104" s="100" t="str">
        <x:f>IF(B104="","",H104)</x:f>
      </x:c>
      <x:c r="J104" s="100" t="str">
        <x:f>IF(B104="","",'Handicap Settings'!$B$8)</x:f>
      </x:c>
      <x:c r="K104" s="100" t="str">
        <x:f>IF(B104="","",MAX(I104-J104,MIN(I104+J104,H104)))</x:f>
      </x:c>
      <x:c r="L104" t="str">
        <x:f>IF(B104="","",IF(K104=4,"Elite+",IF(K104=3,"Elite",IF(K104=2,"A+",IF(K104=1,"A",IF(K104=0,"B+",IF(K104=-1,"B",IF(K104=-2,"C+",IF(K104=-3,"C","D")))))))))</x:f>
      </x:c>
      <x:c r="M104" t="str">
        <x:f>IF(B104="","",IF(D104&gt;=25,"★★★★★",IF(D104&gt;=15,"★★★★",IF(D104&gt;=10,"★★★",IF(D104&gt;=6,"★★","★")))))</x:f>
      </x:c>
      <x:c r="N104" t="str">
        <x:f>IF(B104="","",TRUE)</x:f>
      </x:c>
      <x:c r="O104" t="str">
        <x:f>IF(B104="","",'Handicap Settings'!$B$4)</x:f>
      </x:c>
    </x:row>
    <x:row r="105">
      <x:c r="A105" t="inlineStr">
        <x:is>
          <x:t xml:space="preserve">FLPR-0104</x:t>
        </x:is>
      </x:c>
      <x:c r="C105" t="inlineStr">
        <x:is>
          <x:t xml:space="preserve">New / Manual</x:t>
        </x:is>
      </x:c>
      <x:c r="D105" t="n">
        <x:v>0</x:v>
      </x:c>
      <x:c r="E105" s="88" t="str">
        <x:f>IF(B105="","",'Handicap Settings'!$B$6)</x:f>
      </x:c>
      <x:c r="F105" t="str">
        <x:f>IF(B105="","",IF(D105&lt;'Handicap Settings'!$B$7,"Provisional","Established"))</x:f>
      </x:c>
      <x:c r="G105" s="126" t="str">
        <x:f>IF(B105="","",MIN(1,0.65+0.35*D105/(D105+8)))</x:f>
      </x:c>
      <x:c r="H105" s="100" t="str">
        <x:f>IF(B105="","",IF(E105&gt;=75,4,IF(E105&gt;=70,3,IF(E105&gt;=65,2,IF(E105&gt;=60,1,IF(E105&gt;=55,0,IF(E105&gt;=50,-1,IF(E105&gt;=45,-2,IF(E105&gt;=40,-3,-4)))))))))</x:f>
      </x:c>
      <x:c r="I105" s="100" t="str">
        <x:f>IF(B105="","",H105)</x:f>
      </x:c>
      <x:c r="J105" s="100" t="str">
        <x:f>IF(B105="","",'Handicap Settings'!$B$8)</x:f>
      </x:c>
      <x:c r="K105" s="100" t="str">
        <x:f>IF(B105="","",MAX(I105-J105,MIN(I105+J105,H105)))</x:f>
      </x:c>
      <x:c r="L105" t="str">
        <x:f>IF(B105="","",IF(K105=4,"Elite+",IF(K105=3,"Elite",IF(K105=2,"A+",IF(K105=1,"A",IF(K105=0,"B+",IF(K105=-1,"B",IF(K105=-2,"C+",IF(K105=-3,"C","D")))))))))</x:f>
      </x:c>
      <x:c r="M105" t="str">
        <x:f>IF(B105="","",IF(D105&gt;=25,"★★★★★",IF(D105&gt;=15,"★★★★",IF(D105&gt;=10,"★★★",IF(D105&gt;=6,"★★","★")))))</x:f>
      </x:c>
      <x:c r="N105" t="str">
        <x:f>IF(B105="","",TRUE)</x:f>
      </x:c>
      <x:c r="O105" t="str">
        <x:f>IF(B105="","",'Handicap Settings'!$B$4)</x:f>
      </x:c>
    </x:row>
    <x:row r="106">
      <x:c r="A106" t="inlineStr">
        <x:is>
          <x:t xml:space="preserve">FLPR-0105</x:t>
        </x:is>
      </x:c>
      <x:c r="C106" t="inlineStr">
        <x:is>
          <x:t xml:space="preserve">New / Manual</x:t>
        </x:is>
      </x:c>
      <x:c r="D106" t="n">
        <x:v>0</x:v>
      </x:c>
      <x:c r="E106" s="88" t="str">
        <x:f>IF(B106="","",'Handicap Settings'!$B$6)</x:f>
      </x:c>
      <x:c r="F106" t="str">
        <x:f>IF(B106="","",IF(D106&lt;'Handicap Settings'!$B$7,"Provisional","Established"))</x:f>
      </x:c>
      <x:c r="G106" s="126" t="str">
        <x:f>IF(B106="","",MIN(1,0.65+0.35*D106/(D106+8)))</x:f>
      </x:c>
      <x:c r="H106" s="100" t="str">
        <x:f>IF(B106="","",IF(E106&gt;=75,4,IF(E106&gt;=70,3,IF(E106&gt;=65,2,IF(E106&gt;=60,1,IF(E106&gt;=55,0,IF(E106&gt;=50,-1,IF(E106&gt;=45,-2,IF(E106&gt;=40,-3,-4)))))))))</x:f>
      </x:c>
      <x:c r="I106" s="100" t="str">
        <x:f>IF(B106="","",H106)</x:f>
      </x:c>
      <x:c r="J106" s="100" t="str">
        <x:f>IF(B106="","",'Handicap Settings'!$B$8)</x:f>
      </x:c>
      <x:c r="K106" s="100" t="str">
        <x:f>IF(B106="","",MAX(I106-J106,MIN(I106+J106,H106)))</x:f>
      </x:c>
      <x:c r="L106" t="str">
        <x:f>IF(B106="","",IF(K106=4,"Elite+",IF(K106=3,"Elite",IF(K106=2,"A+",IF(K106=1,"A",IF(K106=0,"B+",IF(K106=-1,"B",IF(K106=-2,"C+",IF(K106=-3,"C","D")))))))))</x:f>
      </x:c>
      <x:c r="M106" t="str">
        <x:f>IF(B106="","",IF(D106&gt;=25,"★★★★★",IF(D106&gt;=15,"★★★★",IF(D106&gt;=10,"★★★",IF(D106&gt;=6,"★★","★")))))</x:f>
      </x:c>
      <x:c r="N106" t="str">
        <x:f>IF(B106="","",TRUE)</x:f>
      </x:c>
      <x:c r="O106" t="str">
        <x:f>IF(B106="","",'Handicap Settings'!$B$4)</x:f>
      </x:c>
    </x:row>
    <x:row r="107">
      <x:c r="A107" t="inlineStr">
        <x:is>
          <x:t xml:space="preserve">FLPR-0106</x:t>
        </x:is>
      </x:c>
      <x:c r="C107" t="inlineStr">
        <x:is>
          <x:t xml:space="preserve">New / Manual</x:t>
        </x:is>
      </x:c>
      <x:c r="D107" t="n">
        <x:v>0</x:v>
      </x:c>
      <x:c r="E107" s="88" t="str">
        <x:f>IF(B107="","",'Handicap Settings'!$B$6)</x:f>
      </x:c>
      <x:c r="F107" t="str">
        <x:f>IF(B107="","",IF(D107&lt;'Handicap Settings'!$B$7,"Provisional","Established"))</x:f>
      </x:c>
      <x:c r="G107" s="126" t="str">
        <x:f>IF(B107="","",MIN(1,0.65+0.35*D107/(D107+8)))</x:f>
      </x:c>
      <x:c r="H107" s="100" t="str">
        <x:f>IF(B107="","",IF(E107&gt;=75,4,IF(E107&gt;=70,3,IF(E107&gt;=65,2,IF(E107&gt;=60,1,IF(E107&gt;=55,0,IF(E107&gt;=50,-1,IF(E107&gt;=45,-2,IF(E107&gt;=40,-3,-4)))))))))</x:f>
      </x:c>
      <x:c r="I107" s="100" t="str">
        <x:f>IF(B107="","",H107)</x:f>
      </x:c>
      <x:c r="J107" s="100" t="str">
        <x:f>IF(B107="","",'Handicap Settings'!$B$8)</x:f>
      </x:c>
      <x:c r="K107" s="100" t="str">
        <x:f>IF(B107="","",MAX(I107-J107,MIN(I107+J107,H107)))</x:f>
      </x:c>
      <x:c r="L107" t="str">
        <x:f>IF(B107="","",IF(K107=4,"Elite+",IF(K107=3,"Elite",IF(K107=2,"A+",IF(K107=1,"A",IF(K107=0,"B+",IF(K107=-1,"B",IF(K107=-2,"C+",IF(K107=-3,"C","D")))))))))</x:f>
      </x:c>
      <x:c r="M107" t="str">
        <x:f>IF(B107="","",IF(D107&gt;=25,"★★★★★",IF(D107&gt;=15,"★★★★",IF(D107&gt;=10,"★★★",IF(D107&gt;=6,"★★","★")))))</x:f>
      </x:c>
      <x:c r="N107" t="str">
        <x:f>IF(B107="","",TRUE)</x:f>
      </x:c>
      <x:c r="O107" t="str">
        <x:f>IF(B107="","",'Handicap Settings'!$B$4)</x:f>
      </x:c>
    </x:row>
    <x:row r="108">
      <x:c r="A108" t="inlineStr">
        <x:is>
          <x:t xml:space="preserve">FLPR-0107</x:t>
        </x:is>
      </x:c>
      <x:c r="C108" t="inlineStr">
        <x:is>
          <x:t xml:space="preserve">New / Manual</x:t>
        </x:is>
      </x:c>
      <x:c r="D108" t="n">
        <x:v>0</x:v>
      </x:c>
      <x:c r="E108" s="88" t="str">
        <x:f>IF(B108="","",'Handicap Settings'!$B$6)</x:f>
      </x:c>
      <x:c r="F108" t="str">
        <x:f>IF(B108="","",IF(D108&lt;'Handicap Settings'!$B$7,"Provisional","Established"))</x:f>
      </x:c>
      <x:c r="G108" s="126" t="str">
        <x:f>IF(B108="","",MIN(1,0.65+0.35*D108/(D108+8)))</x:f>
      </x:c>
      <x:c r="H108" s="100" t="str">
        <x:f>IF(B108="","",IF(E108&gt;=75,4,IF(E108&gt;=70,3,IF(E108&gt;=65,2,IF(E108&gt;=60,1,IF(E108&gt;=55,0,IF(E108&gt;=50,-1,IF(E108&gt;=45,-2,IF(E108&gt;=40,-3,-4)))))))))</x:f>
      </x:c>
      <x:c r="I108" s="100" t="str">
        <x:f>IF(B108="","",H108)</x:f>
      </x:c>
      <x:c r="J108" s="100" t="str">
        <x:f>IF(B108="","",'Handicap Settings'!$B$8)</x:f>
      </x:c>
      <x:c r="K108" s="100" t="str">
        <x:f>IF(B108="","",MAX(I108-J108,MIN(I108+J108,H108)))</x:f>
      </x:c>
      <x:c r="L108" t="str">
        <x:f>IF(B108="","",IF(K108=4,"Elite+",IF(K108=3,"Elite",IF(K108=2,"A+",IF(K108=1,"A",IF(K108=0,"B+",IF(K108=-1,"B",IF(K108=-2,"C+",IF(K108=-3,"C","D")))))))))</x:f>
      </x:c>
      <x:c r="M108" t="str">
        <x:f>IF(B108="","",IF(D108&gt;=25,"★★★★★",IF(D108&gt;=15,"★★★★",IF(D108&gt;=10,"★★★",IF(D108&gt;=6,"★★","★")))))</x:f>
      </x:c>
      <x:c r="N108" t="str">
        <x:f>IF(B108="","",TRUE)</x:f>
      </x:c>
      <x:c r="O108" t="str">
        <x:f>IF(B108="","",'Handicap Settings'!$B$4)</x:f>
      </x:c>
    </x:row>
    <x:row r="109">
      <x:c r="A109" t="inlineStr">
        <x:is>
          <x:t xml:space="preserve">FLPR-0108</x:t>
        </x:is>
      </x:c>
      <x:c r="C109" t="inlineStr">
        <x:is>
          <x:t xml:space="preserve">New / Manual</x:t>
        </x:is>
      </x:c>
      <x:c r="D109" t="n">
        <x:v>0</x:v>
      </x:c>
      <x:c r="E109" s="88" t="str">
        <x:f>IF(B109="","",'Handicap Settings'!$B$6)</x:f>
      </x:c>
      <x:c r="F109" t="str">
        <x:f>IF(B109="","",IF(D109&lt;'Handicap Settings'!$B$7,"Provisional","Established"))</x:f>
      </x:c>
      <x:c r="G109" s="126" t="str">
        <x:f>IF(B109="","",MIN(1,0.65+0.35*D109/(D109+8)))</x:f>
      </x:c>
      <x:c r="H109" s="100" t="str">
        <x:f>IF(B109="","",IF(E109&gt;=75,4,IF(E109&gt;=70,3,IF(E109&gt;=65,2,IF(E109&gt;=60,1,IF(E109&gt;=55,0,IF(E109&gt;=50,-1,IF(E109&gt;=45,-2,IF(E109&gt;=40,-3,-4)))))))))</x:f>
      </x:c>
      <x:c r="I109" s="100" t="str">
        <x:f>IF(B109="","",H109)</x:f>
      </x:c>
      <x:c r="J109" s="100" t="str">
        <x:f>IF(B109="","",'Handicap Settings'!$B$8)</x:f>
      </x:c>
      <x:c r="K109" s="100" t="str">
        <x:f>IF(B109="","",MAX(I109-J109,MIN(I109+J109,H109)))</x:f>
      </x:c>
      <x:c r="L109" t="str">
        <x:f>IF(B109="","",IF(K109=4,"Elite+",IF(K109=3,"Elite",IF(K109=2,"A+",IF(K109=1,"A",IF(K109=0,"B+",IF(K109=-1,"B",IF(K109=-2,"C+",IF(K109=-3,"C","D")))))))))</x:f>
      </x:c>
      <x:c r="M109" t="str">
        <x:f>IF(B109="","",IF(D109&gt;=25,"★★★★★",IF(D109&gt;=15,"★★★★",IF(D109&gt;=10,"★★★",IF(D109&gt;=6,"★★","★")))))</x:f>
      </x:c>
      <x:c r="N109" t="str">
        <x:f>IF(B109="","",TRUE)</x:f>
      </x:c>
      <x:c r="O109" t="str">
        <x:f>IF(B109="","",'Handicap Settings'!$B$4)</x:f>
      </x:c>
    </x:row>
    <x:row r="110">
      <x:c r="A110" t="inlineStr">
        <x:is>
          <x:t xml:space="preserve">FLPR-0109</x:t>
        </x:is>
      </x:c>
      <x:c r="C110" t="inlineStr">
        <x:is>
          <x:t xml:space="preserve">New / Manual</x:t>
        </x:is>
      </x:c>
      <x:c r="D110" t="n">
        <x:v>0</x:v>
      </x:c>
      <x:c r="E110" s="88" t="str">
        <x:f>IF(B110="","",'Handicap Settings'!$B$6)</x:f>
      </x:c>
      <x:c r="F110" t="str">
        <x:f>IF(B110="","",IF(D110&lt;'Handicap Settings'!$B$7,"Provisional","Established"))</x:f>
      </x:c>
      <x:c r="G110" s="126" t="str">
        <x:f>IF(B110="","",MIN(1,0.65+0.35*D110/(D110+8)))</x:f>
      </x:c>
      <x:c r="H110" s="100" t="str">
        <x:f>IF(B110="","",IF(E110&gt;=75,4,IF(E110&gt;=70,3,IF(E110&gt;=65,2,IF(E110&gt;=60,1,IF(E110&gt;=55,0,IF(E110&gt;=50,-1,IF(E110&gt;=45,-2,IF(E110&gt;=40,-3,-4)))))))))</x:f>
      </x:c>
      <x:c r="I110" s="100" t="str">
        <x:f>IF(B110="","",H110)</x:f>
      </x:c>
      <x:c r="J110" s="100" t="str">
        <x:f>IF(B110="","",'Handicap Settings'!$B$8)</x:f>
      </x:c>
      <x:c r="K110" s="100" t="str">
        <x:f>IF(B110="","",MAX(I110-J110,MIN(I110+J110,H110)))</x:f>
      </x:c>
      <x:c r="L110" t="str">
        <x:f>IF(B110="","",IF(K110=4,"Elite+",IF(K110=3,"Elite",IF(K110=2,"A+",IF(K110=1,"A",IF(K110=0,"B+",IF(K110=-1,"B",IF(K110=-2,"C+",IF(K110=-3,"C","D")))))))))</x:f>
      </x:c>
      <x:c r="M110" t="str">
        <x:f>IF(B110="","",IF(D110&gt;=25,"★★★★★",IF(D110&gt;=15,"★★★★",IF(D110&gt;=10,"★★★",IF(D110&gt;=6,"★★","★")))))</x:f>
      </x:c>
      <x:c r="N110" t="str">
        <x:f>IF(B110="","",TRUE)</x:f>
      </x:c>
      <x:c r="O110" t="str">
        <x:f>IF(B110="","",'Handicap Settings'!$B$4)</x:f>
      </x:c>
    </x:row>
    <x:row r="111">
      <x:c r="A111" t="inlineStr">
        <x:is>
          <x:t xml:space="preserve">FLPR-0110</x:t>
        </x:is>
      </x:c>
      <x:c r="C111" t="inlineStr">
        <x:is>
          <x:t xml:space="preserve">New / Manual</x:t>
        </x:is>
      </x:c>
      <x:c r="D111" t="n">
        <x:v>0</x:v>
      </x:c>
      <x:c r="E111" s="88" t="str">
        <x:f>IF(B111="","",'Handicap Settings'!$B$6)</x:f>
      </x:c>
      <x:c r="F111" t="str">
        <x:f>IF(B111="","",IF(D111&lt;'Handicap Settings'!$B$7,"Provisional","Established"))</x:f>
      </x:c>
      <x:c r="G111" s="126" t="str">
        <x:f>IF(B111="","",MIN(1,0.65+0.35*D111/(D111+8)))</x:f>
      </x:c>
      <x:c r="H111" s="100" t="str">
        <x:f>IF(B111="","",IF(E111&gt;=75,4,IF(E111&gt;=70,3,IF(E111&gt;=65,2,IF(E111&gt;=60,1,IF(E111&gt;=55,0,IF(E111&gt;=50,-1,IF(E111&gt;=45,-2,IF(E111&gt;=40,-3,-4)))))))))</x:f>
      </x:c>
      <x:c r="I111" s="100" t="str">
        <x:f>IF(B111="","",H111)</x:f>
      </x:c>
      <x:c r="J111" s="100" t="str">
        <x:f>IF(B111="","",'Handicap Settings'!$B$8)</x:f>
      </x:c>
      <x:c r="K111" s="100" t="str">
        <x:f>IF(B111="","",MAX(I111-J111,MIN(I111+J111,H111)))</x:f>
      </x:c>
      <x:c r="L111" t="str">
        <x:f>IF(B111="","",IF(K111=4,"Elite+",IF(K111=3,"Elite",IF(K111=2,"A+",IF(K111=1,"A",IF(K111=0,"B+",IF(K111=-1,"B",IF(K111=-2,"C+",IF(K111=-3,"C","D")))))))))</x:f>
      </x:c>
      <x:c r="M111" t="str">
        <x:f>IF(B111="","",IF(D111&gt;=25,"★★★★★",IF(D111&gt;=15,"★★★★",IF(D111&gt;=10,"★★★",IF(D111&gt;=6,"★★","★")))))</x:f>
      </x:c>
      <x:c r="N111" t="str">
        <x:f>IF(B111="","",TRUE)</x:f>
      </x:c>
      <x:c r="O111" t="str">
        <x:f>IF(B111="","",'Handicap Settings'!$B$4)</x:f>
      </x:c>
    </x:row>
    <x:row r="112">
      <x:c r="A112" t="inlineStr">
        <x:is>
          <x:t xml:space="preserve">FLPR-0111</x:t>
        </x:is>
      </x:c>
      <x:c r="C112" t="inlineStr">
        <x:is>
          <x:t xml:space="preserve">New / Manual</x:t>
        </x:is>
      </x:c>
      <x:c r="D112" t="n">
        <x:v>0</x:v>
      </x:c>
      <x:c r="E112" s="88" t="str">
        <x:f>IF(B112="","",'Handicap Settings'!$B$6)</x:f>
      </x:c>
      <x:c r="F112" t="str">
        <x:f>IF(B112="","",IF(D112&lt;'Handicap Settings'!$B$7,"Provisional","Established"))</x:f>
      </x:c>
      <x:c r="G112" s="126" t="str">
        <x:f>IF(B112="","",MIN(1,0.65+0.35*D112/(D112+8)))</x:f>
      </x:c>
      <x:c r="H112" s="100" t="str">
        <x:f>IF(B112="","",IF(E112&gt;=75,4,IF(E112&gt;=70,3,IF(E112&gt;=65,2,IF(E112&gt;=60,1,IF(E112&gt;=55,0,IF(E112&gt;=50,-1,IF(E112&gt;=45,-2,IF(E112&gt;=40,-3,-4)))))))))</x:f>
      </x:c>
      <x:c r="I112" s="100" t="str">
        <x:f>IF(B112="","",H112)</x:f>
      </x:c>
      <x:c r="J112" s="100" t="str">
        <x:f>IF(B112="","",'Handicap Settings'!$B$8)</x:f>
      </x:c>
      <x:c r="K112" s="100" t="str">
        <x:f>IF(B112="","",MAX(I112-J112,MIN(I112+J112,H112)))</x:f>
      </x:c>
      <x:c r="L112" t="str">
        <x:f>IF(B112="","",IF(K112=4,"Elite+",IF(K112=3,"Elite",IF(K112=2,"A+",IF(K112=1,"A",IF(K112=0,"B+",IF(K112=-1,"B",IF(K112=-2,"C+",IF(K112=-3,"C","D")))))))))</x:f>
      </x:c>
      <x:c r="M112" t="str">
        <x:f>IF(B112="","",IF(D112&gt;=25,"★★★★★",IF(D112&gt;=15,"★★★★",IF(D112&gt;=10,"★★★",IF(D112&gt;=6,"★★","★")))))</x:f>
      </x:c>
      <x:c r="N112" t="str">
        <x:f>IF(B112="","",TRUE)</x:f>
      </x:c>
      <x:c r="O112" t="str">
        <x:f>IF(B112="","",'Handicap Settings'!$B$4)</x:f>
      </x:c>
    </x:row>
    <x:row r="113">
      <x:c r="A113" t="inlineStr">
        <x:is>
          <x:t xml:space="preserve">FLPR-0112</x:t>
        </x:is>
      </x:c>
      <x:c r="C113" t="inlineStr">
        <x:is>
          <x:t xml:space="preserve">New / Manual</x:t>
        </x:is>
      </x:c>
      <x:c r="D113" t="n">
        <x:v>0</x:v>
      </x:c>
      <x:c r="E113" s="88" t="str">
        <x:f>IF(B113="","",'Handicap Settings'!$B$6)</x:f>
      </x:c>
      <x:c r="F113" t="str">
        <x:f>IF(B113="","",IF(D113&lt;'Handicap Settings'!$B$7,"Provisional","Established"))</x:f>
      </x:c>
      <x:c r="G113" s="126" t="str">
        <x:f>IF(B113="","",MIN(1,0.65+0.35*D113/(D113+8)))</x:f>
      </x:c>
      <x:c r="H113" s="100" t="str">
        <x:f>IF(B113="","",IF(E113&gt;=75,4,IF(E113&gt;=70,3,IF(E113&gt;=65,2,IF(E113&gt;=60,1,IF(E113&gt;=55,0,IF(E113&gt;=50,-1,IF(E113&gt;=45,-2,IF(E113&gt;=40,-3,-4)))))))))</x:f>
      </x:c>
      <x:c r="I113" s="100" t="str">
        <x:f>IF(B113="","",H113)</x:f>
      </x:c>
      <x:c r="J113" s="100" t="str">
        <x:f>IF(B113="","",'Handicap Settings'!$B$8)</x:f>
      </x:c>
      <x:c r="K113" s="100" t="str">
        <x:f>IF(B113="","",MAX(I113-J113,MIN(I113+J113,H113)))</x:f>
      </x:c>
      <x:c r="L113" t="str">
        <x:f>IF(B113="","",IF(K113=4,"Elite+",IF(K113=3,"Elite",IF(K113=2,"A+",IF(K113=1,"A",IF(K113=0,"B+",IF(K113=-1,"B",IF(K113=-2,"C+",IF(K113=-3,"C","D")))))))))</x:f>
      </x:c>
      <x:c r="M113" t="str">
        <x:f>IF(B113="","",IF(D113&gt;=25,"★★★★★",IF(D113&gt;=15,"★★★★",IF(D113&gt;=10,"★★★",IF(D113&gt;=6,"★★","★")))))</x:f>
      </x:c>
      <x:c r="N113" t="str">
        <x:f>IF(B113="","",TRUE)</x:f>
      </x:c>
      <x:c r="O113" t="str">
        <x:f>IF(B113="","",'Handicap Settings'!$B$4)</x:f>
      </x:c>
    </x:row>
    <x:row r="114">
      <x:c r="A114" t="inlineStr">
        <x:is>
          <x:t xml:space="preserve">FLPR-0113</x:t>
        </x:is>
      </x:c>
      <x:c r="C114" t="inlineStr">
        <x:is>
          <x:t xml:space="preserve">New / Manual</x:t>
        </x:is>
      </x:c>
      <x:c r="D114" t="n">
        <x:v>0</x:v>
      </x:c>
      <x:c r="E114" s="88" t="str">
        <x:f>IF(B114="","",'Handicap Settings'!$B$6)</x:f>
      </x:c>
      <x:c r="F114" t="str">
        <x:f>IF(B114="","",IF(D114&lt;'Handicap Settings'!$B$7,"Provisional","Established"))</x:f>
      </x:c>
      <x:c r="G114" s="126" t="str">
        <x:f>IF(B114="","",MIN(1,0.65+0.35*D114/(D114+8)))</x:f>
      </x:c>
      <x:c r="H114" s="100" t="str">
        <x:f>IF(B114="","",IF(E114&gt;=75,4,IF(E114&gt;=70,3,IF(E114&gt;=65,2,IF(E114&gt;=60,1,IF(E114&gt;=55,0,IF(E114&gt;=50,-1,IF(E114&gt;=45,-2,IF(E114&gt;=40,-3,-4)))))))))</x:f>
      </x:c>
      <x:c r="I114" s="100" t="str">
        <x:f>IF(B114="","",H114)</x:f>
      </x:c>
      <x:c r="J114" s="100" t="str">
        <x:f>IF(B114="","",'Handicap Settings'!$B$8)</x:f>
      </x:c>
      <x:c r="K114" s="100" t="str">
        <x:f>IF(B114="","",MAX(I114-J114,MIN(I114+J114,H114)))</x:f>
      </x:c>
      <x:c r="L114" t="str">
        <x:f>IF(B114="","",IF(K114=4,"Elite+",IF(K114=3,"Elite",IF(K114=2,"A+",IF(K114=1,"A",IF(K114=0,"B+",IF(K114=-1,"B",IF(K114=-2,"C+",IF(K114=-3,"C","D")))))))))</x:f>
      </x:c>
      <x:c r="M114" t="str">
        <x:f>IF(B114="","",IF(D114&gt;=25,"★★★★★",IF(D114&gt;=15,"★★★★",IF(D114&gt;=10,"★★★",IF(D114&gt;=6,"★★","★")))))</x:f>
      </x:c>
      <x:c r="N114" t="str">
        <x:f>IF(B114="","",TRUE)</x:f>
      </x:c>
      <x:c r="O114" t="str">
        <x:f>IF(B114="","",'Handicap Settings'!$B$4)</x:f>
      </x:c>
    </x:row>
    <x:row r="115">
      <x:c r="A115" t="inlineStr">
        <x:is>
          <x:t xml:space="preserve">FLPR-0114</x:t>
        </x:is>
      </x:c>
      <x:c r="C115" t="inlineStr">
        <x:is>
          <x:t xml:space="preserve">New / Manual</x:t>
        </x:is>
      </x:c>
      <x:c r="D115" t="n">
        <x:v>0</x:v>
      </x:c>
      <x:c r="E115" s="88" t="str">
        <x:f>IF(B115="","",'Handicap Settings'!$B$6)</x:f>
      </x:c>
      <x:c r="F115" t="str">
        <x:f>IF(B115="","",IF(D115&lt;'Handicap Settings'!$B$7,"Provisional","Established"))</x:f>
      </x:c>
      <x:c r="G115" s="126" t="str">
        <x:f>IF(B115="","",MIN(1,0.65+0.35*D115/(D115+8)))</x:f>
      </x:c>
      <x:c r="H115" s="100" t="str">
        <x:f>IF(B115="","",IF(E115&gt;=75,4,IF(E115&gt;=70,3,IF(E115&gt;=65,2,IF(E115&gt;=60,1,IF(E115&gt;=55,0,IF(E115&gt;=50,-1,IF(E115&gt;=45,-2,IF(E115&gt;=40,-3,-4)))))))))</x:f>
      </x:c>
      <x:c r="I115" s="100" t="str">
        <x:f>IF(B115="","",H115)</x:f>
      </x:c>
      <x:c r="J115" s="100" t="str">
        <x:f>IF(B115="","",'Handicap Settings'!$B$8)</x:f>
      </x:c>
      <x:c r="K115" s="100" t="str">
        <x:f>IF(B115="","",MAX(I115-J115,MIN(I115+J115,H115)))</x:f>
      </x:c>
      <x:c r="L115" t="str">
        <x:f>IF(B115="","",IF(K115=4,"Elite+",IF(K115=3,"Elite",IF(K115=2,"A+",IF(K115=1,"A",IF(K115=0,"B+",IF(K115=-1,"B",IF(K115=-2,"C+",IF(K115=-3,"C","D")))))))))</x:f>
      </x:c>
      <x:c r="M115" t="str">
        <x:f>IF(B115="","",IF(D115&gt;=25,"★★★★★",IF(D115&gt;=15,"★★★★",IF(D115&gt;=10,"★★★",IF(D115&gt;=6,"★★","★")))))</x:f>
      </x:c>
      <x:c r="N115" t="str">
        <x:f>IF(B115="","",TRUE)</x:f>
      </x:c>
      <x:c r="O115" t="str">
        <x:f>IF(B115="","",'Handicap Settings'!$B$4)</x:f>
      </x:c>
    </x:row>
    <x:row r="116">
      <x:c r="A116" t="inlineStr">
        <x:is>
          <x:t xml:space="preserve">FLPR-0115</x:t>
        </x:is>
      </x:c>
      <x:c r="C116" t="inlineStr">
        <x:is>
          <x:t xml:space="preserve">New / Manual</x:t>
        </x:is>
      </x:c>
      <x:c r="D116" t="n">
        <x:v>0</x:v>
      </x:c>
      <x:c r="E116" s="88" t="str">
        <x:f>IF(B116="","",'Handicap Settings'!$B$6)</x:f>
      </x:c>
      <x:c r="F116" t="str">
        <x:f>IF(B116="","",IF(D116&lt;'Handicap Settings'!$B$7,"Provisional","Established"))</x:f>
      </x:c>
      <x:c r="G116" s="126" t="str">
        <x:f>IF(B116="","",MIN(1,0.65+0.35*D116/(D116+8)))</x:f>
      </x:c>
      <x:c r="H116" s="100" t="str">
        <x:f>IF(B116="","",IF(E116&gt;=75,4,IF(E116&gt;=70,3,IF(E116&gt;=65,2,IF(E116&gt;=60,1,IF(E116&gt;=55,0,IF(E116&gt;=50,-1,IF(E116&gt;=45,-2,IF(E116&gt;=40,-3,-4)))))))))</x:f>
      </x:c>
      <x:c r="I116" s="100" t="str">
        <x:f>IF(B116="","",H116)</x:f>
      </x:c>
      <x:c r="J116" s="100" t="str">
        <x:f>IF(B116="","",'Handicap Settings'!$B$8)</x:f>
      </x:c>
      <x:c r="K116" s="100" t="str">
        <x:f>IF(B116="","",MAX(I116-J116,MIN(I116+J116,H116)))</x:f>
      </x:c>
      <x:c r="L116" t="str">
        <x:f>IF(B116="","",IF(K116=4,"Elite+",IF(K116=3,"Elite",IF(K116=2,"A+",IF(K116=1,"A",IF(K116=0,"B+",IF(K116=-1,"B",IF(K116=-2,"C+",IF(K116=-3,"C","D")))))))))</x:f>
      </x:c>
      <x:c r="M116" t="str">
        <x:f>IF(B116="","",IF(D116&gt;=25,"★★★★★",IF(D116&gt;=15,"★★★★",IF(D116&gt;=10,"★★★",IF(D116&gt;=6,"★★","★")))))</x:f>
      </x:c>
      <x:c r="N116" t="str">
        <x:f>IF(B116="","",TRUE)</x:f>
      </x:c>
      <x:c r="O116" t="str">
        <x:f>IF(B116="","",'Handicap Settings'!$B$4)</x:f>
      </x:c>
    </x:row>
    <x:row r="117">
      <x:c r="A117" t="inlineStr">
        <x:is>
          <x:t xml:space="preserve">FLPR-0116</x:t>
        </x:is>
      </x:c>
      <x:c r="C117" t="inlineStr">
        <x:is>
          <x:t xml:space="preserve">New / Manual</x:t>
        </x:is>
      </x:c>
      <x:c r="D117" t="n">
        <x:v>0</x:v>
      </x:c>
      <x:c r="E117" s="88" t="str">
        <x:f>IF(B117="","",'Handicap Settings'!$B$6)</x:f>
      </x:c>
      <x:c r="F117" t="str">
        <x:f>IF(B117="","",IF(D117&lt;'Handicap Settings'!$B$7,"Provisional","Established"))</x:f>
      </x:c>
      <x:c r="G117" s="126" t="str">
        <x:f>IF(B117="","",MIN(1,0.65+0.35*D117/(D117+8)))</x:f>
      </x:c>
      <x:c r="H117" s="100" t="str">
        <x:f>IF(B117="","",IF(E117&gt;=75,4,IF(E117&gt;=70,3,IF(E117&gt;=65,2,IF(E117&gt;=60,1,IF(E117&gt;=55,0,IF(E117&gt;=50,-1,IF(E117&gt;=45,-2,IF(E117&gt;=40,-3,-4)))))))))</x:f>
      </x:c>
      <x:c r="I117" s="100" t="str">
        <x:f>IF(B117="","",H117)</x:f>
      </x:c>
      <x:c r="J117" s="100" t="str">
        <x:f>IF(B117="","",'Handicap Settings'!$B$8)</x:f>
      </x:c>
      <x:c r="K117" s="100" t="str">
        <x:f>IF(B117="","",MAX(I117-J117,MIN(I117+J117,H117)))</x:f>
      </x:c>
      <x:c r="L117" t="str">
        <x:f>IF(B117="","",IF(K117=4,"Elite+",IF(K117=3,"Elite",IF(K117=2,"A+",IF(K117=1,"A",IF(K117=0,"B+",IF(K117=-1,"B",IF(K117=-2,"C+",IF(K117=-3,"C","D")))))))))</x:f>
      </x:c>
      <x:c r="M117" t="str">
        <x:f>IF(B117="","",IF(D117&gt;=25,"★★★★★",IF(D117&gt;=15,"★★★★",IF(D117&gt;=10,"★★★",IF(D117&gt;=6,"★★","★")))))</x:f>
      </x:c>
      <x:c r="N117" t="str">
        <x:f>IF(B117="","",TRUE)</x:f>
      </x:c>
      <x:c r="O117" t="str">
        <x:f>IF(B117="","",'Handicap Settings'!$B$4)</x:f>
      </x:c>
    </x:row>
    <x:row r="118">
      <x:c r="A118" t="inlineStr">
        <x:is>
          <x:t xml:space="preserve">FLPR-0117</x:t>
        </x:is>
      </x:c>
      <x:c r="C118" t="inlineStr">
        <x:is>
          <x:t xml:space="preserve">New / Manual</x:t>
        </x:is>
      </x:c>
      <x:c r="D118" t="n">
        <x:v>0</x:v>
      </x:c>
      <x:c r="E118" s="88" t="str">
        <x:f>IF(B118="","",'Handicap Settings'!$B$6)</x:f>
      </x:c>
      <x:c r="F118" t="str">
        <x:f>IF(B118="","",IF(D118&lt;'Handicap Settings'!$B$7,"Provisional","Established"))</x:f>
      </x:c>
      <x:c r="G118" s="126" t="str">
        <x:f>IF(B118="","",MIN(1,0.65+0.35*D118/(D118+8)))</x:f>
      </x:c>
      <x:c r="H118" s="100" t="str">
        <x:f>IF(B118="","",IF(E118&gt;=75,4,IF(E118&gt;=70,3,IF(E118&gt;=65,2,IF(E118&gt;=60,1,IF(E118&gt;=55,0,IF(E118&gt;=50,-1,IF(E118&gt;=45,-2,IF(E118&gt;=40,-3,-4)))))))))</x:f>
      </x:c>
      <x:c r="I118" s="100" t="str">
        <x:f>IF(B118="","",H118)</x:f>
      </x:c>
      <x:c r="J118" s="100" t="str">
        <x:f>IF(B118="","",'Handicap Settings'!$B$8)</x:f>
      </x:c>
      <x:c r="K118" s="100" t="str">
        <x:f>IF(B118="","",MAX(I118-J118,MIN(I118+J118,H118)))</x:f>
      </x:c>
      <x:c r="L118" t="str">
        <x:f>IF(B118="","",IF(K118=4,"Elite+",IF(K118=3,"Elite",IF(K118=2,"A+",IF(K118=1,"A",IF(K118=0,"B+",IF(K118=-1,"B",IF(K118=-2,"C+",IF(K118=-3,"C","D")))))))))</x:f>
      </x:c>
      <x:c r="M118" t="str">
        <x:f>IF(B118="","",IF(D118&gt;=25,"★★★★★",IF(D118&gt;=15,"★★★★",IF(D118&gt;=10,"★★★",IF(D118&gt;=6,"★★","★")))))</x:f>
      </x:c>
      <x:c r="N118" t="str">
        <x:f>IF(B118="","",TRUE)</x:f>
      </x:c>
      <x:c r="O118" t="str">
        <x:f>IF(B118="","",'Handicap Settings'!$B$4)</x:f>
      </x:c>
    </x:row>
    <x:row r="119">
      <x:c r="A119" t="inlineStr">
        <x:is>
          <x:t xml:space="preserve">FLPR-0118</x:t>
        </x:is>
      </x:c>
      <x:c r="C119" t="inlineStr">
        <x:is>
          <x:t xml:space="preserve">New / Manual</x:t>
        </x:is>
      </x:c>
      <x:c r="D119" t="n">
        <x:v>0</x:v>
      </x:c>
      <x:c r="E119" s="88" t="str">
        <x:f>IF(B119="","",'Handicap Settings'!$B$6)</x:f>
      </x:c>
      <x:c r="F119" t="str">
        <x:f>IF(B119="","",IF(D119&lt;'Handicap Settings'!$B$7,"Provisional","Established"))</x:f>
      </x:c>
      <x:c r="G119" s="126" t="str">
        <x:f>IF(B119="","",MIN(1,0.65+0.35*D119/(D119+8)))</x:f>
      </x:c>
      <x:c r="H119" s="100" t="str">
        <x:f>IF(B119="","",IF(E119&gt;=75,4,IF(E119&gt;=70,3,IF(E119&gt;=65,2,IF(E119&gt;=60,1,IF(E119&gt;=55,0,IF(E119&gt;=50,-1,IF(E119&gt;=45,-2,IF(E119&gt;=40,-3,-4)))))))))</x:f>
      </x:c>
      <x:c r="I119" s="100" t="str">
        <x:f>IF(B119="","",H119)</x:f>
      </x:c>
      <x:c r="J119" s="100" t="str">
        <x:f>IF(B119="","",'Handicap Settings'!$B$8)</x:f>
      </x:c>
      <x:c r="K119" s="100" t="str">
        <x:f>IF(B119="","",MAX(I119-J119,MIN(I119+J119,H119)))</x:f>
      </x:c>
      <x:c r="L119" t="str">
        <x:f>IF(B119="","",IF(K119=4,"Elite+",IF(K119=3,"Elite",IF(K119=2,"A+",IF(K119=1,"A",IF(K119=0,"B+",IF(K119=-1,"B",IF(K119=-2,"C+",IF(K119=-3,"C","D")))))))))</x:f>
      </x:c>
      <x:c r="M119" t="str">
        <x:f>IF(B119="","",IF(D119&gt;=25,"★★★★★",IF(D119&gt;=15,"★★★★",IF(D119&gt;=10,"★★★",IF(D119&gt;=6,"★★","★")))))</x:f>
      </x:c>
      <x:c r="N119" t="str">
        <x:f>IF(B119="","",TRUE)</x:f>
      </x:c>
      <x:c r="O119" t="str">
        <x:f>IF(B119="","",'Handicap Settings'!$B$4)</x:f>
      </x:c>
    </x:row>
    <x:row r="120">
      <x:c r="A120" t="inlineStr">
        <x:is>
          <x:t xml:space="preserve">FLPR-0119</x:t>
        </x:is>
      </x:c>
      <x:c r="C120" t="inlineStr">
        <x:is>
          <x:t xml:space="preserve">New / Manual</x:t>
        </x:is>
      </x:c>
      <x:c r="D120" t="n">
        <x:v>0</x:v>
      </x:c>
      <x:c r="E120" s="88" t="str">
        <x:f>IF(B120="","",'Handicap Settings'!$B$6)</x:f>
      </x:c>
      <x:c r="F120" t="str">
        <x:f>IF(B120="","",IF(D120&lt;'Handicap Settings'!$B$7,"Provisional","Established"))</x:f>
      </x:c>
      <x:c r="G120" s="126" t="str">
        <x:f>IF(B120="","",MIN(1,0.65+0.35*D120/(D120+8)))</x:f>
      </x:c>
      <x:c r="H120" s="100" t="str">
        <x:f>IF(B120="","",IF(E120&gt;=75,4,IF(E120&gt;=70,3,IF(E120&gt;=65,2,IF(E120&gt;=60,1,IF(E120&gt;=55,0,IF(E120&gt;=50,-1,IF(E120&gt;=45,-2,IF(E120&gt;=40,-3,-4)))))))))</x:f>
      </x:c>
      <x:c r="I120" s="100" t="str">
        <x:f>IF(B120="","",H120)</x:f>
      </x:c>
      <x:c r="J120" s="100" t="str">
        <x:f>IF(B120="","",'Handicap Settings'!$B$8)</x:f>
      </x:c>
      <x:c r="K120" s="100" t="str">
        <x:f>IF(B120="","",MAX(I120-J120,MIN(I120+J120,H120)))</x:f>
      </x:c>
      <x:c r="L120" t="str">
        <x:f>IF(B120="","",IF(K120=4,"Elite+",IF(K120=3,"Elite",IF(K120=2,"A+",IF(K120=1,"A",IF(K120=0,"B+",IF(K120=-1,"B",IF(K120=-2,"C+",IF(K120=-3,"C","D")))))))))</x:f>
      </x:c>
      <x:c r="M120" t="str">
        <x:f>IF(B120="","",IF(D120&gt;=25,"★★★★★",IF(D120&gt;=15,"★★★★",IF(D120&gt;=10,"★★★",IF(D120&gt;=6,"★★","★")))))</x:f>
      </x:c>
      <x:c r="N120" t="str">
        <x:f>IF(B120="","",TRUE)</x:f>
      </x:c>
      <x:c r="O120" t="str">
        <x:f>IF(B120="","",'Handicap Settings'!$B$4)</x:f>
      </x:c>
    </x:row>
    <x:row r="121">
      <x:c r="A121" t="inlineStr">
        <x:is>
          <x:t xml:space="preserve">FLPR-0120</x:t>
        </x:is>
      </x:c>
      <x:c r="C121" t="inlineStr">
        <x:is>
          <x:t xml:space="preserve">New / Manual</x:t>
        </x:is>
      </x:c>
      <x:c r="D121" t="n">
        <x:v>0</x:v>
      </x:c>
      <x:c r="E121" s="88" t="str">
        <x:f>IF(B121="","",'Handicap Settings'!$B$6)</x:f>
      </x:c>
      <x:c r="F121" t="str">
        <x:f>IF(B121="","",IF(D121&lt;'Handicap Settings'!$B$7,"Provisional","Established"))</x:f>
      </x:c>
      <x:c r="G121" s="126" t="str">
        <x:f>IF(B121="","",MIN(1,0.65+0.35*D121/(D121+8)))</x:f>
      </x:c>
      <x:c r="H121" s="100" t="str">
        <x:f>IF(B121="","",IF(E121&gt;=75,4,IF(E121&gt;=70,3,IF(E121&gt;=65,2,IF(E121&gt;=60,1,IF(E121&gt;=55,0,IF(E121&gt;=50,-1,IF(E121&gt;=45,-2,IF(E121&gt;=40,-3,-4)))))))))</x:f>
      </x:c>
      <x:c r="I121" s="100" t="str">
        <x:f>IF(B121="","",H121)</x:f>
      </x:c>
      <x:c r="J121" s="100" t="str">
        <x:f>IF(B121="","",'Handicap Settings'!$B$8)</x:f>
      </x:c>
      <x:c r="K121" s="100" t="str">
        <x:f>IF(B121="","",MAX(I121-J121,MIN(I121+J121,H121)))</x:f>
      </x:c>
      <x:c r="L121" t="str">
        <x:f>IF(B121="","",IF(K121=4,"Elite+",IF(K121=3,"Elite",IF(K121=2,"A+",IF(K121=1,"A",IF(K121=0,"B+",IF(K121=-1,"B",IF(K121=-2,"C+",IF(K121=-3,"C","D")))))))))</x:f>
      </x:c>
      <x:c r="M121" t="str">
        <x:f>IF(B121="","",IF(D121&gt;=25,"★★★★★",IF(D121&gt;=15,"★★★★",IF(D121&gt;=10,"★★★",IF(D121&gt;=6,"★★","★")))))</x:f>
      </x:c>
      <x:c r="N121" t="str">
        <x:f>IF(B121="","",TRUE)</x:f>
      </x:c>
      <x:c r="O121" t="str">
        <x:f>IF(B121="","",'Handicap Settings'!$B$4)</x:f>
      </x:c>
    </x:row>
    <x:row r="122">
      <x:c r="A122" t="inlineStr">
        <x:is>
          <x:t xml:space="preserve">FLPR-0121</x:t>
        </x:is>
      </x:c>
      <x:c r="C122" t="inlineStr">
        <x:is>
          <x:t xml:space="preserve">New / Manual</x:t>
        </x:is>
      </x:c>
      <x:c r="D122" t="n">
        <x:v>0</x:v>
      </x:c>
      <x:c r="E122" s="88" t="str">
        <x:f>IF(B122="","",'Handicap Settings'!$B$6)</x:f>
      </x:c>
      <x:c r="F122" t="str">
        <x:f>IF(B122="","",IF(D122&lt;'Handicap Settings'!$B$7,"Provisional","Established"))</x:f>
      </x:c>
      <x:c r="G122" s="126" t="str">
        <x:f>IF(B122="","",MIN(1,0.65+0.35*D122/(D122+8)))</x:f>
      </x:c>
      <x:c r="H122" s="100" t="str">
        <x:f>IF(B122="","",IF(E122&gt;=75,4,IF(E122&gt;=70,3,IF(E122&gt;=65,2,IF(E122&gt;=60,1,IF(E122&gt;=55,0,IF(E122&gt;=50,-1,IF(E122&gt;=45,-2,IF(E122&gt;=40,-3,-4)))))))))</x:f>
      </x:c>
      <x:c r="I122" s="100" t="str">
        <x:f>IF(B122="","",H122)</x:f>
      </x:c>
      <x:c r="J122" s="100" t="str">
        <x:f>IF(B122="","",'Handicap Settings'!$B$8)</x:f>
      </x:c>
      <x:c r="K122" s="100" t="str">
        <x:f>IF(B122="","",MAX(I122-J122,MIN(I122+J122,H122)))</x:f>
      </x:c>
      <x:c r="L122" t="str">
        <x:f>IF(B122="","",IF(K122=4,"Elite+",IF(K122=3,"Elite",IF(K122=2,"A+",IF(K122=1,"A",IF(K122=0,"B+",IF(K122=-1,"B",IF(K122=-2,"C+",IF(K122=-3,"C","D")))))))))</x:f>
      </x:c>
      <x:c r="M122" t="str">
        <x:f>IF(B122="","",IF(D122&gt;=25,"★★★★★",IF(D122&gt;=15,"★★★★",IF(D122&gt;=10,"★★★",IF(D122&gt;=6,"★★","★")))))</x:f>
      </x:c>
      <x:c r="N122" t="str">
        <x:f>IF(B122="","",TRUE)</x:f>
      </x:c>
      <x:c r="O122" t="str">
        <x:f>IF(B122="","",'Handicap Settings'!$B$4)</x:f>
      </x:c>
    </x:row>
    <x:row r="123">
      <x:c r="A123" t="inlineStr">
        <x:is>
          <x:t xml:space="preserve">FLPR-0122</x:t>
        </x:is>
      </x:c>
      <x:c r="C123" t="inlineStr">
        <x:is>
          <x:t xml:space="preserve">New / Manual</x:t>
        </x:is>
      </x:c>
      <x:c r="D123" t="n">
        <x:v>0</x:v>
      </x:c>
      <x:c r="E123" s="88" t="str">
        <x:f>IF(B123="","",'Handicap Settings'!$B$6)</x:f>
      </x:c>
      <x:c r="F123" t="str">
        <x:f>IF(B123="","",IF(D123&lt;'Handicap Settings'!$B$7,"Provisional","Established"))</x:f>
      </x:c>
      <x:c r="G123" s="126" t="str">
        <x:f>IF(B123="","",MIN(1,0.65+0.35*D123/(D123+8)))</x:f>
      </x:c>
      <x:c r="H123" s="100" t="str">
        <x:f>IF(B123="","",IF(E123&gt;=75,4,IF(E123&gt;=70,3,IF(E123&gt;=65,2,IF(E123&gt;=60,1,IF(E123&gt;=55,0,IF(E123&gt;=50,-1,IF(E123&gt;=45,-2,IF(E123&gt;=40,-3,-4)))))))))</x:f>
      </x:c>
      <x:c r="I123" s="100" t="str">
        <x:f>IF(B123="","",H123)</x:f>
      </x:c>
      <x:c r="J123" s="100" t="str">
        <x:f>IF(B123="","",'Handicap Settings'!$B$8)</x:f>
      </x:c>
      <x:c r="K123" s="100" t="str">
        <x:f>IF(B123="","",MAX(I123-J123,MIN(I123+J123,H123)))</x:f>
      </x:c>
      <x:c r="L123" t="str">
        <x:f>IF(B123="","",IF(K123=4,"Elite+",IF(K123=3,"Elite",IF(K123=2,"A+",IF(K123=1,"A",IF(K123=0,"B+",IF(K123=-1,"B",IF(K123=-2,"C+",IF(K123=-3,"C","D")))))))))</x:f>
      </x:c>
      <x:c r="M123" t="str">
        <x:f>IF(B123="","",IF(D123&gt;=25,"★★★★★",IF(D123&gt;=15,"★★★★",IF(D123&gt;=10,"★★★",IF(D123&gt;=6,"★★","★")))))</x:f>
      </x:c>
      <x:c r="N123" t="str">
        <x:f>IF(B123="","",TRUE)</x:f>
      </x:c>
      <x:c r="O123" t="str">
        <x:f>IF(B123="","",'Handicap Settings'!$B$4)</x:f>
      </x:c>
    </x:row>
    <x:row r="124">
      <x:c r="A124" t="inlineStr">
        <x:is>
          <x:t xml:space="preserve">FLPR-0123</x:t>
        </x:is>
      </x:c>
      <x:c r="C124" t="inlineStr">
        <x:is>
          <x:t xml:space="preserve">New / Manual</x:t>
        </x:is>
      </x:c>
      <x:c r="D124" t="n">
        <x:v>0</x:v>
      </x:c>
      <x:c r="E124" s="88" t="str">
        <x:f>IF(B124="","",'Handicap Settings'!$B$6)</x:f>
      </x:c>
      <x:c r="F124" t="str">
        <x:f>IF(B124="","",IF(D124&lt;'Handicap Settings'!$B$7,"Provisional","Established"))</x:f>
      </x:c>
      <x:c r="G124" s="126" t="str">
        <x:f>IF(B124="","",MIN(1,0.65+0.35*D124/(D124+8)))</x:f>
      </x:c>
      <x:c r="H124" s="100" t="str">
        <x:f>IF(B124="","",IF(E124&gt;=75,4,IF(E124&gt;=70,3,IF(E124&gt;=65,2,IF(E124&gt;=60,1,IF(E124&gt;=55,0,IF(E124&gt;=50,-1,IF(E124&gt;=45,-2,IF(E124&gt;=40,-3,-4)))))))))</x:f>
      </x:c>
      <x:c r="I124" s="100" t="str">
        <x:f>IF(B124="","",H124)</x:f>
      </x:c>
      <x:c r="J124" s="100" t="str">
        <x:f>IF(B124="","",'Handicap Settings'!$B$8)</x:f>
      </x:c>
      <x:c r="K124" s="100" t="str">
        <x:f>IF(B124="","",MAX(I124-J124,MIN(I124+J124,H124)))</x:f>
      </x:c>
      <x:c r="L124" t="str">
        <x:f>IF(B124="","",IF(K124=4,"Elite+",IF(K124=3,"Elite",IF(K124=2,"A+",IF(K124=1,"A",IF(K124=0,"B+",IF(K124=-1,"B",IF(K124=-2,"C+",IF(K124=-3,"C","D")))))))))</x:f>
      </x:c>
      <x:c r="M124" t="str">
        <x:f>IF(B124="","",IF(D124&gt;=25,"★★★★★",IF(D124&gt;=15,"★★★★",IF(D124&gt;=10,"★★★",IF(D124&gt;=6,"★★","★")))))</x:f>
      </x:c>
      <x:c r="N124" t="str">
        <x:f>IF(B124="","",TRUE)</x:f>
      </x:c>
      <x:c r="O124" t="str">
        <x:f>IF(B124="","",'Handicap Settings'!$B$4)</x:f>
      </x:c>
    </x:row>
    <x:row r="125">
      <x:c r="A125" t="inlineStr">
        <x:is>
          <x:t xml:space="preserve">FLPR-0124</x:t>
        </x:is>
      </x:c>
      <x:c r="C125" t="inlineStr">
        <x:is>
          <x:t xml:space="preserve">New / Manual</x:t>
        </x:is>
      </x:c>
      <x:c r="D125" t="n">
        <x:v>0</x:v>
      </x:c>
      <x:c r="E125" s="88" t="str">
        <x:f>IF(B125="","",'Handicap Settings'!$B$6)</x:f>
      </x:c>
      <x:c r="F125" t="str">
        <x:f>IF(B125="","",IF(D125&lt;'Handicap Settings'!$B$7,"Provisional","Established"))</x:f>
      </x:c>
      <x:c r="G125" s="126" t="str">
        <x:f>IF(B125="","",MIN(1,0.65+0.35*D125/(D125+8)))</x:f>
      </x:c>
      <x:c r="H125" s="100" t="str">
        <x:f>IF(B125="","",IF(E125&gt;=75,4,IF(E125&gt;=70,3,IF(E125&gt;=65,2,IF(E125&gt;=60,1,IF(E125&gt;=55,0,IF(E125&gt;=50,-1,IF(E125&gt;=45,-2,IF(E125&gt;=40,-3,-4)))))))))</x:f>
      </x:c>
      <x:c r="I125" s="100" t="str">
        <x:f>IF(B125="","",H125)</x:f>
      </x:c>
      <x:c r="J125" s="100" t="str">
        <x:f>IF(B125="","",'Handicap Settings'!$B$8)</x:f>
      </x:c>
      <x:c r="K125" s="100" t="str">
        <x:f>IF(B125="","",MAX(I125-J125,MIN(I125+J125,H125)))</x:f>
      </x:c>
      <x:c r="L125" t="str">
        <x:f>IF(B125="","",IF(K125=4,"Elite+",IF(K125=3,"Elite",IF(K125=2,"A+",IF(K125=1,"A",IF(K125=0,"B+",IF(K125=-1,"B",IF(K125=-2,"C+",IF(K125=-3,"C","D")))))))))</x:f>
      </x:c>
      <x:c r="M125" t="str">
        <x:f>IF(B125="","",IF(D125&gt;=25,"★★★★★",IF(D125&gt;=15,"★★★★",IF(D125&gt;=10,"★★★",IF(D125&gt;=6,"★★","★")))))</x:f>
      </x:c>
      <x:c r="N125" t="str">
        <x:f>IF(B125="","",TRUE)</x:f>
      </x:c>
      <x:c r="O125" t="str">
        <x:f>IF(B125="","",'Handicap Settings'!$B$4)</x:f>
      </x:c>
    </x:row>
    <x:row r="126">
      <x:c r="A126" t="inlineStr">
        <x:is>
          <x:t xml:space="preserve">FLPR-0125</x:t>
        </x:is>
      </x:c>
      <x:c r="C126" t="inlineStr">
        <x:is>
          <x:t xml:space="preserve">New / Manual</x:t>
        </x:is>
      </x:c>
      <x:c r="D126" t="n">
        <x:v>0</x:v>
      </x:c>
      <x:c r="E126" s="88" t="str">
        <x:f>IF(B126="","",'Handicap Settings'!$B$6)</x:f>
      </x:c>
      <x:c r="F126" t="str">
        <x:f>IF(B126="","",IF(D126&lt;'Handicap Settings'!$B$7,"Provisional","Established"))</x:f>
      </x:c>
      <x:c r="G126" s="126" t="str">
        <x:f>IF(B126="","",MIN(1,0.65+0.35*D126/(D126+8)))</x:f>
      </x:c>
      <x:c r="H126" s="100" t="str">
        <x:f>IF(B126="","",IF(E126&gt;=75,4,IF(E126&gt;=70,3,IF(E126&gt;=65,2,IF(E126&gt;=60,1,IF(E126&gt;=55,0,IF(E126&gt;=50,-1,IF(E126&gt;=45,-2,IF(E126&gt;=40,-3,-4)))))))))</x:f>
      </x:c>
      <x:c r="I126" s="100" t="str">
        <x:f>IF(B126="","",H126)</x:f>
      </x:c>
      <x:c r="J126" s="100" t="str">
        <x:f>IF(B126="","",'Handicap Settings'!$B$8)</x:f>
      </x:c>
      <x:c r="K126" s="100" t="str">
        <x:f>IF(B126="","",MAX(I126-J126,MIN(I126+J126,H126)))</x:f>
      </x:c>
      <x:c r="L126" t="str">
        <x:f>IF(B126="","",IF(K126=4,"Elite+",IF(K126=3,"Elite",IF(K126=2,"A+",IF(K126=1,"A",IF(K126=0,"B+",IF(K126=-1,"B",IF(K126=-2,"C+",IF(K126=-3,"C","D")))))))))</x:f>
      </x:c>
      <x:c r="M126" t="str">
        <x:f>IF(B126="","",IF(D126&gt;=25,"★★★★★",IF(D126&gt;=15,"★★★★",IF(D126&gt;=10,"★★★",IF(D126&gt;=6,"★★","★")))))</x:f>
      </x:c>
      <x:c r="N126" t="str">
        <x:f>IF(B126="","",TRUE)</x:f>
      </x:c>
      <x:c r="O126" t="str">
        <x:f>IF(B126="","",'Handicap Settings'!$B$4)</x:f>
      </x:c>
    </x:row>
    <x:row r="127">
      <x:c r="A127" t="inlineStr">
        <x:is>
          <x:t xml:space="preserve">FLPR-0126</x:t>
        </x:is>
      </x:c>
      <x:c r="C127" t="inlineStr">
        <x:is>
          <x:t xml:space="preserve">New / Manual</x:t>
        </x:is>
      </x:c>
      <x:c r="D127" t="n">
        <x:v>0</x:v>
      </x:c>
      <x:c r="E127" s="88" t="str">
        <x:f>IF(B127="","",'Handicap Settings'!$B$6)</x:f>
      </x:c>
      <x:c r="F127" t="str">
        <x:f>IF(B127="","",IF(D127&lt;'Handicap Settings'!$B$7,"Provisional","Established"))</x:f>
      </x:c>
      <x:c r="G127" s="126" t="str">
        <x:f>IF(B127="","",MIN(1,0.65+0.35*D127/(D127+8)))</x:f>
      </x:c>
      <x:c r="H127" s="100" t="str">
        <x:f>IF(B127="","",IF(E127&gt;=75,4,IF(E127&gt;=70,3,IF(E127&gt;=65,2,IF(E127&gt;=60,1,IF(E127&gt;=55,0,IF(E127&gt;=50,-1,IF(E127&gt;=45,-2,IF(E127&gt;=40,-3,-4)))))))))</x:f>
      </x:c>
      <x:c r="I127" s="100" t="str">
        <x:f>IF(B127="","",H127)</x:f>
      </x:c>
      <x:c r="J127" s="100" t="str">
        <x:f>IF(B127="","",'Handicap Settings'!$B$8)</x:f>
      </x:c>
      <x:c r="K127" s="100" t="str">
        <x:f>IF(B127="","",MAX(I127-J127,MIN(I127+J127,H127)))</x:f>
      </x:c>
      <x:c r="L127" t="str">
        <x:f>IF(B127="","",IF(K127=4,"Elite+",IF(K127=3,"Elite",IF(K127=2,"A+",IF(K127=1,"A",IF(K127=0,"B+",IF(K127=-1,"B",IF(K127=-2,"C+",IF(K127=-3,"C","D")))))))))</x:f>
      </x:c>
      <x:c r="M127" t="str">
        <x:f>IF(B127="","",IF(D127&gt;=25,"★★★★★",IF(D127&gt;=15,"★★★★",IF(D127&gt;=10,"★★★",IF(D127&gt;=6,"★★","★")))))</x:f>
      </x:c>
      <x:c r="N127" t="str">
        <x:f>IF(B127="","",TRUE)</x:f>
      </x:c>
      <x:c r="O127" t="str">
        <x:f>IF(B127="","",'Handicap Settings'!$B$4)</x:f>
      </x:c>
    </x:row>
    <x:row r="128">
      <x:c r="A128" t="inlineStr">
        <x:is>
          <x:t xml:space="preserve">FLPR-0127</x:t>
        </x:is>
      </x:c>
      <x:c r="C128" t="inlineStr">
        <x:is>
          <x:t xml:space="preserve">New / Manual</x:t>
        </x:is>
      </x:c>
      <x:c r="D128" t="n">
        <x:v>0</x:v>
      </x:c>
      <x:c r="E128" s="88" t="str">
        <x:f>IF(B128="","",'Handicap Settings'!$B$6)</x:f>
      </x:c>
      <x:c r="F128" t="str">
        <x:f>IF(B128="","",IF(D128&lt;'Handicap Settings'!$B$7,"Provisional","Established"))</x:f>
      </x:c>
      <x:c r="G128" s="126" t="str">
        <x:f>IF(B128="","",MIN(1,0.65+0.35*D128/(D128+8)))</x:f>
      </x:c>
      <x:c r="H128" s="100" t="str">
        <x:f>IF(B128="","",IF(E128&gt;=75,4,IF(E128&gt;=70,3,IF(E128&gt;=65,2,IF(E128&gt;=60,1,IF(E128&gt;=55,0,IF(E128&gt;=50,-1,IF(E128&gt;=45,-2,IF(E128&gt;=40,-3,-4)))))))))</x:f>
      </x:c>
      <x:c r="I128" s="100" t="str">
        <x:f>IF(B128="","",H128)</x:f>
      </x:c>
      <x:c r="J128" s="100" t="str">
        <x:f>IF(B128="","",'Handicap Settings'!$B$8)</x:f>
      </x:c>
      <x:c r="K128" s="100" t="str">
        <x:f>IF(B128="","",MAX(I128-J128,MIN(I128+J128,H128)))</x:f>
      </x:c>
      <x:c r="L128" t="str">
        <x:f>IF(B128="","",IF(K128=4,"Elite+",IF(K128=3,"Elite",IF(K128=2,"A+",IF(K128=1,"A",IF(K128=0,"B+",IF(K128=-1,"B",IF(K128=-2,"C+",IF(K128=-3,"C","D")))))))))</x:f>
      </x:c>
      <x:c r="M128" t="str">
        <x:f>IF(B128="","",IF(D128&gt;=25,"★★★★★",IF(D128&gt;=15,"★★★★",IF(D128&gt;=10,"★★★",IF(D128&gt;=6,"★★","★")))))</x:f>
      </x:c>
      <x:c r="N128" t="str">
        <x:f>IF(B128="","",TRUE)</x:f>
      </x:c>
      <x:c r="O128" t="str">
        <x:f>IF(B128="","",'Handicap Settings'!$B$4)</x:f>
      </x:c>
    </x:row>
    <x:row r="129">
      <x:c r="A129" t="inlineStr">
        <x:is>
          <x:t xml:space="preserve">FLPR-0128</x:t>
        </x:is>
      </x:c>
      <x:c r="C129" t="inlineStr">
        <x:is>
          <x:t xml:space="preserve">New / Manual</x:t>
        </x:is>
      </x:c>
      <x:c r="D129" t="n">
        <x:v>0</x:v>
      </x:c>
      <x:c r="E129" s="88" t="str">
        <x:f>IF(B129="","",'Handicap Settings'!$B$6)</x:f>
      </x:c>
      <x:c r="F129" t="str">
        <x:f>IF(B129="","",IF(D129&lt;'Handicap Settings'!$B$7,"Provisional","Established"))</x:f>
      </x:c>
      <x:c r="G129" s="126" t="str">
        <x:f>IF(B129="","",MIN(1,0.65+0.35*D129/(D129+8)))</x:f>
      </x:c>
      <x:c r="H129" s="100" t="str">
        <x:f>IF(B129="","",IF(E129&gt;=75,4,IF(E129&gt;=70,3,IF(E129&gt;=65,2,IF(E129&gt;=60,1,IF(E129&gt;=55,0,IF(E129&gt;=50,-1,IF(E129&gt;=45,-2,IF(E129&gt;=40,-3,-4)))))))))</x:f>
      </x:c>
      <x:c r="I129" s="100" t="str">
        <x:f>IF(B129="","",H129)</x:f>
      </x:c>
      <x:c r="J129" s="100" t="str">
        <x:f>IF(B129="","",'Handicap Settings'!$B$8)</x:f>
      </x:c>
      <x:c r="K129" s="100" t="str">
        <x:f>IF(B129="","",MAX(I129-J129,MIN(I129+J129,H129)))</x:f>
      </x:c>
      <x:c r="L129" t="str">
        <x:f>IF(B129="","",IF(K129=4,"Elite+",IF(K129=3,"Elite",IF(K129=2,"A+",IF(K129=1,"A",IF(K129=0,"B+",IF(K129=-1,"B",IF(K129=-2,"C+",IF(K129=-3,"C","D")))))))))</x:f>
      </x:c>
      <x:c r="M129" t="str">
        <x:f>IF(B129="","",IF(D129&gt;=25,"★★★★★",IF(D129&gt;=15,"★★★★",IF(D129&gt;=10,"★★★",IF(D129&gt;=6,"★★","★")))))</x:f>
      </x:c>
      <x:c r="N129" t="str">
        <x:f>IF(B129="","",TRUE)</x:f>
      </x:c>
      <x:c r="O129" t="str">
        <x:f>IF(B129="","",'Handicap Settings'!$B$4)</x:f>
      </x:c>
    </x:row>
    <x:row r="130">
      <x:c r="A130" t="inlineStr">
        <x:is>
          <x:t xml:space="preserve">FLPR-0129</x:t>
        </x:is>
      </x:c>
      <x:c r="C130" t="inlineStr">
        <x:is>
          <x:t xml:space="preserve">New / Manual</x:t>
        </x:is>
      </x:c>
      <x:c r="D130" t="n">
        <x:v>0</x:v>
      </x:c>
      <x:c r="E130" s="88" t="str">
        <x:f>IF(B130="","",'Handicap Settings'!$B$6)</x:f>
      </x:c>
      <x:c r="F130" t="str">
        <x:f>IF(B130="","",IF(D130&lt;'Handicap Settings'!$B$7,"Provisional","Established"))</x:f>
      </x:c>
      <x:c r="G130" s="126" t="str">
        <x:f>IF(B130="","",MIN(1,0.65+0.35*D130/(D130+8)))</x:f>
      </x:c>
      <x:c r="H130" s="100" t="str">
        <x:f>IF(B130="","",IF(E130&gt;=75,4,IF(E130&gt;=70,3,IF(E130&gt;=65,2,IF(E130&gt;=60,1,IF(E130&gt;=55,0,IF(E130&gt;=50,-1,IF(E130&gt;=45,-2,IF(E130&gt;=40,-3,-4)))))))))</x:f>
      </x:c>
      <x:c r="I130" s="100" t="str">
        <x:f>IF(B130="","",H130)</x:f>
      </x:c>
      <x:c r="J130" s="100" t="str">
        <x:f>IF(B130="","",'Handicap Settings'!$B$8)</x:f>
      </x:c>
      <x:c r="K130" s="100" t="str">
        <x:f>IF(B130="","",MAX(I130-J130,MIN(I130+J130,H130)))</x:f>
      </x:c>
      <x:c r="L130" t="str">
        <x:f>IF(B130="","",IF(K130=4,"Elite+",IF(K130=3,"Elite",IF(K130=2,"A+",IF(K130=1,"A",IF(K130=0,"B+",IF(K130=-1,"B",IF(K130=-2,"C+",IF(K130=-3,"C","D")))))))))</x:f>
      </x:c>
      <x:c r="M130" t="str">
        <x:f>IF(B130="","",IF(D130&gt;=25,"★★★★★",IF(D130&gt;=15,"★★★★",IF(D130&gt;=10,"★★★",IF(D130&gt;=6,"★★","★")))))</x:f>
      </x:c>
      <x:c r="N130" t="str">
        <x:f>IF(B130="","",TRUE)</x:f>
      </x:c>
      <x:c r="O130" t="str">
        <x:f>IF(B130="","",'Handicap Settings'!$B$4)</x:f>
      </x:c>
    </x:row>
    <x:row r="131">
      <x:c r="A131" t="inlineStr">
        <x:is>
          <x:t xml:space="preserve">FLPR-0130</x:t>
        </x:is>
      </x:c>
      <x:c r="C131" t="inlineStr">
        <x:is>
          <x:t xml:space="preserve">New / Manual</x:t>
        </x:is>
      </x:c>
      <x:c r="D131" t="n">
        <x:v>0</x:v>
      </x:c>
      <x:c r="E131" s="88" t="str">
        <x:f>IF(B131="","",'Handicap Settings'!$B$6)</x:f>
      </x:c>
      <x:c r="F131" t="str">
        <x:f>IF(B131="","",IF(D131&lt;'Handicap Settings'!$B$7,"Provisional","Established"))</x:f>
      </x:c>
      <x:c r="G131" s="126" t="str">
        <x:f>IF(B131="","",MIN(1,0.65+0.35*D131/(D131+8)))</x:f>
      </x:c>
      <x:c r="H131" s="100" t="str">
        <x:f>IF(B131="","",IF(E131&gt;=75,4,IF(E131&gt;=70,3,IF(E131&gt;=65,2,IF(E131&gt;=60,1,IF(E131&gt;=55,0,IF(E131&gt;=50,-1,IF(E131&gt;=45,-2,IF(E131&gt;=40,-3,-4)))))))))</x:f>
      </x:c>
      <x:c r="I131" s="100" t="str">
        <x:f>IF(B131="","",H131)</x:f>
      </x:c>
      <x:c r="J131" s="100" t="str">
        <x:f>IF(B131="","",'Handicap Settings'!$B$8)</x:f>
      </x:c>
      <x:c r="K131" s="100" t="str">
        <x:f>IF(B131="","",MAX(I131-J131,MIN(I131+J131,H131)))</x:f>
      </x:c>
      <x:c r="L131" t="str">
        <x:f>IF(B131="","",IF(K131=4,"Elite+",IF(K131=3,"Elite",IF(K131=2,"A+",IF(K131=1,"A",IF(K131=0,"B+",IF(K131=-1,"B",IF(K131=-2,"C+",IF(K131=-3,"C","D")))))))))</x:f>
      </x:c>
      <x:c r="M131" t="str">
        <x:f>IF(B131="","",IF(D131&gt;=25,"★★★★★",IF(D131&gt;=15,"★★★★",IF(D131&gt;=10,"★★★",IF(D131&gt;=6,"★★","★")))))</x:f>
      </x:c>
      <x:c r="N131" t="str">
        <x:f>IF(B131="","",TRUE)</x:f>
      </x:c>
      <x:c r="O131" t="str">
        <x:f>IF(B131="","",'Handicap Settings'!$B$4)</x:f>
      </x:c>
    </x:row>
    <x:row r="132">
      <x:c r="A132" t="inlineStr">
        <x:is>
          <x:t xml:space="preserve">FLPR-0131</x:t>
        </x:is>
      </x:c>
      <x:c r="C132" t="inlineStr">
        <x:is>
          <x:t xml:space="preserve">New / Manual</x:t>
        </x:is>
      </x:c>
      <x:c r="D132" t="n">
        <x:v>0</x:v>
      </x:c>
      <x:c r="E132" s="88" t="str">
        <x:f>IF(B132="","",'Handicap Settings'!$B$6)</x:f>
      </x:c>
      <x:c r="F132" t="str">
        <x:f>IF(B132="","",IF(D132&lt;'Handicap Settings'!$B$7,"Provisional","Established"))</x:f>
      </x:c>
      <x:c r="G132" s="126" t="str">
        <x:f>IF(B132="","",MIN(1,0.65+0.35*D132/(D132+8)))</x:f>
      </x:c>
      <x:c r="H132" s="100" t="str">
        <x:f>IF(B132="","",IF(E132&gt;=75,4,IF(E132&gt;=70,3,IF(E132&gt;=65,2,IF(E132&gt;=60,1,IF(E132&gt;=55,0,IF(E132&gt;=50,-1,IF(E132&gt;=45,-2,IF(E132&gt;=40,-3,-4)))))))))</x:f>
      </x:c>
      <x:c r="I132" s="100" t="str">
        <x:f>IF(B132="","",H132)</x:f>
      </x:c>
      <x:c r="J132" s="100" t="str">
        <x:f>IF(B132="","",'Handicap Settings'!$B$8)</x:f>
      </x:c>
      <x:c r="K132" s="100" t="str">
        <x:f>IF(B132="","",MAX(I132-J132,MIN(I132+J132,H132)))</x:f>
      </x:c>
      <x:c r="L132" t="str">
        <x:f>IF(B132="","",IF(K132=4,"Elite+",IF(K132=3,"Elite",IF(K132=2,"A+",IF(K132=1,"A",IF(K132=0,"B+",IF(K132=-1,"B",IF(K132=-2,"C+",IF(K132=-3,"C","D")))))))))</x:f>
      </x:c>
      <x:c r="M132" t="str">
        <x:f>IF(B132="","",IF(D132&gt;=25,"★★★★★",IF(D132&gt;=15,"★★★★",IF(D132&gt;=10,"★★★",IF(D132&gt;=6,"★★","★")))))</x:f>
      </x:c>
      <x:c r="N132" t="str">
        <x:f>IF(B132="","",TRUE)</x:f>
      </x:c>
      <x:c r="O132" t="str">
        <x:f>IF(B132="","",'Handicap Settings'!$B$4)</x:f>
      </x:c>
    </x:row>
    <x:row r="133">
      <x:c r="A133" t="inlineStr">
        <x:is>
          <x:t xml:space="preserve">FLPR-0132</x:t>
        </x:is>
      </x:c>
      <x:c r="C133" t="inlineStr">
        <x:is>
          <x:t xml:space="preserve">New / Manual</x:t>
        </x:is>
      </x:c>
      <x:c r="D133" t="n">
        <x:v>0</x:v>
      </x:c>
      <x:c r="E133" s="88" t="str">
        <x:f>IF(B133="","",'Handicap Settings'!$B$6)</x:f>
      </x:c>
      <x:c r="F133" t="str">
        <x:f>IF(B133="","",IF(D133&lt;'Handicap Settings'!$B$7,"Provisional","Established"))</x:f>
      </x:c>
      <x:c r="G133" s="126" t="str">
        <x:f>IF(B133="","",MIN(1,0.65+0.35*D133/(D133+8)))</x:f>
      </x:c>
      <x:c r="H133" s="100" t="str">
        <x:f>IF(B133="","",IF(E133&gt;=75,4,IF(E133&gt;=70,3,IF(E133&gt;=65,2,IF(E133&gt;=60,1,IF(E133&gt;=55,0,IF(E133&gt;=50,-1,IF(E133&gt;=45,-2,IF(E133&gt;=40,-3,-4)))))))))</x:f>
      </x:c>
      <x:c r="I133" s="100" t="str">
        <x:f>IF(B133="","",H133)</x:f>
      </x:c>
      <x:c r="J133" s="100" t="str">
        <x:f>IF(B133="","",'Handicap Settings'!$B$8)</x:f>
      </x:c>
      <x:c r="K133" s="100" t="str">
        <x:f>IF(B133="","",MAX(I133-J133,MIN(I133+J133,H133)))</x:f>
      </x:c>
      <x:c r="L133" t="str">
        <x:f>IF(B133="","",IF(K133=4,"Elite+",IF(K133=3,"Elite",IF(K133=2,"A+",IF(K133=1,"A",IF(K133=0,"B+",IF(K133=-1,"B",IF(K133=-2,"C+",IF(K133=-3,"C","D")))))))))</x:f>
      </x:c>
      <x:c r="M133" t="str">
        <x:f>IF(B133="","",IF(D133&gt;=25,"★★★★★",IF(D133&gt;=15,"★★★★",IF(D133&gt;=10,"★★★",IF(D133&gt;=6,"★★","★")))))</x:f>
      </x:c>
      <x:c r="N133" t="str">
        <x:f>IF(B133="","",TRUE)</x:f>
      </x:c>
      <x:c r="O133" t="str">
        <x:f>IF(B133="","",'Handicap Settings'!$B$4)</x:f>
      </x:c>
    </x:row>
    <x:row r="134">
      <x:c r="A134" t="inlineStr">
        <x:is>
          <x:t xml:space="preserve">FLPR-0133</x:t>
        </x:is>
      </x:c>
      <x:c r="C134" t="inlineStr">
        <x:is>
          <x:t xml:space="preserve">New / Manual</x:t>
        </x:is>
      </x:c>
      <x:c r="D134" t="n">
        <x:v>0</x:v>
      </x:c>
      <x:c r="E134" s="88" t="str">
        <x:f>IF(B134="","",'Handicap Settings'!$B$6)</x:f>
      </x:c>
      <x:c r="F134" t="str">
        <x:f>IF(B134="","",IF(D134&lt;'Handicap Settings'!$B$7,"Provisional","Established"))</x:f>
      </x:c>
      <x:c r="G134" s="126" t="str">
        <x:f>IF(B134="","",MIN(1,0.65+0.35*D134/(D134+8)))</x:f>
      </x:c>
      <x:c r="H134" s="100" t="str">
        <x:f>IF(B134="","",IF(E134&gt;=75,4,IF(E134&gt;=70,3,IF(E134&gt;=65,2,IF(E134&gt;=60,1,IF(E134&gt;=55,0,IF(E134&gt;=50,-1,IF(E134&gt;=45,-2,IF(E134&gt;=40,-3,-4)))))))))</x:f>
      </x:c>
      <x:c r="I134" s="100" t="str">
        <x:f>IF(B134="","",H134)</x:f>
      </x:c>
      <x:c r="J134" s="100" t="str">
        <x:f>IF(B134="","",'Handicap Settings'!$B$8)</x:f>
      </x:c>
      <x:c r="K134" s="100" t="str">
        <x:f>IF(B134="","",MAX(I134-J134,MIN(I134+J134,H134)))</x:f>
      </x:c>
      <x:c r="L134" t="str">
        <x:f>IF(B134="","",IF(K134=4,"Elite+",IF(K134=3,"Elite",IF(K134=2,"A+",IF(K134=1,"A",IF(K134=0,"B+",IF(K134=-1,"B",IF(K134=-2,"C+",IF(K134=-3,"C","D")))))))))</x:f>
      </x:c>
      <x:c r="M134" t="str">
        <x:f>IF(B134="","",IF(D134&gt;=25,"★★★★★",IF(D134&gt;=15,"★★★★",IF(D134&gt;=10,"★★★",IF(D134&gt;=6,"★★","★")))))</x:f>
      </x:c>
      <x:c r="N134" t="str">
        <x:f>IF(B134="","",TRUE)</x:f>
      </x:c>
      <x:c r="O134" t="str">
        <x:f>IF(B134="","",'Handicap Settings'!$B$4)</x:f>
      </x:c>
    </x:row>
    <x:row r="135">
      <x:c r="A135" t="inlineStr">
        <x:is>
          <x:t xml:space="preserve">FLPR-0134</x:t>
        </x:is>
      </x:c>
      <x:c r="C135" t="inlineStr">
        <x:is>
          <x:t xml:space="preserve">New / Manual</x:t>
        </x:is>
      </x:c>
      <x:c r="D135" t="n">
        <x:v>0</x:v>
      </x:c>
      <x:c r="E135" s="88" t="str">
        <x:f>IF(B135="","",'Handicap Settings'!$B$6)</x:f>
      </x:c>
      <x:c r="F135" t="str">
        <x:f>IF(B135="","",IF(D135&lt;'Handicap Settings'!$B$7,"Provisional","Established"))</x:f>
      </x:c>
      <x:c r="G135" s="126" t="str">
        <x:f>IF(B135="","",MIN(1,0.65+0.35*D135/(D135+8)))</x:f>
      </x:c>
      <x:c r="H135" s="100" t="str">
        <x:f>IF(B135="","",IF(E135&gt;=75,4,IF(E135&gt;=70,3,IF(E135&gt;=65,2,IF(E135&gt;=60,1,IF(E135&gt;=55,0,IF(E135&gt;=50,-1,IF(E135&gt;=45,-2,IF(E135&gt;=40,-3,-4)))))))))</x:f>
      </x:c>
      <x:c r="I135" s="100" t="str">
        <x:f>IF(B135="","",H135)</x:f>
      </x:c>
      <x:c r="J135" s="100" t="str">
        <x:f>IF(B135="","",'Handicap Settings'!$B$8)</x:f>
      </x:c>
      <x:c r="K135" s="100" t="str">
        <x:f>IF(B135="","",MAX(I135-J135,MIN(I135+J135,H135)))</x:f>
      </x:c>
      <x:c r="L135" t="str">
        <x:f>IF(B135="","",IF(K135=4,"Elite+",IF(K135=3,"Elite",IF(K135=2,"A+",IF(K135=1,"A",IF(K135=0,"B+",IF(K135=-1,"B",IF(K135=-2,"C+",IF(K135=-3,"C","D")))))))))</x:f>
      </x:c>
      <x:c r="M135" t="str">
        <x:f>IF(B135="","",IF(D135&gt;=25,"★★★★★",IF(D135&gt;=15,"★★★★",IF(D135&gt;=10,"★★★",IF(D135&gt;=6,"★★","★")))))</x:f>
      </x:c>
      <x:c r="N135" t="str">
        <x:f>IF(B135="","",TRUE)</x:f>
      </x:c>
      <x:c r="O135" t="str">
        <x:f>IF(B135="","",'Handicap Settings'!$B$4)</x:f>
      </x:c>
    </x:row>
    <x:row r="136">
      <x:c r="A136" t="inlineStr">
        <x:is>
          <x:t xml:space="preserve">FLPR-0135</x:t>
        </x:is>
      </x:c>
      <x:c r="C136" t="inlineStr">
        <x:is>
          <x:t xml:space="preserve">New / Manual</x:t>
        </x:is>
      </x:c>
      <x:c r="D136" t="n">
        <x:v>0</x:v>
      </x:c>
      <x:c r="E136" s="88" t="str">
        <x:f>IF(B136="","",'Handicap Settings'!$B$6)</x:f>
      </x:c>
      <x:c r="F136" t="str">
        <x:f>IF(B136="","",IF(D136&lt;'Handicap Settings'!$B$7,"Provisional","Established"))</x:f>
      </x:c>
      <x:c r="G136" s="126" t="str">
        <x:f>IF(B136="","",MIN(1,0.65+0.35*D136/(D136+8)))</x:f>
      </x:c>
      <x:c r="H136" s="100" t="str">
        <x:f>IF(B136="","",IF(E136&gt;=75,4,IF(E136&gt;=70,3,IF(E136&gt;=65,2,IF(E136&gt;=60,1,IF(E136&gt;=55,0,IF(E136&gt;=50,-1,IF(E136&gt;=45,-2,IF(E136&gt;=40,-3,-4)))))))))</x:f>
      </x:c>
      <x:c r="I136" s="100" t="str">
        <x:f>IF(B136="","",H136)</x:f>
      </x:c>
      <x:c r="J136" s="100" t="str">
        <x:f>IF(B136="","",'Handicap Settings'!$B$8)</x:f>
      </x:c>
      <x:c r="K136" s="100" t="str">
        <x:f>IF(B136="","",MAX(I136-J136,MIN(I136+J136,H136)))</x:f>
      </x:c>
      <x:c r="L136" t="str">
        <x:f>IF(B136="","",IF(K136=4,"Elite+",IF(K136=3,"Elite",IF(K136=2,"A+",IF(K136=1,"A",IF(K136=0,"B+",IF(K136=-1,"B",IF(K136=-2,"C+",IF(K136=-3,"C","D")))))))))</x:f>
      </x:c>
      <x:c r="M136" t="str">
        <x:f>IF(B136="","",IF(D136&gt;=25,"★★★★★",IF(D136&gt;=15,"★★★★",IF(D136&gt;=10,"★★★",IF(D136&gt;=6,"★★","★")))))</x:f>
      </x:c>
      <x:c r="N136" t="str">
        <x:f>IF(B136="","",TRUE)</x:f>
      </x:c>
      <x:c r="O136" t="str">
        <x:f>IF(B136="","",'Handicap Settings'!$B$4)</x:f>
      </x:c>
    </x:row>
    <x:row r="137">
      <x:c r="A137" t="inlineStr">
        <x:is>
          <x:t xml:space="preserve">FLPR-0136</x:t>
        </x:is>
      </x:c>
      <x:c r="C137" t="inlineStr">
        <x:is>
          <x:t xml:space="preserve">New / Manual</x:t>
        </x:is>
      </x:c>
      <x:c r="D137" t="n">
        <x:v>0</x:v>
      </x:c>
      <x:c r="E137" s="88" t="str">
        <x:f>IF(B137="","",'Handicap Settings'!$B$6)</x:f>
      </x:c>
      <x:c r="F137" t="str">
        <x:f>IF(B137="","",IF(D137&lt;'Handicap Settings'!$B$7,"Provisional","Established"))</x:f>
      </x:c>
      <x:c r="G137" s="126" t="str">
        <x:f>IF(B137="","",MIN(1,0.65+0.35*D137/(D137+8)))</x:f>
      </x:c>
      <x:c r="H137" s="100" t="str">
        <x:f>IF(B137="","",IF(E137&gt;=75,4,IF(E137&gt;=70,3,IF(E137&gt;=65,2,IF(E137&gt;=60,1,IF(E137&gt;=55,0,IF(E137&gt;=50,-1,IF(E137&gt;=45,-2,IF(E137&gt;=40,-3,-4)))))))))</x:f>
      </x:c>
      <x:c r="I137" s="100" t="str">
        <x:f>IF(B137="","",H137)</x:f>
      </x:c>
      <x:c r="J137" s="100" t="str">
        <x:f>IF(B137="","",'Handicap Settings'!$B$8)</x:f>
      </x:c>
      <x:c r="K137" s="100" t="str">
        <x:f>IF(B137="","",MAX(I137-J137,MIN(I137+J137,H137)))</x:f>
      </x:c>
      <x:c r="L137" t="str">
        <x:f>IF(B137="","",IF(K137=4,"Elite+",IF(K137=3,"Elite",IF(K137=2,"A+",IF(K137=1,"A",IF(K137=0,"B+",IF(K137=-1,"B",IF(K137=-2,"C+",IF(K137=-3,"C","D")))))))))</x:f>
      </x:c>
      <x:c r="M137" t="str">
        <x:f>IF(B137="","",IF(D137&gt;=25,"★★★★★",IF(D137&gt;=15,"★★★★",IF(D137&gt;=10,"★★★",IF(D137&gt;=6,"★★","★")))))</x:f>
      </x:c>
      <x:c r="N137" t="str">
        <x:f>IF(B137="","",TRUE)</x:f>
      </x:c>
      <x:c r="O137" t="str">
        <x:f>IF(B137="","",'Handicap Settings'!$B$4)</x:f>
      </x:c>
    </x:row>
    <x:row r="138">
      <x:c r="A138" t="inlineStr">
        <x:is>
          <x:t xml:space="preserve">FLPR-0137</x:t>
        </x:is>
      </x:c>
      <x:c r="C138" t="inlineStr">
        <x:is>
          <x:t xml:space="preserve">New / Manual</x:t>
        </x:is>
      </x:c>
      <x:c r="D138" t="n">
        <x:v>0</x:v>
      </x:c>
      <x:c r="E138" s="88" t="str">
        <x:f>IF(B138="","",'Handicap Settings'!$B$6)</x:f>
      </x:c>
      <x:c r="F138" t="str">
        <x:f>IF(B138="","",IF(D138&lt;'Handicap Settings'!$B$7,"Provisional","Established"))</x:f>
      </x:c>
      <x:c r="G138" s="126" t="str">
        <x:f>IF(B138="","",MIN(1,0.65+0.35*D138/(D138+8)))</x:f>
      </x:c>
      <x:c r="H138" s="100" t="str">
        <x:f>IF(B138="","",IF(E138&gt;=75,4,IF(E138&gt;=70,3,IF(E138&gt;=65,2,IF(E138&gt;=60,1,IF(E138&gt;=55,0,IF(E138&gt;=50,-1,IF(E138&gt;=45,-2,IF(E138&gt;=40,-3,-4)))))))))</x:f>
      </x:c>
      <x:c r="I138" s="100" t="str">
        <x:f>IF(B138="","",H138)</x:f>
      </x:c>
      <x:c r="J138" s="100" t="str">
        <x:f>IF(B138="","",'Handicap Settings'!$B$8)</x:f>
      </x:c>
      <x:c r="K138" s="100" t="str">
        <x:f>IF(B138="","",MAX(I138-J138,MIN(I138+J138,H138)))</x:f>
      </x:c>
      <x:c r="L138" t="str">
        <x:f>IF(B138="","",IF(K138=4,"Elite+",IF(K138=3,"Elite",IF(K138=2,"A+",IF(K138=1,"A",IF(K138=0,"B+",IF(K138=-1,"B",IF(K138=-2,"C+",IF(K138=-3,"C","D")))))))))</x:f>
      </x:c>
      <x:c r="M138" t="str">
        <x:f>IF(B138="","",IF(D138&gt;=25,"★★★★★",IF(D138&gt;=15,"★★★★",IF(D138&gt;=10,"★★★",IF(D138&gt;=6,"★★","★")))))</x:f>
      </x:c>
      <x:c r="N138" t="str">
        <x:f>IF(B138="","",TRUE)</x:f>
      </x:c>
      <x:c r="O138" t="str">
        <x:f>IF(B138="","",'Handicap Settings'!$B$4)</x:f>
      </x:c>
    </x:row>
    <x:row r="139">
      <x:c r="A139" t="inlineStr">
        <x:is>
          <x:t xml:space="preserve">FLPR-0138</x:t>
        </x:is>
      </x:c>
      <x:c r="C139" t="inlineStr">
        <x:is>
          <x:t xml:space="preserve">New / Manual</x:t>
        </x:is>
      </x:c>
      <x:c r="D139" t="n">
        <x:v>0</x:v>
      </x:c>
      <x:c r="E139" s="88" t="str">
        <x:f>IF(B139="","",'Handicap Settings'!$B$6)</x:f>
      </x:c>
      <x:c r="F139" t="str">
        <x:f>IF(B139="","",IF(D139&lt;'Handicap Settings'!$B$7,"Provisional","Established"))</x:f>
      </x:c>
      <x:c r="G139" s="126" t="str">
        <x:f>IF(B139="","",MIN(1,0.65+0.35*D139/(D139+8)))</x:f>
      </x:c>
      <x:c r="H139" s="100" t="str">
        <x:f>IF(B139="","",IF(E139&gt;=75,4,IF(E139&gt;=70,3,IF(E139&gt;=65,2,IF(E139&gt;=60,1,IF(E139&gt;=55,0,IF(E139&gt;=50,-1,IF(E139&gt;=45,-2,IF(E139&gt;=40,-3,-4)))))))))</x:f>
      </x:c>
      <x:c r="I139" s="100" t="str">
        <x:f>IF(B139="","",H139)</x:f>
      </x:c>
      <x:c r="J139" s="100" t="str">
        <x:f>IF(B139="","",'Handicap Settings'!$B$8)</x:f>
      </x:c>
      <x:c r="K139" s="100" t="str">
        <x:f>IF(B139="","",MAX(I139-J139,MIN(I139+J139,H139)))</x:f>
      </x:c>
      <x:c r="L139" t="str">
        <x:f>IF(B139="","",IF(K139=4,"Elite+",IF(K139=3,"Elite",IF(K139=2,"A+",IF(K139=1,"A",IF(K139=0,"B+",IF(K139=-1,"B",IF(K139=-2,"C+",IF(K139=-3,"C","D")))))))))</x:f>
      </x:c>
      <x:c r="M139" t="str">
        <x:f>IF(B139="","",IF(D139&gt;=25,"★★★★★",IF(D139&gt;=15,"★★★★",IF(D139&gt;=10,"★★★",IF(D139&gt;=6,"★★","★")))))</x:f>
      </x:c>
      <x:c r="N139" t="str">
        <x:f>IF(B139="","",TRUE)</x:f>
      </x:c>
      <x:c r="O139" t="str">
        <x:f>IF(B139="","",'Handicap Settings'!$B$4)</x:f>
      </x:c>
    </x:row>
    <x:row r="140">
      <x:c r="A140" t="inlineStr">
        <x:is>
          <x:t xml:space="preserve">FLPR-0139</x:t>
        </x:is>
      </x:c>
      <x:c r="C140" t="inlineStr">
        <x:is>
          <x:t xml:space="preserve">New / Manual</x:t>
        </x:is>
      </x:c>
      <x:c r="D140" t="n">
        <x:v>0</x:v>
      </x:c>
      <x:c r="E140" s="88" t="str">
        <x:f>IF(B140="","",'Handicap Settings'!$B$6)</x:f>
      </x:c>
      <x:c r="F140" t="str">
        <x:f>IF(B140="","",IF(D140&lt;'Handicap Settings'!$B$7,"Provisional","Established"))</x:f>
      </x:c>
      <x:c r="G140" s="126" t="str">
        <x:f>IF(B140="","",MIN(1,0.65+0.35*D140/(D140+8)))</x:f>
      </x:c>
      <x:c r="H140" s="100" t="str">
        <x:f>IF(B140="","",IF(E140&gt;=75,4,IF(E140&gt;=70,3,IF(E140&gt;=65,2,IF(E140&gt;=60,1,IF(E140&gt;=55,0,IF(E140&gt;=50,-1,IF(E140&gt;=45,-2,IF(E140&gt;=40,-3,-4)))))))))</x:f>
      </x:c>
      <x:c r="I140" s="100" t="str">
        <x:f>IF(B140="","",H140)</x:f>
      </x:c>
      <x:c r="J140" s="100" t="str">
        <x:f>IF(B140="","",'Handicap Settings'!$B$8)</x:f>
      </x:c>
      <x:c r="K140" s="100" t="str">
        <x:f>IF(B140="","",MAX(I140-J140,MIN(I140+J140,H140)))</x:f>
      </x:c>
      <x:c r="L140" t="str">
        <x:f>IF(B140="","",IF(K140=4,"Elite+",IF(K140=3,"Elite",IF(K140=2,"A+",IF(K140=1,"A",IF(K140=0,"B+",IF(K140=-1,"B",IF(K140=-2,"C+",IF(K140=-3,"C","D")))))))))</x:f>
      </x:c>
      <x:c r="M140" t="str">
        <x:f>IF(B140="","",IF(D140&gt;=25,"★★★★★",IF(D140&gt;=15,"★★★★",IF(D140&gt;=10,"★★★",IF(D140&gt;=6,"★★","★")))))</x:f>
      </x:c>
      <x:c r="N140" t="str">
        <x:f>IF(B140="","",TRUE)</x:f>
      </x:c>
      <x:c r="O140" t="str">
        <x:f>IF(B140="","",'Handicap Settings'!$B$4)</x:f>
      </x:c>
    </x:row>
    <x:row r="141">
      <x:c r="A141" t="inlineStr">
        <x:is>
          <x:t xml:space="preserve">FLPR-0140</x:t>
        </x:is>
      </x:c>
      <x:c r="C141" t="inlineStr">
        <x:is>
          <x:t xml:space="preserve">New / Manual</x:t>
        </x:is>
      </x:c>
      <x:c r="D141" t="n">
        <x:v>0</x:v>
      </x:c>
      <x:c r="E141" s="88" t="str">
        <x:f>IF(B141="","",'Handicap Settings'!$B$6)</x:f>
      </x:c>
      <x:c r="F141" t="str">
        <x:f>IF(B141="","",IF(D141&lt;'Handicap Settings'!$B$7,"Provisional","Established"))</x:f>
      </x:c>
      <x:c r="G141" s="126" t="str">
        <x:f>IF(B141="","",MIN(1,0.65+0.35*D141/(D141+8)))</x:f>
      </x:c>
      <x:c r="H141" s="100" t="str">
        <x:f>IF(B141="","",IF(E141&gt;=75,4,IF(E141&gt;=70,3,IF(E141&gt;=65,2,IF(E141&gt;=60,1,IF(E141&gt;=55,0,IF(E141&gt;=50,-1,IF(E141&gt;=45,-2,IF(E141&gt;=40,-3,-4)))))))))</x:f>
      </x:c>
      <x:c r="I141" s="100" t="str">
        <x:f>IF(B141="","",H141)</x:f>
      </x:c>
      <x:c r="J141" s="100" t="str">
        <x:f>IF(B141="","",'Handicap Settings'!$B$8)</x:f>
      </x:c>
      <x:c r="K141" s="100" t="str">
        <x:f>IF(B141="","",MAX(I141-J141,MIN(I141+J141,H141)))</x:f>
      </x:c>
      <x:c r="L141" t="str">
        <x:f>IF(B141="","",IF(K141=4,"Elite+",IF(K141=3,"Elite",IF(K141=2,"A+",IF(K141=1,"A",IF(K141=0,"B+",IF(K141=-1,"B",IF(K141=-2,"C+",IF(K141=-3,"C","D")))))))))</x:f>
      </x:c>
      <x:c r="M141" t="str">
        <x:f>IF(B141="","",IF(D141&gt;=25,"★★★★★",IF(D141&gt;=15,"★★★★",IF(D141&gt;=10,"★★★",IF(D141&gt;=6,"★★","★")))))</x:f>
      </x:c>
      <x:c r="N141" t="str">
        <x:f>IF(B141="","",TRUE)</x:f>
      </x:c>
      <x:c r="O141" t="str">
        <x:f>IF(B141="","",'Handicap Settings'!$B$4)</x:f>
      </x:c>
    </x:row>
    <x:row r="142">
      <x:c r="A142" t="inlineStr">
        <x:is>
          <x:t xml:space="preserve">FLPR-0141</x:t>
        </x:is>
      </x:c>
      <x:c r="C142" t="inlineStr">
        <x:is>
          <x:t xml:space="preserve">New / Manual</x:t>
        </x:is>
      </x:c>
      <x:c r="D142" t="n">
        <x:v>0</x:v>
      </x:c>
      <x:c r="E142" s="88" t="str">
        <x:f>IF(B142="","",'Handicap Settings'!$B$6)</x:f>
      </x:c>
      <x:c r="F142" t="str">
        <x:f>IF(B142="","",IF(D142&lt;'Handicap Settings'!$B$7,"Provisional","Established"))</x:f>
      </x:c>
      <x:c r="G142" s="126" t="str">
        <x:f>IF(B142="","",MIN(1,0.65+0.35*D142/(D142+8)))</x:f>
      </x:c>
      <x:c r="H142" s="100" t="str">
        <x:f>IF(B142="","",IF(E142&gt;=75,4,IF(E142&gt;=70,3,IF(E142&gt;=65,2,IF(E142&gt;=60,1,IF(E142&gt;=55,0,IF(E142&gt;=50,-1,IF(E142&gt;=45,-2,IF(E142&gt;=40,-3,-4)))))))))</x:f>
      </x:c>
      <x:c r="I142" s="100" t="str">
        <x:f>IF(B142="","",H142)</x:f>
      </x:c>
      <x:c r="J142" s="100" t="str">
        <x:f>IF(B142="","",'Handicap Settings'!$B$8)</x:f>
      </x:c>
      <x:c r="K142" s="100" t="str">
        <x:f>IF(B142="","",MAX(I142-J142,MIN(I142+J142,H142)))</x:f>
      </x:c>
      <x:c r="L142" t="str">
        <x:f>IF(B142="","",IF(K142=4,"Elite+",IF(K142=3,"Elite",IF(K142=2,"A+",IF(K142=1,"A",IF(K142=0,"B+",IF(K142=-1,"B",IF(K142=-2,"C+",IF(K142=-3,"C","D")))))))))</x:f>
      </x:c>
      <x:c r="M142" t="str">
        <x:f>IF(B142="","",IF(D142&gt;=25,"★★★★★",IF(D142&gt;=15,"★★★★",IF(D142&gt;=10,"★★★",IF(D142&gt;=6,"★★","★")))))</x:f>
      </x:c>
      <x:c r="N142" t="str">
        <x:f>IF(B142="","",TRUE)</x:f>
      </x:c>
      <x:c r="O142" t="str">
        <x:f>IF(B142="","",'Handicap Settings'!$B$4)</x:f>
      </x:c>
    </x:row>
    <x:row r="143">
      <x:c r="A143" t="inlineStr">
        <x:is>
          <x:t xml:space="preserve">FLPR-0142</x:t>
        </x:is>
      </x:c>
      <x:c r="C143" t="inlineStr">
        <x:is>
          <x:t xml:space="preserve">New / Manual</x:t>
        </x:is>
      </x:c>
      <x:c r="D143" t="n">
        <x:v>0</x:v>
      </x:c>
      <x:c r="E143" s="88" t="str">
        <x:f>IF(B143="","",'Handicap Settings'!$B$6)</x:f>
      </x:c>
      <x:c r="F143" t="str">
        <x:f>IF(B143="","",IF(D143&lt;'Handicap Settings'!$B$7,"Provisional","Established"))</x:f>
      </x:c>
      <x:c r="G143" s="126" t="str">
        <x:f>IF(B143="","",MIN(1,0.65+0.35*D143/(D143+8)))</x:f>
      </x:c>
      <x:c r="H143" s="100" t="str">
        <x:f>IF(B143="","",IF(E143&gt;=75,4,IF(E143&gt;=70,3,IF(E143&gt;=65,2,IF(E143&gt;=60,1,IF(E143&gt;=55,0,IF(E143&gt;=50,-1,IF(E143&gt;=45,-2,IF(E143&gt;=40,-3,-4)))))))))</x:f>
      </x:c>
      <x:c r="I143" s="100" t="str">
        <x:f>IF(B143="","",H143)</x:f>
      </x:c>
      <x:c r="J143" s="100" t="str">
        <x:f>IF(B143="","",'Handicap Settings'!$B$8)</x:f>
      </x:c>
      <x:c r="K143" s="100" t="str">
        <x:f>IF(B143="","",MAX(I143-J143,MIN(I143+J143,H143)))</x:f>
      </x:c>
      <x:c r="L143" t="str">
        <x:f>IF(B143="","",IF(K143=4,"Elite+",IF(K143=3,"Elite",IF(K143=2,"A+",IF(K143=1,"A",IF(K143=0,"B+",IF(K143=-1,"B",IF(K143=-2,"C+",IF(K143=-3,"C","D")))))))))</x:f>
      </x:c>
      <x:c r="M143" t="str">
        <x:f>IF(B143="","",IF(D143&gt;=25,"★★★★★",IF(D143&gt;=15,"★★★★",IF(D143&gt;=10,"★★★",IF(D143&gt;=6,"★★","★")))))</x:f>
      </x:c>
      <x:c r="N143" t="str">
        <x:f>IF(B143="","",TRUE)</x:f>
      </x:c>
      <x:c r="O143" t="str">
        <x:f>IF(B143="","",'Handicap Settings'!$B$4)</x:f>
      </x:c>
    </x:row>
    <x:row r="144">
      <x:c r="A144" t="inlineStr">
        <x:is>
          <x:t xml:space="preserve">FLPR-0143</x:t>
        </x:is>
      </x:c>
      <x:c r="C144" t="inlineStr">
        <x:is>
          <x:t xml:space="preserve">New / Manual</x:t>
        </x:is>
      </x:c>
      <x:c r="D144" t="n">
        <x:v>0</x:v>
      </x:c>
      <x:c r="E144" s="88" t="str">
        <x:f>IF(B144="","",'Handicap Settings'!$B$6)</x:f>
      </x:c>
      <x:c r="F144" t="str">
        <x:f>IF(B144="","",IF(D144&lt;'Handicap Settings'!$B$7,"Provisional","Established"))</x:f>
      </x:c>
      <x:c r="G144" s="126" t="str">
        <x:f>IF(B144="","",MIN(1,0.65+0.35*D144/(D144+8)))</x:f>
      </x:c>
      <x:c r="H144" s="100" t="str">
        <x:f>IF(B144="","",IF(E144&gt;=75,4,IF(E144&gt;=70,3,IF(E144&gt;=65,2,IF(E144&gt;=60,1,IF(E144&gt;=55,0,IF(E144&gt;=50,-1,IF(E144&gt;=45,-2,IF(E144&gt;=40,-3,-4)))))))))</x:f>
      </x:c>
      <x:c r="I144" s="100" t="str">
        <x:f>IF(B144="","",H144)</x:f>
      </x:c>
      <x:c r="J144" s="100" t="str">
        <x:f>IF(B144="","",'Handicap Settings'!$B$8)</x:f>
      </x:c>
      <x:c r="K144" s="100" t="str">
        <x:f>IF(B144="","",MAX(I144-J144,MIN(I144+J144,H144)))</x:f>
      </x:c>
      <x:c r="L144" t="str">
        <x:f>IF(B144="","",IF(K144=4,"Elite+",IF(K144=3,"Elite",IF(K144=2,"A+",IF(K144=1,"A",IF(K144=0,"B+",IF(K144=-1,"B",IF(K144=-2,"C+",IF(K144=-3,"C","D")))))))))</x:f>
      </x:c>
      <x:c r="M144" t="str">
        <x:f>IF(B144="","",IF(D144&gt;=25,"★★★★★",IF(D144&gt;=15,"★★★★",IF(D144&gt;=10,"★★★",IF(D144&gt;=6,"★★","★")))))</x:f>
      </x:c>
      <x:c r="N144" t="str">
        <x:f>IF(B144="","",TRUE)</x:f>
      </x:c>
      <x:c r="O144" t="str">
        <x:f>IF(B144="","",'Handicap Settings'!$B$4)</x:f>
      </x:c>
    </x:row>
    <x:row r="145">
      <x:c r="A145" t="inlineStr">
        <x:is>
          <x:t xml:space="preserve">FLPR-0144</x:t>
        </x:is>
      </x:c>
      <x:c r="C145" t="inlineStr">
        <x:is>
          <x:t xml:space="preserve">New / Manual</x:t>
        </x:is>
      </x:c>
      <x:c r="D145" t="n">
        <x:v>0</x:v>
      </x:c>
      <x:c r="E145" s="88" t="str">
        <x:f>IF(B145="","",'Handicap Settings'!$B$6)</x:f>
      </x:c>
      <x:c r="F145" t="str">
        <x:f>IF(B145="","",IF(D145&lt;'Handicap Settings'!$B$7,"Provisional","Established"))</x:f>
      </x:c>
      <x:c r="G145" s="126" t="str">
        <x:f>IF(B145="","",MIN(1,0.65+0.35*D145/(D145+8)))</x:f>
      </x:c>
      <x:c r="H145" s="100" t="str">
        <x:f>IF(B145="","",IF(E145&gt;=75,4,IF(E145&gt;=70,3,IF(E145&gt;=65,2,IF(E145&gt;=60,1,IF(E145&gt;=55,0,IF(E145&gt;=50,-1,IF(E145&gt;=45,-2,IF(E145&gt;=40,-3,-4)))))))))</x:f>
      </x:c>
      <x:c r="I145" s="100" t="str">
        <x:f>IF(B145="","",H145)</x:f>
      </x:c>
      <x:c r="J145" s="100" t="str">
        <x:f>IF(B145="","",'Handicap Settings'!$B$8)</x:f>
      </x:c>
      <x:c r="K145" s="100" t="str">
        <x:f>IF(B145="","",MAX(I145-J145,MIN(I145+J145,H145)))</x:f>
      </x:c>
      <x:c r="L145" t="str">
        <x:f>IF(B145="","",IF(K145=4,"Elite+",IF(K145=3,"Elite",IF(K145=2,"A+",IF(K145=1,"A",IF(K145=0,"B+",IF(K145=-1,"B",IF(K145=-2,"C+",IF(K145=-3,"C","D")))))))))</x:f>
      </x:c>
      <x:c r="M145" t="str">
        <x:f>IF(B145="","",IF(D145&gt;=25,"★★★★★",IF(D145&gt;=15,"★★★★",IF(D145&gt;=10,"★★★",IF(D145&gt;=6,"★★","★")))))</x:f>
      </x:c>
      <x:c r="N145" t="str">
        <x:f>IF(B145="","",TRUE)</x:f>
      </x:c>
      <x:c r="O145" t="str">
        <x:f>IF(B145="","",'Handicap Settings'!$B$4)</x:f>
      </x:c>
    </x:row>
    <x:row r="146">
      <x:c r="A146" t="inlineStr">
        <x:is>
          <x:t xml:space="preserve">FLPR-0145</x:t>
        </x:is>
      </x:c>
      <x:c r="C146" t="inlineStr">
        <x:is>
          <x:t xml:space="preserve">New / Manual</x:t>
        </x:is>
      </x:c>
      <x:c r="D146" t="n">
        <x:v>0</x:v>
      </x:c>
      <x:c r="E146" s="88" t="str">
        <x:f>IF(B146="","",'Handicap Settings'!$B$6)</x:f>
      </x:c>
      <x:c r="F146" t="str">
        <x:f>IF(B146="","",IF(D146&lt;'Handicap Settings'!$B$7,"Provisional","Established"))</x:f>
      </x:c>
      <x:c r="G146" s="126" t="str">
        <x:f>IF(B146="","",MIN(1,0.65+0.35*D146/(D146+8)))</x:f>
      </x:c>
      <x:c r="H146" s="100" t="str">
        <x:f>IF(B146="","",IF(E146&gt;=75,4,IF(E146&gt;=70,3,IF(E146&gt;=65,2,IF(E146&gt;=60,1,IF(E146&gt;=55,0,IF(E146&gt;=50,-1,IF(E146&gt;=45,-2,IF(E146&gt;=40,-3,-4)))))))))</x:f>
      </x:c>
      <x:c r="I146" s="100" t="str">
        <x:f>IF(B146="","",H146)</x:f>
      </x:c>
      <x:c r="J146" s="100" t="str">
        <x:f>IF(B146="","",'Handicap Settings'!$B$8)</x:f>
      </x:c>
      <x:c r="K146" s="100" t="str">
        <x:f>IF(B146="","",MAX(I146-J146,MIN(I146+J146,H146)))</x:f>
      </x:c>
      <x:c r="L146" t="str">
        <x:f>IF(B146="","",IF(K146=4,"Elite+",IF(K146=3,"Elite",IF(K146=2,"A+",IF(K146=1,"A",IF(K146=0,"B+",IF(K146=-1,"B",IF(K146=-2,"C+",IF(K146=-3,"C","D")))))))))</x:f>
      </x:c>
      <x:c r="M146" t="str">
        <x:f>IF(B146="","",IF(D146&gt;=25,"★★★★★",IF(D146&gt;=15,"★★★★",IF(D146&gt;=10,"★★★",IF(D146&gt;=6,"★★","★")))))</x:f>
      </x:c>
      <x:c r="N146" t="str">
        <x:f>IF(B146="","",TRUE)</x:f>
      </x:c>
      <x:c r="O146" t="str">
        <x:f>IF(B146="","",'Handicap Settings'!$B$4)</x:f>
      </x:c>
    </x:row>
    <x:row r="147">
      <x:c r="A147" t="inlineStr">
        <x:is>
          <x:t xml:space="preserve">FLPR-0146</x:t>
        </x:is>
      </x:c>
      <x:c r="C147" t="inlineStr">
        <x:is>
          <x:t xml:space="preserve">New / Manual</x:t>
        </x:is>
      </x:c>
      <x:c r="D147" t="n">
        <x:v>0</x:v>
      </x:c>
      <x:c r="E147" s="88" t="str">
        <x:f>IF(B147="","",'Handicap Settings'!$B$6)</x:f>
      </x:c>
      <x:c r="F147" t="str">
        <x:f>IF(B147="","",IF(D147&lt;'Handicap Settings'!$B$7,"Provisional","Established"))</x:f>
      </x:c>
      <x:c r="G147" s="126" t="str">
        <x:f>IF(B147="","",MIN(1,0.65+0.35*D147/(D147+8)))</x:f>
      </x:c>
      <x:c r="H147" s="100" t="str">
        <x:f>IF(B147="","",IF(E147&gt;=75,4,IF(E147&gt;=70,3,IF(E147&gt;=65,2,IF(E147&gt;=60,1,IF(E147&gt;=55,0,IF(E147&gt;=50,-1,IF(E147&gt;=45,-2,IF(E147&gt;=40,-3,-4)))))))))</x:f>
      </x:c>
      <x:c r="I147" s="100" t="str">
        <x:f>IF(B147="","",H147)</x:f>
      </x:c>
      <x:c r="J147" s="100" t="str">
        <x:f>IF(B147="","",'Handicap Settings'!$B$8)</x:f>
      </x:c>
      <x:c r="K147" s="100" t="str">
        <x:f>IF(B147="","",MAX(I147-J147,MIN(I147+J147,H147)))</x:f>
      </x:c>
      <x:c r="L147" t="str">
        <x:f>IF(B147="","",IF(K147=4,"Elite+",IF(K147=3,"Elite",IF(K147=2,"A+",IF(K147=1,"A",IF(K147=0,"B+",IF(K147=-1,"B",IF(K147=-2,"C+",IF(K147=-3,"C","D")))))))))</x:f>
      </x:c>
      <x:c r="M147" t="str">
        <x:f>IF(B147="","",IF(D147&gt;=25,"★★★★★",IF(D147&gt;=15,"★★★★",IF(D147&gt;=10,"★★★",IF(D147&gt;=6,"★★","★")))))</x:f>
      </x:c>
      <x:c r="N147" t="str">
        <x:f>IF(B147="","",TRUE)</x:f>
      </x:c>
      <x:c r="O147" t="str">
        <x:f>IF(B147="","",'Handicap Settings'!$B$4)</x:f>
      </x:c>
    </x:row>
    <x:row r="148">
      <x:c r="A148" t="inlineStr">
        <x:is>
          <x:t xml:space="preserve">FLPR-0147</x:t>
        </x:is>
      </x:c>
      <x:c r="C148" t="inlineStr">
        <x:is>
          <x:t xml:space="preserve">New / Manual</x:t>
        </x:is>
      </x:c>
      <x:c r="D148" t="n">
        <x:v>0</x:v>
      </x:c>
      <x:c r="E148" s="88" t="str">
        <x:f>IF(B148="","",'Handicap Settings'!$B$6)</x:f>
      </x:c>
      <x:c r="F148" t="str">
        <x:f>IF(B148="","",IF(D148&lt;'Handicap Settings'!$B$7,"Provisional","Established"))</x:f>
      </x:c>
      <x:c r="G148" s="126" t="str">
        <x:f>IF(B148="","",MIN(1,0.65+0.35*D148/(D148+8)))</x:f>
      </x:c>
      <x:c r="H148" s="100" t="str">
        <x:f>IF(B148="","",IF(E148&gt;=75,4,IF(E148&gt;=70,3,IF(E148&gt;=65,2,IF(E148&gt;=60,1,IF(E148&gt;=55,0,IF(E148&gt;=50,-1,IF(E148&gt;=45,-2,IF(E148&gt;=40,-3,-4)))))))))</x:f>
      </x:c>
      <x:c r="I148" s="100" t="str">
        <x:f>IF(B148="","",H148)</x:f>
      </x:c>
      <x:c r="J148" s="100" t="str">
        <x:f>IF(B148="","",'Handicap Settings'!$B$8)</x:f>
      </x:c>
      <x:c r="K148" s="100" t="str">
        <x:f>IF(B148="","",MAX(I148-J148,MIN(I148+J148,H148)))</x:f>
      </x:c>
      <x:c r="L148" t="str">
        <x:f>IF(B148="","",IF(K148=4,"Elite+",IF(K148=3,"Elite",IF(K148=2,"A+",IF(K148=1,"A",IF(K148=0,"B+",IF(K148=-1,"B",IF(K148=-2,"C+",IF(K148=-3,"C","D")))))))))</x:f>
      </x:c>
      <x:c r="M148" t="str">
        <x:f>IF(B148="","",IF(D148&gt;=25,"★★★★★",IF(D148&gt;=15,"★★★★",IF(D148&gt;=10,"★★★",IF(D148&gt;=6,"★★","★")))))</x:f>
      </x:c>
      <x:c r="N148" t="str">
        <x:f>IF(B148="","",TRUE)</x:f>
      </x:c>
      <x:c r="O148" t="str">
        <x:f>IF(B148="","",'Handicap Settings'!$B$4)</x:f>
      </x:c>
    </x:row>
    <x:row r="149">
      <x:c r="A149" t="inlineStr">
        <x:is>
          <x:t xml:space="preserve">FLPR-0148</x:t>
        </x:is>
      </x:c>
      <x:c r="C149" t="inlineStr">
        <x:is>
          <x:t xml:space="preserve">New / Manual</x:t>
        </x:is>
      </x:c>
      <x:c r="D149" t="n">
        <x:v>0</x:v>
      </x:c>
      <x:c r="E149" s="88" t="str">
        <x:f>IF(B149="","",'Handicap Settings'!$B$6)</x:f>
      </x:c>
      <x:c r="F149" t="str">
        <x:f>IF(B149="","",IF(D149&lt;'Handicap Settings'!$B$7,"Provisional","Established"))</x:f>
      </x:c>
      <x:c r="G149" s="126" t="str">
        <x:f>IF(B149="","",MIN(1,0.65+0.35*D149/(D149+8)))</x:f>
      </x:c>
      <x:c r="H149" s="100" t="str">
        <x:f>IF(B149="","",IF(E149&gt;=75,4,IF(E149&gt;=70,3,IF(E149&gt;=65,2,IF(E149&gt;=60,1,IF(E149&gt;=55,0,IF(E149&gt;=50,-1,IF(E149&gt;=45,-2,IF(E149&gt;=40,-3,-4)))))))))</x:f>
      </x:c>
      <x:c r="I149" s="100" t="str">
        <x:f>IF(B149="","",H149)</x:f>
      </x:c>
      <x:c r="J149" s="100" t="str">
        <x:f>IF(B149="","",'Handicap Settings'!$B$8)</x:f>
      </x:c>
      <x:c r="K149" s="100" t="str">
        <x:f>IF(B149="","",MAX(I149-J149,MIN(I149+J149,H149)))</x:f>
      </x:c>
      <x:c r="L149" t="str">
        <x:f>IF(B149="","",IF(K149=4,"Elite+",IF(K149=3,"Elite",IF(K149=2,"A+",IF(K149=1,"A",IF(K149=0,"B+",IF(K149=-1,"B",IF(K149=-2,"C+",IF(K149=-3,"C","D")))))))))</x:f>
      </x:c>
      <x:c r="M149" t="str">
        <x:f>IF(B149="","",IF(D149&gt;=25,"★★★★★",IF(D149&gt;=15,"★★★★",IF(D149&gt;=10,"★★★",IF(D149&gt;=6,"★★","★")))))</x:f>
      </x:c>
      <x:c r="N149" t="str">
        <x:f>IF(B149="","",TRUE)</x:f>
      </x:c>
      <x:c r="O149" t="str">
        <x:f>IF(B149="","",'Handicap Settings'!$B$4)</x:f>
      </x:c>
    </x:row>
    <x:row r="150">
      <x:c r="A150" t="inlineStr">
        <x:is>
          <x:t xml:space="preserve">FLPR-0149</x:t>
        </x:is>
      </x:c>
      <x:c r="C150" t="inlineStr">
        <x:is>
          <x:t xml:space="preserve">New / Manual</x:t>
        </x:is>
      </x:c>
      <x:c r="D150" t="n">
        <x:v>0</x:v>
      </x:c>
      <x:c r="E150" s="88" t="str">
        <x:f>IF(B150="","",'Handicap Settings'!$B$6)</x:f>
      </x:c>
      <x:c r="F150" t="str">
        <x:f>IF(B150="","",IF(D150&lt;'Handicap Settings'!$B$7,"Provisional","Established"))</x:f>
      </x:c>
      <x:c r="G150" s="126" t="str">
        <x:f>IF(B150="","",MIN(1,0.65+0.35*D150/(D150+8)))</x:f>
      </x:c>
      <x:c r="H150" s="100" t="str">
        <x:f>IF(B150="","",IF(E150&gt;=75,4,IF(E150&gt;=70,3,IF(E150&gt;=65,2,IF(E150&gt;=60,1,IF(E150&gt;=55,0,IF(E150&gt;=50,-1,IF(E150&gt;=45,-2,IF(E150&gt;=40,-3,-4)))))))))</x:f>
      </x:c>
      <x:c r="I150" s="100" t="str">
        <x:f>IF(B150="","",H150)</x:f>
      </x:c>
      <x:c r="J150" s="100" t="str">
        <x:f>IF(B150="","",'Handicap Settings'!$B$8)</x:f>
      </x:c>
      <x:c r="K150" s="100" t="str">
        <x:f>IF(B150="","",MAX(I150-J150,MIN(I150+J150,H150)))</x:f>
      </x:c>
      <x:c r="L150" t="str">
        <x:f>IF(B150="","",IF(K150=4,"Elite+",IF(K150=3,"Elite",IF(K150=2,"A+",IF(K150=1,"A",IF(K150=0,"B+",IF(K150=-1,"B",IF(K150=-2,"C+",IF(K150=-3,"C","D")))))))))</x:f>
      </x:c>
      <x:c r="M150" t="str">
        <x:f>IF(B150="","",IF(D150&gt;=25,"★★★★★",IF(D150&gt;=15,"★★★★",IF(D150&gt;=10,"★★★",IF(D150&gt;=6,"★★","★")))))</x:f>
      </x:c>
      <x:c r="N150" t="str">
        <x:f>IF(B150="","",TRUE)</x:f>
      </x:c>
      <x:c r="O150" t="str">
        <x:f>IF(B150="","",'Handicap Settings'!$B$4)</x:f>
      </x:c>
    </x:row>
    <x:row r="151">
      <x:c r="A151" t="inlineStr">
        <x:is>
          <x:t xml:space="preserve">FLPR-0150</x:t>
        </x:is>
      </x:c>
      <x:c r="C151" t="inlineStr">
        <x:is>
          <x:t xml:space="preserve">New / Manual</x:t>
        </x:is>
      </x:c>
      <x:c r="D151" t="n">
        <x:v>0</x:v>
      </x:c>
      <x:c r="E151" s="88" t="str">
        <x:f>IF(B151="","",'Handicap Settings'!$B$6)</x:f>
      </x:c>
      <x:c r="F151" t="str">
        <x:f>IF(B151="","",IF(D151&lt;'Handicap Settings'!$B$7,"Provisional","Established"))</x:f>
      </x:c>
      <x:c r="G151" s="126" t="str">
        <x:f>IF(B151="","",MIN(1,0.65+0.35*D151/(D151+8)))</x:f>
      </x:c>
      <x:c r="H151" s="100" t="str">
        <x:f>IF(B151="","",IF(E151&gt;=75,4,IF(E151&gt;=70,3,IF(E151&gt;=65,2,IF(E151&gt;=60,1,IF(E151&gt;=55,0,IF(E151&gt;=50,-1,IF(E151&gt;=45,-2,IF(E151&gt;=40,-3,-4)))))))))</x:f>
      </x:c>
      <x:c r="I151" s="100" t="str">
        <x:f>IF(B151="","",H151)</x:f>
      </x:c>
      <x:c r="J151" s="100" t="str">
        <x:f>IF(B151="","",'Handicap Settings'!$B$8)</x:f>
      </x:c>
      <x:c r="K151" s="100" t="str">
        <x:f>IF(B151="","",MAX(I151-J151,MIN(I151+J151,H151)))</x:f>
      </x:c>
      <x:c r="L151" t="str">
        <x:f>IF(B151="","",IF(K151=4,"Elite+",IF(K151=3,"Elite",IF(K151=2,"A+",IF(K151=1,"A",IF(K151=0,"B+",IF(K151=-1,"B",IF(K151=-2,"C+",IF(K151=-3,"C","D")))))))))</x:f>
      </x:c>
      <x:c r="M151" t="str">
        <x:f>IF(B151="","",IF(D151&gt;=25,"★★★★★",IF(D151&gt;=15,"★★★★",IF(D151&gt;=10,"★★★",IF(D151&gt;=6,"★★","★")))))</x:f>
      </x:c>
      <x:c r="N151" t="str">
        <x:f>IF(B151="","",TRUE)</x:f>
      </x:c>
      <x:c r="O151" t="str">
        <x:f>IF(B151="","",'Handicap Settings'!$B$4)</x:f>
      </x:c>
    </x:row>
    <x:row r="152">
      <x:c r="A152" t="inlineStr">
        <x:is>
          <x:t xml:space="preserve">FLPR-0151</x:t>
        </x:is>
      </x:c>
      <x:c r="C152" t="inlineStr">
        <x:is>
          <x:t xml:space="preserve">New / Manual</x:t>
        </x:is>
      </x:c>
      <x:c r="D152" t="n">
        <x:v>0</x:v>
      </x:c>
      <x:c r="E152" s="88" t="str">
        <x:f>IF(B152="","",'Handicap Settings'!$B$6)</x:f>
      </x:c>
      <x:c r="F152" t="str">
        <x:f>IF(B152="","",IF(D152&lt;'Handicap Settings'!$B$7,"Provisional","Established"))</x:f>
      </x:c>
      <x:c r="G152" s="126" t="str">
        <x:f>IF(B152="","",MIN(1,0.65+0.35*D152/(D152+8)))</x:f>
      </x:c>
      <x:c r="H152" s="100" t="str">
        <x:f>IF(B152="","",IF(E152&gt;=75,4,IF(E152&gt;=70,3,IF(E152&gt;=65,2,IF(E152&gt;=60,1,IF(E152&gt;=55,0,IF(E152&gt;=50,-1,IF(E152&gt;=45,-2,IF(E152&gt;=40,-3,-4)))))))))</x:f>
      </x:c>
      <x:c r="I152" s="100" t="str">
        <x:f>IF(B152="","",H152)</x:f>
      </x:c>
      <x:c r="J152" s="100" t="str">
        <x:f>IF(B152="","",'Handicap Settings'!$B$8)</x:f>
      </x:c>
      <x:c r="K152" s="100" t="str">
        <x:f>IF(B152="","",MAX(I152-J152,MIN(I152+J152,H152)))</x:f>
      </x:c>
      <x:c r="L152" t="str">
        <x:f>IF(B152="","",IF(K152=4,"Elite+",IF(K152=3,"Elite",IF(K152=2,"A+",IF(K152=1,"A",IF(K152=0,"B+",IF(K152=-1,"B",IF(K152=-2,"C+",IF(K152=-3,"C","D")))))))))</x:f>
      </x:c>
      <x:c r="M152" t="str">
        <x:f>IF(B152="","",IF(D152&gt;=25,"★★★★★",IF(D152&gt;=15,"★★★★",IF(D152&gt;=10,"★★★",IF(D152&gt;=6,"★★","★")))))</x:f>
      </x:c>
      <x:c r="N152" t="str">
        <x:f>IF(B152="","",TRUE)</x:f>
      </x:c>
      <x:c r="O152" t="str">
        <x:f>IF(B152="","",'Handicap Settings'!$B$4)</x:f>
      </x:c>
    </x:row>
    <x:row r="153">
      <x:c r="A153" t="inlineStr">
        <x:is>
          <x:t xml:space="preserve">FLPR-0152</x:t>
        </x:is>
      </x:c>
      <x:c r="C153" t="inlineStr">
        <x:is>
          <x:t xml:space="preserve">New / Manual</x:t>
        </x:is>
      </x:c>
      <x:c r="D153" t="n">
        <x:v>0</x:v>
      </x:c>
      <x:c r="E153" s="88" t="str">
        <x:f>IF(B153="","",'Handicap Settings'!$B$6)</x:f>
      </x:c>
      <x:c r="F153" t="str">
        <x:f>IF(B153="","",IF(D153&lt;'Handicap Settings'!$B$7,"Provisional","Established"))</x:f>
      </x:c>
      <x:c r="G153" s="126" t="str">
        <x:f>IF(B153="","",MIN(1,0.65+0.35*D153/(D153+8)))</x:f>
      </x:c>
      <x:c r="H153" s="100" t="str">
        <x:f>IF(B153="","",IF(E153&gt;=75,4,IF(E153&gt;=70,3,IF(E153&gt;=65,2,IF(E153&gt;=60,1,IF(E153&gt;=55,0,IF(E153&gt;=50,-1,IF(E153&gt;=45,-2,IF(E153&gt;=40,-3,-4)))))))))</x:f>
      </x:c>
      <x:c r="I153" s="100" t="str">
        <x:f>IF(B153="","",H153)</x:f>
      </x:c>
      <x:c r="J153" s="100" t="str">
        <x:f>IF(B153="","",'Handicap Settings'!$B$8)</x:f>
      </x:c>
      <x:c r="K153" s="100" t="str">
        <x:f>IF(B153="","",MAX(I153-J153,MIN(I153+J153,H153)))</x:f>
      </x:c>
      <x:c r="L153" t="str">
        <x:f>IF(B153="","",IF(K153=4,"Elite+",IF(K153=3,"Elite",IF(K153=2,"A+",IF(K153=1,"A",IF(K153=0,"B+",IF(K153=-1,"B",IF(K153=-2,"C+",IF(K153=-3,"C","D")))))))))</x:f>
      </x:c>
      <x:c r="M153" t="str">
        <x:f>IF(B153="","",IF(D153&gt;=25,"★★★★★",IF(D153&gt;=15,"★★★★",IF(D153&gt;=10,"★★★",IF(D153&gt;=6,"★★","★")))))</x:f>
      </x:c>
      <x:c r="N153" t="str">
        <x:f>IF(B153="","",TRUE)</x:f>
      </x:c>
      <x:c r="O153" t="str">
        <x:f>IF(B153="","",'Handicap Settings'!$B$4)</x:f>
      </x:c>
    </x:row>
    <x:row r="154">
      <x:c r="A154" t="inlineStr">
        <x:is>
          <x:t xml:space="preserve">FLPR-0153</x:t>
        </x:is>
      </x:c>
      <x:c r="C154" t="inlineStr">
        <x:is>
          <x:t xml:space="preserve">New / Manual</x:t>
        </x:is>
      </x:c>
      <x:c r="D154" t="n">
        <x:v>0</x:v>
      </x:c>
      <x:c r="E154" s="88" t="str">
        <x:f>IF(B154="","",'Handicap Settings'!$B$6)</x:f>
      </x:c>
      <x:c r="F154" t="str">
        <x:f>IF(B154="","",IF(D154&lt;'Handicap Settings'!$B$7,"Provisional","Established"))</x:f>
      </x:c>
      <x:c r="G154" s="126" t="str">
        <x:f>IF(B154="","",MIN(1,0.65+0.35*D154/(D154+8)))</x:f>
      </x:c>
      <x:c r="H154" s="100" t="str">
        <x:f>IF(B154="","",IF(E154&gt;=75,4,IF(E154&gt;=70,3,IF(E154&gt;=65,2,IF(E154&gt;=60,1,IF(E154&gt;=55,0,IF(E154&gt;=50,-1,IF(E154&gt;=45,-2,IF(E154&gt;=40,-3,-4)))))))))</x:f>
      </x:c>
      <x:c r="I154" s="100" t="str">
        <x:f>IF(B154="","",H154)</x:f>
      </x:c>
      <x:c r="J154" s="100" t="str">
        <x:f>IF(B154="","",'Handicap Settings'!$B$8)</x:f>
      </x:c>
      <x:c r="K154" s="100" t="str">
        <x:f>IF(B154="","",MAX(I154-J154,MIN(I154+J154,H154)))</x:f>
      </x:c>
      <x:c r="L154" t="str">
        <x:f>IF(B154="","",IF(K154=4,"Elite+",IF(K154=3,"Elite",IF(K154=2,"A+",IF(K154=1,"A",IF(K154=0,"B+",IF(K154=-1,"B",IF(K154=-2,"C+",IF(K154=-3,"C","D")))))))))</x:f>
      </x:c>
      <x:c r="M154" t="str">
        <x:f>IF(B154="","",IF(D154&gt;=25,"★★★★★",IF(D154&gt;=15,"★★★★",IF(D154&gt;=10,"★★★",IF(D154&gt;=6,"★★","★")))))</x:f>
      </x:c>
      <x:c r="N154" t="str">
        <x:f>IF(B154="","",TRUE)</x:f>
      </x:c>
      <x:c r="O154" t="str">
        <x:f>IF(B154="","",'Handicap Settings'!$B$4)</x:f>
      </x:c>
    </x:row>
    <x:row r="155">
      <x:c r="A155" t="inlineStr">
        <x:is>
          <x:t xml:space="preserve">FLPR-0154</x:t>
        </x:is>
      </x:c>
      <x:c r="C155" t="inlineStr">
        <x:is>
          <x:t xml:space="preserve">New / Manual</x:t>
        </x:is>
      </x:c>
      <x:c r="D155" t="n">
        <x:v>0</x:v>
      </x:c>
      <x:c r="E155" s="88" t="str">
        <x:f>IF(B155="","",'Handicap Settings'!$B$6)</x:f>
      </x:c>
      <x:c r="F155" t="str">
        <x:f>IF(B155="","",IF(D155&lt;'Handicap Settings'!$B$7,"Provisional","Established"))</x:f>
      </x:c>
      <x:c r="G155" s="126" t="str">
        <x:f>IF(B155="","",MIN(1,0.65+0.35*D155/(D155+8)))</x:f>
      </x:c>
      <x:c r="H155" s="100" t="str">
        <x:f>IF(B155="","",IF(E155&gt;=75,4,IF(E155&gt;=70,3,IF(E155&gt;=65,2,IF(E155&gt;=60,1,IF(E155&gt;=55,0,IF(E155&gt;=50,-1,IF(E155&gt;=45,-2,IF(E155&gt;=40,-3,-4)))))))))</x:f>
      </x:c>
      <x:c r="I155" s="100" t="str">
        <x:f>IF(B155="","",H155)</x:f>
      </x:c>
      <x:c r="J155" s="100" t="str">
        <x:f>IF(B155="","",'Handicap Settings'!$B$8)</x:f>
      </x:c>
      <x:c r="K155" s="100" t="str">
        <x:f>IF(B155="","",MAX(I155-J155,MIN(I155+J155,H155)))</x:f>
      </x:c>
      <x:c r="L155" t="str">
        <x:f>IF(B155="","",IF(K155=4,"Elite+",IF(K155=3,"Elite",IF(K155=2,"A+",IF(K155=1,"A",IF(K155=0,"B+",IF(K155=-1,"B",IF(K155=-2,"C+",IF(K155=-3,"C","D")))))))))</x:f>
      </x:c>
      <x:c r="M155" t="str">
        <x:f>IF(B155="","",IF(D155&gt;=25,"★★★★★",IF(D155&gt;=15,"★★★★",IF(D155&gt;=10,"★★★",IF(D155&gt;=6,"★★","★")))))</x:f>
      </x:c>
      <x:c r="N155" t="str">
        <x:f>IF(B155="","",TRUE)</x:f>
      </x:c>
      <x:c r="O155" t="str">
        <x:f>IF(B155="","",'Handicap Settings'!$B$4)</x:f>
      </x:c>
    </x:row>
    <x:row r="156">
      <x:c r="A156" t="inlineStr">
        <x:is>
          <x:t xml:space="preserve">FLPR-0155</x:t>
        </x:is>
      </x:c>
      <x:c r="C156" t="inlineStr">
        <x:is>
          <x:t xml:space="preserve">New / Manual</x:t>
        </x:is>
      </x:c>
      <x:c r="D156" t="n">
        <x:v>0</x:v>
      </x:c>
      <x:c r="E156" s="88" t="str">
        <x:f>IF(B156="","",'Handicap Settings'!$B$6)</x:f>
      </x:c>
      <x:c r="F156" t="str">
        <x:f>IF(B156="","",IF(D156&lt;'Handicap Settings'!$B$7,"Provisional","Established"))</x:f>
      </x:c>
      <x:c r="G156" s="126" t="str">
        <x:f>IF(B156="","",MIN(1,0.65+0.35*D156/(D156+8)))</x:f>
      </x:c>
      <x:c r="H156" s="100" t="str">
        <x:f>IF(B156="","",IF(E156&gt;=75,4,IF(E156&gt;=70,3,IF(E156&gt;=65,2,IF(E156&gt;=60,1,IF(E156&gt;=55,0,IF(E156&gt;=50,-1,IF(E156&gt;=45,-2,IF(E156&gt;=40,-3,-4)))))))))</x:f>
      </x:c>
      <x:c r="I156" s="100" t="str">
        <x:f>IF(B156="","",H156)</x:f>
      </x:c>
      <x:c r="J156" s="100" t="str">
        <x:f>IF(B156="","",'Handicap Settings'!$B$8)</x:f>
      </x:c>
      <x:c r="K156" s="100" t="str">
        <x:f>IF(B156="","",MAX(I156-J156,MIN(I156+J156,H156)))</x:f>
      </x:c>
      <x:c r="L156" t="str">
        <x:f>IF(B156="","",IF(K156=4,"Elite+",IF(K156=3,"Elite",IF(K156=2,"A+",IF(K156=1,"A",IF(K156=0,"B+",IF(K156=-1,"B",IF(K156=-2,"C+",IF(K156=-3,"C","D")))))))))</x:f>
      </x:c>
      <x:c r="M156" t="str">
        <x:f>IF(B156="","",IF(D156&gt;=25,"★★★★★",IF(D156&gt;=15,"★★★★",IF(D156&gt;=10,"★★★",IF(D156&gt;=6,"★★","★")))))</x:f>
      </x:c>
      <x:c r="N156" t="str">
        <x:f>IF(B156="","",TRUE)</x:f>
      </x:c>
      <x:c r="O156" t="str">
        <x:f>IF(B156="","",'Handicap Settings'!$B$4)</x:f>
      </x:c>
    </x:row>
    <x:row r="157">
      <x:c r="A157" t="inlineStr">
        <x:is>
          <x:t xml:space="preserve">FLPR-0156</x:t>
        </x:is>
      </x:c>
      <x:c r="C157" t="inlineStr">
        <x:is>
          <x:t xml:space="preserve">New / Manual</x:t>
        </x:is>
      </x:c>
      <x:c r="D157" t="n">
        <x:v>0</x:v>
      </x:c>
      <x:c r="E157" s="88" t="str">
        <x:f>IF(B157="","",'Handicap Settings'!$B$6)</x:f>
      </x:c>
      <x:c r="F157" t="str">
        <x:f>IF(B157="","",IF(D157&lt;'Handicap Settings'!$B$7,"Provisional","Established"))</x:f>
      </x:c>
      <x:c r="G157" s="126" t="str">
        <x:f>IF(B157="","",MIN(1,0.65+0.35*D157/(D157+8)))</x:f>
      </x:c>
      <x:c r="H157" s="100" t="str">
        <x:f>IF(B157="","",IF(E157&gt;=75,4,IF(E157&gt;=70,3,IF(E157&gt;=65,2,IF(E157&gt;=60,1,IF(E157&gt;=55,0,IF(E157&gt;=50,-1,IF(E157&gt;=45,-2,IF(E157&gt;=40,-3,-4)))))))))</x:f>
      </x:c>
      <x:c r="I157" s="100" t="str">
        <x:f>IF(B157="","",H157)</x:f>
      </x:c>
      <x:c r="J157" s="100" t="str">
        <x:f>IF(B157="","",'Handicap Settings'!$B$8)</x:f>
      </x:c>
      <x:c r="K157" s="100" t="str">
        <x:f>IF(B157="","",MAX(I157-J157,MIN(I157+J157,H157)))</x:f>
      </x:c>
      <x:c r="L157" t="str">
        <x:f>IF(B157="","",IF(K157=4,"Elite+",IF(K157=3,"Elite",IF(K157=2,"A+",IF(K157=1,"A",IF(K157=0,"B+",IF(K157=-1,"B",IF(K157=-2,"C+",IF(K157=-3,"C","D")))))))))</x:f>
      </x:c>
      <x:c r="M157" t="str">
        <x:f>IF(B157="","",IF(D157&gt;=25,"★★★★★",IF(D157&gt;=15,"★★★★",IF(D157&gt;=10,"★★★",IF(D157&gt;=6,"★★","★")))))</x:f>
      </x:c>
      <x:c r="N157" t="str">
        <x:f>IF(B157="","",TRUE)</x:f>
      </x:c>
      <x:c r="O157" t="str">
        <x:f>IF(B157="","",'Handicap Settings'!$B$4)</x:f>
      </x:c>
    </x:row>
    <x:row r="158">
      <x:c r="A158" t="inlineStr">
        <x:is>
          <x:t xml:space="preserve">FLPR-0157</x:t>
        </x:is>
      </x:c>
      <x:c r="C158" t="inlineStr">
        <x:is>
          <x:t xml:space="preserve">New / Manual</x:t>
        </x:is>
      </x:c>
      <x:c r="D158" t="n">
        <x:v>0</x:v>
      </x:c>
      <x:c r="E158" s="88" t="str">
        <x:f>IF(B158="","",'Handicap Settings'!$B$6)</x:f>
      </x:c>
      <x:c r="F158" t="str">
        <x:f>IF(B158="","",IF(D158&lt;'Handicap Settings'!$B$7,"Provisional","Established"))</x:f>
      </x:c>
      <x:c r="G158" s="126" t="str">
        <x:f>IF(B158="","",MIN(1,0.65+0.35*D158/(D158+8)))</x:f>
      </x:c>
      <x:c r="H158" s="100" t="str">
        <x:f>IF(B158="","",IF(E158&gt;=75,4,IF(E158&gt;=70,3,IF(E158&gt;=65,2,IF(E158&gt;=60,1,IF(E158&gt;=55,0,IF(E158&gt;=50,-1,IF(E158&gt;=45,-2,IF(E158&gt;=40,-3,-4)))))))))</x:f>
      </x:c>
      <x:c r="I158" s="100" t="str">
        <x:f>IF(B158="","",H158)</x:f>
      </x:c>
      <x:c r="J158" s="100" t="str">
        <x:f>IF(B158="","",'Handicap Settings'!$B$8)</x:f>
      </x:c>
      <x:c r="K158" s="100" t="str">
        <x:f>IF(B158="","",MAX(I158-J158,MIN(I158+J158,H158)))</x:f>
      </x:c>
      <x:c r="L158" t="str">
        <x:f>IF(B158="","",IF(K158=4,"Elite+",IF(K158=3,"Elite",IF(K158=2,"A+",IF(K158=1,"A",IF(K158=0,"B+",IF(K158=-1,"B",IF(K158=-2,"C+",IF(K158=-3,"C","D")))))))))</x:f>
      </x:c>
      <x:c r="M158" t="str">
        <x:f>IF(B158="","",IF(D158&gt;=25,"★★★★★",IF(D158&gt;=15,"★★★★",IF(D158&gt;=10,"★★★",IF(D158&gt;=6,"★★","★")))))</x:f>
      </x:c>
      <x:c r="N158" t="str">
        <x:f>IF(B158="","",TRUE)</x:f>
      </x:c>
      <x:c r="O158" t="str">
        <x:f>IF(B158="","",'Handicap Settings'!$B$4)</x:f>
      </x:c>
    </x:row>
    <x:row r="159">
      <x:c r="A159" t="inlineStr">
        <x:is>
          <x:t xml:space="preserve">FLPR-0158</x:t>
        </x:is>
      </x:c>
      <x:c r="C159" t="inlineStr">
        <x:is>
          <x:t xml:space="preserve">New / Manual</x:t>
        </x:is>
      </x:c>
      <x:c r="D159" t="n">
        <x:v>0</x:v>
      </x:c>
      <x:c r="E159" s="88" t="str">
        <x:f>IF(B159="","",'Handicap Settings'!$B$6)</x:f>
      </x:c>
      <x:c r="F159" t="str">
        <x:f>IF(B159="","",IF(D159&lt;'Handicap Settings'!$B$7,"Provisional","Established"))</x:f>
      </x:c>
      <x:c r="G159" s="126" t="str">
        <x:f>IF(B159="","",MIN(1,0.65+0.35*D159/(D159+8)))</x:f>
      </x:c>
      <x:c r="H159" s="100" t="str">
        <x:f>IF(B159="","",IF(E159&gt;=75,4,IF(E159&gt;=70,3,IF(E159&gt;=65,2,IF(E159&gt;=60,1,IF(E159&gt;=55,0,IF(E159&gt;=50,-1,IF(E159&gt;=45,-2,IF(E159&gt;=40,-3,-4)))))))))</x:f>
      </x:c>
      <x:c r="I159" s="100" t="str">
        <x:f>IF(B159="","",H159)</x:f>
      </x:c>
      <x:c r="J159" s="100" t="str">
        <x:f>IF(B159="","",'Handicap Settings'!$B$8)</x:f>
      </x:c>
      <x:c r="K159" s="100" t="str">
        <x:f>IF(B159="","",MAX(I159-J159,MIN(I159+J159,H159)))</x:f>
      </x:c>
      <x:c r="L159" t="str">
        <x:f>IF(B159="","",IF(K159=4,"Elite+",IF(K159=3,"Elite",IF(K159=2,"A+",IF(K159=1,"A",IF(K159=0,"B+",IF(K159=-1,"B",IF(K159=-2,"C+",IF(K159=-3,"C","D")))))))))</x:f>
      </x:c>
      <x:c r="M159" t="str">
        <x:f>IF(B159="","",IF(D159&gt;=25,"★★★★★",IF(D159&gt;=15,"★★★★",IF(D159&gt;=10,"★★★",IF(D159&gt;=6,"★★","★")))))</x:f>
      </x:c>
      <x:c r="N159" t="str">
        <x:f>IF(B159="","",TRUE)</x:f>
      </x:c>
      <x:c r="O159" t="str">
        <x:f>IF(B159="","",'Handicap Settings'!$B$4)</x:f>
      </x:c>
    </x:row>
    <x:row r="160">
      <x:c r="A160" t="inlineStr">
        <x:is>
          <x:t xml:space="preserve">FLPR-0159</x:t>
        </x:is>
      </x:c>
      <x:c r="C160" t="inlineStr">
        <x:is>
          <x:t xml:space="preserve">New / Manual</x:t>
        </x:is>
      </x:c>
      <x:c r="D160" t="n">
        <x:v>0</x:v>
      </x:c>
      <x:c r="E160" s="88" t="str">
        <x:f>IF(B160="","",'Handicap Settings'!$B$6)</x:f>
      </x:c>
      <x:c r="F160" t="str">
        <x:f>IF(B160="","",IF(D160&lt;'Handicap Settings'!$B$7,"Provisional","Established"))</x:f>
      </x:c>
      <x:c r="G160" s="126" t="str">
        <x:f>IF(B160="","",MIN(1,0.65+0.35*D160/(D160+8)))</x:f>
      </x:c>
      <x:c r="H160" s="100" t="str">
        <x:f>IF(B160="","",IF(E160&gt;=75,4,IF(E160&gt;=70,3,IF(E160&gt;=65,2,IF(E160&gt;=60,1,IF(E160&gt;=55,0,IF(E160&gt;=50,-1,IF(E160&gt;=45,-2,IF(E160&gt;=40,-3,-4)))))))))</x:f>
      </x:c>
      <x:c r="I160" s="100" t="str">
        <x:f>IF(B160="","",H160)</x:f>
      </x:c>
      <x:c r="J160" s="100" t="str">
        <x:f>IF(B160="","",'Handicap Settings'!$B$8)</x:f>
      </x:c>
      <x:c r="K160" s="100" t="str">
        <x:f>IF(B160="","",MAX(I160-J160,MIN(I160+J160,H160)))</x:f>
      </x:c>
      <x:c r="L160" t="str">
        <x:f>IF(B160="","",IF(K160=4,"Elite+",IF(K160=3,"Elite",IF(K160=2,"A+",IF(K160=1,"A",IF(K160=0,"B+",IF(K160=-1,"B",IF(K160=-2,"C+",IF(K160=-3,"C","D")))))))))</x:f>
      </x:c>
      <x:c r="M160" t="str">
        <x:f>IF(B160="","",IF(D160&gt;=25,"★★★★★",IF(D160&gt;=15,"★★★★",IF(D160&gt;=10,"★★★",IF(D160&gt;=6,"★★","★")))))</x:f>
      </x:c>
      <x:c r="N160" t="str">
        <x:f>IF(B160="","",TRUE)</x:f>
      </x:c>
      <x:c r="O160" t="str">
        <x:f>IF(B160="","",'Handicap Settings'!$B$4)</x:f>
      </x:c>
    </x:row>
    <x:row r="161">
      <x:c r="A161" t="inlineStr">
        <x:is>
          <x:t xml:space="preserve">FLPR-0160</x:t>
        </x:is>
      </x:c>
      <x:c r="C161" t="inlineStr">
        <x:is>
          <x:t xml:space="preserve">New / Manual</x:t>
        </x:is>
      </x:c>
      <x:c r="D161" t="n">
        <x:v>0</x:v>
      </x:c>
      <x:c r="E161" s="88" t="str">
        <x:f>IF(B161="","",'Handicap Settings'!$B$6)</x:f>
      </x:c>
      <x:c r="F161" t="str">
        <x:f>IF(B161="","",IF(D161&lt;'Handicap Settings'!$B$7,"Provisional","Established"))</x:f>
      </x:c>
      <x:c r="G161" s="126" t="str">
        <x:f>IF(B161="","",MIN(1,0.65+0.35*D161/(D161+8)))</x:f>
      </x:c>
      <x:c r="H161" s="100" t="str">
        <x:f>IF(B161="","",IF(E161&gt;=75,4,IF(E161&gt;=70,3,IF(E161&gt;=65,2,IF(E161&gt;=60,1,IF(E161&gt;=55,0,IF(E161&gt;=50,-1,IF(E161&gt;=45,-2,IF(E161&gt;=40,-3,-4)))))))))</x:f>
      </x:c>
      <x:c r="I161" s="100" t="str">
        <x:f>IF(B161="","",H161)</x:f>
      </x:c>
      <x:c r="J161" s="100" t="str">
        <x:f>IF(B161="","",'Handicap Settings'!$B$8)</x:f>
      </x:c>
      <x:c r="K161" s="100" t="str">
        <x:f>IF(B161="","",MAX(I161-J161,MIN(I161+J161,H161)))</x:f>
      </x:c>
      <x:c r="L161" t="str">
        <x:f>IF(B161="","",IF(K161=4,"Elite+",IF(K161=3,"Elite",IF(K161=2,"A+",IF(K161=1,"A",IF(K161=0,"B+",IF(K161=-1,"B",IF(K161=-2,"C+",IF(K161=-3,"C","D")))))))))</x:f>
      </x:c>
      <x:c r="M161" t="str">
        <x:f>IF(B161="","",IF(D161&gt;=25,"★★★★★",IF(D161&gt;=15,"★★★★",IF(D161&gt;=10,"★★★",IF(D161&gt;=6,"★★","★")))))</x:f>
      </x:c>
      <x:c r="N161" t="str">
        <x:f>IF(B161="","",TRUE)</x:f>
      </x:c>
      <x:c r="O161" t="str">
        <x:f>IF(B161="","",'Handicap Settings'!$B$4)</x:f>
      </x:c>
    </x:row>
    <x:row r="162">
      <x:c r="A162" t="inlineStr">
        <x:is>
          <x:t xml:space="preserve">FLPR-0161</x:t>
        </x:is>
      </x:c>
      <x:c r="C162" t="inlineStr">
        <x:is>
          <x:t xml:space="preserve">New / Manual</x:t>
        </x:is>
      </x:c>
      <x:c r="D162" t="n">
        <x:v>0</x:v>
      </x:c>
      <x:c r="E162" s="88" t="str">
        <x:f>IF(B162="","",'Handicap Settings'!$B$6)</x:f>
      </x:c>
      <x:c r="F162" t="str">
        <x:f>IF(B162="","",IF(D162&lt;'Handicap Settings'!$B$7,"Provisional","Established"))</x:f>
      </x:c>
      <x:c r="G162" s="126" t="str">
        <x:f>IF(B162="","",MIN(1,0.65+0.35*D162/(D162+8)))</x:f>
      </x:c>
      <x:c r="H162" s="100" t="str">
        <x:f>IF(B162="","",IF(E162&gt;=75,4,IF(E162&gt;=70,3,IF(E162&gt;=65,2,IF(E162&gt;=60,1,IF(E162&gt;=55,0,IF(E162&gt;=50,-1,IF(E162&gt;=45,-2,IF(E162&gt;=40,-3,-4)))))))))</x:f>
      </x:c>
      <x:c r="I162" s="100" t="str">
        <x:f>IF(B162="","",H162)</x:f>
      </x:c>
      <x:c r="J162" s="100" t="str">
        <x:f>IF(B162="","",'Handicap Settings'!$B$8)</x:f>
      </x:c>
      <x:c r="K162" s="100" t="str">
        <x:f>IF(B162="","",MAX(I162-J162,MIN(I162+J162,H162)))</x:f>
      </x:c>
      <x:c r="L162" t="str">
        <x:f>IF(B162="","",IF(K162=4,"Elite+",IF(K162=3,"Elite",IF(K162=2,"A+",IF(K162=1,"A",IF(K162=0,"B+",IF(K162=-1,"B",IF(K162=-2,"C+",IF(K162=-3,"C","D")))))))))</x:f>
      </x:c>
      <x:c r="M162" t="str">
        <x:f>IF(B162="","",IF(D162&gt;=25,"★★★★★",IF(D162&gt;=15,"★★★★",IF(D162&gt;=10,"★★★",IF(D162&gt;=6,"★★","★")))))</x:f>
      </x:c>
      <x:c r="N162" t="str">
        <x:f>IF(B162="","",TRUE)</x:f>
      </x:c>
      <x:c r="O162" t="str">
        <x:f>IF(B162="","",'Handicap Settings'!$B$4)</x:f>
      </x:c>
    </x:row>
    <x:row r="163">
      <x:c r="A163" t="inlineStr">
        <x:is>
          <x:t xml:space="preserve">FLPR-0162</x:t>
        </x:is>
      </x:c>
      <x:c r="C163" t="inlineStr">
        <x:is>
          <x:t xml:space="preserve">New / Manual</x:t>
        </x:is>
      </x:c>
      <x:c r="D163" t="n">
        <x:v>0</x:v>
      </x:c>
      <x:c r="E163" s="88" t="str">
        <x:f>IF(B163="","",'Handicap Settings'!$B$6)</x:f>
      </x:c>
      <x:c r="F163" t="str">
        <x:f>IF(B163="","",IF(D163&lt;'Handicap Settings'!$B$7,"Provisional","Established"))</x:f>
      </x:c>
      <x:c r="G163" s="126" t="str">
        <x:f>IF(B163="","",MIN(1,0.65+0.35*D163/(D163+8)))</x:f>
      </x:c>
      <x:c r="H163" s="100" t="str">
        <x:f>IF(B163="","",IF(E163&gt;=75,4,IF(E163&gt;=70,3,IF(E163&gt;=65,2,IF(E163&gt;=60,1,IF(E163&gt;=55,0,IF(E163&gt;=50,-1,IF(E163&gt;=45,-2,IF(E163&gt;=40,-3,-4)))))))))</x:f>
      </x:c>
      <x:c r="I163" s="100" t="str">
        <x:f>IF(B163="","",H163)</x:f>
      </x:c>
      <x:c r="J163" s="100" t="str">
        <x:f>IF(B163="","",'Handicap Settings'!$B$8)</x:f>
      </x:c>
      <x:c r="K163" s="100" t="str">
        <x:f>IF(B163="","",MAX(I163-J163,MIN(I163+J163,H163)))</x:f>
      </x:c>
      <x:c r="L163" t="str">
        <x:f>IF(B163="","",IF(K163=4,"Elite+",IF(K163=3,"Elite",IF(K163=2,"A+",IF(K163=1,"A",IF(K163=0,"B+",IF(K163=-1,"B",IF(K163=-2,"C+",IF(K163=-3,"C","D")))))))))</x:f>
      </x:c>
      <x:c r="M163" t="str">
        <x:f>IF(B163="","",IF(D163&gt;=25,"★★★★★",IF(D163&gt;=15,"★★★★",IF(D163&gt;=10,"★★★",IF(D163&gt;=6,"★★","★")))))</x:f>
      </x:c>
      <x:c r="N163" t="str">
        <x:f>IF(B163="","",TRUE)</x:f>
      </x:c>
      <x:c r="O163" t="str">
        <x:f>IF(B163="","",'Handicap Settings'!$B$4)</x:f>
      </x:c>
    </x:row>
    <x:row r="164">
      <x:c r="A164" t="inlineStr">
        <x:is>
          <x:t xml:space="preserve">FLPR-0163</x:t>
        </x:is>
      </x:c>
      <x:c r="C164" t="inlineStr">
        <x:is>
          <x:t xml:space="preserve">New / Manual</x:t>
        </x:is>
      </x:c>
      <x:c r="D164" t="n">
        <x:v>0</x:v>
      </x:c>
      <x:c r="E164" s="88" t="str">
        <x:f>IF(B164="","",'Handicap Settings'!$B$6)</x:f>
      </x:c>
      <x:c r="F164" t="str">
        <x:f>IF(B164="","",IF(D164&lt;'Handicap Settings'!$B$7,"Provisional","Established"))</x:f>
      </x:c>
      <x:c r="G164" s="126" t="str">
        <x:f>IF(B164="","",MIN(1,0.65+0.35*D164/(D164+8)))</x:f>
      </x:c>
      <x:c r="H164" s="100" t="str">
        <x:f>IF(B164="","",IF(E164&gt;=75,4,IF(E164&gt;=70,3,IF(E164&gt;=65,2,IF(E164&gt;=60,1,IF(E164&gt;=55,0,IF(E164&gt;=50,-1,IF(E164&gt;=45,-2,IF(E164&gt;=40,-3,-4)))))))))</x:f>
      </x:c>
      <x:c r="I164" s="100" t="str">
        <x:f>IF(B164="","",H164)</x:f>
      </x:c>
      <x:c r="J164" s="100" t="str">
        <x:f>IF(B164="","",'Handicap Settings'!$B$8)</x:f>
      </x:c>
      <x:c r="K164" s="100" t="str">
        <x:f>IF(B164="","",MAX(I164-J164,MIN(I164+J164,H164)))</x:f>
      </x:c>
      <x:c r="L164" t="str">
        <x:f>IF(B164="","",IF(K164=4,"Elite+",IF(K164=3,"Elite",IF(K164=2,"A+",IF(K164=1,"A",IF(K164=0,"B+",IF(K164=-1,"B",IF(K164=-2,"C+",IF(K164=-3,"C","D")))))))))</x:f>
      </x:c>
      <x:c r="M164" t="str">
        <x:f>IF(B164="","",IF(D164&gt;=25,"★★★★★",IF(D164&gt;=15,"★★★★",IF(D164&gt;=10,"★★★",IF(D164&gt;=6,"★★","★")))))</x:f>
      </x:c>
      <x:c r="N164" t="str">
        <x:f>IF(B164="","",TRUE)</x:f>
      </x:c>
      <x:c r="O164" t="str">
        <x:f>IF(B164="","",'Handicap Settings'!$B$4)</x:f>
      </x:c>
    </x:row>
    <x:row r="165">
      <x:c r="A165" t="inlineStr">
        <x:is>
          <x:t xml:space="preserve">FLPR-0164</x:t>
        </x:is>
      </x:c>
      <x:c r="C165" t="inlineStr">
        <x:is>
          <x:t xml:space="preserve">New / Manual</x:t>
        </x:is>
      </x:c>
      <x:c r="D165" t="n">
        <x:v>0</x:v>
      </x:c>
      <x:c r="E165" s="88" t="str">
        <x:f>IF(B165="","",'Handicap Settings'!$B$6)</x:f>
      </x:c>
      <x:c r="F165" t="str">
        <x:f>IF(B165="","",IF(D165&lt;'Handicap Settings'!$B$7,"Provisional","Established"))</x:f>
      </x:c>
      <x:c r="G165" s="126" t="str">
        <x:f>IF(B165="","",MIN(1,0.65+0.35*D165/(D165+8)))</x:f>
      </x:c>
      <x:c r="H165" s="100" t="str">
        <x:f>IF(B165="","",IF(E165&gt;=75,4,IF(E165&gt;=70,3,IF(E165&gt;=65,2,IF(E165&gt;=60,1,IF(E165&gt;=55,0,IF(E165&gt;=50,-1,IF(E165&gt;=45,-2,IF(E165&gt;=40,-3,-4)))))))))</x:f>
      </x:c>
      <x:c r="I165" s="100" t="str">
        <x:f>IF(B165="","",H165)</x:f>
      </x:c>
      <x:c r="J165" s="100" t="str">
        <x:f>IF(B165="","",'Handicap Settings'!$B$8)</x:f>
      </x:c>
      <x:c r="K165" s="100" t="str">
        <x:f>IF(B165="","",MAX(I165-J165,MIN(I165+J165,H165)))</x:f>
      </x:c>
      <x:c r="L165" t="str">
        <x:f>IF(B165="","",IF(K165=4,"Elite+",IF(K165=3,"Elite",IF(K165=2,"A+",IF(K165=1,"A",IF(K165=0,"B+",IF(K165=-1,"B",IF(K165=-2,"C+",IF(K165=-3,"C","D")))))))))</x:f>
      </x:c>
      <x:c r="M165" t="str">
        <x:f>IF(B165="","",IF(D165&gt;=25,"★★★★★",IF(D165&gt;=15,"★★★★",IF(D165&gt;=10,"★★★",IF(D165&gt;=6,"★★","★")))))</x:f>
      </x:c>
      <x:c r="N165" t="str">
        <x:f>IF(B165="","",TRUE)</x:f>
      </x:c>
      <x:c r="O165" t="str">
        <x:f>IF(B165="","",'Handicap Settings'!$B$4)</x:f>
      </x:c>
    </x:row>
    <x:row r="166">
      <x:c r="A166" t="inlineStr">
        <x:is>
          <x:t xml:space="preserve">FLPR-0165</x:t>
        </x:is>
      </x:c>
      <x:c r="C166" t="inlineStr">
        <x:is>
          <x:t xml:space="preserve">New / Manual</x:t>
        </x:is>
      </x:c>
      <x:c r="D166" t="n">
        <x:v>0</x:v>
      </x:c>
      <x:c r="E166" s="88" t="str">
        <x:f>IF(B166="","",'Handicap Settings'!$B$6)</x:f>
      </x:c>
      <x:c r="F166" t="str">
        <x:f>IF(B166="","",IF(D166&lt;'Handicap Settings'!$B$7,"Provisional","Established"))</x:f>
      </x:c>
      <x:c r="G166" s="126" t="str">
        <x:f>IF(B166="","",MIN(1,0.65+0.35*D166/(D166+8)))</x:f>
      </x:c>
      <x:c r="H166" s="100" t="str">
        <x:f>IF(B166="","",IF(E166&gt;=75,4,IF(E166&gt;=70,3,IF(E166&gt;=65,2,IF(E166&gt;=60,1,IF(E166&gt;=55,0,IF(E166&gt;=50,-1,IF(E166&gt;=45,-2,IF(E166&gt;=40,-3,-4)))))))))</x:f>
      </x:c>
      <x:c r="I166" s="100" t="str">
        <x:f>IF(B166="","",H166)</x:f>
      </x:c>
      <x:c r="J166" s="100" t="str">
        <x:f>IF(B166="","",'Handicap Settings'!$B$8)</x:f>
      </x:c>
      <x:c r="K166" s="100" t="str">
        <x:f>IF(B166="","",MAX(I166-J166,MIN(I166+J166,H166)))</x:f>
      </x:c>
      <x:c r="L166" t="str">
        <x:f>IF(B166="","",IF(K166=4,"Elite+",IF(K166=3,"Elite",IF(K166=2,"A+",IF(K166=1,"A",IF(K166=0,"B+",IF(K166=-1,"B",IF(K166=-2,"C+",IF(K166=-3,"C","D")))))))))</x:f>
      </x:c>
      <x:c r="M166" t="str">
        <x:f>IF(B166="","",IF(D166&gt;=25,"★★★★★",IF(D166&gt;=15,"★★★★",IF(D166&gt;=10,"★★★",IF(D166&gt;=6,"★★","★")))))</x:f>
      </x:c>
      <x:c r="N166" t="str">
        <x:f>IF(B166="","",TRUE)</x:f>
      </x:c>
      <x:c r="O166" t="str">
        <x:f>IF(B166="","",'Handicap Settings'!$B$4)</x:f>
      </x:c>
    </x:row>
    <x:row r="167">
      <x:c r="A167" t="inlineStr">
        <x:is>
          <x:t xml:space="preserve">FLPR-0166</x:t>
        </x:is>
      </x:c>
      <x:c r="C167" t="inlineStr">
        <x:is>
          <x:t xml:space="preserve">New / Manual</x:t>
        </x:is>
      </x:c>
      <x:c r="D167" t="n">
        <x:v>0</x:v>
      </x:c>
      <x:c r="E167" s="88" t="str">
        <x:f>IF(B167="","",'Handicap Settings'!$B$6)</x:f>
      </x:c>
      <x:c r="F167" t="str">
        <x:f>IF(B167="","",IF(D167&lt;'Handicap Settings'!$B$7,"Provisional","Established"))</x:f>
      </x:c>
      <x:c r="G167" s="126" t="str">
        <x:f>IF(B167="","",MIN(1,0.65+0.35*D167/(D167+8)))</x:f>
      </x:c>
      <x:c r="H167" s="100" t="str">
        <x:f>IF(B167="","",IF(E167&gt;=75,4,IF(E167&gt;=70,3,IF(E167&gt;=65,2,IF(E167&gt;=60,1,IF(E167&gt;=55,0,IF(E167&gt;=50,-1,IF(E167&gt;=45,-2,IF(E167&gt;=40,-3,-4)))))))))</x:f>
      </x:c>
      <x:c r="I167" s="100" t="str">
        <x:f>IF(B167="","",H167)</x:f>
      </x:c>
      <x:c r="J167" s="100" t="str">
        <x:f>IF(B167="","",'Handicap Settings'!$B$8)</x:f>
      </x:c>
      <x:c r="K167" s="100" t="str">
        <x:f>IF(B167="","",MAX(I167-J167,MIN(I167+J167,H167)))</x:f>
      </x:c>
      <x:c r="L167" t="str">
        <x:f>IF(B167="","",IF(K167=4,"Elite+",IF(K167=3,"Elite",IF(K167=2,"A+",IF(K167=1,"A",IF(K167=0,"B+",IF(K167=-1,"B",IF(K167=-2,"C+",IF(K167=-3,"C","D")))))))))</x:f>
      </x:c>
      <x:c r="M167" t="str">
        <x:f>IF(B167="","",IF(D167&gt;=25,"★★★★★",IF(D167&gt;=15,"★★★★",IF(D167&gt;=10,"★★★",IF(D167&gt;=6,"★★","★")))))</x:f>
      </x:c>
      <x:c r="N167" t="str">
        <x:f>IF(B167="","",TRUE)</x:f>
      </x:c>
      <x:c r="O167" t="str">
        <x:f>IF(B167="","",'Handicap Settings'!$B$4)</x:f>
      </x:c>
    </x:row>
    <x:row r="168">
      <x:c r="A168" t="inlineStr">
        <x:is>
          <x:t xml:space="preserve">FLPR-0167</x:t>
        </x:is>
      </x:c>
      <x:c r="C168" t="inlineStr">
        <x:is>
          <x:t xml:space="preserve">New / Manual</x:t>
        </x:is>
      </x:c>
      <x:c r="D168" t="n">
        <x:v>0</x:v>
      </x:c>
      <x:c r="E168" s="88" t="str">
        <x:f>IF(B168="","",'Handicap Settings'!$B$6)</x:f>
      </x:c>
      <x:c r="F168" t="str">
        <x:f>IF(B168="","",IF(D168&lt;'Handicap Settings'!$B$7,"Provisional","Established"))</x:f>
      </x:c>
      <x:c r="G168" s="126" t="str">
        <x:f>IF(B168="","",MIN(1,0.65+0.35*D168/(D168+8)))</x:f>
      </x:c>
      <x:c r="H168" s="100" t="str">
        <x:f>IF(B168="","",IF(E168&gt;=75,4,IF(E168&gt;=70,3,IF(E168&gt;=65,2,IF(E168&gt;=60,1,IF(E168&gt;=55,0,IF(E168&gt;=50,-1,IF(E168&gt;=45,-2,IF(E168&gt;=40,-3,-4)))))))))</x:f>
      </x:c>
      <x:c r="I168" s="100" t="str">
        <x:f>IF(B168="","",H168)</x:f>
      </x:c>
      <x:c r="J168" s="100" t="str">
        <x:f>IF(B168="","",'Handicap Settings'!$B$8)</x:f>
      </x:c>
      <x:c r="K168" s="100" t="str">
        <x:f>IF(B168="","",MAX(I168-J168,MIN(I168+J168,H168)))</x:f>
      </x:c>
      <x:c r="L168" t="str">
        <x:f>IF(B168="","",IF(K168=4,"Elite+",IF(K168=3,"Elite",IF(K168=2,"A+",IF(K168=1,"A",IF(K168=0,"B+",IF(K168=-1,"B",IF(K168=-2,"C+",IF(K168=-3,"C","D")))))))))</x:f>
      </x:c>
      <x:c r="M168" t="str">
        <x:f>IF(B168="","",IF(D168&gt;=25,"★★★★★",IF(D168&gt;=15,"★★★★",IF(D168&gt;=10,"★★★",IF(D168&gt;=6,"★★","★")))))</x:f>
      </x:c>
      <x:c r="N168" t="str">
        <x:f>IF(B168="","",TRUE)</x:f>
      </x:c>
      <x:c r="O168" t="str">
        <x:f>IF(B168="","",'Handicap Settings'!$B$4)</x:f>
      </x:c>
    </x:row>
    <x:row r="169">
      <x:c r="A169" t="inlineStr">
        <x:is>
          <x:t xml:space="preserve">FLPR-0168</x:t>
        </x:is>
      </x:c>
      <x:c r="C169" t="inlineStr">
        <x:is>
          <x:t xml:space="preserve">New / Manual</x:t>
        </x:is>
      </x:c>
      <x:c r="D169" t="n">
        <x:v>0</x:v>
      </x:c>
      <x:c r="E169" s="88" t="str">
        <x:f>IF(B169="","",'Handicap Settings'!$B$6)</x:f>
      </x:c>
      <x:c r="F169" t="str">
        <x:f>IF(B169="","",IF(D169&lt;'Handicap Settings'!$B$7,"Provisional","Established"))</x:f>
      </x:c>
      <x:c r="G169" s="126" t="str">
        <x:f>IF(B169="","",MIN(1,0.65+0.35*D169/(D169+8)))</x:f>
      </x:c>
      <x:c r="H169" s="100" t="str">
        <x:f>IF(B169="","",IF(E169&gt;=75,4,IF(E169&gt;=70,3,IF(E169&gt;=65,2,IF(E169&gt;=60,1,IF(E169&gt;=55,0,IF(E169&gt;=50,-1,IF(E169&gt;=45,-2,IF(E169&gt;=40,-3,-4)))))))))</x:f>
      </x:c>
      <x:c r="I169" s="100" t="str">
        <x:f>IF(B169="","",H169)</x:f>
      </x:c>
      <x:c r="J169" s="100" t="str">
        <x:f>IF(B169="","",'Handicap Settings'!$B$8)</x:f>
      </x:c>
      <x:c r="K169" s="100" t="str">
        <x:f>IF(B169="","",MAX(I169-J169,MIN(I169+J169,H169)))</x:f>
      </x:c>
      <x:c r="L169" t="str">
        <x:f>IF(B169="","",IF(K169=4,"Elite+",IF(K169=3,"Elite",IF(K169=2,"A+",IF(K169=1,"A",IF(K169=0,"B+",IF(K169=-1,"B",IF(K169=-2,"C+",IF(K169=-3,"C","D")))))))))</x:f>
      </x:c>
      <x:c r="M169" t="str">
        <x:f>IF(B169="","",IF(D169&gt;=25,"★★★★★",IF(D169&gt;=15,"★★★★",IF(D169&gt;=10,"★★★",IF(D169&gt;=6,"★★","★")))))</x:f>
      </x:c>
      <x:c r="N169" t="str">
        <x:f>IF(B169="","",TRUE)</x:f>
      </x:c>
      <x:c r="O169" t="str">
        <x:f>IF(B169="","",'Handicap Settings'!$B$4)</x:f>
      </x:c>
    </x:row>
    <x:row r="170">
      <x:c r="A170" t="inlineStr">
        <x:is>
          <x:t xml:space="preserve">FLPR-0169</x:t>
        </x:is>
      </x:c>
      <x:c r="C170" t="inlineStr">
        <x:is>
          <x:t xml:space="preserve">New / Manual</x:t>
        </x:is>
      </x:c>
      <x:c r="D170" t="n">
        <x:v>0</x:v>
      </x:c>
      <x:c r="E170" s="88" t="str">
        <x:f>IF(B170="","",'Handicap Settings'!$B$6)</x:f>
      </x:c>
      <x:c r="F170" t="str">
        <x:f>IF(B170="","",IF(D170&lt;'Handicap Settings'!$B$7,"Provisional","Established"))</x:f>
      </x:c>
      <x:c r="G170" s="126" t="str">
        <x:f>IF(B170="","",MIN(1,0.65+0.35*D170/(D170+8)))</x:f>
      </x:c>
      <x:c r="H170" s="100" t="str">
        <x:f>IF(B170="","",IF(E170&gt;=75,4,IF(E170&gt;=70,3,IF(E170&gt;=65,2,IF(E170&gt;=60,1,IF(E170&gt;=55,0,IF(E170&gt;=50,-1,IF(E170&gt;=45,-2,IF(E170&gt;=40,-3,-4)))))))))</x:f>
      </x:c>
      <x:c r="I170" s="100" t="str">
        <x:f>IF(B170="","",H170)</x:f>
      </x:c>
      <x:c r="J170" s="100" t="str">
        <x:f>IF(B170="","",'Handicap Settings'!$B$8)</x:f>
      </x:c>
      <x:c r="K170" s="100" t="str">
        <x:f>IF(B170="","",MAX(I170-J170,MIN(I170+J170,H170)))</x:f>
      </x:c>
      <x:c r="L170" t="str">
        <x:f>IF(B170="","",IF(K170=4,"Elite+",IF(K170=3,"Elite",IF(K170=2,"A+",IF(K170=1,"A",IF(K170=0,"B+",IF(K170=-1,"B",IF(K170=-2,"C+",IF(K170=-3,"C","D")))))))))</x:f>
      </x:c>
      <x:c r="M170" t="str">
        <x:f>IF(B170="","",IF(D170&gt;=25,"★★★★★",IF(D170&gt;=15,"★★★★",IF(D170&gt;=10,"★★★",IF(D170&gt;=6,"★★","★")))))</x:f>
      </x:c>
      <x:c r="N170" t="str">
        <x:f>IF(B170="","",TRUE)</x:f>
      </x:c>
      <x:c r="O170" t="str">
        <x:f>IF(B170="","",'Handicap Settings'!$B$4)</x:f>
      </x:c>
    </x:row>
    <x:row r="171">
      <x:c r="A171" t="inlineStr">
        <x:is>
          <x:t xml:space="preserve">FLPR-0170</x:t>
        </x:is>
      </x:c>
      <x:c r="C171" t="inlineStr">
        <x:is>
          <x:t xml:space="preserve">New / Manual</x:t>
        </x:is>
      </x:c>
      <x:c r="D171" t="n">
        <x:v>0</x:v>
      </x:c>
      <x:c r="E171" s="88" t="str">
        <x:f>IF(B171="","",'Handicap Settings'!$B$6)</x:f>
      </x:c>
      <x:c r="F171" t="str">
        <x:f>IF(B171="","",IF(D171&lt;'Handicap Settings'!$B$7,"Provisional","Established"))</x:f>
      </x:c>
      <x:c r="G171" s="126" t="str">
        <x:f>IF(B171="","",MIN(1,0.65+0.35*D171/(D171+8)))</x:f>
      </x:c>
      <x:c r="H171" s="100" t="str">
        <x:f>IF(B171="","",IF(E171&gt;=75,4,IF(E171&gt;=70,3,IF(E171&gt;=65,2,IF(E171&gt;=60,1,IF(E171&gt;=55,0,IF(E171&gt;=50,-1,IF(E171&gt;=45,-2,IF(E171&gt;=40,-3,-4)))))))))</x:f>
      </x:c>
      <x:c r="I171" s="100" t="str">
        <x:f>IF(B171="","",H171)</x:f>
      </x:c>
      <x:c r="J171" s="100" t="str">
        <x:f>IF(B171="","",'Handicap Settings'!$B$8)</x:f>
      </x:c>
      <x:c r="K171" s="100" t="str">
        <x:f>IF(B171="","",MAX(I171-J171,MIN(I171+J171,H171)))</x:f>
      </x:c>
      <x:c r="L171" t="str">
        <x:f>IF(B171="","",IF(K171=4,"Elite+",IF(K171=3,"Elite",IF(K171=2,"A+",IF(K171=1,"A",IF(K171=0,"B+",IF(K171=-1,"B",IF(K171=-2,"C+",IF(K171=-3,"C","D")))))))))</x:f>
      </x:c>
      <x:c r="M171" t="str">
        <x:f>IF(B171="","",IF(D171&gt;=25,"★★★★★",IF(D171&gt;=15,"★★★★",IF(D171&gt;=10,"★★★",IF(D171&gt;=6,"★★","★")))))</x:f>
      </x:c>
      <x:c r="N171" t="str">
        <x:f>IF(B171="","",TRUE)</x:f>
      </x:c>
      <x:c r="O171" t="str">
        <x:f>IF(B171="","",'Handicap Settings'!$B$4)</x:f>
      </x:c>
    </x:row>
    <x:row r="172">
      <x:c r="A172" t="inlineStr">
        <x:is>
          <x:t xml:space="preserve">FLPR-0171</x:t>
        </x:is>
      </x:c>
      <x:c r="C172" t="inlineStr">
        <x:is>
          <x:t xml:space="preserve">New / Manual</x:t>
        </x:is>
      </x:c>
      <x:c r="D172" t="n">
        <x:v>0</x:v>
      </x:c>
      <x:c r="E172" s="88" t="str">
        <x:f>IF(B172="","",'Handicap Settings'!$B$6)</x:f>
      </x:c>
      <x:c r="F172" t="str">
        <x:f>IF(B172="","",IF(D172&lt;'Handicap Settings'!$B$7,"Provisional","Established"))</x:f>
      </x:c>
      <x:c r="G172" s="126" t="str">
        <x:f>IF(B172="","",MIN(1,0.65+0.35*D172/(D172+8)))</x:f>
      </x:c>
      <x:c r="H172" s="100" t="str">
        <x:f>IF(B172="","",IF(E172&gt;=75,4,IF(E172&gt;=70,3,IF(E172&gt;=65,2,IF(E172&gt;=60,1,IF(E172&gt;=55,0,IF(E172&gt;=50,-1,IF(E172&gt;=45,-2,IF(E172&gt;=40,-3,-4)))))))))</x:f>
      </x:c>
      <x:c r="I172" s="100" t="str">
        <x:f>IF(B172="","",H172)</x:f>
      </x:c>
      <x:c r="J172" s="100" t="str">
        <x:f>IF(B172="","",'Handicap Settings'!$B$8)</x:f>
      </x:c>
      <x:c r="K172" s="100" t="str">
        <x:f>IF(B172="","",MAX(I172-J172,MIN(I172+J172,H172)))</x:f>
      </x:c>
      <x:c r="L172" t="str">
        <x:f>IF(B172="","",IF(K172=4,"Elite+",IF(K172=3,"Elite",IF(K172=2,"A+",IF(K172=1,"A",IF(K172=0,"B+",IF(K172=-1,"B",IF(K172=-2,"C+",IF(K172=-3,"C","D")))))))))</x:f>
      </x:c>
      <x:c r="M172" t="str">
        <x:f>IF(B172="","",IF(D172&gt;=25,"★★★★★",IF(D172&gt;=15,"★★★★",IF(D172&gt;=10,"★★★",IF(D172&gt;=6,"★★","★")))))</x:f>
      </x:c>
      <x:c r="N172" t="str">
        <x:f>IF(B172="","",TRUE)</x:f>
      </x:c>
      <x:c r="O172" t="str">
        <x:f>IF(B172="","",'Handicap Settings'!$B$4)</x:f>
      </x:c>
    </x:row>
    <x:row r="173">
      <x:c r="A173" t="inlineStr">
        <x:is>
          <x:t xml:space="preserve">FLPR-0172</x:t>
        </x:is>
      </x:c>
      <x:c r="C173" t="inlineStr">
        <x:is>
          <x:t xml:space="preserve">New / Manual</x:t>
        </x:is>
      </x:c>
      <x:c r="D173" t="n">
        <x:v>0</x:v>
      </x:c>
      <x:c r="E173" s="88" t="str">
        <x:f>IF(B173="","",'Handicap Settings'!$B$6)</x:f>
      </x:c>
      <x:c r="F173" t="str">
        <x:f>IF(B173="","",IF(D173&lt;'Handicap Settings'!$B$7,"Provisional","Established"))</x:f>
      </x:c>
      <x:c r="G173" s="126" t="str">
        <x:f>IF(B173="","",MIN(1,0.65+0.35*D173/(D173+8)))</x:f>
      </x:c>
      <x:c r="H173" s="100" t="str">
        <x:f>IF(B173="","",IF(E173&gt;=75,4,IF(E173&gt;=70,3,IF(E173&gt;=65,2,IF(E173&gt;=60,1,IF(E173&gt;=55,0,IF(E173&gt;=50,-1,IF(E173&gt;=45,-2,IF(E173&gt;=40,-3,-4)))))))))</x:f>
      </x:c>
      <x:c r="I173" s="100" t="str">
        <x:f>IF(B173="","",H173)</x:f>
      </x:c>
      <x:c r="J173" s="100" t="str">
        <x:f>IF(B173="","",'Handicap Settings'!$B$8)</x:f>
      </x:c>
      <x:c r="K173" s="100" t="str">
        <x:f>IF(B173="","",MAX(I173-J173,MIN(I173+J173,H173)))</x:f>
      </x:c>
      <x:c r="L173" t="str">
        <x:f>IF(B173="","",IF(K173=4,"Elite+",IF(K173=3,"Elite",IF(K173=2,"A+",IF(K173=1,"A",IF(K173=0,"B+",IF(K173=-1,"B",IF(K173=-2,"C+",IF(K173=-3,"C","D")))))))))</x:f>
      </x:c>
      <x:c r="M173" t="str">
        <x:f>IF(B173="","",IF(D173&gt;=25,"★★★★★",IF(D173&gt;=15,"★★★★",IF(D173&gt;=10,"★★★",IF(D173&gt;=6,"★★","★")))))</x:f>
      </x:c>
      <x:c r="N173" t="str">
        <x:f>IF(B173="","",TRUE)</x:f>
      </x:c>
      <x:c r="O173" t="str">
        <x:f>IF(B173="","",'Handicap Settings'!$B$4)</x:f>
      </x:c>
    </x:row>
    <x:row r="174">
      <x:c r="A174" t="inlineStr">
        <x:is>
          <x:t xml:space="preserve">FLPR-0173</x:t>
        </x:is>
      </x:c>
      <x:c r="C174" t="inlineStr">
        <x:is>
          <x:t xml:space="preserve">New / Manual</x:t>
        </x:is>
      </x:c>
      <x:c r="D174" t="n">
        <x:v>0</x:v>
      </x:c>
      <x:c r="E174" s="88" t="str">
        <x:f>IF(B174="","",'Handicap Settings'!$B$6)</x:f>
      </x:c>
      <x:c r="F174" t="str">
        <x:f>IF(B174="","",IF(D174&lt;'Handicap Settings'!$B$7,"Provisional","Established"))</x:f>
      </x:c>
      <x:c r="G174" s="126" t="str">
        <x:f>IF(B174="","",MIN(1,0.65+0.35*D174/(D174+8)))</x:f>
      </x:c>
      <x:c r="H174" s="100" t="str">
        <x:f>IF(B174="","",IF(E174&gt;=75,4,IF(E174&gt;=70,3,IF(E174&gt;=65,2,IF(E174&gt;=60,1,IF(E174&gt;=55,0,IF(E174&gt;=50,-1,IF(E174&gt;=45,-2,IF(E174&gt;=40,-3,-4)))))))))</x:f>
      </x:c>
      <x:c r="I174" s="100" t="str">
        <x:f>IF(B174="","",H174)</x:f>
      </x:c>
      <x:c r="J174" s="100" t="str">
        <x:f>IF(B174="","",'Handicap Settings'!$B$8)</x:f>
      </x:c>
      <x:c r="K174" s="100" t="str">
        <x:f>IF(B174="","",MAX(I174-J174,MIN(I174+J174,H174)))</x:f>
      </x:c>
      <x:c r="L174" t="str">
        <x:f>IF(B174="","",IF(K174=4,"Elite+",IF(K174=3,"Elite",IF(K174=2,"A+",IF(K174=1,"A",IF(K174=0,"B+",IF(K174=-1,"B",IF(K174=-2,"C+",IF(K174=-3,"C","D")))))))))</x:f>
      </x:c>
      <x:c r="M174" t="str">
        <x:f>IF(B174="","",IF(D174&gt;=25,"★★★★★",IF(D174&gt;=15,"★★★★",IF(D174&gt;=10,"★★★",IF(D174&gt;=6,"★★","★")))))</x:f>
      </x:c>
      <x:c r="N174" t="str">
        <x:f>IF(B174="","",TRUE)</x:f>
      </x:c>
      <x:c r="O174" t="str">
        <x:f>IF(B174="","",'Handicap Settings'!$B$4)</x:f>
      </x:c>
    </x:row>
    <x:row r="175">
      <x:c r="A175" t="inlineStr">
        <x:is>
          <x:t xml:space="preserve">FLPR-0174</x:t>
        </x:is>
      </x:c>
      <x:c r="C175" t="inlineStr">
        <x:is>
          <x:t xml:space="preserve">New / Manual</x:t>
        </x:is>
      </x:c>
      <x:c r="D175" t="n">
        <x:v>0</x:v>
      </x:c>
      <x:c r="E175" s="88" t="str">
        <x:f>IF(B175="","",'Handicap Settings'!$B$6)</x:f>
      </x:c>
      <x:c r="F175" t="str">
        <x:f>IF(B175="","",IF(D175&lt;'Handicap Settings'!$B$7,"Provisional","Established"))</x:f>
      </x:c>
      <x:c r="G175" s="126" t="str">
        <x:f>IF(B175="","",MIN(1,0.65+0.35*D175/(D175+8)))</x:f>
      </x:c>
      <x:c r="H175" s="100" t="str">
        <x:f>IF(B175="","",IF(E175&gt;=75,4,IF(E175&gt;=70,3,IF(E175&gt;=65,2,IF(E175&gt;=60,1,IF(E175&gt;=55,0,IF(E175&gt;=50,-1,IF(E175&gt;=45,-2,IF(E175&gt;=40,-3,-4)))))))))</x:f>
      </x:c>
      <x:c r="I175" s="100" t="str">
        <x:f>IF(B175="","",H175)</x:f>
      </x:c>
      <x:c r="J175" s="100" t="str">
        <x:f>IF(B175="","",'Handicap Settings'!$B$8)</x:f>
      </x:c>
      <x:c r="K175" s="100" t="str">
        <x:f>IF(B175="","",MAX(I175-J175,MIN(I175+J175,H175)))</x:f>
      </x:c>
      <x:c r="L175" t="str">
        <x:f>IF(B175="","",IF(K175=4,"Elite+",IF(K175=3,"Elite",IF(K175=2,"A+",IF(K175=1,"A",IF(K175=0,"B+",IF(K175=-1,"B",IF(K175=-2,"C+",IF(K175=-3,"C","D")))))))))</x:f>
      </x:c>
      <x:c r="M175" t="str">
        <x:f>IF(B175="","",IF(D175&gt;=25,"★★★★★",IF(D175&gt;=15,"★★★★",IF(D175&gt;=10,"★★★",IF(D175&gt;=6,"★★","★")))))</x:f>
      </x:c>
      <x:c r="N175" t="str">
        <x:f>IF(B175="","",TRUE)</x:f>
      </x:c>
      <x:c r="O175" t="str">
        <x:f>IF(B175="","",'Handicap Settings'!$B$4)</x:f>
      </x:c>
    </x:row>
    <x:row r="176">
      <x:c r="A176" t="inlineStr">
        <x:is>
          <x:t xml:space="preserve">FLPR-0175</x:t>
        </x:is>
      </x:c>
      <x:c r="C176" t="inlineStr">
        <x:is>
          <x:t xml:space="preserve">New / Manual</x:t>
        </x:is>
      </x:c>
      <x:c r="D176" t="n">
        <x:v>0</x:v>
      </x:c>
      <x:c r="E176" s="88" t="str">
        <x:f>IF(B176="","",'Handicap Settings'!$B$6)</x:f>
      </x:c>
      <x:c r="F176" t="str">
        <x:f>IF(B176="","",IF(D176&lt;'Handicap Settings'!$B$7,"Provisional","Established"))</x:f>
      </x:c>
      <x:c r="G176" s="126" t="str">
        <x:f>IF(B176="","",MIN(1,0.65+0.35*D176/(D176+8)))</x:f>
      </x:c>
      <x:c r="H176" s="100" t="str">
        <x:f>IF(B176="","",IF(E176&gt;=75,4,IF(E176&gt;=70,3,IF(E176&gt;=65,2,IF(E176&gt;=60,1,IF(E176&gt;=55,0,IF(E176&gt;=50,-1,IF(E176&gt;=45,-2,IF(E176&gt;=40,-3,-4)))))))))</x:f>
      </x:c>
      <x:c r="I176" s="100" t="str">
        <x:f>IF(B176="","",H176)</x:f>
      </x:c>
      <x:c r="J176" s="100" t="str">
        <x:f>IF(B176="","",'Handicap Settings'!$B$8)</x:f>
      </x:c>
      <x:c r="K176" s="100" t="str">
        <x:f>IF(B176="","",MAX(I176-J176,MIN(I176+J176,H176)))</x:f>
      </x:c>
      <x:c r="L176" t="str">
        <x:f>IF(B176="","",IF(K176=4,"Elite+",IF(K176=3,"Elite",IF(K176=2,"A+",IF(K176=1,"A",IF(K176=0,"B+",IF(K176=-1,"B",IF(K176=-2,"C+",IF(K176=-3,"C","D")))))))))</x:f>
      </x:c>
      <x:c r="M176" t="str">
        <x:f>IF(B176="","",IF(D176&gt;=25,"★★★★★",IF(D176&gt;=15,"★★★★",IF(D176&gt;=10,"★★★",IF(D176&gt;=6,"★★","★")))))</x:f>
      </x:c>
      <x:c r="N176" t="str">
        <x:f>IF(B176="","",TRUE)</x:f>
      </x:c>
      <x:c r="O176" t="str">
        <x:f>IF(B176="","",'Handicap Settings'!$B$4)</x:f>
      </x:c>
    </x:row>
    <x:row r="177">
      <x:c r="A177" t="inlineStr">
        <x:is>
          <x:t xml:space="preserve">FLPR-0176</x:t>
        </x:is>
      </x:c>
      <x:c r="C177" t="inlineStr">
        <x:is>
          <x:t xml:space="preserve">New / Manual</x:t>
        </x:is>
      </x:c>
      <x:c r="D177" t="n">
        <x:v>0</x:v>
      </x:c>
      <x:c r="E177" s="88" t="str">
        <x:f>IF(B177="","",'Handicap Settings'!$B$6)</x:f>
      </x:c>
      <x:c r="F177" t="str">
        <x:f>IF(B177="","",IF(D177&lt;'Handicap Settings'!$B$7,"Provisional","Established"))</x:f>
      </x:c>
      <x:c r="G177" s="126" t="str">
        <x:f>IF(B177="","",MIN(1,0.65+0.35*D177/(D177+8)))</x:f>
      </x:c>
      <x:c r="H177" s="100" t="str">
        <x:f>IF(B177="","",IF(E177&gt;=75,4,IF(E177&gt;=70,3,IF(E177&gt;=65,2,IF(E177&gt;=60,1,IF(E177&gt;=55,0,IF(E177&gt;=50,-1,IF(E177&gt;=45,-2,IF(E177&gt;=40,-3,-4)))))))))</x:f>
      </x:c>
      <x:c r="I177" s="100" t="str">
        <x:f>IF(B177="","",H177)</x:f>
      </x:c>
      <x:c r="J177" s="100" t="str">
        <x:f>IF(B177="","",'Handicap Settings'!$B$8)</x:f>
      </x:c>
      <x:c r="K177" s="100" t="str">
        <x:f>IF(B177="","",MAX(I177-J177,MIN(I177+J177,H177)))</x:f>
      </x:c>
      <x:c r="L177" t="str">
        <x:f>IF(B177="","",IF(K177=4,"Elite+",IF(K177=3,"Elite",IF(K177=2,"A+",IF(K177=1,"A",IF(K177=0,"B+",IF(K177=-1,"B",IF(K177=-2,"C+",IF(K177=-3,"C","D")))))))))</x:f>
      </x:c>
      <x:c r="M177" t="str">
        <x:f>IF(B177="","",IF(D177&gt;=25,"★★★★★",IF(D177&gt;=15,"★★★★",IF(D177&gt;=10,"★★★",IF(D177&gt;=6,"★★","★")))))</x:f>
      </x:c>
      <x:c r="N177" t="str">
        <x:f>IF(B177="","",TRUE)</x:f>
      </x:c>
      <x:c r="O177" t="str">
        <x:f>IF(B177="","",'Handicap Settings'!$B$4)</x:f>
      </x:c>
    </x:row>
    <x:row r="178">
      <x:c r="A178" t="inlineStr">
        <x:is>
          <x:t xml:space="preserve">FLPR-0177</x:t>
        </x:is>
      </x:c>
      <x:c r="C178" t="inlineStr">
        <x:is>
          <x:t xml:space="preserve">New / Manual</x:t>
        </x:is>
      </x:c>
      <x:c r="D178" t="n">
        <x:v>0</x:v>
      </x:c>
      <x:c r="E178" s="88" t="str">
        <x:f>IF(B178="","",'Handicap Settings'!$B$6)</x:f>
      </x:c>
      <x:c r="F178" t="str">
        <x:f>IF(B178="","",IF(D178&lt;'Handicap Settings'!$B$7,"Provisional","Established"))</x:f>
      </x:c>
      <x:c r="G178" s="126" t="str">
        <x:f>IF(B178="","",MIN(1,0.65+0.35*D178/(D178+8)))</x:f>
      </x:c>
      <x:c r="H178" s="100" t="str">
        <x:f>IF(B178="","",IF(E178&gt;=75,4,IF(E178&gt;=70,3,IF(E178&gt;=65,2,IF(E178&gt;=60,1,IF(E178&gt;=55,0,IF(E178&gt;=50,-1,IF(E178&gt;=45,-2,IF(E178&gt;=40,-3,-4)))))))))</x:f>
      </x:c>
      <x:c r="I178" s="100" t="str">
        <x:f>IF(B178="","",H178)</x:f>
      </x:c>
      <x:c r="J178" s="100" t="str">
        <x:f>IF(B178="","",'Handicap Settings'!$B$8)</x:f>
      </x:c>
      <x:c r="K178" s="100" t="str">
        <x:f>IF(B178="","",MAX(I178-J178,MIN(I178+J178,H178)))</x:f>
      </x:c>
      <x:c r="L178" t="str">
        <x:f>IF(B178="","",IF(K178=4,"Elite+",IF(K178=3,"Elite",IF(K178=2,"A+",IF(K178=1,"A",IF(K178=0,"B+",IF(K178=-1,"B",IF(K178=-2,"C+",IF(K178=-3,"C","D")))))))))</x:f>
      </x:c>
      <x:c r="M178" t="str">
        <x:f>IF(B178="","",IF(D178&gt;=25,"★★★★★",IF(D178&gt;=15,"★★★★",IF(D178&gt;=10,"★★★",IF(D178&gt;=6,"★★","★")))))</x:f>
      </x:c>
      <x:c r="N178" t="str">
        <x:f>IF(B178="","",TRUE)</x:f>
      </x:c>
      <x:c r="O178" t="str">
        <x:f>IF(B178="","",'Handicap Settings'!$B$4)</x:f>
      </x:c>
    </x:row>
    <x:row r="179">
      <x:c r="A179" t="inlineStr">
        <x:is>
          <x:t xml:space="preserve">FLPR-0178</x:t>
        </x:is>
      </x:c>
      <x:c r="C179" t="inlineStr">
        <x:is>
          <x:t xml:space="preserve">New / Manual</x:t>
        </x:is>
      </x:c>
      <x:c r="D179" t="n">
        <x:v>0</x:v>
      </x:c>
      <x:c r="E179" s="88" t="str">
        <x:f>IF(B179="","",'Handicap Settings'!$B$6)</x:f>
      </x:c>
      <x:c r="F179" t="str">
        <x:f>IF(B179="","",IF(D179&lt;'Handicap Settings'!$B$7,"Provisional","Established"))</x:f>
      </x:c>
      <x:c r="G179" s="126" t="str">
        <x:f>IF(B179="","",MIN(1,0.65+0.35*D179/(D179+8)))</x:f>
      </x:c>
      <x:c r="H179" s="100" t="str">
        <x:f>IF(B179="","",IF(E179&gt;=75,4,IF(E179&gt;=70,3,IF(E179&gt;=65,2,IF(E179&gt;=60,1,IF(E179&gt;=55,0,IF(E179&gt;=50,-1,IF(E179&gt;=45,-2,IF(E179&gt;=40,-3,-4)))))))))</x:f>
      </x:c>
      <x:c r="I179" s="100" t="str">
        <x:f>IF(B179="","",H179)</x:f>
      </x:c>
      <x:c r="J179" s="100" t="str">
        <x:f>IF(B179="","",'Handicap Settings'!$B$8)</x:f>
      </x:c>
      <x:c r="K179" s="100" t="str">
        <x:f>IF(B179="","",MAX(I179-J179,MIN(I179+J179,H179)))</x:f>
      </x:c>
      <x:c r="L179" t="str">
        <x:f>IF(B179="","",IF(K179=4,"Elite+",IF(K179=3,"Elite",IF(K179=2,"A+",IF(K179=1,"A",IF(K179=0,"B+",IF(K179=-1,"B",IF(K179=-2,"C+",IF(K179=-3,"C","D")))))))))</x:f>
      </x:c>
      <x:c r="M179" t="str">
        <x:f>IF(B179="","",IF(D179&gt;=25,"★★★★★",IF(D179&gt;=15,"★★★★",IF(D179&gt;=10,"★★★",IF(D179&gt;=6,"★★","★")))))</x:f>
      </x:c>
      <x:c r="N179" t="str">
        <x:f>IF(B179="","",TRUE)</x:f>
      </x:c>
      <x:c r="O179" t="str">
        <x:f>IF(B179="","",'Handicap Settings'!$B$4)</x:f>
      </x:c>
    </x:row>
    <x:row r="180">
      <x:c r="A180" t="inlineStr">
        <x:is>
          <x:t xml:space="preserve">FLPR-0179</x:t>
        </x:is>
      </x:c>
      <x:c r="C180" t="inlineStr">
        <x:is>
          <x:t xml:space="preserve">New / Manual</x:t>
        </x:is>
      </x:c>
      <x:c r="D180" t="n">
        <x:v>0</x:v>
      </x:c>
      <x:c r="E180" s="88" t="str">
        <x:f>IF(B180="","",'Handicap Settings'!$B$6)</x:f>
      </x:c>
      <x:c r="F180" t="str">
        <x:f>IF(B180="","",IF(D180&lt;'Handicap Settings'!$B$7,"Provisional","Established"))</x:f>
      </x:c>
      <x:c r="G180" s="126" t="str">
        <x:f>IF(B180="","",MIN(1,0.65+0.35*D180/(D180+8)))</x:f>
      </x:c>
      <x:c r="H180" s="100" t="str">
        <x:f>IF(B180="","",IF(E180&gt;=75,4,IF(E180&gt;=70,3,IF(E180&gt;=65,2,IF(E180&gt;=60,1,IF(E180&gt;=55,0,IF(E180&gt;=50,-1,IF(E180&gt;=45,-2,IF(E180&gt;=40,-3,-4)))))))))</x:f>
      </x:c>
      <x:c r="I180" s="100" t="str">
        <x:f>IF(B180="","",H180)</x:f>
      </x:c>
      <x:c r="J180" s="100" t="str">
        <x:f>IF(B180="","",'Handicap Settings'!$B$8)</x:f>
      </x:c>
      <x:c r="K180" s="100" t="str">
        <x:f>IF(B180="","",MAX(I180-J180,MIN(I180+J180,H180)))</x:f>
      </x:c>
      <x:c r="L180" t="str">
        <x:f>IF(B180="","",IF(K180=4,"Elite+",IF(K180=3,"Elite",IF(K180=2,"A+",IF(K180=1,"A",IF(K180=0,"B+",IF(K180=-1,"B",IF(K180=-2,"C+",IF(K180=-3,"C","D")))))))))</x:f>
      </x:c>
      <x:c r="M180" t="str">
        <x:f>IF(B180="","",IF(D180&gt;=25,"★★★★★",IF(D180&gt;=15,"★★★★",IF(D180&gt;=10,"★★★",IF(D180&gt;=6,"★★","★")))))</x:f>
      </x:c>
      <x:c r="N180" t="str">
        <x:f>IF(B180="","",TRUE)</x:f>
      </x:c>
      <x:c r="O180" t="str">
        <x:f>IF(B180="","",'Handicap Settings'!$B$4)</x:f>
      </x:c>
    </x:row>
    <x:row r="181">
      <x:c r="A181" t="inlineStr">
        <x:is>
          <x:t xml:space="preserve">FLPR-0180</x:t>
        </x:is>
      </x:c>
      <x:c r="C181" t="inlineStr">
        <x:is>
          <x:t xml:space="preserve">New / Manual</x:t>
        </x:is>
      </x:c>
      <x:c r="D181" t="n">
        <x:v>0</x:v>
      </x:c>
      <x:c r="E181" s="88" t="str">
        <x:f>IF(B181="","",'Handicap Settings'!$B$6)</x:f>
      </x:c>
      <x:c r="F181" t="str">
        <x:f>IF(B181="","",IF(D181&lt;'Handicap Settings'!$B$7,"Provisional","Established"))</x:f>
      </x:c>
      <x:c r="G181" s="126" t="str">
        <x:f>IF(B181="","",MIN(1,0.65+0.35*D181/(D181+8)))</x:f>
      </x:c>
      <x:c r="H181" s="100" t="str">
        <x:f>IF(B181="","",IF(E181&gt;=75,4,IF(E181&gt;=70,3,IF(E181&gt;=65,2,IF(E181&gt;=60,1,IF(E181&gt;=55,0,IF(E181&gt;=50,-1,IF(E181&gt;=45,-2,IF(E181&gt;=40,-3,-4)))))))))</x:f>
      </x:c>
      <x:c r="I181" s="100" t="str">
        <x:f>IF(B181="","",H181)</x:f>
      </x:c>
      <x:c r="J181" s="100" t="str">
        <x:f>IF(B181="","",'Handicap Settings'!$B$8)</x:f>
      </x:c>
      <x:c r="K181" s="100" t="str">
        <x:f>IF(B181="","",MAX(I181-J181,MIN(I181+J181,H181)))</x:f>
      </x:c>
      <x:c r="L181" t="str">
        <x:f>IF(B181="","",IF(K181=4,"Elite+",IF(K181=3,"Elite",IF(K181=2,"A+",IF(K181=1,"A",IF(K181=0,"B+",IF(K181=-1,"B",IF(K181=-2,"C+",IF(K181=-3,"C","D")))))))))</x:f>
      </x:c>
      <x:c r="M181" t="str">
        <x:f>IF(B181="","",IF(D181&gt;=25,"★★★★★",IF(D181&gt;=15,"★★★★",IF(D181&gt;=10,"★★★",IF(D181&gt;=6,"★★","★")))))</x:f>
      </x:c>
      <x:c r="N181" t="str">
        <x:f>IF(B181="","",TRUE)</x:f>
      </x:c>
      <x:c r="O181" t="str">
        <x:f>IF(B181="","",'Handicap Settings'!$B$4)</x:f>
      </x:c>
    </x:row>
    <x:row r="182">
      <x:c r="A182" t="inlineStr">
        <x:is>
          <x:t xml:space="preserve">FLPR-0181</x:t>
        </x:is>
      </x:c>
      <x:c r="C182" t="inlineStr">
        <x:is>
          <x:t xml:space="preserve">New / Manual</x:t>
        </x:is>
      </x:c>
      <x:c r="D182" t="n">
        <x:v>0</x:v>
      </x:c>
      <x:c r="E182" s="88" t="str">
        <x:f>IF(B182="","",'Handicap Settings'!$B$6)</x:f>
      </x:c>
      <x:c r="F182" t="str">
        <x:f>IF(B182="","",IF(D182&lt;'Handicap Settings'!$B$7,"Provisional","Established"))</x:f>
      </x:c>
      <x:c r="G182" s="126" t="str">
        <x:f>IF(B182="","",MIN(1,0.65+0.35*D182/(D182+8)))</x:f>
      </x:c>
      <x:c r="H182" s="100" t="str">
        <x:f>IF(B182="","",IF(E182&gt;=75,4,IF(E182&gt;=70,3,IF(E182&gt;=65,2,IF(E182&gt;=60,1,IF(E182&gt;=55,0,IF(E182&gt;=50,-1,IF(E182&gt;=45,-2,IF(E182&gt;=40,-3,-4)))))))))</x:f>
      </x:c>
      <x:c r="I182" s="100" t="str">
        <x:f>IF(B182="","",H182)</x:f>
      </x:c>
      <x:c r="J182" s="100" t="str">
        <x:f>IF(B182="","",'Handicap Settings'!$B$8)</x:f>
      </x:c>
      <x:c r="K182" s="100" t="str">
        <x:f>IF(B182="","",MAX(I182-J182,MIN(I182+J182,H182)))</x:f>
      </x:c>
      <x:c r="L182" t="str">
        <x:f>IF(B182="","",IF(K182=4,"Elite+",IF(K182=3,"Elite",IF(K182=2,"A+",IF(K182=1,"A",IF(K182=0,"B+",IF(K182=-1,"B",IF(K182=-2,"C+",IF(K182=-3,"C","D")))))))))</x:f>
      </x:c>
      <x:c r="M182" t="str">
        <x:f>IF(B182="","",IF(D182&gt;=25,"★★★★★",IF(D182&gt;=15,"★★★★",IF(D182&gt;=10,"★★★",IF(D182&gt;=6,"★★","★")))))</x:f>
      </x:c>
      <x:c r="N182" t="str">
        <x:f>IF(B182="","",TRUE)</x:f>
      </x:c>
      <x:c r="O182" t="str">
        <x:f>IF(B182="","",'Handicap Settings'!$B$4)</x:f>
      </x:c>
    </x:row>
    <x:row r="183">
      <x:c r="A183" t="inlineStr">
        <x:is>
          <x:t xml:space="preserve">FLPR-0182</x:t>
        </x:is>
      </x:c>
      <x:c r="C183" t="inlineStr">
        <x:is>
          <x:t xml:space="preserve">New / Manual</x:t>
        </x:is>
      </x:c>
      <x:c r="D183" t="n">
        <x:v>0</x:v>
      </x:c>
      <x:c r="E183" s="88" t="str">
        <x:f>IF(B183="","",'Handicap Settings'!$B$6)</x:f>
      </x:c>
      <x:c r="F183" t="str">
        <x:f>IF(B183="","",IF(D183&lt;'Handicap Settings'!$B$7,"Provisional","Established"))</x:f>
      </x:c>
      <x:c r="G183" s="126" t="str">
        <x:f>IF(B183="","",MIN(1,0.65+0.35*D183/(D183+8)))</x:f>
      </x:c>
      <x:c r="H183" s="100" t="str">
        <x:f>IF(B183="","",IF(E183&gt;=75,4,IF(E183&gt;=70,3,IF(E183&gt;=65,2,IF(E183&gt;=60,1,IF(E183&gt;=55,0,IF(E183&gt;=50,-1,IF(E183&gt;=45,-2,IF(E183&gt;=40,-3,-4)))))))))</x:f>
      </x:c>
      <x:c r="I183" s="100" t="str">
        <x:f>IF(B183="","",H183)</x:f>
      </x:c>
      <x:c r="J183" s="100" t="str">
        <x:f>IF(B183="","",'Handicap Settings'!$B$8)</x:f>
      </x:c>
      <x:c r="K183" s="100" t="str">
        <x:f>IF(B183="","",MAX(I183-J183,MIN(I183+J183,H183)))</x:f>
      </x:c>
      <x:c r="L183" t="str">
        <x:f>IF(B183="","",IF(K183=4,"Elite+",IF(K183=3,"Elite",IF(K183=2,"A+",IF(K183=1,"A",IF(K183=0,"B+",IF(K183=-1,"B",IF(K183=-2,"C+",IF(K183=-3,"C","D")))))))))</x:f>
      </x:c>
      <x:c r="M183" t="str">
        <x:f>IF(B183="","",IF(D183&gt;=25,"★★★★★",IF(D183&gt;=15,"★★★★",IF(D183&gt;=10,"★★★",IF(D183&gt;=6,"★★","★")))))</x:f>
      </x:c>
      <x:c r="N183" t="str">
        <x:f>IF(B183="","",TRUE)</x:f>
      </x:c>
      <x:c r="O183" t="str">
        <x:f>IF(B183="","",'Handicap Settings'!$B$4)</x:f>
      </x:c>
    </x:row>
    <x:row r="184">
      <x:c r="A184" t="inlineStr">
        <x:is>
          <x:t xml:space="preserve">FLPR-0183</x:t>
        </x:is>
      </x:c>
      <x:c r="C184" t="inlineStr">
        <x:is>
          <x:t xml:space="preserve">New / Manual</x:t>
        </x:is>
      </x:c>
      <x:c r="D184" t="n">
        <x:v>0</x:v>
      </x:c>
      <x:c r="E184" s="88" t="str">
        <x:f>IF(B184="","",'Handicap Settings'!$B$6)</x:f>
      </x:c>
      <x:c r="F184" t="str">
        <x:f>IF(B184="","",IF(D184&lt;'Handicap Settings'!$B$7,"Provisional","Established"))</x:f>
      </x:c>
      <x:c r="G184" s="126" t="str">
        <x:f>IF(B184="","",MIN(1,0.65+0.35*D184/(D184+8)))</x:f>
      </x:c>
      <x:c r="H184" s="100" t="str">
        <x:f>IF(B184="","",IF(E184&gt;=75,4,IF(E184&gt;=70,3,IF(E184&gt;=65,2,IF(E184&gt;=60,1,IF(E184&gt;=55,0,IF(E184&gt;=50,-1,IF(E184&gt;=45,-2,IF(E184&gt;=40,-3,-4)))))))))</x:f>
      </x:c>
      <x:c r="I184" s="100" t="str">
        <x:f>IF(B184="","",H184)</x:f>
      </x:c>
      <x:c r="J184" s="100" t="str">
        <x:f>IF(B184="","",'Handicap Settings'!$B$8)</x:f>
      </x:c>
      <x:c r="K184" s="100" t="str">
        <x:f>IF(B184="","",MAX(I184-J184,MIN(I184+J184,H184)))</x:f>
      </x:c>
      <x:c r="L184" t="str">
        <x:f>IF(B184="","",IF(K184=4,"Elite+",IF(K184=3,"Elite",IF(K184=2,"A+",IF(K184=1,"A",IF(K184=0,"B+",IF(K184=-1,"B",IF(K184=-2,"C+",IF(K184=-3,"C","D")))))))))</x:f>
      </x:c>
      <x:c r="M184" t="str">
        <x:f>IF(B184="","",IF(D184&gt;=25,"★★★★★",IF(D184&gt;=15,"★★★★",IF(D184&gt;=10,"★★★",IF(D184&gt;=6,"★★","★")))))</x:f>
      </x:c>
      <x:c r="N184" t="str">
        <x:f>IF(B184="","",TRUE)</x:f>
      </x:c>
      <x:c r="O184" t="str">
        <x:f>IF(B184="","",'Handicap Settings'!$B$4)</x:f>
      </x:c>
    </x:row>
    <x:row r="185">
      <x:c r="A185" t="inlineStr">
        <x:is>
          <x:t xml:space="preserve">FLPR-0184</x:t>
        </x:is>
      </x:c>
      <x:c r="C185" t="inlineStr">
        <x:is>
          <x:t xml:space="preserve">New / Manual</x:t>
        </x:is>
      </x:c>
      <x:c r="D185" t="n">
        <x:v>0</x:v>
      </x:c>
      <x:c r="E185" s="88" t="str">
        <x:f>IF(B185="","",'Handicap Settings'!$B$6)</x:f>
      </x:c>
      <x:c r="F185" t="str">
        <x:f>IF(B185="","",IF(D185&lt;'Handicap Settings'!$B$7,"Provisional","Established"))</x:f>
      </x:c>
      <x:c r="G185" s="126" t="str">
        <x:f>IF(B185="","",MIN(1,0.65+0.35*D185/(D185+8)))</x:f>
      </x:c>
      <x:c r="H185" s="100" t="str">
        <x:f>IF(B185="","",IF(E185&gt;=75,4,IF(E185&gt;=70,3,IF(E185&gt;=65,2,IF(E185&gt;=60,1,IF(E185&gt;=55,0,IF(E185&gt;=50,-1,IF(E185&gt;=45,-2,IF(E185&gt;=40,-3,-4)))))))))</x:f>
      </x:c>
      <x:c r="I185" s="100" t="str">
        <x:f>IF(B185="","",H185)</x:f>
      </x:c>
      <x:c r="J185" s="100" t="str">
        <x:f>IF(B185="","",'Handicap Settings'!$B$8)</x:f>
      </x:c>
      <x:c r="K185" s="100" t="str">
        <x:f>IF(B185="","",MAX(I185-J185,MIN(I185+J185,H185)))</x:f>
      </x:c>
      <x:c r="L185" t="str">
        <x:f>IF(B185="","",IF(K185=4,"Elite+",IF(K185=3,"Elite",IF(K185=2,"A+",IF(K185=1,"A",IF(K185=0,"B+",IF(K185=-1,"B",IF(K185=-2,"C+",IF(K185=-3,"C","D")))))))))</x:f>
      </x:c>
      <x:c r="M185" t="str">
        <x:f>IF(B185="","",IF(D185&gt;=25,"★★★★★",IF(D185&gt;=15,"★★★★",IF(D185&gt;=10,"★★★",IF(D185&gt;=6,"★★","★")))))</x:f>
      </x:c>
      <x:c r="N185" t="str">
        <x:f>IF(B185="","",TRUE)</x:f>
      </x:c>
      <x:c r="O185" t="str">
        <x:f>IF(B185="","",'Handicap Settings'!$B$4)</x:f>
      </x:c>
    </x:row>
    <x:row r="186">
      <x:c r="A186" t="inlineStr">
        <x:is>
          <x:t xml:space="preserve">FLPR-0185</x:t>
        </x:is>
      </x:c>
      <x:c r="C186" t="inlineStr">
        <x:is>
          <x:t xml:space="preserve">New / Manual</x:t>
        </x:is>
      </x:c>
      <x:c r="D186" t="n">
        <x:v>0</x:v>
      </x:c>
      <x:c r="E186" s="88" t="str">
        <x:f>IF(B186="","",'Handicap Settings'!$B$6)</x:f>
      </x:c>
      <x:c r="F186" t="str">
        <x:f>IF(B186="","",IF(D186&lt;'Handicap Settings'!$B$7,"Provisional","Established"))</x:f>
      </x:c>
      <x:c r="G186" s="126" t="str">
        <x:f>IF(B186="","",MIN(1,0.65+0.35*D186/(D186+8)))</x:f>
      </x:c>
      <x:c r="H186" s="100" t="str">
        <x:f>IF(B186="","",IF(E186&gt;=75,4,IF(E186&gt;=70,3,IF(E186&gt;=65,2,IF(E186&gt;=60,1,IF(E186&gt;=55,0,IF(E186&gt;=50,-1,IF(E186&gt;=45,-2,IF(E186&gt;=40,-3,-4)))))))))</x:f>
      </x:c>
      <x:c r="I186" s="100" t="str">
        <x:f>IF(B186="","",H186)</x:f>
      </x:c>
      <x:c r="J186" s="100" t="str">
        <x:f>IF(B186="","",'Handicap Settings'!$B$8)</x:f>
      </x:c>
      <x:c r="K186" s="100" t="str">
        <x:f>IF(B186="","",MAX(I186-J186,MIN(I186+J186,H186)))</x:f>
      </x:c>
      <x:c r="L186" t="str">
        <x:f>IF(B186="","",IF(K186=4,"Elite+",IF(K186=3,"Elite",IF(K186=2,"A+",IF(K186=1,"A",IF(K186=0,"B+",IF(K186=-1,"B",IF(K186=-2,"C+",IF(K186=-3,"C","D")))))))))</x:f>
      </x:c>
      <x:c r="M186" t="str">
        <x:f>IF(B186="","",IF(D186&gt;=25,"★★★★★",IF(D186&gt;=15,"★★★★",IF(D186&gt;=10,"★★★",IF(D186&gt;=6,"★★","★")))))</x:f>
      </x:c>
      <x:c r="N186" t="str">
        <x:f>IF(B186="","",TRUE)</x:f>
      </x:c>
      <x:c r="O186" t="str">
        <x:f>IF(B186="","",'Handicap Settings'!$B$4)</x:f>
      </x:c>
    </x:row>
    <x:row r="187">
      <x:c r="A187" t="inlineStr">
        <x:is>
          <x:t xml:space="preserve">FLPR-0186</x:t>
        </x:is>
      </x:c>
      <x:c r="C187" t="inlineStr">
        <x:is>
          <x:t xml:space="preserve">New / Manual</x:t>
        </x:is>
      </x:c>
      <x:c r="D187" t="n">
        <x:v>0</x:v>
      </x:c>
      <x:c r="E187" s="88" t="str">
        <x:f>IF(B187="","",'Handicap Settings'!$B$6)</x:f>
      </x:c>
      <x:c r="F187" t="str">
        <x:f>IF(B187="","",IF(D187&lt;'Handicap Settings'!$B$7,"Provisional","Established"))</x:f>
      </x:c>
      <x:c r="G187" s="126" t="str">
        <x:f>IF(B187="","",MIN(1,0.65+0.35*D187/(D187+8)))</x:f>
      </x:c>
      <x:c r="H187" s="100" t="str">
        <x:f>IF(B187="","",IF(E187&gt;=75,4,IF(E187&gt;=70,3,IF(E187&gt;=65,2,IF(E187&gt;=60,1,IF(E187&gt;=55,0,IF(E187&gt;=50,-1,IF(E187&gt;=45,-2,IF(E187&gt;=40,-3,-4)))))))))</x:f>
      </x:c>
      <x:c r="I187" s="100" t="str">
        <x:f>IF(B187="","",H187)</x:f>
      </x:c>
      <x:c r="J187" s="100" t="str">
        <x:f>IF(B187="","",'Handicap Settings'!$B$8)</x:f>
      </x:c>
      <x:c r="K187" s="100" t="str">
        <x:f>IF(B187="","",MAX(I187-J187,MIN(I187+J187,H187)))</x:f>
      </x:c>
      <x:c r="L187" t="str">
        <x:f>IF(B187="","",IF(K187=4,"Elite+",IF(K187=3,"Elite",IF(K187=2,"A+",IF(K187=1,"A",IF(K187=0,"B+",IF(K187=-1,"B",IF(K187=-2,"C+",IF(K187=-3,"C","D")))))))))</x:f>
      </x:c>
      <x:c r="M187" t="str">
        <x:f>IF(B187="","",IF(D187&gt;=25,"★★★★★",IF(D187&gt;=15,"★★★★",IF(D187&gt;=10,"★★★",IF(D187&gt;=6,"★★","★")))))</x:f>
      </x:c>
      <x:c r="N187" t="str">
        <x:f>IF(B187="","",TRUE)</x:f>
      </x:c>
      <x:c r="O187" t="str">
        <x:f>IF(B187="","",'Handicap Settings'!$B$4)</x:f>
      </x:c>
    </x:row>
    <x:row r="188">
      <x:c r="A188" t="inlineStr">
        <x:is>
          <x:t xml:space="preserve">FLPR-0187</x:t>
        </x:is>
      </x:c>
      <x:c r="C188" t="inlineStr">
        <x:is>
          <x:t xml:space="preserve">New / Manual</x:t>
        </x:is>
      </x:c>
      <x:c r="D188" t="n">
        <x:v>0</x:v>
      </x:c>
      <x:c r="E188" s="88" t="str">
        <x:f>IF(B188="","",'Handicap Settings'!$B$6)</x:f>
      </x:c>
      <x:c r="F188" t="str">
        <x:f>IF(B188="","",IF(D188&lt;'Handicap Settings'!$B$7,"Provisional","Established"))</x:f>
      </x:c>
      <x:c r="G188" s="126" t="str">
        <x:f>IF(B188="","",MIN(1,0.65+0.35*D188/(D188+8)))</x:f>
      </x:c>
      <x:c r="H188" s="100" t="str">
        <x:f>IF(B188="","",IF(E188&gt;=75,4,IF(E188&gt;=70,3,IF(E188&gt;=65,2,IF(E188&gt;=60,1,IF(E188&gt;=55,0,IF(E188&gt;=50,-1,IF(E188&gt;=45,-2,IF(E188&gt;=40,-3,-4)))))))))</x:f>
      </x:c>
      <x:c r="I188" s="100" t="str">
        <x:f>IF(B188="","",H188)</x:f>
      </x:c>
      <x:c r="J188" s="100" t="str">
        <x:f>IF(B188="","",'Handicap Settings'!$B$8)</x:f>
      </x:c>
      <x:c r="K188" s="100" t="str">
        <x:f>IF(B188="","",MAX(I188-J188,MIN(I188+J188,H188)))</x:f>
      </x:c>
      <x:c r="L188" t="str">
        <x:f>IF(B188="","",IF(K188=4,"Elite+",IF(K188=3,"Elite",IF(K188=2,"A+",IF(K188=1,"A",IF(K188=0,"B+",IF(K188=-1,"B",IF(K188=-2,"C+",IF(K188=-3,"C","D")))))))))</x:f>
      </x:c>
      <x:c r="M188" t="str">
        <x:f>IF(B188="","",IF(D188&gt;=25,"★★★★★",IF(D188&gt;=15,"★★★★",IF(D188&gt;=10,"★★★",IF(D188&gt;=6,"★★","★")))))</x:f>
      </x:c>
      <x:c r="N188" t="str">
        <x:f>IF(B188="","",TRUE)</x:f>
      </x:c>
      <x:c r="O188" t="str">
        <x:f>IF(B188="","",'Handicap Settings'!$B$4)</x:f>
      </x:c>
    </x:row>
    <x:row r="189">
      <x:c r="A189" t="inlineStr">
        <x:is>
          <x:t xml:space="preserve">FLPR-0188</x:t>
        </x:is>
      </x:c>
      <x:c r="C189" t="inlineStr">
        <x:is>
          <x:t xml:space="preserve">New / Manual</x:t>
        </x:is>
      </x:c>
      <x:c r="D189" t="n">
        <x:v>0</x:v>
      </x:c>
      <x:c r="E189" s="88" t="str">
        <x:f>IF(B189="","",'Handicap Settings'!$B$6)</x:f>
      </x:c>
      <x:c r="F189" t="str">
        <x:f>IF(B189="","",IF(D189&lt;'Handicap Settings'!$B$7,"Provisional","Established"))</x:f>
      </x:c>
      <x:c r="G189" s="126" t="str">
        <x:f>IF(B189="","",MIN(1,0.65+0.35*D189/(D189+8)))</x:f>
      </x:c>
      <x:c r="H189" s="100" t="str">
        <x:f>IF(B189="","",IF(E189&gt;=75,4,IF(E189&gt;=70,3,IF(E189&gt;=65,2,IF(E189&gt;=60,1,IF(E189&gt;=55,0,IF(E189&gt;=50,-1,IF(E189&gt;=45,-2,IF(E189&gt;=40,-3,-4)))))))))</x:f>
      </x:c>
      <x:c r="I189" s="100" t="str">
        <x:f>IF(B189="","",H189)</x:f>
      </x:c>
      <x:c r="J189" s="100" t="str">
        <x:f>IF(B189="","",'Handicap Settings'!$B$8)</x:f>
      </x:c>
      <x:c r="K189" s="100" t="str">
        <x:f>IF(B189="","",MAX(I189-J189,MIN(I189+J189,H189)))</x:f>
      </x:c>
      <x:c r="L189" t="str">
        <x:f>IF(B189="","",IF(K189=4,"Elite+",IF(K189=3,"Elite",IF(K189=2,"A+",IF(K189=1,"A",IF(K189=0,"B+",IF(K189=-1,"B",IF(K189=-2,"C+",IF(K189=-3,"C","D")))))))))</x:f>
      </x:c>
      <x:c r="M189" t="str">
        <x:f>IF(B189="","",IF(D189&gt;=25,"★★★★★",IF(D189&gt;=15,"★★★★",IF(D189&gt;=10,"★★★",IF(D189&gt;=6,"★★","★")))))</x:f>
      </x:c>
      <x:c r="N189" t="str">
        <x:f>IF(B189="","",TRUE)</x:f>
      </x:c>
      <x:c r="O189" t="str">
        <x:f>IF(B189="","",'Handicap Settings'!$B$4)</x:f>
      </x:c>
    </x:row>
    <x:row r="190">
      <x:c r="A190" t="inlineStr">
        <x:is>
          <x:t xml:space="preserve">FLPR-0189</x:t>
        </x:is>
      </x:c>
      <x:c r="C190" t="inlineStr">
        <x:is>
          <x:t xml:space="preserve">New / Manual</x:t>
        </x:is>
      </x:c>
      <x:c r="D190" t="n">
        <x:v>0</x:v>
      </x:c>
      <x:c r="E190" s="88" t="str">
        <x:f>IF(B190="","",'Handicap Settings'!$B$6)</x:f>
      </x:c>
      <x:c r="F190" t="str">
        <x:f>IF(B190="","",IF(D190&lt;'Handicap Settings'!$B$7,"Provisional","Established"))</x:f>
      </x:c>
      <x:c r="G190" s="126" t="str">
        <x:f>IF(B190="","",MIN(1,0.65+0.35*D190/(D190+8)))</x:f>
      </x:c>
      <x:c r="H190" s="100" t="str">
        <x:f>IF(B190="","",IF(E190&gt;=75,4,IF(E190&gt;=70,3,IF(E190&gt;=65,2,IF(E190&gt;=60,1,IF(E190&gt;=55,0,IF(E190&gt;=50,-1,IF(E190&gt;=45,-2,IF(E190&gt;=40,-3,-4)))))))))</x:f>
      </x:c>
      <x:c r="I190" s="100" t="str">
        <x:f>IF(B190="","",H190)</x:f>
      </x:c>
      <x:c r="J190" s="100" t="str">
        <x:f>IF(B190="","",'Handicap Settings'!$B$8)</x:f>
      </x:c>
      <x:c r="K190" s="100" t="str">
        <x:f>IF(B190="","",MAX(I190-J190,MIN(I190+J190,H190)))</x:f>
      </x:c>
      <x:c r="L190" t="str">
        <x:f>IF(B190="","",IF(K190=4,"Elite+",IF(K190=3,"Elite",IF(K190=2,"A+",IF(K190=1,"A",IF(K190=0,"B+",IF(K190=-1,"B",IF(K190=-2,"C+",IF(K190=-3,"C","D")))))))))</x:f>
      </x:c>
      <x:c r="M190" t="str">
        <x:f>IF(B190="","",IF(D190&gt;=25,"★★★★★",IF(D190&gt;=15,"★★★★",IF(D190&gt;=10,"★★★",IF(D190&gt;=6,"★★","★")))))</x:f>
      </x:c>
      <x:c r="N190" t="str">
        <x:f>IF(B190="","",TRUE)</x:f>
      </x:c>
      <x:c r="O190" t="str">
        <x:f>IF(B190="","",'Handicap Settings'!$B$4)</x:f>
      </x:c>
    </x:row>
    <x:row r="191">
      <x:c r="A191" t="inlineStr">
        <x:is>
          <x:t xml:space="preserve">FLPR-0190</x:t>
        </x:is>
      </x:c>
      <x:c r="C191" t="inlineStr">
        <x:is>
          <x:t xml:space="preserve">New / Manual</x:t>
        </x:is>
      </x:c>
      <x:c r="D191" t="n">
        <x:v>0</x:v>
      </x:c>
      <x:c r="E191" s="88" t="str">
        <x:f>IF(B191="","",'Handicap Settings'!$B$6)</x:f>
      </x:c>
      <x:c r="F191" t="str">
        <x:f>IF(B191="","",IF(D191&lt;'Handicap Settings'!$B$7,"Provisional","Established"))</x:f>
      </x:c>
      <x:c r="G191" s="126" t="str">
        <x:f>IF(B191="","",MIN(1,0.65+0.35*D191/(D191+8)))</x:f>
      </x:c>
      <x:c r="H191" s="100" t="str">
        <x:f>IF(B191="","",IF(E191&gt;=75,4,IF(E191&gt;=70,3,IF(E191&gt;=65,2,IF(E191&gt;=60,1,IF(E191&gt;=55,0,IF(E191&gt;=50,-1,IF(E191&gt;=45,-2,IF(E191&gt;=40,-3,-4)))))))))</x:f>
      </x:c>
      <x:c r="I191" s="100" t="str">
        <x:f>IF(B191="","",H191)</x:f>
      </x:c>
      <x:c r="J191" s="100" t="str">
        <x:f>IF(B191="","",'Handicap Settings'!$B$8)</x:f>
      </x:c>
      <x:c r="K191" s="100" t="str">
        <x:f>IF(B191="","",MAX(I191-J191,MIN(I191+J191,H191)))</x:f>
      </x:c>
      <x:c r="L191" t="str">
        <x:f>IF(B191="","",IF(K191=4,"Elite+",IF(K191=3,"Elite",IF(K191=2,"A+",IF(K191=1,"A",IF(K191=0,"B+",IF(K191=-1,"B",IF(K191=-2,"C+",IF(K191=-3,"C","D")))))))))</x:f>
      </x:c>
      <x:c r="M191" t="str">
        <x:f>IF(B191="","",IF(D191&gt;=25,"★★★★★",IF(D191&gt;=15,"★★★★",IF(D191&gt;=10,"★★★",IF(D191&gt;=6,"★★","★")))))</x:f>
      </x:c>
      <x:c r="N191" t="str">
        <x:f>IF(B191="","",TRUE)</x:f>
      </x:c>
      <x:c r="O191" t="str">
        <x:f>IF(B191="","",'Handicap Settings'!$B$4)</x:f>
      </x:c>
    </x:row>
    <x:row r="192">
      <x:c r="A192" t="inlineStr">
        <x:is>
          <x:t xml:space="preserve">FLPR-0191</x:t>
        </x:is>
      </x:c>
      <x:c r="C192" t="inlineStr">
        <x:is>
          <x:t xml:space="preserve">New / Manual</x:t>
        </x:is>
      </x:c>
      <x:c r="D192" t="n">
        <x:v>0</x:v>
      </x:c>
      <x:c r="E192" s="88" t="str">
        <x:f>IF(B192="","",'Handicap Settings'!$B$6)</x:f>
      </x:c>
      <x:c r="F192" t="str">
        <x:f>IF(B192="","",IF(D192&lt;'Handicap Settings'!$B$7,"Provisional","Established"))</x:f>
      </x:c>
      <x:c r="G192" s="126" t="str">
        <x:f>IF(B192="","",MIN(1,0.65+0.35*D192/(D192+8)))</x:f>
      </x:c>
      <x:c r="H192" s="100" t="str">
        <x:f>IF(B192="","",IF(E192&gt;=75,4,IF(E192&gt;=70,3,IF(E192&gt;=65,2,IF(E192&gt;=60,1,IF(E192&gt;=55,0,IF(E192&gt;=50,-1,IF(E192&gt;=45,-2,IF(E192&gt;=40,-3,-4)))))))))</x:f>
      </x:c>
      <x:c r="I192" s="100" t="str">
        <x:f>IF(B192="","",H192)</x:f>
      </x:c>
      <x:c r="J192" s="100" t="str">
        <x:f>IF(B192="","",'Handicap Settings'!$B$8)</x:f>
      </x:c>
      <x:c r="K192" s="100" t="str">
        <x:f>IF(B192="","",MAX(I192-J192,MIN(I192+J192,H192)))</x:f>
      </x:c>
      <x:c r="L192" t="str">
        <x:f>IF(B192="","",IF(K192=4,"Elite+",IF(K192=3,"Elite",IF(K192=2,"A+",IF(K192=1,"A",IF(K192=0,"B+",IF(K192=-1,"B",IF(K192=-2,"C+",IF(K192=-3,"C","D")))))))))</x:f>
      </x:c>
      <x:c r="M192" t="str">
        <x:f>IF(B192="","",IF(D192&gt;=25,"★★★★★",IF(D192&gt;=15,"★★★★",IF(D192&gt;=10,"★★★",IF(D192&gt;=6,"★★","★")))))</x:f>
      </x:c>
      <x:c r="N192" t="str">
        <x:f>IF(B192="","",TRUE)</x:f>
      </x:c>
      <x:c r="O192" t="str">
        <x:f>IF(B192="","",'Handicap Settings'!$B$4)</x:f>
      </x:c>
    </x:row>
    <x:row r="193">
      <x:c r="A193" t="inlineStr">
        <x:is>
          <x:t xml:space="preserve">FLPR-0192</x:t>
        </x:is>
      </x:c>
      <x:c r="C193" t="inlineStr">
        <x:is>
          <x:t xml:space="preserve">New / Manual</x:t>
        </x:is>
      </x:c>
      <x:c r="D193" t="n">
        <x:v>0</x:v>
      </x:c>
      <x:c r="E193" s="88" t="str">
        <x:f>IF(B193="","",'Handicap Settings'!$B$6)</x:f>
      </x:c>
      <x:c r="F193" t="str">
        <x:f>IF(B193="","",IF(D193&lt;'Handicap Settings'!$B$7,"Provisional","Established"))</x:f>
      </x:c>
      <x:c r="G193" s="126" t="str">
        <x:f>IF(B193="","",MIN(1,0.65+0.35*D193/(D193+8)))</x:f>
      </x:c>
      <x:c r="H193" s="100" t="str">
        <x:f>IF(B193="","",IF(E193&gt;=75,4,IF(E193&gt;=70,3,IF(E193&gt;=65,2,IF(E193&gt;=60,1,IF(E193&gt;=55,0,IF(E193&gt;=50,-1,IF(E193&gt;=45,-2,IF(E193&gt;=40,-3,-4)))))))))</x:f>
      </x:c>
      <x:c r="I193" s="100" t="str">
        <x:f>IF(B193="","",H193)</x:f>
      </x:c>
      <x:c r="J193" s="100" t="str">
        <x:f>IF(B193="","",'Handicap Settings'!$B$8)</x:f>
      </x:c>
      <x:c r="K193" s="100" t="str">
        <x:f>IF(B193="","",MAX(I193-J193,MIN(I193+J193,H193)))</x:f>
      </x:c>
      <x:c r="L193" t="str">
        <x:f>IF(B193="","",IF(K193=4,"Elite+",IF(K193=3,"Elite",IF(K193=2,"A+",IF(K193=1,"A",IF(K193=0,"B+",IF(K193=-1,"B",IF(K193=-2,"C+",IF(K193=-3,"C","D")))))))))</x:f>
      </x:c>
      <x:c r="M193" t="str">
        <x:f>IF(B193="","",IF(D193&gt;=25,"★★★★★",IF(D193&gt;=15,"★★★★",IF(D193&gt;=10,"★★★",IF(D193&gt;=6,"★★","★")))))</x:f>
      </x:c>
      <x:c r="N193" t="str">
        <x:f>IF(B193="","",TRUE)</x:f>
      </x:c>
      <x:c r="O193" t="str">
        <x:f>IF(B193="","",'Handicap Settings'!$B$4)</x:f>
      </x:c>
    </x:row>
    <x:row r="194">
      <x:c r="A194" t="inlineStr">
        <x:is>
          <x:t xml:space="preserve">FLPR-0193</x:t>
        </x:is>
      </x:c>
      <x:c r="C194" t="inlineStr">
        <x:is>
          <x:t xml:space="preserve">New / Manual</x:t>
        </x:is>
      </x:c>
      <x:c r="D194" t="n">
        <x:v>0</x:v>
      </x:c>
      <x:c r="E194" s="88" t="str">
        <x:f>IF(B194="","",'Handicap Settings'!$B$6)</x:f>
      </x:c>
      <x:c r="F194" t="str">
        <x:f>IF(B194="","",IF(D194&lt;'Handicap Settings'!$B$7,"Provisional","Established"))</x:f>
      </x:c>
      <x:c r="G194" s="126" t="str">
        <x:f>IF(B194="","",MIN(1,0.65+0.35*D194/(D194+8)))</x:f>
      </x:c>
      <x:c r="H194" s="100" t="str">
        <x:f>IF(B194="","",IF(E194&gt;=75,4,IF(E194&gt;=70,3,IF(E194&gt;=65,2,IF(E194&gt;=60,1,IF(E194&gt;=55,0,IF(E194&gt;=50,-1,IF(E194&gt;=45,-2,IF(E194&gt;=40,-3,-4)))))))))</x:f>
      </x:c>
      <x:c r="I194" s="100" t="str">
        <x:f>IF(B194="","",H194)</x:f>
      </x:c>
      <x:c r="J194" s="100" t="str">
        <x:f>IF(B194="","",'Handicap Settings'!$B$8)</x:f>
      </x:c>
      <x:c r="K194" s="100" t="str">
        <x:f>IF(B194="","",MAX(I194-J194,MIN(I194+J194,H194)))</x:f>
      </x:c>
      <x:c r="L194" t="str">
        <x:f>IF(B194="","",IF(K194=4,"Elite+",IF(K194=3,"Elite",IF(K194=2,"A+",IF(K194=1,"A",IF(K194=0,"B+",IF(K194=-1,"B",IF(K194=-2,"C+",IF(K194=-3,"C","D")))))))))</x:f>
      </x:c>
      <x:c r="M194" t="str">
        <x:f>IF(B194="","",IF(D194&gt;=25,"★★★★★",IF(D194&gt;=15,"★★★★",IF(D194&gt;=10,"★★★",IF(D194&gt;=6,"★★","★")))))</x:f>
      </x:c>
      <x:c r="N194" t="str">
        <x:f>IF(B194="","",TRUE)</x:f>
      </x:c>
      <x:c r="O194" t="str">
        <x:f>IF(B194="","",'Handicap Settings'!$B$4)</x:f>
      </x:c>
    </x:row>
    <x:row r="195">
      <x:c r="A195" t="inlineStr">
        <x:is>
          <x:t xml:space="preserve">FLPR-0194</x:t>
        </x:is>
      </x:c>
      <x:c r="C195" t="inlineStr">
        <x:is>
          <x:t xml:space="preserve">New / Manual</x:t>
        </x:is>
      </x:c>
      <x:c r="D195" t="n">
        <x:v>0</x:v>
      </x:c>
      <x:c r="E195" s="88" t="str">
        <x:f>IF(B195="","",'Handicap Settings'!$B$6)</x:f>
      </x:c>
      <x:c r="F195" t="str">
        <x:f>IF(B195="","",IF(D195&lt;'Handicap Settings'!$B$7,"Provisional","Established"))</x:f>
      </x:c>
      <x:c r="G195" s="126" t="str">
        <x:f>IF(B195="","",MIN(1,0.65+0.35*D195/(D195+8)))</x:f>
      </x:c>
      <x:c r="H195" s="100" t="str">
        <x:f>IF(B195="","",IF(E195&gt;=75,4,IF(E195&gt;=70,3,IF(E195&gt;=65,2,IF(E195&gt;=60,1,IF(E195&gt;=55,0,IF(E195&gt;=50,-1,IF(E195&gt;=45,-2,IF(E195&gt;=40,-3,-4)))))))))</x:f>
      </x:c>
      <x:c r="I195" s="100" t="str">
        <x:f>IF(B195="","",H195)</x:f>
      </x:c>
      <x:c r="J195" s="100" t="str">
        <x:f>IF(B195="","",'Handicap Settings'!$B$8)</x:f>
      </x:c>
      <x:c r="K195" s="100" t="str">
        <x:f>IF(B195="","",MAX(I195-J195,MIN(I195+J195,H195)))</x:f>
      </x:c>
      <x:c r="L195" t="str">
        <x:f>IF(B195="","",IF(K195=4,"Elite+",IF(K195=3,"Elite",IF(K195=2,"A+",IF(K195=1,"A",IF(K195=0,"B+",IF(K195=-1,"B",IF(K195=-2,"C+",IF(K195=-3,"C","D")))))))))</x:f>
      </x:c>
      <x:c r="M195" t="str">
        <x:f>IF(B195="","",IF(D195&gt;=25,"★★★★★",IF(D195&gt;=15,"★★★★",IF(D195&gt;=10,"★★★",IF(D195&gt;=6,"★★","★")))))</x:f>
      </x:c>
      <x:c r="N195" t="str">
        <x:f>IF(B195="","",TRUE)</x:f>
      </x:c>
      <x:c r="O195" t="str">
        <x:f>IF(B195="","",'Handicap Settings'!$B$4)</x:f>
      </x:c>
    </x:row>
    <x:row r="196">
      <x:c r="A196" t="inlineStr">
        <x:is>
          <x:t xml:space="preserve">FLPR-0195</x:t>
        </x:is>
      </x:c>
      <x:c r="C196" t="inlineStr">
        <x:is>
          <x:t xml:space="preserve">New / Manual</x:t>
        </x:is>
      </x:c>
      <x:c r="D196" t="n">
        <x:v>0</x:v>
      </x:c>
      <x:c r="E196" s="88" t="str">
        <x:f>IF(B196="","",'Handicap Settings'!$B$6)</x:f>
      </x:c>
      <x:c r="F196" t="str">
        <x:f>IF(B196="","",IF(D196&lt;'Handicap Settings'!$B$7,"Provisional","Established"))</x:f>
      </x:c>
      <x:c r="G196" s="126" t="str">
        <x:f>IF(B196="","",MIN(1,0.65+0.35*D196/(D196+8)))</x:f>
      </x:c>
      <x:c r="H196" s="100" t="str">
        <x:f>IF(B196="","",IF(E196&gt;=75,4,IF(E196&gt;=70,3,IF(E196&gt;=65,2,IF(E196&gt;=60,1,IF(E196&gt;=55,0,IF(E196&gt;=50,-1,IF(E196&gt;=45,-2,IF(E196&gt;=40,-3,-4)))))))))</x:f>
      </x:c>
      <x:c r="I196" s="100" t="str">
        <x:f>IF(B196="","",H196)</x:f>
      </x:c>
      <x:c r="J196" s="100" t="str">
        <x:f>IF(B196="","",'Handicap Settings'!$B$8)</x:f>
      </x:c>
      <x:c r="K196" s="100" t="str">
        <x:f>IF(B196="","",MAX(I196-J196,MIN(I196+J196,H196)))</x:f>
      </x:c>
      <x:c r="L196" t="str">
        <x:f>IF(B196="","",IF(K196=4,"Elite+",IF(K196=3,"Elite",IF(K196=2,"A+",IF(K196=1,"A",IF(K196=0,"B+",IF(K196=-1,"B",IF(K196=-2,"C+",IF(K196=-3,"C","D")))))))))</x:f>
      </x:c>
      <x:c r="M196" t="str">
        <x:f>IF(B196="","",IF(D196&gt;=25,"★★★★★",IF(D196&gt;=15,"★★★★",IF(D196&gt;=10,"★★★",IF(D196&gt;=6,"★★","★")))))</x:f>
      </x:c>
      <x:c r="N196" t="str">
        <x:f>IF(B196="","",TRUE)</x:f>
      </x:c>
      <x:c r="O196" t="str">
        <x:f>IF(B196="","",'Handicap Settings'!$B$4)</x:f>
      </x:c>
    </x:row>
    <x:row r="197">
      <x:c r="A197" t="inlineStr">
        <x:is>
          <x:t xml:space="preserve">FLPR-0196</x:t>
        </x:is>
      </x:c>
      <x:c r="C197" t="inlineStr">
        <x:is>
          <x:t xml:space="preserve">New / Manual</x:t>
        </x:is>
      </x:c>
      <x:c r="D197" t="n">
        <x:v>0</x:v>
      </x:c>
      <x:c r="E197" s="88" t="str">
        <x:f>IF(B197="","",'Handicap Settings'!$B$6)</x:f>
      </x:c>
      <x:c r="F197" t="str">
        <x:f>IF(B197="","",IF(D197&lt;'Handicap Settings'!$B$7,"Provisional","Established"))</x:f>
      </x:c>
      <x:c r="G197" s="126" t="str">
        <x:f>IF(B197="","",MIN(1,0.65+0.35*D197/(D197+8)))</x:f>
      </x:c>
      <x:c r="H197" s="100" t="str">
        <x:f>IF(B197="","",IF(E197&gt;=75,4,IF(E197&gt;=70,3,IF(E197&gt;=65,2,IF(E197&gt;=60,1,IF(E197&gt;=55,0,IF(E197&gt;=50,-1,IF(E197&gt;=45,-2,IF(E197&gt;=40,-3,-4)))))))))</x:f>
      </x:c>
      <x:c r="I197" s="100" t="str">
        <x:f>IF(B197="","",H197)</x:f>
      </x:c>
      <x:c r="J197" s="100" t="str">
        <x:f>IF(B197="","",'Handicap Settings'!$B$8)</x:f>
      </x:c>
      <x:c r="K197" s="100" t="str">
        <x:f>IF(B197="","",MAX(I197-J197,MIN(I197+J197,H197)))</x:f>
      </x:c>
      <x:c r="L197" t="str">
        <x:f>IF(B197="","",IF(K197=4,"Elite+",IF(K197=3,"Elite",IF(K197=2,"A+",IF(K197=1,"A",IF(K197=0,"B+",IF(K197=-1,"B",IF(K197=-2,"C+",IF(K197=-3,"C","D")))))))))</x:f>
      </x:c>
      <x:c r="M197" t="str">
        <x:f>IF(B197="","",IF(D197&gt;=25,"★★★★★",IF(D197&gt;=15,"★★★★",IF(D197&gt;=10,"★★★",IF(D197&gt;=6,"★★","★")))))</x:f>
      </x:c>
      <x:c r="N197" t="str">
        <x:f>IF(B197="","",TRUE)</x:f>
      </x:c>
      <x:c r="O197" t="str">
        <x:f>IF(B197="","",'Handicap Settings'!$B$4)</x:f>
      </x:c>
    </x:row>
    <x:row r="198">
      <x:c r="A198" t="inlineStr">
        <x:is>
          <x:t xml:space="preserve">FLPR-0197</x:t>
        </x:is>
      </x:c>
      <x:c r="C198" t="inlineStr">
        <x:is>
          <x:t xml:space="preserve">New / Manual</x:t>
        </x:is>
      </x:c>
      <x:c r="D198" t="n">
        <x:v>0</x:v>
      </x:c>
      <x:c r="E198" s="88" t="str">
        <x:f>IF(B198="","",'Handicap Settings'!$B$6)</x:f>
      </x:c>
      <x:c r="F198" t="str">
        <x:f>IF(B198="","",IF(D198&lt;'Handicap Settings'!$B$7,"Provisional","Established"))</x:f>
      </x:c>
      <x:c r="G198" s="126" t="str">
        <x:f>IF(B198="","",MIN(1,0.65+0.35*D198/(D198+8)))</x:f>
      </x:c>
      <x:c r="H198" s="100" t="str">
        <x:f>IF(B198="","",IF(E198&gt;=75,4,IF(E198&gt;=70,3,IF(E198&gt;=65,2,IF(E198&gt;=60,1,IF(E198&gt;=55,0,IF(E198&gt;=50,-1,IF(E198&gt;=45,-2,IF(E198&gt;=40,-3,-4)))))))))</x:f>
      </x:c>
      <x:c r="I198" s="100" t="str">
        <x:f>IF(B198="","",H198)</x:f>
      </x:c>
      <x:c r="J198" s="100" t="str">
        <x:f>IF(B198="","",'Handicap Settings'!$B$8)</x:f>
      </x:c>
      <x:c r="K198" s="100" t="str">
        <x:f>IF(B198="","",MAX(I198-J198,MIN(I198+J198,H198)))</x:f>
      </x:c>
      <x:c r="L198" t="str">
        <x:f>IF(B198="","",IF(K198=4,"Elite+",IF(K198=3,"Elite",IF(K198=2,"A+",IF(K198=1,"A",IF(K198=0,"B+",IF(K198=-1,"B",IF(K198=-2,"C+",IF(K198=-3,"C","D")))))))))</x:f>
      </x:c>
      <x:c r="M198" t="str">
        <x:f>IF(B198="","",IF(D198&gt;=25,"★★★★★",IF(D198&gt;=15,"★★★★",IF(D198&gt;=10,"★★★",IF(D198&gt;=6,"★★","★")))))</x:f>
      </x:c>
      <x:c r="N198" t="str">
        <x:f>IF(B198="","",TRUE)</x:f>
      </x:c>
      <x:c r="O198" t="str">
        <x:f>IF(B198="","",'Handicap Settings'!$B$4)</x:f>
      </x:c>
    </x:row>
    <x:row r="199">
      <x:c r="A199" t="inlineStr">
        <x:is>
          <x:t xml:space="preserve">FLPR-0198</x:t>
        </x:is>
      </x:c>
      <x:c r="C199" t="inlineStr">
        <x:is>
          <x:t xml:space="preserve">New / Manual</x:t>
        </x:is>
      </x:c>
      <x:c r="D199" t="n">
        <x:v>0</x:v>
      </x:c>
      <x:c r="E199" s="88" t="str">
        <x:f>IF(B199="","",'Handicap Settings'!$B$6)</x:f>
      </x:c>
      <x:c r="F199" t="str">
        <x:f>IF(B199="","",IF(D199&lt;'Handicap Settings'!$B$7,"Provisional","Established"))</x:f>
      </x:c>
      <x:c r="G199" s="126" t="str">
        <x:f>IF(B199="","",MIN(1,0.65+0.35*D199/(D199+8)))</x:f>
      </x:c>
      <x:c r="H199" s="100" t="str">
        <x:f>IF(B199="","",IF(E199&gt;=75,4,IF(E199&gt;=70,3,IF(E199&gt;=65,2,IF(E199&gt;=60,1,IF(E199&gt;=55,0,IF(E199&gt;=50,-1,IF(E199&gt;=45,-2,IF(E199&gt;=40,-3,-4)))))))))</x:f>
      </x:c>
      <x:c r="I199" s="100" t="str">
        <x:f>IF(B199="","",H199)</x:f>
      </x:c>
      <x:c r="J199" s="100" t="str">
        <x:f>IF(B199="","",'Handicap Settings'!$B$8)</x:f>
      </x:c>
      <x:c r="K199" s="100" t="str">
        <x:f>IF(B199="","",MAX(I199-J199,MIN(I199+J199,H199)))</x:f>
      </x:c>
      <x:c r="L199" t="str">
        <x:f>IF(B199="","",IF(K199=4,"Elite+",IF(K199=3,"Elite",IF(K199=2,"A+",IF(K199=1,"A",IF(K199=0,"B+",IF(K199=-1,"B",IF(K199=-2,"C+",IF(K199=-3,"C","D")))))))))</x:f>
      </x:c>
      <x:c r="M199" t="str">
        <x:f>IF(B199="","",IF(D199&gt;=25,"★★★★★",IF(D199&gt;=15,"★★★★",IF(D199&gt;=10,"★★★",IF(D199&gt;=6,"★★","★")))))</x:f>
      </x:c>
      <x:c r="N199" t="str">
        <x:f>IF(B199="","",TRUE)</x:f>
      </x:c>
      <x:c r="O199" t="str">
        <x:f>IF(B199="","",'Handicap Settings'!$B$4)</x:f>
      </x:c>
    </x:row>
    <x:row r="200">
      <x:c r="A200" t="inlineStr">
        <x:is>
          <x:t xml:space="preserve">FLPR-0199</x:t>
        </x:is>
      </x:c>
      <x:c r="C200" t="inlineStr">
        <x:is>
          <x:t xml:space="preserve">New / Manual</x:t>
        </x:is>
      </x:c>
      <x:c r="D200" t="n">
        <x:v>0</x:v>
      </x:c>
      <x:c r="E200" s="88" t="str">
        <x:f>IF(B200="","",'Handicap Settings'!$B$6)</x:f>
      </x:c>
      <x:c r="F200" t="str">
        <x:f>IF(B200="","",IF(D200&lt;'Handicap Settings'!$B$7,"Provisional","Established"))</x:f>
      </x:c>
      <x:c r="G200" s="126" t="str">
        <x:f>IF(B200="","",MIN(1,0.65+0.35*D200/(D200+8)))</x:f>
      </x:c>
      <x:c r="H200" s="100" t="str">
        <x:f>IF(B200="","",IF(E200&gt;=75,4,IF(E200&gt;=70,3,IF(E200&gt;=65,2,IF(E200&gt;=60,1,IF(E200&gt;=55,0,IF(E200&gt;=50,-1,IF(E200&gt;=45,-2,IF(E200&gt;=40,-3,-4)))))))))</x:f>
      </x:c>
      <x:c r="I200" s="100" t="str">
        <x:f>IF(B200="","",H200)</x:f>
      </x:c>
      <x:c r="J200" s="100" t="str">
        <x:f>IF(B200="","",'Handicap Settings'!$B$8)</x:f>
      </x:c>
      <x:c r="K200" s="100" t="str">
        <x:f>IF(B200="","",MAX(I200-J200,MIN(I200+J200,H200)))</x:f>
      </x:c>
      <x:c r="L200" t="str">
        <x:f>IF(B200="","",IF(K200=4,"Elite+",IF(K200=3,"Elite",IF(K200=2,"A+",IF(K200=1,"A",IF(K200=0,"B+",IF(K200=-1,"B",IF(K200=-2,"C+",IF(K200=-3,"C","D")))))))))</x:f>
      </x:c>
      <x:c r="M200" t="str">
        <x:f>IF(B200="","",IF(D200&gt;=25,"★★★★★",IF(D200&gt;=15,"★★★★",IF(D200&gt;=10,"★★★",IF(D200&gt;=6,"★★","★")))))</x:f>
      </x:c>
      <x:c r="N200" t="str">
        <x:f>IF(B200="","",TRUE)</x:f>
      </x:c>
      <x:c r="O200" t="str">
        <x:f>IF(B200="","",'Handicap Settings'!$B$4)</x:f>
      </x:c>
    </x:row>
    <x:row r="201">
      <x:c r="A201" t="inlineStr">
        <x:is>
          <x:t xml:space="preserve">FLPR-0200</x:t>
        </x:is>
      </x:c>
      <x:c r="C201" t="inlineStr">
        <x:is>
          <x:t xml:space="preserve">New / Manual</x:t>
        </x:is>
      </x:c>
      <x:c r="D201" t="n">
        <x:v>0</x:v>
      </x:c>
      <x:c r="E201" s="88" t="str">
        <x:f>IF(B201="","",'Handicap Settings'!$B$6)</x:f>
      </x:c>
      <x:c r="F201" t="str">
        <x:f>IF(B201="","",IF(D201&lt;'Handicap Settings'!$B$7,"Provisional","Established"))</x:f>
      </x:c>
      <x:c r="G201" s="126" t="str">
        <x:f>IF(B201="","",MIN(1,0.65+0.35*D201/(D201+8)))</x:f>
      </x:c>
      <x:c r="H201" s="100" t="str">
        <x:f>IF(B201="","",IF(E201&gt;=75,4,IF(E201&gt;=70,3,IF(E201&gt;=65,2,IF(E201&gt;=60,1,IF(E201&gt;=55,0,IF(E201&gt;=50,-1,IF(E201&gt;=45,-2,IF(E201&gt;=40,-3,-4)))))))))</x:f>
      </x:c>
      <x:c r="I201" s="100" t="str">
        <x:f>IF(B201="","",H201)</x:f>
      </x:c>
      <x:c r="J201" s="100" t="str">
        <x:f>IF(B201="","",'Handicap Settings'!$B$8)</x:f>
      </x:c>
      <x:c r="K201" s="100" t="str">
        <x:f>IF(B201="","",MAX(I201-J201,MIN(I201+J201,H201)))</x:f>
      </x:c>
      <x:c r="L201" t="str">
        <x:f>IF(B201="","",IF(K201=4,"Elite+",IF(K201=3,"Elite",IF(K201=2,"A+",IF(K201=1,"A",IF(K201=0,"B+",IF(K201=-1,"B",IF(K201=-2,"C+",IF(K201=-3,"C","D")))))))))</x:f>
      </x:c>
      <x:c r="M201" t="str">
        <x:f>IF(B201="","",IF(D201&gt;=25,"★★★★★",IF(D201&gt;=15,"★★★★",IF(D201&gt;=10,"★★★",IF(D201&gt;=6,"★★","★")))))</x:f>
      </x:c>
      <x:c r="N201" t="str">
        <x:f>IF(B201="","",TRUE)</x:f>
      </x:c>
      <x:c r="O201" t="str">
        <x:f>IF(B201="","",'Handicap Settings'!$B$4)</x:f>
      </x:c>
    </x:row>
  </x:sheetData>
  <x:conditionalFormatting sqref="E2:E201">
    <x:cfRule type="dataBar" priority="1">
      <x:dataBar>
        <x:cfvo type="min"/>
        <x:cfvo type="max"/>
        <x:color rgb="FFA02B93"/>
      </x:dataBar>
    </x:cfRule>
  </x:conditionalFormatting>
  <x:conditionalFormatting sqref="K2:K201">
    <x:cfRule type="colorScale" priority="2">
      <x:colorScale>
        <x:cfvo type="min"/>
        <x:cfvo type="percentile" val="50"/>
        <x:cfvo type="max"/>
        <x:color rgb="FFF4CCCC"/>
        <x:color rgb="FFFFF2CC"/>
        <x:color rgb="FFD9EAD3"/>
      </x:colorScale>
    </x:cfRule>
  </x:conditionalFormatting>
  <x:dataValidations count="2">
    <x:dataValidation type="list" allowBlank="0" showDropDown="0" showInputMessage="0" showErrorMessage="0" sqref="N2:N201">
      <x:formula1>"true,false"</x:formula1>
    </x:dataValidation>
    <x:dataValidation type="list" allowBlank="0" showDropDown="0" showInputMessage="0" showErrorMessage="0" sqref="O2:O201">
      <x:formula1>"Americano,Mexicano,King of the Court,Team League"</x:formula1>
    </x:dataValidation>
  </x:dataValidations>
  <x:pageMargins left="0.7" right="0.7" top="0.75" bottom="0.75" header="0.3" footer="0.3"/>
  <x:tableParts count="1">
    <x:tablePart xmlns:r="http://schemas.openxmlformats.org/officeDocument/2006/relationships" r:id="R09f8452c70bb482a"/>
  </x:tableParts>
</x:worksheet>
</file>

<file path=xl/worksheets/sheet17.xml><?xml version="1.0" encoding="utf-8"?>
<x:worksheet xmlns:x="http://schemas.openxmlformats.org/spreadsheetml/2006/main">
  <x:sheetFormatPr baseColWidth="8" defaultRowHeight="15"/>
  <x:cols>
    <x:col min="1" max="1" width="23" style="125" customWidth="1"/>
    <x:col min="2" max="2" width="22" style="125" customWidth="1"/>
    <x:col min="4" max="4" width="18" style="125" customWidth="1"/>
    <x:col min="5" max="5" width="16" style="125" customWidth="1"/>
    <x:col min="6" max="6" width="16" style="125" customWidth="1"/>
    <x:col min="7" max="7" width="15" style="125" customWidth="1"/>
    <x:col min="8" max="8" width="15" style="125" customWidth="1"/>
    <x:col min="9" max="9" width="13" style="125" customWidth="1"/>
    <x:col min="10" max="10" width="15" style="125" customWidth="1"/>
  </x:cols>
  <x:sheetData>
    <x:row r="1">
      <x:c r="A1" s="76" t="inlineStr">
        <x:is>
          <x:t xml:space="preserve">FLPR Team Balancer</x:t>
        </x:is>
      </x:c>
      <x:c r="B1" s="1" t="n"/>
      <x:c r="C1" s="1" t="n"/>
      <x:c r="D1" s="1" t="n"/>
      <x:c r="E1" s="1" t="n"/>
      <x:c r="F1" s="1" t="n"/>
      <x:c r="G1" s="1" t="n"/>
      <x:c r="H1" s="1" t="n"/>
      <x:c r="I1" s="1" t="n"/>
      <x:c r="J1" s="1" t="n"/>
    </x:row>
    <x:row r="3">
      <x:c r="A3" s="60" t="inlineStr">
        <x:is>
          <x:t xml:space="preserve">Input</x:t>
        </x:is>
      </x:c>
      <x:c r="B3" s="60" t="inlineStr">
        <x:is>
          <x:t xml:space="preserve">Selection</x:t>
        </x:is>
      </x:c>
      <x:c r="D3" s="60" t="inlineStr">
        <x:is>
          <x:t xml:space="preserve">Team</x:t>
        </x:is>
      </x:c>
      <x:c r="E3" s="60" t="inlineStr">
        <x:is>
          <x:t xml:space="preserve">Player 1 Rating</x:t>
        </x:is>
      </x:c>
      <x:c r="F3" s="60" t="inlineStr">
        <x:is>
          <x:t xml:space="preserve">Player 2 Rating</x:t>
        </x:is>
      </x:c>
      <x:c r="G3" s="60" t="inlineStr">
        <x:is>
          <x:t xml:space="preserve">Team Rating</x:t>
        </x:is>
      </x:c>
      <x:c r="H3" s="60" t="inlineStr">
        <x:is>
          <x:t xml:space="preserve">Team Handicap</x:t>
        </x:is>
      </x:c>
      <x:c r="I3" s="60" t="inlineStr">
        <x:is>
          <x:t xml:space="preserve">Difference</x:t>
        </x:is>
      </x:c>
      <x:c r="J3" s="60" t="inlineStr">
        <x:is>
          <x:t xml:space="preserve">Balance Score</x:t>
        </x:is>
      </x:c>
    </x:row>
    <x:row r="4">
      <x:c r="A4" t="inlineStr">
        <x:is>
          <x:t xml:space="preserve">Format</x:t>
        </x:is>
      </x:c>
      <x:c r="B4" t="inlineStr">
        <x:is>
          <x:t xml:space="preserve">Americano</x:t>
        </x:is>
      </x:c>
      <x:c r="D4" t="inlineStr">
        <x:is>
          <x:t xml:space="preserve">Team A</x:t>
        </x:is>
      </x:c>
      <x:c r="E4" t="n">
        <x:f>IFERROR(INDEX('Player Handicap'!$E$2:$E$201,MATCH(B5,'Player Handicap'!$B$2:$B$201,0)),0)</x:f>
        <x:v>0</x:v>
      </x:c>
      <x:c r="F4" t="n">
        <x:f>IFERROR(INDEX('Player Handicap'!$E$2:$E$201,MATCH(B6,'Player Handicap'!$B$2:$B$201,0)),0)</x:f>
        <x:v>0</x:v>
      </x:c>
      <x:c r="G4" t="n">
        <x:f>SUM(E4:F4)</x:f>
        <x:v>0</x:v>
      </x:c>
      <x:c r="H4" t="n">
        <x:f>SUM(IFERROR(INDEX('Player Handicap'!$K$2:$K$201,MATCH(B5,'Player Handicap'!$B$2:$B$201,0)),0),IFERROR(INDEX('Player Handicap'!$K$2:$K$201,MATCH(B6,'Player Handicap'!$B$2:$B$201,0)),0))</x:f>
        <x:v>0</x:v>
      </x:c>
      <x:c r="I4" s="88" t="n">
        <x:f>ABS(G4-G5)</x:f>
        <x:v>0</x:v>
      </x:c>
      <x:c r="J4" s="100" t="n">
        <x:f>MAX(0,100-ABS(G4-G5)*5)</x:f>
        <x:v>100</x:v>
      </x:c>
    </x:row>
    <x:row r="5">
      <x:c r="A5" t="inlineStr">
        <x:is>
          <x:t xml:space="preserve">Team A Player 1</x:t>
        </x:is>
      </x:c>
      <x:c r="D5" t="inlineStr">
        <x:is>
          <x:t xml:space="preserve">Team B</x:t>
        </x:is>
      </x:c>
      <x:c r="E5" t="n">
        <x:f>IFERROR(INDEX('Player Handicap'!$E$2:$E$201,MATCH(B7,'Player Handicap'!$B$2:$B$201,0)),0)</x:f>
        <x:v>0</x:v>
      </x:c>
      <x:c r="F5" t="n">
        <x:f>IFERROR(INDEX('Player Handicap'!$E$2:$E$201,MATCH(B8,'Player Handicap'!$B$2:$B$201,0)),0)</x:f>
        <x:v>0</x:v>
      </x:c>
      <x:c r="G5" t="n">
        <x:f>SUM(E5:F5)</x:f>
        <x:v>0</x:v>
      </x:c>
      <x:c r="H5" t="n">
        <x:f>SUM(IFERROR(INDEX('Player Handicap'!$K$2:$K$201,MATCH(B7,'Player Handicap'!$B$2:$B$201,0)),0),IFERROR(INDEX('Player Handicap'!$K$2:$K$201,MATCH(B8,'Player Handicap'!$B$2:$B$201,0)),0))</x:f>
        <x:v>0</x:v>
      </x:c>
      <x:c r="I5" s="88" t="n">
        <x:f>ABS(G4-G5)</x:f>
        <x:v>0</x:v>
      </x:c>
      <x:c r="J5" s="100" t="n">
        <x:f>MAX(0,100-ABS(G4-G5)*5)</x:f>
        <x:v>100</x:v>
      </x:c>
    </x:row>
    <x:row r="6">
      <x:c r="A6" t="inlineStr">
        <x:is>
          <x:t xml:space="preserve">Team A Player 2</x:t>
        </x:is>
      </x:c>
    </x:row>
    <x:row r="7">
      <x:c r="A7" t="inlineStr">
        <x:is>
          <x:t xml:space="preserve">Team B Player 1</x:t>
        </x:is>
      </x:c>
    </x:row>
    <x:row r="8">
      <x:c r="A8" t="inlineStr">
        <x:is>
          <x:t xml:space="preserve">Team B Player 2</x:t>
        </x:is>
      </x:c>
      <x:c r="D8" s="60" t="inlineStr">
        <x:is>
          <x:t xml:space="preserve">Assessment</x:t>
        </x:is>
      </x:c>
      <x:c r="E8" s="60" t="inlineStr">
        <x:is>
          <x:t xml:space="preserve">Rule</x:t>
        </x:is>
      </x:c>
      <x:c r="F8" s="60" t="inlineStr">
        <x:is>
          <x:t xml:space="preserve">Result</x:t>
        </x:is>
      </x:c>
      <x:c r="G8" s="60" t="inlineStr">
        <x:is>
          <x:t xml:space="preserve">Recommendation</x:t>
        </x:is>
      </x:c>
    </x:row>
    <x:row r="9">
      <x:c r="D9" t="inlineStr">
        <x:is>
          <x:t xml:space="preserve">Very Balanced</x:t>
        </x:is>
      </x:c>
      <x:c r="E9" t="inlineStr">
        <x:is>
          <x:t xml:space="preserve">Difference ≤ target</x:t>
        </x:is>
      </x:c>
      <x:c r="F9" t="str">
        <x:f>IF($I$4&lt;='Handicap Settings'!$B$10,"YES","")</x:f>
        <x:v>YES</x:v>
      </x:c>
      <x:c r="G9" t="inlineStr">
        <x:is>
          <x:t xml:space="preserve">Excellent pairing</x:t>
        </x:is>
      </x:c>
    </x:row>
    <x:row r="10">
      <x:c r="D10" t="inlineStr">
        <x:is>
          <x:t xml:space="preserve">Balanced</x:t>
        </x:is>
      </x:c>
      <x:c r="E10" t="inlineStr">
        <x:is>
          <x:t xml:space="preserve">Difference ≤ acceptable</x:t>
        </x:is>
      </x:c>
      <x:c r="F10" t="str">
        <x:f>IF(AND($I$4&gt;'Handicap Settings'!$B$10,$I$4&lt;='Handicap Settings'!$B$11),"YES","")</x:f>
      </x:c>
      <x:c r="G10" t="inlineStr">
        <x:is>
          <x:t xml:space="preserve">Recommended</x:t>
        </x:is>
      </x:c>
    </x:row>
    <x:row r="11">
      <x:c r="D11" t="inlineStr">
        <x:is>
          <x:t xml:space="preserve">Playable</x:t>
        </x:is>
      </x:c>
      <x:c r="E11" t="inlineStr">
        <x:is>
          <x:t xml:space="preserve">Difference ≤ maximum</x:t>
        </x:is>
      </x:c>
      <x:c r="F11" t="str">
        <x:f>IF(AND($I$4&gt;'Handicap Settings'!$B$11,$I$4&lt;='Handicap Settings'!$B$12),"YES","")</x:f>
      </x:c>
      <x:c r="G11" t="inlineStr">
        <x:is>
          <x:t xml:space="preserve">Use with caution</x:t>
        </x:is>
      </x:c>
    </x:row>
    <x:row r="12">
      <x:c r="D12" t="inlineStr">
        <x:is>
          <x:t xml:space="preserve">Unbalanced</x:t>
        </x:is>
      </x:c>
      <x:c r="E12" t="inlineStr">
        <x:is>
          <x:t xml:space="preserve">Difference &gt; maximum</x:t>
        </x:is>
      </x:c>
      <x:c r="F12" t="str">
        <x:f>IF($I$4&gt;'Handicap Settings'!$B$12,"YES","")</x:f>
      </x:c>
      <x:c r="G12" t="inlineStr">
        <x:is>
          <x:t xml:space="preserve">Rebalance teams</x:t>
        </x:is>
      </x:c>
    </x:row>
    <x:row r="13">
      <x:c r="D13" t="inlineStr">
        <x:is>
          <x:t xml:space="preserve">Official Result</x:t>
        </x:is>
      </x:c>
      <x:c r="F13" t="str">
        <x:f>IF($I$4&lt;='Handicap Settings'!$B$10,"VERY BALANCED",IF($I$4&lt;='Handicap Settings'!$B$11,"BALANCED",IF($I$4&lt;='Handicap Settings'!$B$12,"PLAYABLE","UNBALANCED")))</x:f>
        <x:v>VERY BALANCED</x:v>
      </x:c>
    </x:row>
  </x:sheetData>
  <x:mergeCells>
    <x:mergeCell ref="A1:J1"/>
  </x:mergeCells>
  <x:conditionalFormatting sqref="J4:J5">
    <x:cfRule type="colorScale" priority="1">
      <x:colorScale>
        <x:cfvo type="min"/>
        <x:cfvo type="percentile" val="50"/>
        <x:cfvo type="max"/>
        <x:color rgb="FFF4CCCC"/>
        <x:color rgb="FFFFF2CC"/>
        <x:color rgb="FFD9EAD3"/>
      </x:colorScale>
    </x:cfRule>
  </x:conditionalFormatting>
  <x:dataValidations count="5">
    <x:dataValidation type="list" allowBlank="0" showDropDown="0" showInputMessage="0" showErrorMessage="0" sqref="B4">
      <x:formula1>"Americano,Mexicano,King of the Court,Team League"</x:formula1>
    </x:dataValidation>
    <x:dataValidation type="list" allowBlank="0" showDropDown="0" showInputMessage="0" showErrorMessage="0" sqref="B5">
      <x:formula1>'Player Handicap'!$B$2:$B$201</x:formula1>
    </x:dataValidation>
    <x:dataValidation type="list" allowBlank="0" showDropDown="0" showInputMessage="0" showErrorMessage="0" sqref="B6">
      <x:formula1>'Player Handicap'!$B$2:$B$201</x:formula1>
    </x:dataValidation>
    <x:dataValidation type="list" allowBlank="0" showDropDown="0" showInputMessage="0" showErrorMessage="0" sqref="B7">
      <x:formula1>'Player Handicap'!$B$2:$B$201</x:formula1>
    </x:dataValidation>
    <x:dataValidation type="list" allowBlank="0" showDropDown="0" showInputMessage="0" showErrorMessage="0" sqref="B8">
      <x:formula1>'Player Handicap'!$B$2:$B$201</x:formula1>
    </x:dataValidation>
  </x:dataValidation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125" customWidth="1"/>
    <x:col min="2" max="2" width="22" style="125" customWidth="1"/>
    <x:col min="4" max="4" width="20" style="125" customWidth="1"/>
    <x:col min="5" max="5" width="17" style="125" customWidth="1"/>
    <x:col min="6" max="6" width="17" style="125" customWidth="1"/>
    <x:col min="7" max="7" width="14" style="125" customWidth="1"/>
    <x:col min="8" max="8" width="25" style="125" customWidth="1"/>
  </x:cols>
  <x:sheetData>
    <x:row r="1">
      <x:c r="A1" s="76" t="inlineStr">
        <x:is>
          <x:t xml:space="preserve">FLPR Match Prediction Engine</x:t>
        </x:is>
      </x:c>
      <x:c r="B1" s="1" t="n"/>
      <x:c r="C1" s="1" t="n"/>
      <x:c r="D1" s="1" t="n"/>
      <x:c r="E1" s="1" t="n"/>
      <x:c r="F1" s="1" t="n"/>
      <x:c r="G1" s="1" t="n"/>
      <x:c r="H1" s="1" t="n"/>
    </x:row>
    <x:row r="3">
      <x:c r="A3" s="60" t="inlineStr">
        <x:is>
          <x:t xml:space="preserve">Input</x:t>
        </x:is>
      </x:c>
      <x:c r="B3" s="60" t="inlineStr">
        <x:is>
          <x:t xml:space="preserve">Selection</x:t>
        </x:is>
      </x:c>
      <x:c r="D3" s="60" t="inlineStr">
        <x:is>
          <x:t xml:space="preserve">Metric</x:t>
        </x:is>
      </x:c>
      <x:c r="E3" s="60" t="inlineStr">
        <x:is>
          <x:t xml:space="preserve">Team A</x:t>
        </x:is>
      </x:c>
      <x:c r="F3" s="60" t="inlineStr">
        <x:is>
          <x:t xml:space="preserve">Team B</x:t>
        </x:is>
      </x:c>
      <x:c r="G3" s="60" t="inlineStr">
        <x:is>
          <x:t xml:space="preserve">Difference</x:t>
        </x:is>
      </x:c>
      <x:c r="H3" s="60" t="inlineStr">
        <x:is>
          <x:t xml:space="preserve">Interpretation</x:t>
        </x:is>
      </x:c>
    </x:row>
    <x:row r="4">
      <x:c r="A4" t="inlineStr">
        <x:is>
          <x:t xml:space="preserve">Team A Player 1</x:t>
        </x:is>
      </x:c>
      <x:c r="D4" t="inlineStr">
        <x:is>
          <x:t xml:space="preserve">Team Rating</x:t>
        </x:is>
      </x:c>
      <x:c r="E4" t="n">
        <x:f>SUM(IFERROR(INDEX('Player Handicap'!$E$2:$E$201,MATCH(B4,'Player Handicap'!$B$2:$B$201,0)),0),IFERROR(INDEX('Player Handicap'!$E$2:$E$201,MATCH(B5,'Player Handicap'!$B$2:$B$201,0)),0))</x:f>
        <x:v>0</x:v>
      </x:c>
      <x:c r="F4" t="n">
        <x:f>SUM(IFERROR(INDEX('Player Handicap'!$E$2:$E$201,MATCH(B6,'Player Handicap'!$B$2:$B$201,0)),0),IFERROR(INDEX('Player Handicap'!$E$2:$E$201,MATCH(B7,'Player Handicap'!$B$2:$B$201,0)),0))</x:f>
        <x:v>0</x:v>
      </x:c>
      <x:c r="G4" t="n">
        <x:f>E4-F4</x:f>
        <x:v>0</x:v>
      </x:c>
      <x:c r="H4" t="str">
        <x:f>IF(ABS(G4)&lt;=5,"Very close",IF(ABS(G4)&lt;=10,"Competitive",IF(ABS(G4)&lt;=18,"Playable","Mismatch risk")))</x:f>
        <x:v>Very close</x:v>
      </x:c>
    </x:row>
    <x:row r="5">
      <x:c r="A5" t="inlineStr">
        <x:is>
          <x:t xml:space="preserve">Team A Player 2</x:t>
        </x:is>
      </x:c>
      <x:c r="D5" t="inlineStr">
        <x:is>
          <x:t xml:space="preserve">Team Handicap</x:t>
        </x:is>
      </x:c>
      <x:c r="E5" t="n">
        <x:f>SUM(IFERROR(INDEX('Player Handicap'!$K$2:$K$201,MATCH(B4,'Player Handicap'!$B$2:$B$201,0)),0),IFERROR(INDEX('Player Handicap'!$K$2:$K$201,MATCH(B5,'Player Handicap'!$B$2:$B$201,0)),0))</x:f>
        <x:v>0</x:v>
      </x:c>
      <x:c r="F5" t="n">
        <x:f>SUM(IFERROR(INDEX('Player Handicap'!$K$2:$K$201,MATCH(B6,'Player Handicap'!$B$2:$B$201,0)),0),IFERROR(INDEX('Player Handicap'!$K$2:$K$201,MATCH(B7,'Player Handicap'!$B$2:$B$201,0)),0))</x:f>
        <x:v>0</x:v>
      </x:c>
      <x:c r="G5" t="n">
        <x:f>E5-F5</x:f>
        <x:v>0</x:v>
      </x:c>
    </x:row>
    <x:row r="6">
      <x:c r="A6" t="inlineStr">
        <x:is>
          <x:t xml:space="preserve">Team B Player 1</x:t>
        </x:is>
      </x:c>
      <x:c r="D6" t="inlineStr">
        <x:is>
          <x:t xml:space="preserve">Win Probability</x:t>
        </x:is>
      </x:c>
      <x:c r="E6" s="126" t="n">
        <x:f>1/(1+EXP(-(E4-F4)/'Handicap Settings'!$B$13))</x:f>
        <x:v>0.5</x:v>
      </x:c>
      <x:c r="F6" s="126" t="n">
        <x:f>1-E6</x:f>
        <x:v>0.5</x:v>
      </x:c>
      <x:c r="G6" s="126" t="n">
        <x:f>E6-F6</x:f>
        <x:v>0</x:v>
      </x:c>
    </x:row>
    <x:row r="7">
      <x:c r="A7" t="inlineStr">
        <x:is>
          <x:t xml:space="preserve">Team B Player 2</x:t>
        </x:is>
      </x:c>
      <x:c r="D7" t="inlineStr">
        <x:is>
          <x:t xml:space="preserve">Expected Score Share</x:t>
        </x:is>
      </x:c>
      <x:c r="E7" s="126" t="n">
        <x:f>E6</x:f>
        <x:v>0.5</x:v>
      </x:c>
      <x:c r="F7" s="126" t="n">
        <x:f>F6</x:f>
        <x:v>0.5</x:v>
      </x:c>
      <x:c r="G7" s="126" t="n">
        <x:f>E7-F7</x:f>
        <x:v>0</x:v>
      </x:c>
    </x:row>
    <x:row r="8">
      <x:c r="A8" t="inlineStr">
        <x:is>
          <x:t xml:space="preserve">Format</x:t>
        </x:is>
      </x:c>
      <x:c r="B8" t="inlineStr">
        <x:is>
          <x:t xml:space="preserve">Americano</x:t>
        </x:is>
      </x:c>
      <x:c r="D8" t="inlineStr">
        <x:is>
          <x:t xml:space="preserve">Prediction</x:t>
        </x:is>
      </x:c>
      <x:c r="E8" t="str">
        <x:f>IF(E6&gt;0.57,"TEAM A FAVORED",IF(E6&lt;0.43,"TEAM B FAVORED","TOO CLOSE TO CALL"))</x:f>
        <x:v>TOO CLOSE TO CALL</x:v>
      </x:c>
      <x:c r="F8" t="str">
        <x:f>IF(F6&gt;0.57,"TEAM B FAVORED",IF(F6&lt;0.43,"TEAM A FAVORED","TOO CLOSE TO CALL"))</x:f>
        <x:v>TOO CLOSE TO CALL</x:v>
      </x:c>
    </x:row>
  </x:sheetData>
  <x:mergeCells>
    <x:mergeCell ref="A1:H1"/>
  </x:mergeCells>
  <x:dataValidations count="5">
    <x:dataValidation type="list" allowBlank="0" showDropDown="0" showInputMessage="0" showErrorMessage="0" sqref="B4">
      <x:formula1>'Player Handicap'!$B$2:$B$201</x:formula1>
    </x:dataValidation>
    <x:dataValidation type="list" allowBlank="0" showDropDown="0" showInputMessage="0" showErrorMessage="0" sqref="B5">
      <x:formula1>'Player Handicap'!$B$2:$B$201</x:formula1>
    </x:dataValidation>
    <x:dataValidation type="list" allowBlank="0" showDropDown="0" showInputMessage="0" showErrorMessage="0" sqref="B6">
      <x:formula1>'Player Handicap'!$B$2:$B$201</x:formula1>
    </x:dataValidation>
    <x:dataValidation type="list" allowBlank="0" showDropDown="0" showInputMessage="0" showErrorMessage="0" sqref="B7">
      <x:formula1>'Player Handicap'!$B$2:$B$201</x:formula1>
    </x:dataValidation>
    <x:dataValidation type="list" allowBlank="0" showDropDown="0" showInputMessage="0" showErrorMessage="0" sqref="B8">
      <x:formula1>"Americano,Mexicano,King of the Court,Team League"</x:formula1>
    </x:dataValidation>
  </x:dataValidation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8" style="125" customWidth="1"/>
    <x:col min="2" max="2" width="8" style="125" customWidth="1"/>
    <x:col min="3" max="3" width="18" style="125" customWidth="1"/>
    <x:col min="4" max="4" width="18" style="125" customWidth="1"/>
    <x:col min="5" max="5" width="18" style="125" customWidth="1"/>
    <x:col min="6" max="6" width="18" style="125" customWidth="1"/>
    <x:col min="7" max="7" width="14" style="125" customWidth="1"/>
    <x:col min="8" max="8" width="14" style="125" customWidth="1"/>
    <x:col min="9" max="9" width="11" style="125" customWidth="1"/>
    <x:col min="10" max="10" width="13" style="125" customWidth="1"/>
    <x:col min="11" max="11" width="14" style="125" customWidth="1"/>
    <x:col min="12" max="12" width="15" style="125" customWidth="1"/>
  </x:cols>
  <x:sheetData>
    <x:row r="1">
      <x:c r="A1" s="76" t="inlineStr">
        <x:is>
          <x:t xml:space="preserve">FLPR Tournament Builder — Multi-Format Template</x:t>
        </x:is>
      </x:c>
      <x:c r="B1" s="1" t="n"/>
      <x:c r="C1" s="1" t="n"/>
      <x:c r="D1" s="1" t="n"/>
      <x:c r="E1" s="1" t="n"/>
      <x:c r="F1" s="1" t="n"/>
      <x:c r="G1" s="1" t="n"/>
      <x:c r="H1" s="1" t="n"/>
      <x:c r="I1" s="1" t="n"/>
      <x:c r="J1" s="1" t="n"/>
      <x:c r="K1" s="1" t="n"/>
      <x:c r="L1" s="1" t="n"/>
    </x:row>
    <x:row r="3">
      <x:c r="A3" s="60" t="inlineStr">
        <x:is>
          <x:t xml:space="preserve">Tournament Setting</x:t>
        </x:is>
      </x:c>
      <x:c r="B3" s="60" t="inlineStr">
        <x:is>
          <x:t xml:space="preserve">Value</x:t>
        </x:is>
      </x:c>
      <x:c r="D3" s="60" t="inlineStr">
        <x:is>
          <x:t xml:space="preserve">Seed</x:t>
        </x:is>
      </x:c>
      <x:c r="E3" s="60" t="inlineStr">
        <x:is>
          <x:t xml:space="preserve">Player</x:t>
        </x:is>
      </x:c>
      <x:c r="F3" s="60" t="inlineStr">
        <x:is>
          <x:t xml:space="preserve">Rating</x:t>
        </x:is>
      </x:c>
      <x:c r="G3" s="60" t="inlineStr">
        <x:is>
          <x:t xml:space="preserve">Handicap</x:t>
        </x:is>
      </x:c>
      <x:c r="H3" s="60" t="inlineStr">
        <x:is>
          <x:t xml:space="preserve">Status</x:t>
        </x:is>
      </x:c>
      <x:c r="I3" s="60" t="inlineStr">
        <x:is>
          <x:t xml:space="preserve">Confidence</x:t>
        </x:is>
      </x:c>
      <x:c r="J3" s="60" t="inlineStr">
        <x:is>
          <x:t xml:space="preserve">Active</x:t>
        </x:is>
      </x:c>
    </x:row>
    <x:row r="4">
      <x:c r="A4" t="inlineStr">
        <x:is>
          <x:t xml:space="preserve">Tournament Name</x:t>
        </x:is>
      </x:c>
      <x:c r="B4" t="inlineStr">
        <x:is>
          <x:t xml:space="preserve">Weekly FLPR</x:t>
        </x:is>
      </x:c>
      <x:c r="D4" t="n">
        <x:v>1</x:v>
      </x:c>
      <x:c r="F4" t="str">
        <x:f>IF(E4="","",IFERROR(INDEX('Player Handicap'!$E$2:$E$201,MATCH(E4,'Player Handicap'!$B$2:$B$201,0)),""))</x:f>
      </x:c>
      <x:c r="G4" t="str">
        <x:f>IF(E4="","",IFERROR(INDEX('Player Handicap'!$K$2:$K$201,MATCH(E4,'Player Handicap'!$B$2:$B$201,0)),""))</x:f>
      </x:c>
      <x:c r="H4" t="str">
        <x:f>IF(E4="","",IFERROR(INDEX('Player Handicap'!$F$2:$F$201,MATCH(E4,'Player Handicap'!$B$2:$B$201,0)),""))</x:f>
      </x:c>
      <x:c r="I4" t="str">
        <x:f>IF(E4="","",IFERROR(INDEX('Player Handicap'!$M$2:$M$201,MATCH(E4,'Player Handicap'!$B$2:$B$201,0)),""))</x:f>
      </x:c>
      <x:c r="J4" t="str">
        <x:f>IF(E4="","",TRUE)</x:f>
      </x:c>
    </x:row>
    <x:row r="5">
      <x:c r="A5" t="inlineStr">
        <x:is>
          <x:t xml:space="preserve">Format</x:t>
        </x:is>
      </x:c>
      <x:c r="B5" t="inlineStr">
        <x:is>
          <x:t xml:space="preserve">Americano</x:t>
        </x:is>
      </x:c>
      <x:c r="D5" t="n">
        <x:v>2</x:v>
      </x:c>
      <x:c r="F5" t="str">
        <x:f>IF(E5="","",IFERROR(INDEX('Player Handicap'!$E$2:$E$201,MATCH(E5,'Player Handicap'!$B$2:$B$201,0)),""))</x:f>
      </x:c>
      <x:c r="G5" t="str">
        <x:f>IF(E5="","",IFERROR(INDEX('Player Handicap'!$K$2:$K$201,MATCH(E5,'Player Handicap'!$B$2:$B$201,0)),""))</x:f>
      </x:c>
      <x:c r="H5" t="str">
        <x:f>IF(E5="","",IFERROR(INDEX('Player Handicap'!$F$2:$F$201,MATCH(E5,'Player Handicap'!$B$2:$B$201,0)),""))</x:f>
      </x:c>
      <x:c r="I5" t="str">
        <x:f>IF(E5="","",IFERROR(INDEX('Player Handicap'!$M$2:$M$201,MATCH(E5,'Player Handicap'!$B$2:$B$201,0)),""))</x:f>
      </x:c>
      <x:c r="J5" t="str">
        <x:f>IF(E5="","",TRUE)</x:f>
      </x:c>
    </x:row>
    <x:row r="6">
      <x:c r="A6" t="inlineStr">
        <x:is>
          <x:t xml:space="preserve">Date</x:t>
        </x:is>
      </x:c>
      <x:c r="D6" t="n">
        <x:v>3</x:v>
      </x:c>
      <x:c r="F6" t="str">
        <x:f>IF(E6="","",IFERROR(INDEX('Player Handicap'!$E$2:$E$201,MATCH(E6,'Player Handicap'!$B$2:$B$201,0)),""))</x:f>
      </x:c>
      <x:c r="G6" t="str">
        <x:f>IF(E6="","",IFERROR(INDEX('Player Handicap'!$K$2:$K$201,MATCH(E6,'Player Handicap'!$B$2:$B$201,0)),""))</x:f>
      </x:c>
      <x:c r="H6" t="str">
        <x:f>IF(E6="","",IFERROR(INDEX('Player Handicap'!$F$2:$F$201,MATCH(E6,'Player Handicap'!$B$2:$B$201,0)),""))</x:f>
      </x:c>
      <x:c r="I6" t="str">
        <x:f>IF(E6="","",IFERROR(INDEX('Player Handicap'!$M$2:$M$201,MATCH(E6,'Player Handicap'!$B$2:$B$201,0)),""))</x:f>
      </x:c>
      <x:c r="J6" t="str">
        <x:f>IF(E6="","",TRUE)</x:f>
      </x:c>
    </x:row>
    <x:row r="7">
      <x:c r="A7" t="inlineStr">
        <x:is>
          <x:t xml:space="preserve">Players</x:t>
        </x:is>
      </x:c>
      <x:c r="B7" t="n">
        <x:v>16</x:v>
      </x:c>
      <x:c r="D7" t="n">
        <x:v>4</x:v>
      </x:c>
      <x:c r="F7" t="str">
        <x:f>IF(E7="","",IFERROR(INDEX('Player Handicap'!$E$2:$E$201,MATCH(E7,'Player Handicap'!$B$2:$B$201,0)),""))</x:f>
      </x:c>
      <x:c r="G7" t="str">
        <x:f>IF(E7="","",IFERROR(INDEX('Player Handicap'!$K$2:$K$201,MATCH(E7,'Player Handicap'!$B$2:$B$201,0)),""))</x:f>
      </x:c>
      <x:c r="H7" t="str">
        <x:f>IF(E7="","",IFERROR(INDEX('Player Handicap'!$F$2:$F$201,MATCH(E7,'Player Handicap'!$B$2:$B$201,0)),""))</x:f>
      </x:c>
      <x:c r="I7" t="str">
        <x:f>IF(E7="","",IFERROR(INDEX('Player Handicap'!$M$2:$M$201,MATCH(E7,'Player Handicap'!$B$2:$B$201,0)),""))</x:f>
      </x:c>
      <x:c r="J7" t="str">
        <x:f>IF(E7="","",TRUE)</x:f>
      </x:c>
    </x:row>
    <x:row r="8">
      <x:c r="A8" t="inlineStr">
        <x:is>
          <x:t xml:space="preserve">Courts</x:t>
        </x:is>
      </x:c>
      <x:c r="B8" t="n">
        <x:v>2</x:v>
      </x:c>
      <x:c r="D8" t="n">
        <x:v>5</x:v>
      </x:c>
      <x:c r="F8" t="str">
        <x:f>IF(E8="","",IFERROR(INDEX('Player Handicap'!$E$2:$E$201,MATCH(E8,'Player Handicap'!$B$2:$B$201,0)),""))</x:f>
      </x:c>
      <x:c r="G8" t="str">
        <x:f>IF(E8="","",IFERROR(INDEX('Player Handicap'!$K$2:$K$201,MATCH(E8,'Player Handicap'!$B$2:$B$201,0)),""))</x:f>
      </x:c>
      <x:c r="H8" t="str">
        <x:f>IF(E8="","",IFERROR(INDEX('Player Handicap'!$F$2:$F$201,MATCH(E8,'Player Handicap'!$B$2:$B$201,0)),""))</x:f>
      </x:c>
      <x:c r="I8" t="str">
        <x:f>IF(E8="","",IFERROR(INDEX('Player Handicap'!$M$2:$M$201,MATCH(E8,'Player Handicap'!$B$2:$B$201,0)),""))</x:f>
      </x:c>
      <x:c r="J8" t="str">
        <x:f>IF(E8="","",TRUE)</x:f>
      </x:c>
    </x:row>
    <x:row r="9">
      <x:c r="A9" t="inlineStr">
        <x:is>
          <x:t xml:space="preserve">Rounds</x:t>
        </x:is>
      </x:c>
      <x:c r="B9" t="n">
        <x:v>8</x:v>
      </x:c>
      <x:c r="D9" t="n">
        <x:v>6</x:v>
      </x:c>
      <x:c r="F9" t="str">
        <x:f>IF(E9="","",IFERROR(INDEX('Player Handicap'!$E$2:$E$201,MATCH(E9,'Player Handicap'!$B$2:$B$201,0)),""))</x:f>
      </x:c>
      <x:c r="G9" t="str">
        <x:f>IF(E9="","",IFERROR(INDEX('Player Handicap'!$K$2:$K$201,MATCH(E9,'Player Handicap'!$B$2:$B$201,0)),""))</x:f>
      </x:c>
      <x:c r="H9" t="str">
        <x:f>IF(E9="","",IFERROR(INDEX('Player Handicap'!$F$2:$F$201,MATCH(E9,'Player Handicap'!$B$2:$B$201,0)),""))</x:f>
      </x:c>
      <x:c r="I9" t="str">
        <x:f>IF(E9="","",IFERROR(INDEX('Player Handicap'!$M$2:$M$201,MATCH(E9,'Player Handicap'!$B$2:$B$201,0)),""))</x:f>
      </x:c>
      <x:c r="J9" t="str">
        <x:f>IF(E9="","",TRUE)</x:f>
      </x:c>
    </x:row>
    <x:row r="10">
      <x:c r="D10" t="n">
        <x:v>7</x:v>
      </x:c>
      <x:c r="F10" t="str">
        <x:f>IF(E10="","",IFERROR(INDEX('Player Handicap'!$E$2:$E$201,MATCH(E10,'Player Handicap'!$B$2:$B$201,0)),""))</x:f>
      </x:c>
      <x:c r="G10" t="str">
        <x:f>IF(E10="","",IFERROR(INDEX('Player Handicap'!$K$2:$K$201,MATCH(E10,'Player Handicap'!$B$2:$B$201,0)),""))</x:f>
      </x:c>
      <x:c r="H10" t="str">
        <x:f>IF(E10="","",IFERROR(INDEX('Player Handicap'!$F$2:$F$201,MATCH(E10,'Player Handicap'!$B$2:$B$201,0)),""))</x:f>
      </x:c>
      <x:c r="I10" t="str">
        <x:f>IF(E10="","",IFERROR(INDEX('Player Handicap'!$M$2:$M$201,MATCH(E10,'Player Handicap'!$B$2:$B$201,0)),""))</x:f>
      </x:c>
      <x:c r="J10" t="str">
        <x:f>IF(E10="","",TRUE)</x:f>
      </x:c>
    </x:row>
    <x:row r="11">
      <x:c r="D11" t="n">
        <x:v>8</x:v>
      </x:c>
      <x:c r="F11" t="str">
        <x:f>IF(E11="","",IFERROR(INDEX('Player Handicap'!$E$2:$E$201,MATCH(E11,'Player Handicap'!$B$2:$B$201,0)),""))</x:f>
      </x:c>
      <x:c r="G11" t="str">
        <x:f>IF(E11="","",IFERROR(INDEX('Player Handicap'!$K$2:$K$201,MATCH(E11,'Player Handicap'!$B$2:$B$201,0)),""))</x:f>
      </x:c>
      <x:c r="H11" t="str">
        <x:f>IF(E11="","",IFERROR(INDEX('Player Handicap'!$F$2:$F$201,MATCH(E11,'Player Handicap'!$B$2:$B$201,0)),""))</x:f>
      </x:c>
      <x:c r="I11" t="str">
        <x:f>IF(E11="","",IFERROR(INDEX('Player Handicap'!$M$2:$M$201,MATCH(E11,'Player Handicap'!$B$2:$B$201,0)),""))</x:f>
      </x:c>
      <x:c r="J11" t="str">
        <x:f>IF(E11="","",TRUE)</x:f>
      </x:c>
    </x:row>
    <x:row r="12">
      <x:c r="A12" s="60" t="inlineStr">
        <x:is>
          <x:t xml:space="preserve">Round</x:t>
        </x:is>
      </x:c>
      <x:c r="B12" s="60" t="inlineStr">
        <x:is>
          <x:t xml:space="preserve">Court</x:t>
        </x:is>
      </x:c>
      <x:c r="C12" s="60" t="inlineStr">
        <x:is>
          <x:t xml:space="preserve">Team A P1</x:t>
        </x:is>
      </x:c>
      <x:c r="D12" s="60" t="inlineStr">
        <x:is>
          <x:t xml:space="preserve">Team A P2</x:t>
        </x:is>
      </x:c>
      <x:c r="E12" s="60" t="inlineStr">
        <x:is>
          <x:t xml:space="preserve">Team B P1</x:t>
        </x:is>
      </x:c>
      <x:c r="F12" s="60" t="inlineStr">
        <x:is>
          <x:t xml:space="preserve">Team B P2</x:t>
        </x:is>
      </x:c>
      <x:c r="G12" s="60" t="inlineStr">
        <x:is>
          <x:t xml:space="preserve">Team A Rating</x:t>
        </x:is>
      </x:c>
      <x:c r="H12" s="60" t="inlineStr">
        <x:is>
          <x:t xml:space="preserve">Team B Rating</x:t>
        </x:is>
      </x:c>
      <x:c r="I12" s="60" t="inlineStr">
        <x:is>
          <x:t xml:space="preserve">Difference</x:t>
        </x:is>
      </x:c>
      <x:c r="J12" s="60" t="inlineStr">
        <x:is>
          <x:t xml:space="preserve">Balance Score</x:t>
        </x:is>
      </x:c>
      <x:c r="K12" s="60" t="inlineStr">
        <x:is>
          <x:t xml:space="preserve">Prediction</x:t>
        </x:is>
      </x:c>
      <x:c r="L12" s="60" t="inlineStr">
        <x:is>
          <x:t xml:space="preserve">Result</x:t>
        </x:is>
      </x:c>
    </x:row>
    <x:row r="13">
      <x:c r="A13" t="n">
        <x:v>1</x:v>
      </x:c>
      <x:c r="B13" t="n">
        <x:v>1</x:v>
      </x:c>
      <x:c r="D13" t="n">
        <x:v>10</x:v>
      </x:c>
      <x:c r="F13" t="str">
        <x:f>IF(E13="","",IFERROR(INDEX('Player Handicap'!$E$2:$E$201,MATCH(E13,'Player Handicap'!$B$2:$B$201,0)),""))</x:f>
      </x:c>
      <x:c r="G13" t="str">
        <x:f>IF(COUNTA(C13:D13)&lt;2,"",SUM(IFERROR(INDEX('Player Handicap'!$E$2:$E$201,MATCH(C13,'Player Handicap'!$B$2:$B$201,0)),0),IFERROR(INDEX('Player Handicap'!$E$2:$E$201,MATCH(D13,'Player Handicap'!$B$2:$B$201,0)),0)))</x:f>
      </x:c>
      <x:c r="H13" t="str">
        <x:f>IF(COUNTA(E13:F13)&lt;2,"",SUM(IFERROR(INDEX('Player Handicap'!$E$2:$E$201,MATCH(E13,'Player Handicap'!$B$2:$B$201,0)),0),IFERROR(INDEX('Player Handicap'!$E$2:$E$201,MATCH(F13,'Player Handicap'!$B$2:$B$201,0)),0)))</x:f>
      </x:c>
      <x:c r="I13" t="str">
        <x:f>IF(OR(G13="",H13=""),"",ABS(G13-H13))</x:f>
      </x:c>
      <x:c r="J13" t="str">
        <x:f>IF(I13="","",MAX(0,100-I13*5))</x:f>
      </x:c>
      <x:c r="K13" t="str">
        <x:f>IF(I13="","",IF(G13&gt;H13,"Team A",IF(H13&gt;G13,"Team B","50/50")))</x:f>
      </x:c>
    </x:row>
    <x:row r="14">
      <x:c r="A14" t="n">
        <x:v>1</x:v>
      </x:c>
      <x:c r="B14" t="n">
        <x:v>2</x:v>
      </x:c>
      <x:c r="D14" t="n">
        <x:v>11</x:v>
      </x:c>
      <x:c r="F14" t="str">
        <x:f>IF(E14="","",IFERROR(INDEX('Player Handicap'!$E$2:$E$201,MATCH(E14,'Player Handicap'!$B$2:$B$201,0)),""))</x:f>
      </x:c>
      <x:c r="G14" t="str">
        <x:f>IF(COUNTA(C14:D14)&lt;2,"",SUM(IFERROR(INDEX('Player Handicap'!$E$2:$E$201,MATCH(C14,'Player Handicap'!$B$2:$B$201,0)),0),IFERROR(INDEX('Player Handicap'!$E$2:$E$201,MATCH(D14,'Player Handicap'!$B$2:$B$201,0)),0)))</x:f>
      </x:c>
      <x:c r="H14" t="str">
        <x:f>IF(COUNTA(E14:F14)&lt;2,"",SUM(IFERROR(INDEX('Player Handicap'!$E$2:$E$201,MATCH(E14,'Player Handicap'!$B$2:$B$201,0)),0),IFERROR(INDEX('Player Handicap'!$E$2:$E$201,MATCH(F14,'Player Handicap'!$B$2:$B$201,0)),0)))</x:f>
      </x:c>
      <x:c r="I14" t="str">
        <x:f>IF(OR(G14="",H14=""),"",ABS(G14-H14))</x:f>
      </x:c>
      <x:c r="J14" t="str">
        <x:f>IF(I14="","",MAX(0,100-I14*5))</x:f>
      </x:c>
      <x:c r="K14" t="str">
        <x:f>IF(I14="","",IF(G14&gt;H14,"Team A",IF(H14&gt;G14,"Team B","50/50")))</x:f>
      </x:c>
    </x:row>
    <x:row r="15">
      <x:c r="A15" t="n">
        <x:v>1</x:v>
      </x:c>
      <x:c r="B15" t="n">
        <x:v>3</x:v>
      </x:c>
      <x:c r="D15" t="n">
        <x:v>12</x:v>
      </x:c>
      <x:c r="F15" t="str">
        <x:f>IF(E15="","",IFERROR(INDEX('Player Handicap'!$E$2:$E$201,MATCH(E15,'Player Handicap'!$B$2:$B$201,0)),""))</x:f>
      </x:c>
      <x:c r="G15" t="str">
        <x:f>IF(COUNTA(C15:D15)&lt;2,"",SUM(IFERROR(INDEX('Player Handicap'!$E$2:$E$201,MATCH(C15,'Player Handicap'!$B$2:$B$201,0)),0),IFERROR(INDEX('Player Handicap'!$E$2:$E$201,MATCH(D15,'Player Handicap'!$B$2:$B$201,0)),0)))</x:f>
      </x:c>
      <x:c r="H15" t="str">
        <x:f>IF(COUNTA(E15:F15)&lt;2,"",SUM(IFERROR(INDEX('Player Handicap'!$E$2:$E$201,MATCH(E15,'Player Handicap'!$B$2:$B$201,0)),0),IFERROR(INDEX('Player Handicap'!$E$2:$E$201,MATCH(F15,'Player Handicap'!$B$2:$B$201,0)),0)))</x:f>
      </x:c>
      <x:c r="I15" t="str">
        <x:f>IF(OR(G15="",H15=""),"",ABS(G15-H15))</x:f>
      </x:c>
      <x:c r="J15" t="str">
        <x:f>IF(I15="","",MAX(0,100-I15*5))</x:f>
      </x:c>
      <x:c r="K15" t="str">
        <x:f>IF(I15="","",IF(G15&gt;H15,"Team A",IF(H15&gt;G15,"Team B","50/50")))</x:f>
      </x:c>
    </x:row>
    <x:row r="16">
      <x:c r="A16" t="n">
        <x:v>1</x:v>
      </x:c>
      <x:c r="B16" t="n">
        <x:v>4</x:v>
      </x:c>
      <x:c r="D16" t="n">
        <x:v>13</x:v>
      </x:c>
      <x:c r="F16" t="str">
        <x:f>IF(E16="","",IFERROR(INDEX('Player Handicap'!$E$2:$E$201,MATCH(E16,'Player Handicap'!$B$2:$B$201,0)),""))</x:f>
      </x:c>
      <x:c r="G16" t="str">
        <x:f>IF(COUNTA(C16:D16)&lt;2,"",SUM(IFERROR(INDEX('Player Handicap'!$E$2:$E$201,MATCH(C16,'Player Handicap'!$B$2:$B$201,0)),0),IFERROR(INDEX('Player Handicap'!$E$2:$E$201,MATCH(D16,'Player Handicap'!$B$2:$B$201,0)),0)))</x:f>
      </x:c>
      <x:c r="H16" t="str">
        <x:f>IF(COUNTA(E16:F16)&lt;2,"",SUM(IFERROR(INDEX('Player Handicap'!$E$2:$E$201,MATCH(E16,'Player Handicap'!$B$2:$B$201,0)),0),IFERROR(INDEX('Player Handicap'!$E$2:$E$201,MATCH(F16,'Player Handicap'!$B$2:$B$201,0)),0)))</x:f>
      </x:c>
      <x:c r="I16" t="str">
        <x:f>IF(OR(G16="",H16=""),"",ABS(G16-H16))</x:f>
      </x:c>
      <x:c r="J16" t="str">
        <x:f>IF(I16="","",MAX(0,100-I16*5))</x:f>
      </x:c>
      <x:c r="K16" t="str">
        <x:f>IF(I16="","",IF(G16&gt;H16,"Team A",IF(H16&gt;G16,"Team B","50/50")))</x:f>
      </x:c>
    </x:row>
    <x:row r="17">
      <x:c r="A17" t="n">
        <x:v>1</x:v>
      </x:c>
      <x:c r="B17" t="n">
        <x:v>5</x:v>
      </x:c>
      <x:c r="D17" t="n">
        <x:v>14</x:v>
      </x:c>
      <x:c r="F17" t="str">
        <x:f>IF(E17="","",IFERROR(INDEX('Player Handicap'!$E$2:$E$201,MATCH(E17,'Player Handicap'!$B$2:$B$201,0)),""))</x:f>
      </x:c>
      <x:c r="G17" t="str">
        <x:f>IF(COUNTA(C17:D17)&lt;2,"",SUM(IFERROR(INDEX('Player Handicap'!$E$2:$E$201,MATCH(C17,'Player Handicap'!$B$2:$B$201,0)),0),IFERROR(INDEX('Player Handicap'!$E$2:$E$201,MATCH(D17,'Player Handicap'!$B$2:$B$201,0)),0)))</x:f>
      </x:c>
      <x:c r="H17" t="str">
        <x:f>IF(COUNTA(E17:F17)&lt;2,"",SUM(IFERROR(INDEX('Player Handicap'!$E$2:$E$201,MATCH(E17,'Player Handicap'!$B$2:$B$201,0)),0),IFERROR(INDEX('Player Handicap'!$E$2:$E$201,MATCH(F17,'Player Handicap'!$B$2:$B$201,0)),0)))</x:f>
      </x:c>
      <x:c r="I17" t="str">
        <x:f>IF(OR(G17="",H17=""),"",ABS(G17-H17))</x:f>
      </x:c>
      <x:c r="J17" t="str">
        <x:f>IF(I17="","",MAX(0,100-I17*5))</x:f>
      </x:c>
      <x:c r="K17" t="str">
        <x:f>IF(I17="","",IF(G17&gt;H17,"Team A",IF(H17&gt;G17,"Team B","50/50")))</x:f>
      </x:c>
    </x:row>
    <x:row r="18">
      <x:c r="A18" t="n">
        <x:v>1</x:v>
      </x:c>
      <x:c r="B18" t="n">
        <x:v>6</x:v>
      </x:c>
      <x:c r="D18" t="n">
        <x:v>15</x:v>
      </x:c>
      <x:c r="F18" t="str">
        <x:f>IF(E18="","",IFERROR(INDEX('Player Handicap'!$E$2:$E$201,MATCH(E18,'Player Handicap'!$B$2:$B$201,0)),""))</x:f>
      </x:c>
      <x:c r="G18" t="str">
        <x:f>IF(COUNTA(C18:D18)&lt;2,"",SUM(IFERROR(INDEX('Player Handicap'!$E$2:$E$201,MATCH(C18,'Player Handicap'!$B$2:$B$201,0)),0),IFERROR(INDEX('Player Handicap'!$E$2:$E$201,MATCH(D18,'Player Handicap'!$B$2:$B$201,0)),0)))</x:f>
      </x:c>
      <x:c r="H18" t="str">
        <x:f>IF(COUNTA(E18:F18)&lt;2,"",SUM(IFERROR(INDEX('Player Handicap'!$E$2:$E$201,MATCH(E18,'Player Handicap'!$B$2:$B$201,0)),0),IFERROR(INDEX('Player Handicap'!$E$2:$E$201,MATCH(F18,'Player Handicap'!$B$2:$B$201,0)),0)))</x:f>
      </x:c>
      <x:c r="I18" t="str">
        <x:f>IF(OR(G18="",H18=""),"",ABS(G18-H18))</x:f>
      </x:c>
      <x:c r="J18" t="str">
        <x:f>IF(I18="","",MAX(0,100-I18*5))</x:f>
      </x:c>
      <x:c r="K18" t="str">
        <x:f>IF(I18="","",IF(G18&gt;H18,"Team A",IF(H18&gt;G18,"Team B","50/50")))</x:f>
      </x:c>
    </x:row>
    <x:row r="19">
      <x:c r="A19" t="n">
        <x:v>1</x:v>
      </x:c>
      <x:c r="B19" t="n">
        <x:v>7</x:v>
      </x:c>
      <x:c r="D19" t="n">
        <x:v>16</x:v>
      </x:c>
      <x:c r="F19" t="str">
        <x:f>IF(E19="","",IFERROR(INDEX('Player Handicap'!$E$2:$E$201,MATCH(E19,'Player Handicap'!$B$2:$B$201,0)),""))</x:f>
      </x:c>
      <x:c r="G19" t="str">
        <x:f>IF(COUNTA(C19:D19)&lt;2,"",SUM(IFERROR(INDEX('Player Handicap'!$E$2:$E$201,MATCH(C19,'Player Handicap'!$B$2:$B$201,0)),0),IFERROR(INDEX('Player Handicap'!$E$2:$E$201,MATCH(D19,'Player Handicap'!$B$2:$B$201,0)),0)))</x:f>
      </x:c>
      <x:c r="H19" t="str">
        <x:f>IF(COUNTA(E19:F19)&lt;2,"",SUM(IFERROR(INDEX('Player Handicap'!$E$2:$E$201,MATCH(E19,'Player Handicap'!$B$2:$B$201,0)),0),IFERROR(INDEX('Player Handicap'!$E$2:$E$201,MATCH(F19,'Player Handicap'!$B$2:$B$201,0)),0)))</x:f>
      </x:c>
      <x:c r="I19" t="str">
        <x:f>IF(OR(G19="",H19=""),"",ABS(G19-H19))</x:f>
      </x:c>
      <x:c r="J19" t="str">
        <x:f>IF(I19="","",MAX(0,100-I19*5))</x:f>
      </x:c>
      <x:c r="K19" t="str">
        <x:f>IF(I19="","",IF(G19&gt;H19,"Team A",IF(H19&gt;G19,"Team B","50/50")))</x:f>
      </x:c>
    </x:row>
    <x:row r="20">
      <x:c r="A20" t="n">
        <x:v>1</x:v>
      </x:c>
      <x:c r="B20" t="n">
        <x:v>8</x:v>
      </x:c>
      <x:c r="D20" t="n">
        <x:v>17</x:v>
      </x:c>
      <x:c r="F20" t="str">
        <x:f>IF(E20="","",IFERROR(INDEX('Player Handicap'!$E$2:$E$201,MATCH(E20,'Player Handicap'!$B$2:$B$201,0)),""))</x:f>
      </x:c>
      <x:c r="G20" t="str">
        <x:f>IF(COUNTA(C20:D20)&lt;2,"",SUM(IFERROR(INDEX('Player Handicap'!$E$2:$E$201,MATCH(C20,'Player Handicap'!$B$2:$B$201,0)),0),IFERROR(INDEX('Player Handicap'!$E$2:$E$201,MATCH(D20,'Player Handicap'!$B$2:$B$201,0)),0)))</x:f>
      </x:c>
      <x:c r="H20" t="str">
        <x:f>IF(COUNTA(E20:F20)&lt;2,"",SUM(IFERROR(INDEX('Player Handicap'!$E$2:$E$201,MATCH(E20,'Player Handicap'!$B$2:$B$201,0)),0),IFERROR(INDEX('Player Handicap'!$E$2:$E$201,MATCH(F20,'Player Handicap'!$B$2:$B$201,0)),0)))</x:f>
      </x:c>
      <x:c r="I20" t="str">
        <x:f>IF(OR(G20="",H20=""),"",ABS(G20-H20))</x:f>
      </x:c>
      <x:c r="J20" t="str">
        <x:f>IF(I20="","",MAX(0,100-I20*5))</x:f>
      </x:c>
      <x:c r="K20" t="str">
        <x:f>IF(I20="","",IF(G20&gt;H20,"Team A",IF(H20&gt;G20,"Team B","50/50")))</x:f>
      </x:c>
    </x:row>
    <x:row r="21">
      <x:c r="A21" t="n">
        <x:v>2</x:v>
      </x:c>
      <x:c r="B21" t="n">
        <x:v>1</x:v>
      </x:c>
      <x:c r="D21" t="n">
        <x:v>18</x:v>
      </x:c>
      <x:c r="F21" t="str">
        <x:f>IF(E21="","",IFERROR(INDEX('Player Handicap'!$E$2:$E$201,MATCH(E21,'Player Handicap'!$B$2:$B$201,0)),""))</x:f>
      </x:c>
      <x:c r="G21" t="str">
        <x:f>IF(COUNTA(C21:D21)&lt;2,"",SUM(IFERROR(INDEX('Player Handicap'!$E$2:$E$201,MATCH(C21,'Player Handicap'!$B$2:$B$201,0)),0),IFERROR(INDEX('Player Handicap'!$E$2:$E$201,MATCH(D21,'Player Handicap'!$B$2:$B$201,0)),0)))</x:f>
      </x:c>
      <x:c r="H21" t="str">
        <x:f>IF(COUNTA(E21:F21)&lt;2,"",SUM(IFERROR(INDEX('Player Handicap'!$E$2:$E$201,MATCH(E21,'Player Handicap'!$B$2:$B$201,0)),0),IFERROR(INDEX('Player Handicap'!$E$2:$E$201,MATCH(F21,'Player Handicap'!$B$2:$B$201,0)),0)))</x:f>
      </x:c>
      <x:c r="I21" t="str">
        <x:f>IF(OR(G21="",H21=""),"",ABS(G21-H21))</x:f>
      </x:c>
      <x:c r="J21" t="str">
        <x:f>IF(I21="","",MAX(0,100-I21*5))</x:f>
      </x:c>
      <x:c r="K21" t="str">
        <x:f>IF(I21="","",IF(G21&gt;H21,"Team A",IF(H21&gt;G21,"Team B","50/50")))</x:f>
      </x:c>
    </x:row>
    <x:row r="22">
      <x:c r="A22" t="n">
        <x:v>2</x:v>
      </x:c>
      <x:c r="B22" t="n">
        <x:v>2</x:v>
      </x:c>
      <x:c r="D22" t="n">
        <x:v>19</x:v>
      </x:c>
      <x:c r="F22" t="str">
        <x:f>IF(E22="","",IFERROR(INDEX('Player Handicap'!$E$2:$E$201,MATCH(E22,'Player Handicap'!$B$2:$B$201,0)),""))</x:f>
      </x:c>
      <x:c r="G22" t="str">
        <x:f>IF(COUNTA(C22:D22)&lt;2,"",SUM(IFERROR(INDEX('Player Handicap'!$E$2:$E$201,MATCH(C22,'Player Handicap'!$B$2:$B$201,0)),0),IFERROR(INDEX('Player Handicap'!$E$2:$E$201,MATCH(D22,'Player Handicap'!$B$2:$B$201,0)),0)))</x:f>
      </x:c>
      <x:c r="H22" t="str">
        <x:f>IF(COUNTA(E22:F22)&lt;2,"",SUM(IFERROR(INDEX('Player Handicap'!$E$2:$E$201,MATCH(E22,'Player Handicap'!$B$2:$B$201,0)),0),IFERROR(INDEX('Player Handicap'!$E$2:$E$201,MATCH(F22,'Player Handicap'!$B$2:$B$201,0)),0)))</x:f>
      </x:c>
      <x:c r="I22" t="str">
        <x:f>IF(OR(G22="",H22=""),"",ABS(G22-H22))</x:f>
      </x:c>
      <x:c r="J22" t="str">
        <x:f>IF(I22="","",MAX(0,100-I22*5))</x:f>
      </x:c>
      <x:c r="K22" t="str">
        <x:f>IF(I22="","",IF(G22&gt;H22,"Team A",IF(H22&gt;G22,"Team B","50/50")))</x:f>
      </x:c>
    </x:row>
    <x:row r="23">
      <x:c r="A23" t="n">
        <x:v>2</x:v>
      </x:c>
      <x:c r="B23" t="n">
        <x:v>3</x:v>
      </x:c>
      <x:c r="D23" t="n">
        <x:v>20</x:v>
      </x:c>
      <x:c r="F23" t="str">
        <x:f>IF(E23="","",IFERROR(INDEX('Player Handicap'!$E$2:$E$201,MATCH(E23,'Player Handicap'!$B$2:$B$201,0)),""))</x:f>
      </x:c>
      <x:c r="G23" t="str">
        <x:f>IF(COUNTA(C23:D23)&lt;2,"",SUM(IFERROR(INDEX('Player Handicap'!$E$2:$E$201,MATCH(C23,'Player Handicap'!$B$2:$B$201,0)),0),IFERROR(INDEX('Player Handicap'!$E$2:$E$201,MATCH(D23,'Player Handicap'!$B$2:$B$201,0)),0)))</x:f>
      </x:c>
      <x:c r="H23" t="str">
        <x:f>IF(COUNTA(E23:F23)&lt;2,"",SUM(IFERROR(INDEX('Player Handicap'!$E$2:$E$201,MATCH(E23,'Player Handicap'!$B$2:$B$201,0)),0),IFERROR(INDEX('Player Handicap'!$E$2:$E$201,MATCH(F23,'Player Handicap'!$B$2:$B$201,0)),0)))</x:f>
      </x:c>
      <x:c r="I23" t="str">
        <x:f>IF(OR(G23="",H23=""),"",ABS(G23-H23))</x:f>
      </x:c>
      <x:c r="J23" t="str">
        <x:f>IF(I23="","",MAX(0,100-I23*5))</x:f>
      </x:c>
      <x:c r="K23" t="str">
        <x:f>IF(I23="","",IF(G23&gt;H23,"Team A",IF(H23&gt;G23,"Team B","50/50")))</x:f>
      </x:c>
    </x:row>
    <x:row r="24">
      <x:c r="A24" t="n">
        <x:v>2</x:v>
      </x:c>
      <x:c r="B24" t="n">
        <x:v>4</x:v>
      </x:c>
      <x:c r="D24" t="n">
        <x:v>21</x:v>
      </x:c>
      <x:c r="F24" t="str">
        <x:f>IF(E24="","",IFERROR(INDEX('Player Handicap'!$E$2:$E$201,MATCH(E24,'Player Handicap'!$B$2:$B$201,0)),""))</x:f>
      </x:c>
      <x:c r="G24" t="str">
        <x:f>IF(COUNTA(C24:D24)&lt;2,"",SUM(IFERROR(INDEX('Player Handicap'!$E$2:$E$201,MATCH(C24,'Player Handicap'!$B$2:$B$201,0)),0),IFERROR(INDEX('Player Handicap'!$E$2:$E$201,MATCH(D24,'Player Handicap'!$B$2:$B$201,0)),0)))</x:f>
      </x:c>
      <x:c r="H24" t="str">
        <x:f>IF(COUNTA(E24:F24)&lt;2,"",SUM(IFERROR(INDEX('Player Handicap'!$E$2:$E$201,MATCH(E24,'Player Handicap'!$B$2:$B$201,0)),0),IFERROR(INDEX('Player Handicap'!$E$2:$E$201,MATCH(F24,'Player Handicap'!$B$2:$B$201,0)),0)))</x:f>
      </x:c>
      <x:c r="I24" t="str">
        <x:f>IF(OR(G24="",H24=""),"",ABS(G24-H24))</x:f>
      </x:c>
      <x:c r="J24" t="str">
        <x:f>IF(I24="","",MAX(0,100-I24*5))</x:f>
      </x:c>
      <x:c r="K24" t="str">
        <x:f>IF(I24="","",IF(G24&gt;H24,"Team A",IF(H24&gt;G24,"Team B","50/50")))</x:f>
      </x:c>
    </x:row>
    <x:row r="25">
      <x:c r="A25" t="n">
        <x:v>2</x:v>
      </x:c>
      <x:c r="B25" t="n">
        <x:v>5</x:v>
      </x:c>
      <x:c r="D25" t="n">
        <x:v>22</x:v>
      </x:c>
      <x:c r="F25" t="str">
        <x:f>IF(E25="","",IFERROR(INDEX('Player Handicap'!$E$2:$E$201,MATCH(E25,'Player Handicap'!$B$2:$B$201,0)),""))</x:f>
      </x:c>
      <x:c r="G25" t="str">
        <x:f>IF(COUNTA(C25:D25)&lt;2,"",SUM(IFERROR(INDEX('Player Handicap'!$E$2:$E$201,MATCH(C25,'Player Handicap'!$B$2:$B$201,0)),0),IFERROR(INDEX('Player Handicap'!$E$2:$E$201,MATCH(D25,'Player Handicap'!$B$2:$B$201,0)),0)))</x:f>
      </x:c>
      <x:c r="H25" t="str">
        <x:f>IF(COUNTA(E25:F25)&lt;2,"",SUM(IFERROR(INDEX('Player Handicap'!$E$2:$E$201,MATCH(E25,'Player Handicap'!$B$2:$B$201,0)),0),IFERROR(INDEX('Player Handicap'!$E$2:$E$201,MATCH(F25,'Player Handicap'!$B$2:$B$201,0)),0)))</x:f>
      </x:c>
      <x:c r="I25" t="str">
        <x:f>IF(OR(G25="",H25=""),"",ABS(G25-H25))</x:f>
      </x:c>
      <x:c r="J25" t="str">
        <x:f>IF(I25="","",MAX(0,100-I25*5))</x:f>
      </x:c>
      <x:c r="K25" t="str">
        <x:f>IF(I25="","",IF(G25&gt;H25,"Team A",IF(H25&gt;G25,"Team B","50/50")))</x:f>
      </x:c>
    </x:row>
    <x:row r="26">
      <x:c r="A26" t="n">
        <x:v>2</x:v>
      </x:c>
      <x:c r="B26" t="n">
        <x:v>6</x:v>
      </x:c>
      <x:c r="D26" t="n">
        <x:v>23</x:v>
      </x:c>
      <x:c r="F26" t="str">
        <x:f>IF(E26="","",IFERROR(INDEX('Player Handicap'!$E$2:$E$201,MATCH(E26,'Player Handicap'!$B$2:$B$201,0)),""))</x:f>
      </x:c>
      <x:c r="G26" t="str">
        <x:f>IF(COUNTA(C26:D26)&lt;2,"",SUM(IFERROR(INDEX('Player Handicap'!$E$2:$E$201,MATCH(C26,'Player Handicap'!$B$2:$B$201,0)),0),IFERROR(INDEX('Player Handicap'!$E$2:$E$201,MATCH(D26,'Player Handicap'!$B$2:$B$201,0)),0)))</x:f>
      </x:c>
      <x:c r="H26" t="str">
        <x:f>IF(COUNTA(E26:F26)&lt;2,"",SUM(IFERROR(INDEX('Player Handicap'!$E$2:$E$201,MATCH(E26,'Player Handicap'!$B$2:$B$201,0)),0),IFERROR(INDEX('Player Handicap'!$E$2:$E$201,MATCH(F26,'Player Handicap'!$B$2:$B$201,0)),0)))</x:f>
      </x:c>
      <x:c r="I26" t="str">
        <x:f>IF(OR(G26="",H26=""),"",ABS(G26-H26))</x:f>
      </x:c>
      <x:c r="J26" t="str">
        <x:f>IF(I26="","",MAX(0,100-I26*5))</x:f>
      </x:c>
      <x:c r="K26" t="str">
        <x:f>IF(I26="","",IF(G26&gt;H26,"Team A",IF(H26&gt;G26,"Team B","50/50")))</x:f>
      </x:c>
    </x:row>
    <x:row r="27">
      <x:c r="A27" t="n">
        <x:v>2</x:v>
      </x:c>
      <x:c r="B27" t="n">
        <x:v>7</x:v>
      </x:c>
      <x:c r="D27" t="n">
        <x:v>24</x:v>
      </x:c>
      <x:c r="F27" t="str">
        <x:f>IF(E27="","",IFERROR(INDEX('Player Handicap'!$E$2:$E$201,MATCH(E27,'Player Handicap'!$B$2:$B$201,0)),""))</x:f>
      </x:c>
      <x:c r="G27" t="str">
        <x:f>IF(COUNTA(C27:D27)&lt;2,"",SUM(IFERROR(INDEX('Player Handicap'!$E$2:$E$201,MATCH(C27,'Player Handicap'!$B$2:$B$201,0)),0),IFERROR(INDEX('Player Handicap'!$E$2:$E$201,MATCH(D27,'Player Handicap'!$B$2:$B$201,0)),0)))</x:f>
      </x:c>
      <x:c r="H27" t="str">
        <x:f>IF(COUNTA(E27:F27)&lt;2,"",SUM(IFERROR(INDEX('Player Handicap'!$E$2:$E$201,MATCH(E27,'Player Handicap'!$B$2:$B$201,0)),0),IFERROR(INDEX('Player Handicap'!$E$2:$E$201,MATCH(F27,'Player Handicap'!$B$2:$B$201,0)),0)))</x:f>
      </x:c>
      <x:c r="I27" t="str">
        <x:f>IF(OR(G27="",H27=""),"",ABS(G27-H27))</x:f>
      </x:c>
      <x:c r="J27" t="str">
        <x:f>IF(I27="","",MAX(0,100-I27*5))</x:f>
      </x:c>
      <x:c r="K27" t="str">
        <x:f>IF(I27="","",IF(G27&gt;H27,"Team A",IF(H27&gt;G27,"Team B","50/50")))</x:f>
      </x:c>
    </x:row>
    <x:row r="28">
      <x:c r="A28" t="n">
        <x:v>2</x:v>
      </x:c>
      <x:c r="B28" t="n">
        <x:v>8</x:v>
      </x:c>
      <x:c r="D28" t="n">
        <x:v>25</x:v>
      </x:c>
      <x:c r="F28" t="str">
        <x:f>IF(E28="","",IFERROR(INDEX('Player Handicap'!$E$2:$E$201,MATCH(E28,'Player Handicap'!$B$2:$B$201,0)),""))</x:f>
      </x:c>
      <x:c r="G28" t="str">
        <x:f>IF(COUNTA(C28:D28)&lt;2,"",SUM(IFERROR(INDEX('Player Handicap'!$E$2:$E$201,MATCH(C28,'Player Handicap'!$B$2:$B$201,0)),0),IFERROR(INDEX('Player Handicap'!$E$2:$E$201,MATCH(D28,'Player Handicap'!$B$2:$B$201,0)),0)))</x:f>
      </x:c>
      <x:c r="H28" t="str">
        <x:f>IF(COUNTA(E28:F28)&lt;2,"",SUM(IFERROR(INDEX('Player Handicap'!$E$2:$E$201,MATCH(E28,'Player Handicap'!$B$2:$B$201,0)),0),IFERROR(INDEX('Player Handicap'!$E$2:$E$201,MATCH(F28,'Player Handicap'!$B$2:$B$201,0)),0)))</x:f>
      </x:c>
      <x:c r="I28" t="str">
        <x:f>IF(OR(G28="",H28=""),"",ABS(G28-H28))</x:f>
      </x:c>
      <x:c r="J28" t="str">
        <x:f>IF(I28="","",MAX(0,100-I28*5))</x:f>
      </x:c>
      <x:c r="K28" t="str">
        <x:f>IF(I28="","",IF(G28&gt;H28,"Team A",IF(H28&gt;G28,"Team B","50/50")))</x:f>
      </x:c>
    </x:row>
    <x:row r="29">
      <x:c r="A29" t="n">
        <x:v>3</x:v>
      </x:c>
      <x:c r="B29" t="n">
        <x:v>1</x:v>
      </x:c>
      <x:c r="D29" t="n">
        <x:v>26</x:v>
      </x:c>
      <x:c r="F29" t="str">
        <x:f>IF(E29="","",IFERROR(INDEX('Player Handicap'!$E$2:$E$201,MATCH(E29,'Player Handicap'!$B$2:$B$201,0)),""))</x:f>
      </x:c>
      <x:c r="G29" t="str">
        <x:f>IF(COUNTA(C29:D29)&lt;2,"",SUM(IFERROR(INDEX('Player Handicap'!$E$2:$E$201,MATCH(C29,'Player Handicap'!$B$2:$B$201,0)),0),IFERROR(INDEX('Player Handicap'!$E$2:$E$201,MATCH(D29,'Player Handicap'!$B$2:$B$201,0)),0)))</x:f>
      </x:c>
      <x:c r="H29" t="str">
        <x:f>IF(COUNTA(E29:F29)&lt;2,"",SUM(IFERROR(INDEX('Player Handicap'!$E$2:$E$201,MATCH(E29,'Player Handicap'!$B$2:$B$201,0)),0),IFERROR(INDEX('Player Handicap'!$E$2:$E$201,MATCH(F29,'Player Handicap'!$B$2:$B$201,0)),0)))</x:f>
      </x:c>
      <x:c r="I29" t="str">
        <x:f>IF(OR(G29="",H29=""),"",ABS(G29-H29))</x:f>
      </x:c>
      <x:c r="J29" t="str">
        <x:f>IF(I29="","",MAX(0,100-I29*5))</x:f>
      </x:c>
      <x:c r="K29" t="str">
        <x:f>IF(I29="","",IF(G29&gt;H29,"Team A",IF(H29&gt;G29,"Team B","50/50")))</x:f>
      </x:c>
    </x:row>
    <x:row r="30">
      <x:c r="A30" t="n">
        <x:v>3</x:v>
      </x:c>
      <x:c r="B30" t="n">
        <x:v>2</x:v>
      </x:c>
      <x:c r="D30" t="n">
        <x:v>27</x:v>
      </x:c>
      <x:c r="F30" t="str">
        <x:f>IF(E30="","",IFERROR(INDEX('Player Handicap'!$E$2:$E$201,MATCH(E30,'Player Handicap'!$B$2:$B$201,0)),""))</x:f>
      </x:c>
      <x:c r="G30" t="str">
        <x:f>IF(COUNTA(C30:D30)&lt;2,"",SUM(IFERROR(INDEX('Player Handicap'!$E$2:$E$201,MATCH(C30,'Player Handicap'!$B$2:$B$201,0)),0),IFERROR(INDEX('Player Handicap'!$E$2:$E$201,MATCH(D30,'Player Handicap'!$B$2:$B$201,0)),0)))</x:f>
      </x:c>
      <x:c r="H30" t="str">
        <x:f>IF(COUNTA(E30:F30)&lt;2,"",SUM(IFERROR(INDEX('Player Handicap'!$E$2:$E$201,MATCH(E30,'Player Handicap'!$B$2:$B$201,0)),0),IFERROR(INDEX('Player Handicap'!$E$2:$E$201,MATCH(F30,'Player Handicap'!$B$2:$B$201,0)),0)))</x:f>
      </x:c>
      <x:c r="I30" t="str">
        <x:f>IF(OR(G30="",H30=""),"",ABS(G30-H30))</x:f>
      </x:c>
      <x:c r="J30" t="str">
        <x:f>IF(I30="","",MAX(0,100-I30*5))</x:f>
      </x:c>
      <x:c r="K30" t="str">
        <x:f>IF(I30="","",IF(G30&gt;H30,"Team A",IF(H30&gt;G30,"Team B","50/50")))</x:f>
      </x:c>
    </x:row>
    <x:row r="31">
      <x:c r="A31" t="n">
        <x:v>3</x:v>
      </x:c>
      <x:c r="B31" t="n">
        <x:v>3</x:v>
      </x:c>
      <x:c r="D31" t="n">
        <x:v>28</x:v>
      </x:c>
      <x:c r="F31" t="str">
        <x:f>IF(E31="","",IFERROR(INDEX('Player Handicap'!$E$2:$E$201,MATCH(E31,'Player Handicap'!$B$2:$B$201,0)),""))</x:f>
      </x:c>
      <x:c r="G31" t="str">
        <x:f>IF(COUNTA(C31:D31)&lt;2,"",SUM(IFERROR(INDEX('Player Handicap'!$E$2:$E$201,MATCH(C31,'Player Handicap'!$B$2:$B$201,0)),0),IFERROR(INDEX('Player Handicap'!$E$2:$E$201,MATCH(D31,'Player Handicap'!$B$2:$B$201,0)),0)))</x:f>
      </x:c>
      <x:c r="H31" t="str">
        <x:f>IF(COUNTA(E31:F31)&lt;2,"",SUM(IFERROR(INDEX('Player Handicap'!$E$2:$E$201,MATCH(E31,'Player Handicap'!$B$2:$B$201,0)),0),IFERROR(INDEX('Player Handicap'!$E$2:$E$201,MATCH(F31,'Player Handicap'!$B$2:$B$201,0)),0)))</x:f>
      </x:c>
      <x:c r="I31" t="str">
        <x:f>IF(OR(G31="",H31=""),"",ABS(G31-H31))</x:f>
      </x:c>
      <x:c r="J31" t="str">
        <x:f>IF(I31="","",MAX(0,100-I31*5))</x:f>
      </x:c>
      <x:c r="K31" t="str">
        <x:f>IF(I31="","",IF(G31&gt;H31,"Team A",IF(H31&gt;G31,"Team B","50/50")))</x:f>
      </x:c>
    </x:row>
    <x:row r="32">
      <x:c r="A32" t="n">
        <x:v>3</x:v>
      </x:c>
      <x:c r="B32" t="n">
        <x:v>4</x:v>
      </x:c>
      <x:c r="D32" t="n">
        <x:v>29</x:v>
      </x:c>
      <x:c r="F32" t="str">
        <x:f>IF(E32="","",IFERROR(INDEX('Player Handicap'!$E$2:$E$201,MATCH(E32,'Player Handicap'!$B$2:$B$201,0)),""))</x:f>
      </x:c>
      <x:c r="G32" t="str">
        <x:f>IF(COUNTA(C32:D32)&lt;2,"",SUM(IFERROR(INDEX('Player Handicap'!$E$2:$E$201,MATCH(C32,'Player Handicap'!$B$2:$B$201,0)),0),IFERROR(INDEX('Player Handicap'!$E$2:$E$201,MATCH(D32,'Player Handicap'!$B$2:$B$201,0)),0)))</x:f>
      </x:c>
      <x:c r="H32" t="str">
        <x:f>IF(COUNTA(E32:F32)&lt;2,"",SUM(IFERROR(INDEX('Player Handicap'!$E$2:$E$201,MATCH(E32,'Player Handicap'!$B$2:$B$201,0)),0),IFERROR(INDEX('Player Handicap'!$E$2:$E$201,MATCH(F32,'Player Handicap'!$B$2:$B$201,0)),0)))</x:f>
      </x:c>
      <x:c r="I32" t="str">
        <x:f>IF(OR(G32="",H32=""),"",ABS(G32-H32))</x:f>
      </x:c>
      <x:c r="J32" t="str">
        <x:f>IF(I32="","",MAX(0,100-I32*5))</x:f>
      </x:c>
      <x:c r="K32" t="str">
        <x:f>IF(I32="","",IF(G32&gt;H32,"Team A",IF(H32&gt;G32,"Team B","50/50")))</x:f>
      </x:c>
    </x:row>
    <x:row r="33">
      <x:c r="A33" t="n">
        <x:v>3</x:v>
      </x:c>
      <x:c r="B33" t="n">
        <x:v>5</x:v>
      </x:c>
      <x:c r="D33" t="n">
        <x:v>30</x:v>
      </x:c>
      <x:c r="F33" t="str">
        <x:f>IF(E33="","",IFERROR(INDEX('Player Handicap'!$E$2:$E$201,MATCH(E33,'Player Handicap'!$B$2:$B$201,0)),""))</x:f>
      </x:c>
      <x:c r="G33" t="str">
        <x:f>IF(COUNTA(C33:D33)&lt;2,"",SUM(IFERROR(INDEX('Player Handicap'!$E$2:$E$201,MATCH(C33,'Player Handicap'!$B$2:$B$201,0)),0),IFERROR(INDEX('Player Handicap'!$E$2:$E$201,MATCH(D33,'Player Handicap'!$B$2:$B$201,0)),0)))</x:f>
      </x:c>
      <x:c r="H33" t="str">
        <x:f>IF(COUNTA(E33:F33)&lt;2,"",SUM(IFERROR(INDEX('Player Handicap'!$E$2:$E$201,MATCH(E33,'Player Handicap'!$B$2:$B$201,0)),0),IFERROR(INDEX('Player Handicap'!$E$2:$E$201,MATCH(F33,'Player Handicap'!$B$2:$B$201,0)),0)))</x:f>
      </x:c>
      <x:c r="I33" t="str">
        <x:f>IF(OR(G33="",H33=""),"",ABS(G33-H33))</x:f>
      </x:c>
      <x:c r="J33" t="str">
        <x:f>IF(I33="","",MAX(0,100-I33*5))</x:f>
      </x:c>
      <x:c r="K33" t="str">
        <x:f>IF(I33="","",IF(G33&gt;H33,"Team A",IF(H33&gt;G33,"Team B","50/50")))</x:f>
      </x:c>
    </x:row>
    <x:row r="34">
      <x:c r="A34" t="n">
        <x:v>3</x:v>
      </x:c>
      <x:c r="B34" t="n">
        <x:v>6</x:v>
      </x:c>
      <x:c r="D34" t="n">
        <x:v>31</x:v>
      </x:c>
      <x:c r="F34" t="str">
        <x:f>IF(E34="","",IFERROR(INDEX('Player Handicap'!$E$2:$E$201,MATCH(E34,'Player Handicap'!$B$2:$B$201,0)),""))</x:f>
      </x:c>
      <x:c r="G34" t="str">
        <x:f>IF(COUNTA(C34:D34)&lt;2,"",SUM(IFERROR(INDEX('Player Handicap'!$E$2:$E$201,MATCH(C34,'Player Handicap'!$B$2:$B$201,0)),0),IFERROR(INDEX('Player Handicap'!$E$2:$E$201,MATCH(D34,'Player Handicap'!$B$2:$B$201,0)),0)))</x:f>
      </x:c>
      <x:c r="H34" t="str">
        <x:f>IF(COUNTA(E34:F34)&lt;2,"",SUM(IFERROR(INDEX('Player Handicap'!$E$2:$E$201,MATCH(E34,'Player Handicap'!$B$2:$B$201,0)),0),IFERROR(INDEX('Player Handicap'!$E$2:$E$201,MATCH(F34,'Player Handicap'!$B$2:$B$201,0)),0)))</x:f>
      </x:c>
      <x:c r="I34" t="str">
        <x:f>IF(OR(G34="",H34=""),"",ABS(G34-H34))</x:f>
      </x:c>
      <x:c r="J34" t="str">
        <x:f>IF(I34="","",MAX(0,100-I34*5))</x:f>
      </x:c>
      <x:c r="K34" t="str">
        <x:f>IF(I34="","",IF(G34&gt;H34,"Team A",IF(H34&gt;G34,"Team B","50/50")))</x:f>
      </x:c>
    </x:row>
    <x:row r="35">
      <x:c r="A35" t="n">
        <x:v>3</x:v>
      </x:c>
      <x:c r="B35" t="n">
        <x:v>7</x:v>
      </x:c>
      <x:c r="D35" t="n">
        <x:v>32</x:v>
      </x:c>
      <x:c r="F35" t="str">
        <x:f>IF(E35="","",IFERROR(INDEX('Player Handicap'!$E$2:$E$201,MATCH(E35,'Player Handicap'!$B$2:$B$201,0)),""))</x:f>
      </x:c>
      <x:c r="G35" t="str">
        <x:f>IF(COUNTA(C35:D35)&lt;2,"",SUM(IFERROR(INDEX('Player Handicap'!$E$2:$E$201,MATCH(C35,'Player Handicap'!$B$2:$B$201,0)),0),IFERROR(INDEX('Player Handicap'!$E$2:$E$201,MATCH(D35,'Player Handicap'!$B$2:$B$201,0)),0)))</x:f>
      </x:c>
      <x:c r="H35" t="str">
        <x:f>IF(COUNTA(E35:F35)&lt;2,"",SUM(IFERROR(INDEX('Player Handicap'!$E$2:$E$201,MATCH(E35,'Player Handicap'!$B$2:$B$201,0)),0),IFERROR(INDEX('Player Handicap'!$E$2:$E$201,MATCH(F35,'Player Handicap'!$B$2:$B$201,0)),0)))</x:f>
      </x:c>
      <x:c r="I35" t="str">
        <x:f>IF(OR(G35="",H35=""),"",ABS(G35-H35))</x:f>
      </x:c>
      <x:c r="J35" t="str">
        <x:f>IF(I35="","",MAX(0,100-I35*5))</x:f>
      </x:c>
      <x:c r="K35" t="str">
        <x:f>IF(I35="","",IF(G35&gt;H35,"Team A",IF(H35&gt;G35,"Team B","50/50")))</x:f>
      </x:c>
    </x:row>
    <x:row r="36">
      <x:c r="A36" t="n">
        <x:v>3</x:v>
      </x:c>
      <x:c r="B36" t="n">
        <x:v>8</x:v>
      </x:c>
      <x:c r="G36" t="str">
        <x:f>IF(COUNTA(C36:D36)&lt;2,"",SUM(IFERROR(INDEX('Player Handicap'!$E$2:$E$201,MATCH(C36,'Player Handicap'!$B$2:$B$201,0)),0),IFERROR(INDEX('Player Handicap'!$E$2:$E$201,MATCH(D36,'Player Handicap'!$B$2:$B$201,0)),0)))</x:f>
      </x:c>
      <x:c r="H36" t="str">
        <x:f>IF(COUNTA(E36:F36)&lt;2,"",SUM(IFERROR(INDEX('Player Handicap'!$E$2:$E$201,MATCH(E36,'Player Handicap'!$B$2:$B$201,0)),0),IFERROR(INDEX('Player Handicap'!$E$2:$E$201,MATCH(F36,'Player Handicap'!$B$2:$B$201,0)),0)))</x:f>
      </x:c>
      <x:c r="I36" t="str">
        <x:f>IF(OR(G36="",H36=""),"",ABS(G36-H36))</x:f>
      </x:c>
      <x:c r="J36" t="str">
        <x:f>IF(I36="","",MAX(0,100-I36*5))</x:f>
      </x:c>
      <x:c r="K36" t="str">
        <x:f>IF(I36="","",IF(G36&gt;H36,"Team A",IF(H36&gt;G36,"Team B","50/50")))</x:f>
      </x:c>
    </x:row>
    <x:row r="37">
      <x:c r="A37" t="n">
        <x:v>4</x:v>
      </x:c>
      <x:c r="B37" t="n">
        <x:v>1</x:v>
      </x:c>
      <x:c r="G37" t="str">
        <x:f>IF(COUNTA(C37:D37)&lt;2,"",SUM(IFERROR(INDEX('Player Handicap'!$E$2:$E$201,MATCH(C37,'Player Handicap'!$B$2:$B$201,0)),0),IFERROR(INDEX('Player Handicap'!$E$2:$E$201,MATCH(D37,'Player Handicap'!$B$2:$B$201,0)),0)))</x:f>
      </x:c>
      <x:c r="H37" t="str">
        <x:f>IF(COUNTA(E37:F37)&lt;2,"",SUM(IFERROR(INDEX('Player Handicap'!$E$2:$E$201,MATCH(E37,'Player Handicap'!$B$2:$B$201,0)),0),IFERROR(INDEX('Player Handicap'!$E$2:$E$201,MATCH(F37,'Player Handicap'!$B$2:$B$201,0)),0)))</x:f>
      </x:c>
      <x:c r="I37" t="str">
        <x:f>IF(OR(G37="",H37=""),"",ABS(G37-H37))</x:f>
      </x:c>
      <x:c r="J37" t="str">
        <x:f>IF(I37="","",MAX(0,100-I37*5))</x:f>
      </x:c>
      <x:c r="K37" t="str">
        <x:f>IF(I37="","",IF(G37&gt;H37,"Team A",IF(H37&gt;G37,"Team B","50/50")))</x:f>
      </x:c>
    </x:row>
    <x:row r="38">
      <x:c r="A38" t="n">
        <x:v>4</x:v>
      </x:c>
      <x:c r="B38" t="n">
        <x:v>2</x:v>
      </x:c>
      <x:c r="G38" t="str">
        <x:f>IF(COUNTA(C38:D38)&lt;2,"",SUM(IFERROR(INDEX('Player Handicap'!$E$2:$E$201,MATCH(C38,'Player Handicap'!$B$2:$B$201,0)),0),IFERROR(INDEX('Player Handicap'!$E$2:$E$201,MATCH(D38,'Player Handicap'!$B$2:$B$201,0)),0)))</x:f>
      </x:c>
      <x:c r="H38" t="str">
        <x:f>IF(COUNTA(E38:F38)&lt;2,"",SUM(IFERROR(INDEX('Player Handicap'!$E$2:$E$201,MATCH(E38,'Player Handicap'!$B$2:$B$201,0)),0),IFERROR(INDEX('Player Handicap'!$E$2:$E$201,MATCH(F38,'Player Handicap'!$B$2:$B$201,0)),0)))</x:f>
      </x:c>
      <x:c r="I38" t="str">
        <x:f>IF(OR(G38="",H38=""),"",ABS(G38-H38))</x:f>
      </x:c>
      <x:c r="J38" t="str">
        <x:f>IF(I38="","",MAX(0,100-I38*5))</x:f>
      </x:c>
      <x:c r="K38" t="str">
        <x:f>IF(I38="","",IF(G38&gt;H38,"Team A",IF(H38&gt;G38,"Team B","50/50")))</x:f>
      </x:c>
    </x:row>
    <x:row r="39">
      <x:c r="A39" t="n">
        <x:v>4</x:v>
      </x:c>
      <x:c r="B39" t="n">
        <x:v>3</x:v>
      </x:c>
      <x:c r="G39" t="str">
        <x:f>IF(COUNTA(C39:D39)&lt;2,"",SUM(IFERROR(INDEX('Player Handicap'!$E$2:$E$201,MATCH(C39,'Player Handicap'!$B$2:$B$201,0)),0),IFERROR(INDEX('Player Handicap'!$E$2:$E$201,MATCH(D39,'Player Handicap'!$B$2:$B$201,0)),0)))</x:f>
      </x:c>
      <x:c r="H39" t="str">
        <x:f>IF(COUNTA(E39:F39)&lt;2,"",SUM(IFERROR(INDEX('Player Handicap'!$E$2:$E$201,MATCH(E39,'Player Handicap'!$B$2:$B$201,0)),0),IFERROR(INDEX('Player Handicap'!$E$2:$E$201,MATCH(F39,'Player Handicap'!$B$2:$B$201,0)),0)))</x:f>
      </x:c>
      <x:c r="I39" t="str">
        <x:f>IF(OR(G39="",H39=""),"",ABS(G39-H39))</x:f>
      </x:c>
      <x:c r="J39" t="str">
        <x:f>IF(I39="","",MAX(0,100-I39*5))</x:f>
      </x:c>
      <x:c r="K39" t="str">
        <x:f>IF(I39="","",IF(G39&gt;H39,"Team A",IF(H39&gt;G39,"Team B","50/50")))</x:f>
      </x:c>
    </x:row>
    <x:row r="40">
      <x:c r="A40" t="n">
        <x:v>4</x:v>
      </x:c>
      <x:c r="B40" t="n">
        <x:v>4</x:v>
      </x:c>
      <x:c r="G40" t="str">
        <x:f>IF(COUNTA(C40:D40)&lt;2,"",SUM(IFERROR(INDEX('Player Handicap'!$E$2:$E$201,MATCH(C40,'Player Handicap'!$B$2:$B$201,0)),0),IFERROR(INDEX('Player Handicap'!$E$2:$E$201,MATCH(D40,'Player Handicap'!$B$2:$B$201,0)),0)))</x:f>
      </x:c>
      <x:c r="H40" t="str">
        <x:f>IF(COUNTA(E40:F40)&lt;2,"",SUM(IFERROR(INDEX('Player Handicap'!$E$2:$E$201,MATCH(E40,'Player Handicap'!$B$2:$B$201,0)),0),IFERROR(INDEX('Player Handicap'!$E$2:$E$201,MATCH(F40,'Player Handicap'!$B$2:$B$201,0)),0)))</x:f>
      </x:c>
      <x:c r="I40" t="str">
        <x:f>IF(OR(G40="",H40=""),"",ABS(G40-H40))</x:f>
      </x:c>
      <x:c r="J40" t="str">
        <x:f>IF(I40="","",MAX(0,100-I40*5))</x:f>
      </x:c>
      <x:c r="K40" t="str">
        <x:f>IF(I40="","",IF(G40&gt;H40,"Team A",IF(H40&gt;G40,"Team B","50/50")))</x:f>
      </x:c>
    </x:row>
    <x:row r="41">
      <x:c r="A41" t="n">
        <x:v>4</x:v>
      </x:c>
      <x:c r="B41" t="n">
        <x:v>5</x:v>
      </x:c>
      <x:c r="G41" t="str">
        <x:f>IF(COUNTA(C41:D41)&lt;2,"",SUM(IFERROR(INDEX('Player Handicap'!$E$2:$E$201,MATCH(C41,'Player Handicap'!$B$2:$B$201,0)),0),IFERROR(INDEX('Player Handicap'!$E$2:$E$201,MATCH(D41,'Player Handicap'!$B$2:$B$201,0)),0)))</x:f>
      </x:c>
      <x:c r="H41" t="str">
        <x:f>IF(COUNTA(E41:F41)&lt;2,"",SUM(IFERROR(INDEX('Player Handicap'!$E$2:$E$201,MATCH(E41,'Player Handicap'!$B$2:$B$201,0)),0),IFERROR(INDEX('Player Handicap'!$E$2:$E$201,MATCH(F41,'Player Handicap'!$B$2:$B$201,0)),0)))</x:f>
      </x:c>
      <x:c r="I41" t="str">
        <x:f>IF(OR(G41="",H41=""),"",ABS(G41-H41))</x:f>
      </x:c>
      <x:c r="J41" t="str">
        <x:f>IF(I41="","",MAX(0,100-I41*5))</x:f>
      </x:c>
      <x:c r="K41" t="str">
        <x:f>IF(I41="","",IF(G41&gt;H41,"Team A",IF(H41&gt;G41,"Team B","50/50")))</x:f>
      </x:c>
    </x:row>
    <x:row r="42">
      <x:c r="A42" t="n">
        <x:v>4</x:v>
      </x:c>
      <x:c r="B42" t="n">
        <x:v>6</x:v>
      </x:c>
      <x:c r="G42" t="str">
        <x:f>IF(COUNTA(C42:D42)&lt;2,"",SUM(IFERROR(INDEX('Player Handicap'!$E$2:$E$201,MATCH(C42,'Player Handicap'!$B$2:$B$201,0)),0),IFERROR(INDEX('Player Handicap'!$E$2:$E$201,MATCH(D42,'Player Handicap'!$B$2:$B$201,0)),0)))</x:f>
      </x:c>
      <x:c r="H42" t="str">
        <x:f>IF(COUNTA(E42:F42)&lt;2,"",SUM(IFERROR(INDEX('Player Handicap'!$E$2:$E$201,MATCH(E42,'Player Handicap'!$B$2:$B$201,0)),0),IFERROR(INDEX('Player Handicap'!$E$2:$E$201,MATCH(F42,'Player Handicap'!$B$2:$B$201,0)),0)))</x:f>
      </x:c>
      <x:c r="I42" t="str">
        <x:f>IF(OR(G42="",H42=""),"",ABS(G42-H42))</x:f>
      </x:c>
      <x:c r="J42" t="str">
        <x:f>IF(I42="","",MAX(0,100-I42*5))</x:f>
      </x:c>
      <x:c r="K42" t="str">
        <x:f>IF(I42="","",IF(G42&gt;H42,"Team A",IF(H42&gt;G42,"Team B","50/50")))</x:f>
      </x:c>
    </x:row>
    <x:row r="43">
      <x:c r="A43" t="n">
        <x:v>4</x:v>
      </x:c>
      <x:c r="B43" t="n">
        <x:v>7</x:v>
      </x:c>
      <x:c r="G43" t="str">
        <x:f>IF(COUNTA(C43:D43)&lt;2,"",SUM(IFERROR(INDEX('Player Handicap'!$E$2:$E$201,MATCH(C43,'Player Handicap'!$B$2:$B$201,0)),0),IFERROR(INDEX('Player Handicap'!$E$2:$E$201,MATCH(D43,'Player Handicap'!$B$2:$B$201,0)),0)))</x:f>
      </x:c>
      <x:c r="H43" t="str">
        <x:f>IF(COUNTA(E43:F43)&lt;2,"",SUM(IFERROR(INDEX('Player Handicap'!$E$2:$E$201,MATCH(E43,'Player Handicap'!$B$2:$B$201,0)),0),IFERROR(INDEX('Player Handicap'!$E$2:$E$201,MATCH(F43,'Player Handicap'!$B$2:$B$201,0)),0)))</x:f>
      </x:c>
      <x:c r="I43" t="str">
        <x:f>IF(OR(G43="",H43=""),"",ABS(G43-H43))</x:f>
      </x:c>
      <x:c r="J43" t="str">
        <x:f>IF(I43="","",MAX(0,100-I43*5))</x:f>
      </x:c>
      <x:c r="K43" t="str">
        <x:f>IF(I43="","",IF(G43&gt;H43,"Team A",IF(H43&gt;G43,"Team B","50/50")))</x:f>
      </x:c>
    </x:row>
    <x:row r="44">
      <x:c r="A44" t="n">
        <x:v>4</x:v>
      </x:c>
      <x:c r="B44" t="n">
        <x:v>8</x:v>
      </x:c>
      <x:c r="G44" t="str">
        <x:f>IF(COUNTA(C44:D44)&lt;2,"",SUM(IFERROR(INDEX('Player Handicap'!$E$2:$E$201,MATCH(C44,'Player Handicap'!$B$2:$B$201,0)),0),IFERROR(INDEX('Player Handicap'!$E$2:$E$201,MATCH(D44,'Player Handicap'!$B$2:$B$201,0)),0)))</x:f>
      </x:c>
      <x:c r="H44" t="str">
        <x:f>IF(COUNTA(E44:F44)&lt;2,"",SUM(IFERROR(INDEX('Player Handicap'!$E$2:$E$201,MATCH(E44,'Player Handicap'!$B$2:$B$201,0)),0),IFERROR(INDEX('Player Handicap'!$E$2:$E$201,MATCH(F44,'Player Handicap'!$B$2:$B$201,0)),0)))</x:f>
      </x:c>
      <x:c r="I44" t="str">
        <x:f>IF(OR(G44="",H44=""),"",ABS(G44-H44))</x:f>
      </x:c>
      <x:c r="J44" t="str">
        <x:f>IF(I44="","",MAX(0,100-I44*5))</x:f>
      </x:c>
      <x:c r="K44" t="str">
        <x:f>IF(I44="","",IF(G44&gt;H44,"Team A",IF(H44&gt;G44,"Team B","50/50")))</x:f>
      </x:c>
    </x:row>
    <x:row r="45">
      <x:c r="A45" t="n">
        <x:v>5</x:v>
      </x:c>
      <x:c r="B45" t="n">
        <x:v>1</x:v>
      </x:c>
      <x:c r="G45" t="str">
        <x:f>IF(COUNTA(C45:D45)&lt;2,"",SUM(IFERROR(INDEX('Player Handicap'!$E$2:$E$201,MATCH(C45,'Player Handicap'!$B$2:$B$201,0)),0),IFERROR(INDEX('Player Handicap'!$E$2:$E$201,MATCH(D45,'Player Handicap'!$B$2:$B$201,0)),0)))</x:f>
      </x:c>
      <x:c r="H45" t="str">
        <x:f>IF(COUNTA(E45:F45)&lt;2,"",SUM(IFERROR(INDEX('Player Handicap'!$E$2:$E$201,MATCH(E45,'Player Handicap'!$B$2:$B$201,0)),0),IFERROR(INDEX('Player Handicap'!$E$2:$E$201,MATCH(F45,'Player Handicap'!$B$2:$B$201,0)),0)))</x:f>
      </x:c>
      <x:c r="I45" t="str">
        <x:f>IF(OR(G45="",H45=""),"",ABS(G45-H45))</x:f>
      </x:c>
      <x:c r="J45" t="str">
        <x:f>IF(I45="","",MAX(0,100-I45*5))</x:f>
      </x:c>
      <x:c r="K45" t="str">
        <x:f>IF(I45="","",IF(G45&gt;H45,"Team A",IF(H45&gt;G45,"Team B","50/50")))</x:f>
      </x:c>
    </x:row>
    <x:row r="46">
      <x:c r="A46" t="n">
        <x:v>5</x:v>
      </x:c>
      <x:c r="B46" t="n">
        <x:v>2</x:v>
      </x:c>
      <x:c r="G46" t="str">
        <x:f>IF(COUNTA(C46:D46)&lt;2,"",SUM(IFERROR(INDEX('Player Handicap'!$E$2:$E$201,MATCH(C46,'Player Handicap'!$B$2:$B$201,0)),0),IFERROR(INDEX('Player Handicap'!$E$2:$E$201,MATCH(D46,'Player Handicap'!$B$2:$B$201,0)),0)))</x:f>
      </x:c>
      <x:c r="H46" t="str">
        <x:f>IF(COUNTA(E46:F46)&lt;2,"",SUM(IFERROR(INDEX('Player Handicap'!$E$2:$E$201,MATCH(E46,'Player Handicap'!$B$2:$B$201,0)),0),IFERROR(INDEX('Player Handicap'!$E$2:$E$201,MATCH(F46,'Player Handicap'!$B$2:$B$201,0)),0)))</x:f>
      </x:c>
      <x:c r="I46" t="str">
        <x:f>IF(OR(G46="",H46=""),"",ABS(G46-H46))</x:f>
      </x:c>
      <x:c r="J46" t="str">
        <x:f>IF(I46="","",MAX(0,100-I46*5))</x:f>
      </x:c>
      <x:c r="K46" t="str">
        <x:f>IF(I46="","",IF(G46&gt;H46,"Team A",IF(H46&gt;G46,"Team B","50/50")))</x:f>
      </x:c>
    </x:row>
    <x:row r="47">
      <x:c r="A47" t="n">
        <x:v>5</x:v>
      </x:c>
      <x:c r="B47" t="n">
        <x:v>3</x:v>
      </x:c>
      <x:c r="G47" t="str">
        <x:f>IF(COUNTA(C47:D47)&lt;2,"",SUM(IFERROR(INDEX('Player Handicap'!$E$2:$E$201,MATCH(C47,'Player Handicap'!$B$2:$B$201,0)),0),IFERROR(INDEX('Player Handicap'!$E$2:$E$201,MATCH(D47,'Player Handicap'!$B$2:$B$201,0)),0)))</x:f>
      </x:c>
      <x:c r="H47" t="str">
        <x:f>IF(COUNTA(E47:F47)&lt;2,"",SUM(IFERROR(INDEX('Player Handicap'!$E$2:$E$201,MATCH(E47,'Player Handicap'!$B$2:$B$201,0)),0),IFERROR(INDEX('Player Handicap'!$E$2:$E$201,MATCH(F47,'Player Handicap'!$B$2:$B$201,0)),0)))</x:f>
      </x:c>
      <x:c r="I47" t="str">
        <x:f>IF(OR(G47="",H47=""),"",ABS(G47-H47))</x:f>
      </x:c>
      <x:c r="J47" t="str">
        <x:f>IF(I47="","",MAX(0,100-I47*5))</x:f>
      </x:c>
      <x:c r="K47" t="str">
        <x:f>IF(I47="","",IF(G47&gt;H47,"Team A",IF(H47&gt;G47,"Team B","50/50")))</x:f>
      </x:c>
    </x:row>
    <x:row r="48">
      <x:c r="A48" t="n">
        <x:v>5</x:v>
      </x:c>
      <x:c r="B48" t="n">
        <x:v>4</x:v>
      </x:c>
      <x:c r="G48" t="str">
        <x:f>IF(COUNTA(C48:D48)&lt;2,"",SUM(IFERROR(INDEX('Player Handicap'!$E$2:$E$201,MATCH(C48,'Player Handicap'!$B$2:$B$201,0)),0),IFERROR(INDEX('Player Handicap'!$E$2:$E$201,MATCH(D48,'Player Handicap'!$B$2:$B$201,0)),0)))</x:f>
      </x:c>
      <x:c r="H48" t="str">
        <x:f>IF(COUNTA(E48:F48)&lt;2,"",SUM(IFERROR(INDEX('Player Handicap'!$E$2:$E$201,MATCH(E48,'Player Handicap'!$B$2:$B$201,0)),0),IFERROR(INDEX('Player Handicap'!$E$2:$E$201,MATCH(F48,'Player Handicap'!$B$2:$B$201,0)),0)))</x:f>
      </x:c>
      <x:c r="I48" t="str">
        <x:f>IF(OR(G48="",H48=""),"",ABS(G48-H48))</x:f>
      </x:c>
      <x:c r="J48" t="str">
        <x:f>IF(I48="","",MAX(0,100-I48*5))</x:f>
      </x:c>
      <x:c r="K48" t="str">
        <x:f>IF(I48="","",IF(G48&gt;H48,"Team A",IF(H48&gt;G48,"Team B","50/50")))</x:f>
      </x:c>
    </x:row>
    <x:row r="49">
      <x:c r="A49" t="n">
        <x:v>5</x:v>
      </x:c>
      <x:c r="B49" t="n">
        <x:v>5</x:v>
      </x:c>
      <x:c r="G49" t="str">
        <x:f>IF(COUNTA(C49:D49)&lt;2,"",SUM(IFERROR(INDEX('Player Handicap'!$E$2:$E$201,MATCH(C49,'Player Handicap'!$B$2:$B$201,0)),0),IFERROR(INDEX('Player Handicap'!$E$2:$E$201,MATCH(D49,'Player Handicap'!$B$2:$B$201,0)),0)))</x:f>
      </x:c>
      <x:c r="H49" t="str">
        <x:f>IF(COUNTA(E49:F49)&lt;2,"",SUM(IFERROR(INDEX('Player Handicap'!$E$2:$E$201,MATCH(E49,'Player Handicap'!$B$2:$B$201,0)),0),IFERROR(INDEX('Player Handicap'!$E$2:$E$201,MATCH(F49,'Player Handicap'!$B$2:$B$201,0)),0)))</x:f>
      </x:c>
      <x:c r="I49" t="str">
        <x:f>IF(OR(G49="",H49=""),"",ABS(G49-H49))</x:f>
      </x:c>
      <x:c r="J49" t="str">
        <x:f>IF(I49="","",MAX(0,100-I49*5))</x:f>
      </x:c>
      <x:c r="K49" t="str">
        <x:f>IF(I49="","",IF(G49&gt;H49,"Team A",IF(H49&gt;G49,"Team B","50/50")))</x:f>
      </x:c>
    </x:row>
    <x:row r="50">
      <x:c r="A50" t="n">
        <x:v>5</x:v>
      </x:c>
      <x:c r="B50" t="n">
        <x:v>6</x:v>
      </x:c>
      <x:c r="G50" t="str">
        <x:f>IF(COUNTA(C50:D50)&lt;2,"",SUM(IFERROR(INDEX('Player Handicap'!$E$2:$E$201,MATCH(C50,'Player Handicap'!$B$2:$B$201,0)),0),IFERROR(INDEX('Player Handicap'!$E$2:$E$201,MATCH(D50,'Player Handicap'!$B$2:$B$201,0)),0)))</x:f>
      </x:c>
      <x:c r="H50" t="str">
        <x:f>IF(COUNTA(E50:F50)&lt;2,"",SUM(IFERROR(INDEX('Player Handicap'!$E$2:$E$201,MATCH(E50,'Player Handicap'!$B$2:$B$201,0)),0),IFERROR(INDEX('Player Handicap'!$E$2:$E$201,MATCH(F50,'Player Handicap'!$B$2:$B$201,0)),0)))</x:f>
      </x:c>
      <x:c r="I50" t="str">
        <x:f>IF(OR(G50="",H50=""),"",ABS(G50-H50))</x:f>
      </x:c>
      <x:c r="J50" t="str">
        <x:f>IF(I50="","",MAX(0,100-I50*5))</x:f>
      </x:c>
      <x:c r="K50" t="str">
        <x:f>IF(I50="","",IF(G50&gt;H50,"Team A",IF(H50&gt;G50,"Team B","50/50")))</x:f>
      </x:c>
    </x:row>
    <x:row r="51">
      <x:c r="A51" t="n">
        <x:v>5</x:v>
      </x:c>
      <x:c r="B51" t="n">
        <x:v>7</x:v>
      </x:c>
      <x:c r="G51" t="str">
        <x:f>IF(COUNTA(C51:D51)&lt;2,"",SUM(IFERROR(INDEX('Player Handicap'!$E$2:$E$201,MATCH(C51,'Player Handicap'!$B$2:$B$201,0)),0),IFERROR(INDEX('Player Handicap'!$E$2:$E$201,MATCH(D51,'Player Handicap'!$B$2:$B$201,0)),0)))</x:f>
      </x:c>
      <x:c r="H51" t="str">
        <x:f>IF(COUNTA(E51:F51)&lt;2,"",SUM(IFERROR(INDEX('Player Handicap'!$E$2:$E$201,MATCH(E51,'Player Handicap'!$B$2:$B$201,0)),0),IFERROR(INDEX('Player Handicap'!$E$2:$E$201,MATCH(F51,'Player Handicap'!$B$2:$B$201,0)),0)))</x:f>
      </x:c>
      <x:c r="I51" t="str">
        <x:f>IF(OR(G51="",H51=""),"",ABS(G51-H51))</x:f>
      </x:c>
      <x:c r="J51" t="str">
        <x:f>IF(I51="","",MAX(0,100-I51*5))</x:f>
      </x:c>
      <x:c r="K51" t="str">
        <x:f>IF(I51="","",IF(G51&gt;H51,"Team A",IF(H51&gt;G51,"Team B","50/50")))</x:f>
      </x:c>
    </x:row>
    <x:row r="52">
      <x:c r="A52" t="n">
        <x:v>5</x:v>
      </x:c>
      <x:c r="B52" t="n">
        <x:v>8</x:v>
      </x:c>
      <x:c r="G52" t="str">
        <x:f>IF(COUNTA(C52:D52)&lt;2,"",SUM(IFERROR(INDEX('Player Handicap'!$E$2:$E$201,MATCH(C52,'Player Handicap'!$B$2:$B$201,0)),0),IFERROR(INDEX('Player Handicap'!$E$2:$E$201,MATCH(D52,'Player Handicap'!$B$2:$B$201,0)),0)))</x:f>
      </x:c>
      <x:c r="H52" t="str">
        <x:f>IF(COUNTA(E52:F52)&lt;2,"",SUM(IFERROR(INDEX('Player Handicap'!$E$2:$E$201,MATCH(E52,'Player Handicap'!$B$2:$B$201,0)),0),IFERROR(INDEX('Player Handicap'!$E$2:$E$201,MATCH(F52,'Player Handicap'!$B$2:$B$201,0)),0)))</x:f>
      </x:c>
      <x:c r="I52" t="str">
        <x:f>IF(OR(G52="",H52=""),"",ABS(G52-H52))</x:f>
      </x:c>
      <x:c r="J52" t="str">
        <x:f>IF(I52="","",MAX(0,100-I52*5))</x:f>
      </x:c>
      <x:c r="K52" t="str">
        <x:f>IF(I52="","",IF(G52&gt;H52,"Team A",IF(H52&gt;G52,"Team B","50/50")))</x:f>
      </x:c>
    </x:row>
    <x:row r="53">
      <x:c r="A53" t="n">
        <x:v>6</x:v>
      </x:c>
      <x:c r="B53" t="n">
        <x:v>1</x:v>
      </x:c>
      <x:c r="G53" t="str">
        <x:f>IF(COUNTA(C53:D53)&lt;2,"",SUM(IFERROR(INDEX('Player Handicap'!$E$2:$E$201,MATCH(C53,'Player Handicap'!$B$2:$B$201,0)),0),IFERROR(INDEX('Player Handicap'!$E$2:$E$201,MATCH(D53,'Player Handicap'!$B$2:$B$201,0)),0)))</x:f>
      </x:c>
      <x:c r="H53" t="str">
        <x:f>IF(COUNTA(E53:F53)&lt;2,"",SUM(IFERROR(INDEX('Player Handicap'!$E$2:$E$201,MATCH(E53,'Player Handicap'!$B$2:$B$201,0)),0),IFERROR(INDEX('Player Handicap'!$E$2:$E$201,MATCH(F53,'Player Handicap'!$B$2:$B$201,0)),0)))</x:f>
      </x:c>
      <x:c r="I53" t="str">
        <x:f>IF(OR(G53="",H53=""),"",ABS(G53-H53))</x:f>
      </x:c>
      <x:c r="J53" t="str">
        <x:f>IF(I53="","",MAX(0,100-I53*5))</x:f>
      </x:c>
      <x:c r="K53" t="str">
        <x:f>IF(I53="","",IF(G53&gt;H53,"Team A",IF(H53&gt;G53,"Team B","50/50")))</x:f>
      </x:c>
    </x:row>
    <x:row r="54">
      <x:c r="A54" t="n">
        <x:v>6</x:v>
      </x:c>
      <x:c r="B54" t="n">
        <x:v>2</x:v>
      </x:c>
      <x:c r="G54" t="str">
        <x:f>IF(COUNTA(C54:D54)&lt;2,"",SUM(IFERROR(INDEX('Player Handicap'!$E$2:$E$201,MATCH(C54,'Player Handicap'!$B$2:$B$201,0)),0),IFERROR(INDEX('Player Handicap'!$E$2:$E$201,MATCH(D54,'Player Handicap'!$B$2:$B$201,0)),0)))</x:f>
      </x:c>
      <x:c r="H54" t="str">
        <x:f>IF(COUNTA(E54:F54)&lt;2,"",SUM(IFERROR(INDEX('Player Handicap'!$E$2:$E$201,MATCH(E54,'Player Handicap'!$B$2:$B$201,0)),0),IFERROR(INDEX('Player Handicap'!$E$2:$E$201,MATCH(F54,'Player Handicap'!$B$2:$B$201,0)),0)))</x:f>
      </x:c>
      <x:c r="I54" t="str">
        <x:f>IF(OR(G54="",H54=""),"",ABS(G54-H54))</x:f>
      </x:c>
      <x:c r="J54" t="str">
        <x:f>IF(I54="","",MAX(0,100-I54*5))</x:f>
      </x:c>
      <x:c r="K54" t="str">
        <x:f>IF(I54="","",IF(G54&gt;H54,"Team A",IF(H54&gt;G54,"Team B","50/50")))</x:f>
      </x:c>
    </x:row>
    <x:row r="55">
      <x:c r="A55" t="n">
        <x:v>6</x:v>
      </x:c>
      <x:c r="B55" t="n">
        <x:v>3</x:v>
      </x:c>
      <x:c r="G55" t="str">
        <x:f>IF(COUNTA(C55:D55)&lt;2,"",SUM(IFERROR(INDEX('Player Handicap'!$E$2:$E$201,MATCH(C55,'Player Handicap'!$B$2:$B$201,0)),0),IFERROR(INDEX('Player Handicap'!$E$2:$E$201,MATCH(D55,'Player Handicap'!$B$2:$B$201,0)),0)))</x:f>
      </x:c>
      <x:c r="H55" t="str">
        <x:f>IF(COUNTA(E55:F55)&lt;2,"",SUM(IFERROR(INDEX('Player Handicap'!$E$2:$E$201,MATCH(E55,'Player Handicap'!$B$2:$B$201,0)),0),IFERROR(INDEX('Player Handicap'!$E$2:$E$201,MATCH(F55,'Player Handicap'!$B$2:$B$201,0)),0)))</x:f>
      </x:c>
      <x:c r="I55" t="str">
        <x:f>IF(OR(G55="",H55=""),"",ABS(G55-H55))</x:f>
      </x:c>
      <x:c r="J55" t="str">
        <x:f>IF(I55="","",MAX(0,100-I55*5))</x:f>
      </x:c>
      <x:c r="K55" t="str">
        <x:f>IF(I55="","",IF(G55&gt;H55,"Team A",IF(H55&gt;G55,"Team B","50/50")))</x:f>
      </x:c>
    </x:row>
    <x:row r="56">
      <x:c r="A56" t="n">
        <x:v>6</x:v>
      </x:c>
      <x:c r="B56" t="n">
        <x:v>4</x:v>
      </x:c>
      <x:c r="G56" t="str">
        <x:f>IF(COUNTA(C56:D56)&lt;2,"",SUM(IFERROR(INDEX('Player Handicap'!$E$2:$E$201,MATCH(C56,'Player Handicap'!$B$2:$B$201,0)),0),IFERROR(INDEX('Player Handicap'!$E$2:$E$201,MATCH(D56,'Player Handicap'!$B$2:$B$201,0)),0)))</x:f>
      </x:c>
      <x:c r="H56" t="str">
        <x:f>IF(COUNTA(E56:F56)&lt;2,"",SUM(IFERROR(INDEX('Player Handicap'!$E$2:$E$201,MATCH(E56,'Player Handicap'!$B$2:$B$201,0)),0),IFERROR(INDEX('Player Handicap'!$E$2:$E$201,MATCH(F56,'Player Handicap'!$B$2:$B$201,0)),0)))</x:f>
      </x:c>
      <x:c r="I56" t="str">
        <x:f>IF(OR(G56="",H56=""),"",ABS(G56-H56))</x:f>
      </x:c>
      <x:c r="J56" t="str">
        <x:f>IF(I56="","",MAX(0,100-I56*5))</x:f>
      </x:c>
      <x:c r="K56" t="str">
        <x:f>IF(I56="","",IF(G56&gt;H56,"Team A",IF(H56&gt;G56,"Team B","50/50")))</x:f>
      </x:c>
    </x:row>
    <x:row r="57">
      <x:c r="A57" t="n">
        <x:v>6</x:v>
      </x:c>
      <x:c r="B57" t="n">
        <x:v>5</x:v>
      </x:c>
      <x:c r="G57" t="str">
        <x:f>IF(COUNTA(C57:D57)&lt;2,"",SUM(IFERROR(INDEX('Player Handicap'!$E$2:$E$201,MATCH(C57,'Player Handicap'!$B$2:$B$201,0)),0),IFERROR(INDEX('Player Handicap'!$E$2:$E$201,MATCH(D57,'Player Handicap'!$B$2:$B$201,0)),0)))</x:f>
      </x:c>
      <x:c r="H57" t="str">
        <x:f>IF(COUNTA(E57:F57)&lt;2,"",SUM(IFERROR(INDEX('Player Handicap'!$E$2:$E$201,MATCH(E57,'Player Handicap'!$B$2:$B$201,0)),0),IFERROR(INDEX('Player Handicap'!$E$2:$E$201,MATCH(F57,'Player Handicap'!$B$2:$B$201,0)),0)))</x:f>
      </x:c>
      <x:c r="I57" t="str">
        <x:f>IF(OR(G57="",H57=""),"",ABS(G57-H57))</x:f>
      </x:c>
      <x:c r="J57" t="str">
        <x:f>IF(I57="","",MAX(0,100-I57*5))</x:f>
      </x:c>
      <x:c r="K57" t="str">
        <x:f>IF(I57="","",IF(G57&gt;H57,"Team A",IF(H57&gt;G57,"Team B","50/50")))</x:f>
      </x:c>
    </x:row>
    <x:row r="58">
      <x:c r="A58" t="n">
        <x:v>6</x:v>
      </x:c>
      <x:c r="B58" t="n">
        <x:v>6</x:v>
      </x:c>
      <x:c r="G58" t="str">
        <x:f>IF(COUNTA(C58:D58)&lt;2,"",SUM(IFERROR(INDEX('Player Handicap'!$E$2:$E$201,MATCH(C58,'Player Handicap'!$B$2:$B$201,0)),0),IFERROR(INDEX('Player Handicap'!$E$2:$E$201,MATCH(D58,'Player Handicap'!$B$2:$B$201,0)),0)))</x:f>
      </x:c>
      <x:c r="H58" t="str">
        <x:f>IF(COUNTA(E58:F58)&lt;2,"",SUM(IFERROR(INDEX('Player Handicap'!$E$2:$E$201,MATCH(E58,'Player Handicap'!$B$2:$B$201,0)),0),IFERROR(INDEX('Player Handicap'!$E$2:$E$201,MATCH(F58,'Player Handicap'!$B$2:$B$201,0)),0)))</x:f>
      </x:c>
      <x:c r="I58" t="str">
        <x:f>IF(OR(G58="",H58=""),"",ABS(G58-H58))</x:f>
      </x:c>
      <x:c r="J58" t="str">
        <x:f>IF(I58="","",MAX(0,100-I58*5))</x:f>
      </x:c>
      <x:c r="K58" t="str">
        <x:f>IF(I58="","",IF(G58&gt;H58,"Team A",IF(H58&gt;G58,"Team B","50/50")))</x:f>
      </x:c>
    </x:row>
    <x:row r="59">
      <x:c r="A59" t="n">
        <x:v>6</x:v>
      </x:c>
      <x:c r="B59" t="n">
        <x:v>7</x:v>
      </x:c>
      <x:c r="G59" t="str">
        <x:f>IF(COUNTA(C59:D59)&lt;2,"",SUM(IFERROR(INDEX('Player Handicap'!$E$2:$E$201,MATCH(C59,'Player Handicap'!$B$2:$B$201,0)),0),IFERROR(INDEX('Player Handicap'!$E$2:$E$201,MATCH(D59,'Player Handicap'!$B$2:$B$201,0)),0)))</x:f>
      </x:c>
      <x:c r="H59" t="str">
        <x:f>IF(COUNTA(E59:F59)&lt;2,"",SUM(IFERROR(INDEX('Player Handicap'!$E$2:$E$201,MATCH(E59,'Player Handicap'!$B$2:$B$201,0)),0),IFERROR(INDEX('Player Handicap'!$E$2:$E$201,MATCH(F59,'Player Handicap'!$B$2:$B$201,0)),0)))</x:f>
      </x:c>
      <x:c r="I59" t="str">
        <x:f>IF(OR(G59="",H59=""),"",ABS(G59-H59))</x:f>
      </x:c>
      <x:c r="J59" t="str">
        <x:f>IF(I59="","",MAX(0,100-I59*5))</x:f>
      </x:c>
      <x:c r="K59" t="str">
        <x:f>IF(I59="","",IF(G59&gt;H59,"Team A",IF(H59&gt;G59,"Team B","50/50")))</x:f>
      </x:c>
    </x:row>
    <x:row r="60">
      <x:c r="A60" t="n">
        <x:v>6</x:v>
      </x:c>
      <x:c r="B60" t="n">
        <x:v>8</x:v>
      </x:c>
      <x:c r="G60" t="str">
        <x:f>IF(COUNTA(C60:D60)&lt;2,"",SUM(IFERROR(INDEX('Player Handicap'!$E$2:$E$201,MATCH(C60,'Player Handicap'!$B$2:$B$201,0)),0),IFERROR(INDEX('Player Handicap'!$E$2:$E$201,MATCH(D60,'Player Handicap'!$B$2:$B$201,0)),0)))</x:f>
      </x:c>
      <x:c r="H60" t="str">
        <x:f>IF(COUNTA(E60:F60)&lt;2,"",SUM(IFERROR(INDEX('Player Handicap'!$E$2:$E$201,MATCH(E60,'Player Handicap'!$B$2:$B$201,0)),0),IFERROR(INDEX('Player Handicap'!$E$2:$E$201,MATCH(F60,'Player Handicap'!$B$2:$B$201,0)),0)))</x:f>
      </x:c>
      <x:c r="I60" t="str">
        <x:f>IF(OR(G60="",H60=""),"",ABS(G60-H60))</x:f>
      </x:c>
      <x:c r="J60" t="str">
        <x:f>IF(I60="","",MAX(0,100-I60*5))</x:f>
      </x:c>
      <x:c r="K60" t="str">
        <x:f>IF(I60="","",IF(G60&gt;H60,"Team A",IF(H60&gt;G60,"Team B","50/50")))</x:f>
      </x:c>
    </x:row>
    <x:row r="61">
      <x:c r="A61" t="n">
        <x:v>7</x:v>
      </x:c>
      <x:c r="B61" t="n">
        <x:v>1</x:v>
      </x:c>
      <x:c r="G61" t="str">
        <x:f>IF(COUNTA(C61:D61)&lt;2,"",SUM(IFERROR(INDEX('Player Handicap'!$E$2:$E$201,MATCH(C61,'Player Handicap'!$B$2:$B$201,0)),0),IFERROR(INDEX('Player Handicap'!$E$2:$E$201,MATCH(D61,'Player Handicap'!$B$2:$B$201,0)),0)))</x:f>
      </x:c>
      <x:c r="H61" t="str">
        <x:f>IF(COUNTA(E61:F61)&lt;2,"",SUM(IFERROR(INDEX('Player Handicap'!$E$2:$E$201,MATCH(E61,'Player Handicap'!$B$2:$B$201,0)),0),IFERROR(INDEX('Player Handicap'!$E$2:$E$201,MATCH(F61,'Player Handicap'!$B$2:$B$201,0)),0)))</x:f>
      </x:c>
      <x:c r="I61" t="str">
        <x:f>IF(OR(G61="",H61=""),"",ABS(G61-H61))</x:f>
      </x:c>
      <x:c r="J61" t="str">
        <x:f>IF(I61="","",MAX(0,100-I61*5))</x:f>
      </x:c>
      <x:c r="K61" t="str">
        <x:f>IF(I61="","",IF(G61&gt;H61,"Team A",IF(H61&gt;G61,"Team B","50/50")))</x:f>
      </x:c>
    </x:row>
    <x:row r="62">
      <x:c r="A62" t="n">
        <x:v>7</x:v>
      </x:c>
      <x:c r="B62" t="n">
        <x:v>2</x:v>
      </x:c>
      <x:c r="G62" t="str">
        <x:f>IF(COUNTA(C62:D62)&lt;2,"",SUM(IFERROR(INDEX('Player Handicap'!$E$2:$E$201,MATCH(C62,'Player Handicap'!$B$2:$B$201,0)),0),IFERROR(INDEX('Player Handicap'!$E$2:$E$201,MATCH(D62,'Player Handicap'!$B$2:$B$201,0)),0)))</x:f>
      </x:c>
      <x:c r="H62" t="str">
        <x:f>IF(COUNTA(E62:F62)&lt;2,"",SUM(IFERROR(INDEX('Player Handicap'!$E$2:$E$201,MATCH(E62,'Player Handicap'!$B$2:$B$201,0)),0),IFERROR(INDEX('Player Handicap'!$E$2:$E$201,MATCH(F62,'Player Handicap'!$B$2:$B$201,0)),0)))</x:f>
      </x:c>
      <x:c r="I62" t="str">
        <x:f>IF(OR(G62="",H62=""),"",ABS(G62-H62))</x:f>
      </x:c>
      <x:c r="J62" t="str">
        <x:f>IF(I62="","",MAX(0,100-I62*5))</x:f>
      </x:c>
      <x:c r="K62" t="str">
        <x:f>IF(I62="","",IF(G62&gt;H62,"Team A",IF(H62&gt;G62,"Team B","50/50")))</x:f>
      </x:c>
    </x:row>
    <x:row r="63">
      <x:c r="A63" t="n">
        <x:v>7</x:v>
      </x:c>
      <x:c r="B63" t="n">
        <x:v>3</x:v>
      </x:c>
      <x:c r="G63" t="str">
        <x:f>IF(COUNTA(C63:D63)&lt;2,"",SUM(IFERROR(INDEX('Player Handicap'!$E$2:$E$201,MATCH(C63,'Player Handicap'!$B$2:$B$201,0)),0),IFERROR(INDEX('Player Handicap'!$E$2:$E$201,MATCH(D63,'Player Handicap'!$B$2:$B$201,0)),0)))</x:f>
      </x:c>
      <x:c r="H63" t="str">
        <x:f>IF(COUNTA(E63:F63)&lt;2,"",SUM(IFERROR(INDEX('Player Handicap'!$E$2:$E$201,MATCH(E63,'Player Handicap'!$B$2:$B$201,0)),0),IFERROR(INDEX('Player Handicap'!$E$2:$E$201,MATCH(F63,'Player Handicap'!$B$2:$B$201,0)),0)))</x:f>
      </x:c>
      <x:c r="I63" t="str">
        <x:f>IF(OR(G63="",H63=""),"",ABS(G63-H63))</x:f>
      </x:c>
      <x:c r="J63" t="str">
        <x:f>IF(I63="","",MAX(0,100-I63*5))</x:f>
      </x:c>
      <x:c r="K63" t="str">
        <x:f>IF(I63="","",IF(G63&gt;H63,"Team A",IF(H63&gt;G63,"Team B","50/50")))</x:f>
      </x:c>
    </x:row>
    <x:row r="64">
      <x:c r="A64" t="n">
        <x:v>7</x:v>
      </x:c>
      <x:c r="B64" t="n">
        <x:v>4</x:v>
      </x:c>
      <x:c r="G64" t="str">
        <x:f>IF(COUNTA(C64:D64)&lt;2,"",SUM(IFERROR(INDEX('Player Handicap'!$E$2:$E$201,MATCH(C64,'Player Handicap'!$B$2:$B$201,0)),0),IFERROR(INDEX('Player Handicap'!$E$2:$E$201,MATCH(D64,'Player Handicap'!$B$2:$B$201,0)),0)))</x:f>
      </x:c>
      <x:c r="H64" t="str">
        <x:f>IF(COUNTA(E64:F64)&lt;2,"",SUM(IFERROR(INDEX('Player Handicap'!$E$2:$E$201,MATCH(E64,'Player Handicap'!$B$2:$B$201,0)),0),IFERROR(INDEX('Player Handicap'!$E$2:$E$201,MATCH(F64,'Player Handicap'!$B$2:$B$201,0)),0)))</x:f>
      </x:c>
      <x:c r="I64" t="str">
        <x:f>IF(OR(G64="",H64=""),"",ABS(G64-H64))</x:f>
      </x:c>
      <x:c r="J64" t="str">
        <x:f>IF(I64="","",MAX(0,100-I64*5))</x:f>
      </x:c>
      <x:c r="K64" t="str">
        <x:f>IF(I64="","",IF(G64&gt;H64,"Team A",IF(H64&gt;G64,"Team B","50/50")))</x:f>
      </x:c>
    </x:row>
    <x:row r="65">
      <x:c r="A65" t="n">
        <x:v>7</x:v>
      </x:c>
      <x:c r="B65" t="n">
        <x:v>5</x:v>
      </x:c>
      <x:c r="G65" t="str">
        <x:f>IF(COUNTA(C65:D65)&lt;2,"",SUM(IFERROR(INDEX('Player Handicap'!$E$2:$E$201,MATCH(C65,'Player Handicap'!$B$2:$B$201,0)),0),IFERROR(INDEX('Player Handicap'!$E$2:$E$201,MATCH(D65,'Player Handicap'!$B$2:$B$201,0)),0)))</x:f>
      </x:c>
      <x:c r="H65" t="str">
        <x:f>IF(COUNTA(E65:F65)&lt;2,"",SUM(IFERROR(INDEX('Player Handicap'!$E$2:$E$201,MATCH(E65,'Player Handicap'!$B$2:$B$201,0)),0),IFERROR(INDEX('Player Handicap'!$E$2:$E$201,MATCH(F65,'Player Handicap'!$B$2:$B$201,0)),0)))</x:f>
      </x:c>
      <x:c r="I65" t="str">
        <x:f>IF(OR(G65="",H65=""),"",ABS(G65-H65))</x:f>
      </x:c>
      <x:c r="J65" t="str">
        <x:f>IF(I65="","",MAX(0,100-I65*5))</x:f>
      </x:c>
      <x:c r="K65" t="str">
        <x:f>IF(I65="","",IF(G65&gt;H65,"Team A",IF(H65&gt;G65,"Team B","50/50")))</x:f>
      </x:c>
    </x:row>
    <x:row r="66">
      <x:c r="A66" t="n">
        <x:v>7</x:v>
      </x:c>
      <x:c r="B66" t="n">
        <x:v>6</x:v>
      </x:c>
      <x:c r="G66" t="str">
        <x:f>IF(COUNTA(C66:D66)&lt;2,"",SUM(IFERROR(INDEX('Player Handicap'!$E$2:$E$201,MATCH(C66,'Player Handicap'!$B$2:$B$201,0)),0),IFERROR(INDEX('Player Handicap'!$E$2:$E$201,MATCH(D66,'Player Handicap'!$B$2:$B$201,0)),0)))</x:f>
      </x:c>
      <x:c r="H66" t="str">
        <x:f>IF(COUNTA(E66:F66)&lt;2,"",SUM(IFERROR(INDEX('Player Handicap'!$E$2:$E$201,MATCH(E66,'Player Handicap'!$B$2:$B$201,0)),0),IFERROR(INDEX('Player Handicap'!$E$2:$E$201,MATCH(F66,'Player Handicap'!$B$2:$B$201,0)),0)))</x:f>
      </x:c>
      <x:c r="I66" t="str">
        <x:f>IF(OR(G66="",H66=""),"",ABS(G66-H66))</x:f>
      </x:c>
      <x:c r="J66" t="str">
        <x:f>IF(I66="","",MAX(0,100-I66*5))</x:f>
      </x:c>
      <x:c r="K66" t="str">
        <x:f>IF(I66="","",IF(G66&gt;H66,"Team A",IF(H66&gt;G66,"Team B","50/50")))</x:f>
      </x:c>
    </x:row>
    <x:row r="67">
      <x:c r="A67" t="n">
        <x:v>7</x:v>
      </x:c>
      <x:c r="B67" t="n">
        <x:v>7</x:v>
      </x:c>
      <x:c r="G67" t="str">
        <x:f>IF(COUNTA(C67:D67)&lt;2,"",SUM(IFERROR(INDEX('Player Handicap'!$E$2:$E$201,MATCH(C67,'Player Handicap'!$B$2:$B$201,0)),0),IFERROR(INDEX('Player Handicap'!$E$2:$E$201,MATCH(D67,'Player Handicap'!$B$2:$B$201,0)),0)))</x:f>
      </x:c>
      <x:c r="H67" t="str">
        <x:f>IF(COUNTA(E67:F67)&lt;2,"",SUM(IFERROR(INDEX('Player Handicap'!$E$2:$E$201,MATCH(E67,'Player Handicap'!$B$2:$B$201,0)),0),IFERROR(INDEX('Player Handicap'!$E$2:$E$201,MATCH(F67,'Player Handicap'!$B$2:$B$201,0)),0)))</x:f>
      </x:c>
      <x:c r="I67" t="str">
        <x:f>IF(OR(G67="",H67=""),"",ABS(G67-H67))</x:f>
      </x:c>
      <x:c r="J67" t="str">
        <x:f>IF(I67="","",MAX(0,100-I67*5))</x:f>
      </x:c>
      <x:c r="K67" t="str">
        <x:f>IF(I67="","",IF(G67&gt;H67,"Team A",IF(H67&gt;G67,"Team B","50/50")))</x:f>
      </x:c>
    </x:row>
    <x:row r="68">
      <x:c r="A68" t="n">
        <x:v>7</x:v>
      </x:c>
      <x:c r="B68" t="n">
        <x:v>8</x:v>
      </x:c>
      <x:c r="G68" t="str">
        <x:f>IF(COUNTA(C68:D68)&lt;2,"",SUM(IFERROR(INDEX('Player Handicap'!$E$2:$E$201,MATCH(C68,'Player Handicap'!$B$2:$B$201,0)),0),IFERROR(INDEX('Player Handicap'!$E$2:$E$201,MATCH(D68,'Player Handicap'!$B$2:$B$201,0)),0)))</x:f>
      </x:c>
      <x:c r="H68" t="str">
        <x:f>IF(COUNTA(E68:F68)&lt;2,"",SUM(IFERROR(INDEX('Player Handicap'!$E$2:$E$201,MATCH(E68,'Player Handicap'!$B$2:$B$201,0)),0),IFERROR(INDEX('Player Handicap'!$E$2:$E$201,MATCH(F68,'Player Handicap'!$B$2:$B$201,0)),0)))</x:f>
      </x:c>
      <x:c r="I68" t="str">
        <x:f>IF(OR(G68="",H68=""),"",ABS(G68-H68))</x:f>
      </x:c>
      <x:c r="J68" t="str">
        <x:f>IF(I68="","",MAX(0,100-I68*5))</x:f>
      </x:c>
      <x:c r="K68" t="str">
        <x:f>IF(I68="","",IF(G68&gt;H68,"Team A",IF(H68&gt;G68,"Team B","50/50")))</x:f>
      </x:c>
    </x:row>
    <x:row r="69">
      <x:c r="A69" t="n">
        <x:v>8</x:v>
      </x:c>
      <x:c r="B69" t="n">
        <x:v>1</x:v>
      </x:c>
      <x:c r="G69" t="str">
        <x:f>IF(COUNTA(C69:D69)&lt;2,"",SUM(IFERROR(INDEX('Player Handicap'!$E$2:$E$201,MATCH(C69,'Player Handicap'!$B$2:$B$201,0)),0),IFERROR(INDEX('Player Handicap'!$E$2:$E$201,MATCH(D69,'Player Handicap'!$B$2:$B$201,0)),0)))</x:f>
      </x:c>
      <x:c r="H69" t="str">
        <x:f>IF(COUNTA(E69:F69)&lt;2,"",SUM(IFERROR(INDEX('Player Handicap'!$E$2:$E$201,MATCH(E69,'Player Handicap'!$B$2:$B$201,0)),0),IFERROR(INDEX('Player Handicap'!$E$2:$E$201,MATCH(F69,'Player Handicap'!$B$2:$B$201,0)),0)))</x:f>
      </x:c>
      <x:c r="I69" t="str">
        <x:f>IF(OR(G69="",H69=""),"",ABS(G69-H69))</x:f>
      </x:c>
      <x:c r="J69" t="str">
        <x:f>IF(I69="","",MAX(0,100-I69*5))</x:f>
      </x:c>
      <x:c r="K69" t="str">
        <x:f>IF(I69="","",IF(G69&gt;H69,"Team A",IF(H69&gt;G69,"Team B","50/50")))</x:f>
      </x:c>
    </x:row>
    <x:row r="70">
      <x:c r="A70" t="n">
        <x:v>8</x:v>
      </x:c>
      <x:c r="B70" t="n">
        <x:v>2</x:v>
      </x:c>
      <x:c r="G70" t="str">
        <x:f>IF(COUNTA(C70:D70)&lt;2,"",SUM(IFERROR(INDEX('Player Handicap'!$E$2:$E$201,MATCH(C70,'Player Handicap'!$B$2:$B$201,0)),0),IFERROR(INDEX('Player Handicap'!$E$2:$E$201,MATCH(D70,'Player Handicap'!$B$2:$B$201,0)),0)))</x:f>
      </x:c>
      <x:c r="H70" t="str">
        <x:f>IF(COUNTA(E70:F70)&lt;2,"",SUM(IFERROR(INDEX('Player Handicap'!$E$2:$E$201,MATCH(E70,'Player Handicap'!$B$2:$B$201,0)),0),IFERROR(INDEX('Player Handicap'!$E$2:$E$201,MATCH(F70,'Player Handicap'!$B$2:$B$201,0)),0)))</x:f>
      </x:c>
      <x:c r="I70" t="str">
        <x:f>IF(OR(G70="",H70=""),"",ABS(G70-H70))</x:f>
      </x:c>
      <x:c r="J70" t="str">
        <x:f>IF(I70="","",MAX(0,100-I70*5))</x:f>
      </x:c>
      <x:c r="K70" t="str">
        <x:f>IF(I70="","",IF(G70&gt;H70,"Team A",IF(H70&gt;G70,"Team B","50/50")))</x:f>
      </x:c>
    </x:row>
    <x:row r="71">
      <x:c r="A71" t="n">
        <x:v>8</x:v>
      </x:c>
      <x:c r="B71" t="n">
        <x:v>3</x:v>
      </x:c>
      <x:c r="G71" t="str">
        <x:f>IF(COUNTA(C71:D71)&lt;2,"",SUM(IFERROR(INDEX('Player Handicap'!$E$2:$E$201,MATCH(C71,'Player Handicap'!$B$2:$B$201,0)),0),IFERROR(INDEX('Player Handicap'!$E$2:$E$201,MATCH(D71,'Player Handicap'!$B$2:$B$201,0)),0)))</x:f>
      </x:c>
      <x:c r="H71" t="str">
        <x:f>IF(COUNTA(E71:F71)&lt;2,"",SUM(IFERROR(INDEX('Player Handicap'!$E$2:$E$201,MATCH(E71,'Player Handicap'!$B$2:$B$201,0)),0),IFERROR(INDEX('Player Handicap'!$E$2:$E$201,MATCH(F71,'Player Handicap'!$B$2:$B$201,0)),0)))</x:f>
      </x:c>
      <x:c r="I71" t="str">
        <x:f>IF(OR(G71="",H71=""),"",ABS(G71-H71))</x:f>
      </x:c>
      <x:c r="J71" t="str">
        <x:f>IF(I71="","",MAX(0,100-I71*5))</x:f>
      </x:c>
      <x:c r="K71" t="str">
        <x:f>IF(I71="","",IF(G71&gt;H71,"Team A",IF(H71&gt;G71,"Team B","50/50")))</x:f>
      </x:c>
    </x:row>
    <x:row r="72">
      <x:c r="A72" t="n">
        <x:v>8</x:v>
      </x:c>
      <x:c r="B72" t="n">
        <x:v>4</x:v>
      </x:c>
      <x:c r="G72" t="str">
        <x:f>IF(COUNTA(C72:D72)&lt;2,"",SUM(IFERROR(INDEX('Player Handicap'!$E$2:$E$201,MATCH(C72,'Player Handicap'!$B$2:$B$201,0)),0),IFERROR(INDEX('Player Handicap'!$E$2:$E$201,MATCH(D72,'Player Handicap'!$B$2:$B$201,0)),0)))</x:f>
      </x:c>
      <x:c r="H72" t="str">
        <x:f>IF(COUNTA(E72:F72)&lt;2,"",SUM(IFERROR(INDEX('Player Handicap'!$E$2:$E$201,MATCH(E72,'Player Handicap'!$B$2:$B$201,0)),0),IFERROR(INDEX('Player Handicap'!$E$2:$E$201,MATCH(F72,'Player Handicap'!$B$2:$B$201,0)),0)))</x:f>
      </x:c>
      <x:c r="I72" t="str">
        <x:f>IF(OR(G72="",H72=""),"",ABS(G72-H72))</x:f>
      </x:c>
      <x:c r="J72" t="str">
        <x:f>IF(I72="","",MAX(0,100-I72*5))</x:f>
      </x:c>
      <x:c r="K72" t="str">
        <x:f>IF(I72="","",IF(G72&gt;H72,"Team A",IF(H72&gt;G72,"Team B","50/50")))</x:f>
      </x:c>
    </x:row>
    <x:row r="73">
      <x:c r="A73" t="n">
        <x:v>8</x:v>
      </x:c>
      <x:c r="B73" t="n">
        <x:v>5</x:v>
      </x:c>
      <x:c r="G73" t="str">
        <x:f>IF(COUNTA(C73:D73)&lt;2,"",SUM(IFERROR(INDEX('Player Handicap'!$E$2:$E$201,MATCH(C73,'Player Handicap'!$B$2:$B$201,0)),0),IFERROR(INDEX('Player Handicap'!$E$2:$E$201,MATCH(D73,'Player Handicap'!$B$2:$B$201,0)),0)))</x:f>
      </x:c>
      <x:c r="H73" t="str">
        <x:f>IF(COUNTA(E73:F73)&lt;2,"",SUM(IFERROR(INDEX('Player Handicap'!$E$2:$E$201,MATCH(E73,'Player Handicap'!$B$2:$B$201,0)),0),IFERROR(INDEX('Player Handicap'!$E$2:$E$201,MATCH(F73,'Player Handicap'!$B$2:$B$201,0)),0)))</x:f>
      </x:c>
      <x:c r="I73" t="str">
        <x:f>IF(OR(G73="",H73=""),"",ABS(G73-H73))</x:f>
      </x:c>
      <x:c r="J73" t="str">
        <x:f>IF(I73="","",MAX(0,100-I73*5))</x:f>
      </x:c>
      <x:c r="K73" t="str">
        <x:f>IF(I73="","",IF(G73&gt;H73,"Team A",IF(H73&gt;G73,"Team B","50/50")))</x:f>
      </x:c>
    </x:row>
    <x:row r="74">
      <x:c r="A74" t="n">
        <x:v>8</x:v>
      </x:c>
      <x:c r="B74" t="n">
        <x:v>6</x:v>
      </x:c>
      <x:c r="G74" t="str">
        <x:f>IF(COUNTA(C74:D74)&lt;2,"",SUM(IFERROR(INDEX('Player Handicap'!$E$2:$E$201,MATCH(C74,'Player Handicap'!$B$2:$B$201,0)),0),IFERROR(INDEX('Player Handicap'!$E$2:$E$201,MATCH(D74,'Player Handicap'!$B$2:$B$201,0)),0)))</x:f>
      </x:c>
      <x:c r="H74" t="str">
        <x:f>IF(COUNTA(E74:F74)&lt;2,"",SUM(IFERROR(INDEX('Player Handicap'!$E$2:$E$201,MATCH(E74,'Player Handicap'!$B$2:$B$201,0)),0),IFERROR(INDEX('Player Handicap'!$E$2:$E$201,MATCH(F74,'Player Handicap'!$B$2:$B$201,0)),0)))</x:f>
      </x:c>
      <x:c r="I74" t="str">
        <x:f>IF(OR(G74="",H74=""),"",ABS(G74-H74))</x:f>
      </x:c>
      <x:c r="J74" t="str">
        <x:f>IF(I74="","",MAX(0,100-I74*5))</x:f>
      </x:c>
      <x:c r="K74" t="str">
        <x:f>IF(I74="","",IF(G74&gt;H74,"Team A",IF(H74&gt;G74,"Team B","50/50")))</x:f>
      </x:c>
    </x:row>
    <x:row r="75">
      <x:c r="A75" t="n">
        <x:v>8</x:v>
      </x:c>
      <x:c r="B75" t="n">
        <x:v>7</x:v>
      </x:c>
      <x:c r="G75" t="str">
        <x:f>IF(COUNTA(C75:D75)&lt;2,"",SUM(IFERROR(INDEX('Player Handicap'!$E$2:$E$201,MATCH(C75,'Player Handicap'!$B$2:$B$201,0)),0),IFERROR(INDEX('Player Handicap'!$E$2:$E$201,MATCH(D75,'Player Handicap'!$B$2:$B$201,0)),0)))</x:f>
      </x:c>
      <x:c r="H75" t="str">
        <x:f>IF(COUNTA(E75:F75)&lt;2,"",SUM(IFERROR(INDEX('Player Handicap'!$E$2:$E$201,MATCH(E75,'Player Handicap'!$B$2:$B$201,0)),0),IFERROR(INDEX('Player Handicap'!$E$2:$E$201,MATCH(F75,'Player Handicap'!$B$2:$B$201,0)),0)))</x:f>
      </x:c>
      <x:c r="I75" t="str">
        <x:f>IF(OR(G75="",H75=""),"",ABS(G75-H75))</x:f>
      </x:c>
      <x:c r="J75" t="str">
        <x:f>IF(I75="","",MAX(0,100-I75*5))</x:f>
      </x:c>
      <x:c r="K75" t="str">
        <x:f>IF(I75="","",IF(G75&gt;H75,"Team A",IF(H75&gt;G75,"Team B","50/50")))</x:f>
      </x:c>
    </x:row>
    <x:row r="76">
      <x:c r="A76" t="n">
        <x:v>8</x:v>
      </x:c>
      <x:c r="B76" t="n">
        <x:v>8</x:v>
      </x:c>
      <x:c r="G76" t="str">
        <x:f>IF(COUNTA(C76:D76)&lt;2,"",SUM(IFERROR(INDEX('Player Handicap'!$E$2:$E$201,MATCH(C76,'Player Handicap'!$B$2:$B$201,0)),0),IFERROR(INDEX('Player Handicap'!$E$2:$E$201,MATCH(D76,'Player Handicap'!$B$2:$B$201,0)),0)))</x:f>
      </x:c>
      <x:c r="H76" t="str">
        <x:f>IF(COUNTA(E76:F76)&lt;2,"",SUM(IFERROR(INDEX('Player Handicap'!$E$2:$E$201,MATCH(E76,'Player Handicap'!$B$2:$B$201,0)),0),IFERROR(INDEX('Player Handicap'!$E$2:$E$201,MATCH(F76,'Player Handicap'!$B$2:$B$201,0)),0)))</x:f>
      </x:c>
      <x:c r="I76" t="str">
        <x:f>IF(OR(G76="",H76=""),"",ABS(G76-H76))</x:f>
      </x:c>
      <x:c r="J76" t="str">
        <x:f>IF(I76="","",MAX(0,100-I76*5))</x:f>
      </x:c>
      <x:c r="K76" t="str">
        <x:f>IF(I76="","",IF(G76&gt;H76,"Team A",IF(H76&gt;G76,"Team B","50/50")))</x:f>
      </x:c>
    </x:row>
  </x:sheetData>
  <x:mergeCells>
    <x:mergeCell ref="A1:L1"/>
  </x:mergeCells>
  <x:conditionalFormatting sqref="J13:J76">
    <x:cfRule type="colorScale" priority="1">
      <x:colorScale>
        <x:cfvo type="min"/>
        <x:cfvo type="percentile" val="50"/>
        <x:cfvo type="max"/>
        <x:color rgb="FFF4CCCC"/>
        <x:color rgb="FFFFF2CC"/>
        <x:color rgb="FFD9EAD3"/>
      </x:colorScale>
    </x:cfRule>
  </x:conditionalFormatting>
  <x:dataValidations count="267">
    <x:dataValidation type="list" allowBlank="0" showDropDown="0" showInputMessage="0" showErrorMessage="0" sqref="B5">
      <x:formula1>"Americano,Mexicano,King of the Court,Team League"</x:formula1>
    </x:dataValidation>
    <x:dataValidation type="list" allowBlank="0" showDropDown="0" showInputMessage="0" showErrorMessage="0" sqref="E4">
      <x:formula1>'Player Handicap'!$B$2:$B$201</x:formula1>
    </x:dataValidation>
    <x:dataValidation type="list" allowBlank="0" showDropDown="0" showInputMessage="0" showErrorMessage="0" sqref="E5">
      <x:formula1>'Player Handicap'!$B$2:$B$201</x:formula1>
    </x:dataValidation>
    <x:dataValidation type="list" allowBlank="0" showDropDown="0" showInputMessage="0" showErrorMessage="0" sqref="E6">
      <x:formula1>'Player Handicap'!$B$2:$B$201</x:formula1>
    </x:dataValidation>
    <x:dataValidation type="list" allowBlank="0" showDropDown="0" showInputMessage="0" showErrorMessage="0" sqref="E7">
      <x:formula1>'Player Handicap'!$B$2:$B$201</x:formula1>
    </x:dataValidation>
    <x:dataValidation type="list" allowBlank="0" showDropDown="0" showInputMessage="0" showErrorMessage="0" sqref="E8">
      <x:formula1>'Player Handicap'!$B$2:$B$201</x:formula1>
    </x:dataValidation>
    <x:dataValidation type="list" allowBlank="0" showDropDown="0" showInputMessage="0" showErrorMessage="0" sqref="E9">
      <x:formula1>'Player Handicap'!$B$2:$B$201</x:formula1>
    </x:dataValidation>
    <x:dataValidation type="list" allowBlank="0" showDropDown="0" showInputMessage="0" showErrorMessage="0" sqref="E10">
      <x:formula1>'Player Handicap'!$B$2:$B$201</x:formula1>
    </x:dataValidation>
    <x:dataValidation type="list" allowBlank="0" showDropDown="0" showInputMessage="0" showErrorMessage="0" sqref="E11">
      <x:formula1>'Player Handicap'!$B$2:$B$201</x:formula1>
    </x:dataValidation>
    <x:dataValidation type="list" allowBlank="0" showDropDown="0" showInputMessage="0" showErrorMessage="0" sqref="E12">
      <x:formula1>'Player Handicap'!$B$2:$B$201</x:formula1>
    </x:dataValidation>
    <x:dataValidation type="list" allowBlank="0" showDropDown="0" showInputMessage="0" showErrorMessage="0" sqref="E13">
      <x:formula1>$E$4:$E$35</x:formula1>
    </x:dataValidation>
    <x:dataValidation type="list" allowBlank="0" showDropDown="0" showInputMessage="0" showErrorMessage="0" sqref="E14">
      <x:formula1>$E$4:$E$35</x:formula1>
    </x:dataValidation>
    <x:dataValidation type="list" allowBlank="0" showDropDown="0" showInputMessage="0" showErrorMessage="0" sqref="E15">
      <x:formula1>$E$4:$E$35</x:formula1>
    </x:dataValidation>
    <x:dataValidation type="list" allowBlank="0" showDropDown="0" showInputMessage="0" showErrorMessage="0" sqref="E16">
      <x:formula1>$E$4:$E$35</x:formula1>
    </x:dataValidation>
    <x:dataValidation type="list" allowBlank="0" showDropDown="0" showInputMessage="0" showErrorMessage="0" sqref="E17">
      <x:formula1>$E$4:$E$35</x:formula1>
    </x:dataValidation>
    <x:dataValidation type="list" allowBlank="0" showDropDown="0" showInputMessage="0" showErrorMessage="0" sqref="E18">
      <x:formula1>$E$4:$E$35</x:formula1>
    </x:dataValidation>
    <x:dataValidation type="list" allowBlank="0" showDropDown="0" showInputMessage="0" showErrorMessage="0" sqref="E19">
      <x:formula1>$E$4:$E$35</x:formula1>
    </x:dataValidation>
    <x:dataValidation type="list" allowBlank="0" showDropDown="0" showInputMessage="0" showErrorMessage="0" sqref="E20">
      <x:formula1>$E$4:$E$35</x:formula1>
    </x:dataValidation>
    <x:dataValidation type="list" allowBlank="0" showDropDown="0" showInputMessage="0" showErrorMessage="0" sqref="E21">
      <x:formula1>$E$4:$E$35</x:formula1>
    </x:dataValidation>
    <x:dataValidation type="list" allowBlank="0" showDropDown="0" showInputMessage="0" showErrorMessage="0" sqref="E22">
      <x:formula1>$E$4:$E$35</x:formula1>
    </x:dataValidation>
    <x:dataValidation type="list" allowBlank="0" showDropDown="0" showInputMessage="0" showErrorMessage="0" sqref="E23">
      <x:formula1>$E$4:$E$35</x:formula1>
    </x:dataValidation>
    <x:dataValidation type="list" allowBlank="0" showDropDown="0" showInputMessage="0" showErrorMessage="0" sqref="E24">
      <x:formula1>$E$4:$E$35</x:formula1>
    </x:dataValidation>
    <x:dataValidation type="list" allowBlank="0" showDropDown="0" showInputMessage="0" showErrorMessage="0" sqref="E25">
      <x:formula1>$E$4:$E$35</x:formula1>
    </x:dataValidation>
    <x:dataValidation type="list" allowBlank="0" showDropDown="0" showInputMessage="0" showErrorMessage="0" sqref="E26">
      <x:formula1>$E$4:$E$35</x:formula1>
    </x:dataValidation>
    <x:dataValidation type="list" allowBlank="0" showDropDown="0" showInputMessage="0" showErrorMessage="0" sqref="E27">
      <x:formula1>$E$4:$E$35</x:formula1>
    </x:dataValidation>
    <x:dataValidation type="list" allowBlank="0" showDropDown="0" showInputMessage="0" showErrorMessage="0" sqref="E28">
      <x:formula1>$E$4:$E$35</x:formula1>
    </x:dataValidation>
    <x:dataValidation type="list" allowBlank="0" showDropDown="0" showInputMessage="0" showErrorMessage="0" sqref="E29">
      <x:formula1>$E$4:$E$35</x:formula1>
    </x:dataValidation>
    <x:dataValidation type="list" allowBlank="0" showDropDown="0" showInputMessage="0" showErrorMessage="0" sqref="E30">
      <x:formula1>$E$4:$E$35</x:formula1>
    </x:dataValidation>
    <x:dataValidation type="list" allowBlank="0" showDropDown="0" showInputMessage="0" showErrorMessage="0" sqref="E31">
      <x:formula1>$E$4:$E$35</x:formula1>
    </x:dataValidation>
    <x:dataValidation type="list" allowBlank="0" showDropDown="0" showInputMessage="0" showErrorMessage="0" sqref="E32">
      <x:formula1>$E$4:$E$35</x:formula1>
    </x:dataValidation>
    <x:dataValidation type="list" allowBlank="0" showDropDown="0" showInputMessage="0" showErrorMessage="0" sqref="E33">
      <x:formula1>$E$4:$E$35</x:formula1>
    </x:dataValidation>
    <x:dataValidation type="list" allowBlank="0" showDropDown="0" showInputMessage="0" showErrorMessage="0" sqref="E34">
      <x:formula1>$E$4:$E$35</x:formula1>
    </x:dataValidation>
    <x:dataValidation type="list" allowBlank="0" showDropDown="0" showInputMessage="0" showErrorMessage="0" sqref="E35">
      <x:formula1>$E$4:$E$35</x:formula1>
    </x:dataValidation>
    <x:dataValidation type="list" allowBlank="0" showDropDown="0" showInputMessage="0" showErrorMessage="0" sqref="C13">
      <x:formula1>$E$4:$E$35</x:formula1>
    </x:dataValidation>
    <x:dataValidation type="list" allowBlank="0" showDropDown="0" showInputMessage="0" showErrorMessage="0" sqref="D13">
      <x:formula1>$E$4:$E$35</x:formula1>
    </x:dataValidation>
    <x:dataValidation type="list" allowBlank="0" showDropDown="0" showInputMessage="0" showErrorMessage="0" sqref="F13">
      <x:formula1>$E$4:$E$35</x:formula1>
    </x:dataValidation>
    <x:dataValidation type="list" allowBlank="0" showDropDown="0" showInputMessage="0" showErrorMessage="0" sqref="C14">
      <x:formula1>$E$4:$E$35</x:formula1>
    </x:dataValidation>
    <x:dataValidation type="list" allowBlank="0" showDropDown="0" showInputMessage="0" showErrorMessage="0" sqref="D14">
      <x:formula1>$E$4:$E$35</x:formula1>
    </x:dataValidation>
    <x:dataValidation type="list" allowBlank="0" showDropDown="0" showInputMessage="0" showErrorMessage="0" sqref="F14">
      <x:formula1>$E$4:$E$35</x:formula1>
    </x:dataValidation>
    <x:dataValidation type="list" allowBlank="0" showDropDown="0" showInputMessage="0" showErrorMessage="0" sqref="C15">
      <x:formula1>$E$4:$E$35</x:formula1>
    </x:dataValidation>
    <x:dataValidation type="list" allowBlank="0" showDropDown="0" showInputMessage="0" showErrorMessage="0" sqref="D15">
      <x:formula1>$E$4:$E$35</x:formula1>
    </x:dataValidation>
    <x:dataValidation type="list" allowBlank="0" showDropDown="0" showInputMessage="0" showErrorMessage="0" sqref="F15">
      <x:formula1>$E$4:$E$35</x:formula1>
    </x:dataValidation>
    <x:dataValidation type="list" allowBlank="0" showDropDown="0" showInputMessage="0" showErrorMessage="0" sqref="C16">
      <x:formula1>$E$4:$E$35</x:formula1>
    </x:dataValidation>
    <x:dataValidation type="list" allowBlank="0" showDropDown="0" showInputMessage="0" showErrorMessage="0" sqref="D16">
      <x:formula1>$E$4:$E$35</x:formula1>
    </x:dataValidation>
    <x:dataValidation type="list" allowBlank="0" showDropDown="0" showInputMessage="0" showErrorMessage="0" sqref="F16">
      <x:formula1>$E$4:$E$35</x:formula1>
    </x:dataValidation>
    <x:dataValidation type="list" allowBlank="0" showDropDown="0" showInputMessage="0" showErrorMessage="0" sqref="C17">
      <x:formula1>$E$4:$E$35</x:formula1>
    </x:dataValidation>
    <x:dataValidation type="list" allowBlank="0" showDropDown="0" showInputMessage="0" showErrorMessage="0" sqref="D17">
      <x:formula1>$E$4:$E$35</x:formula1>
    </x:dataValidation>
    <x:dataValidation type="list" allowBlank="0" showDropDown="0" showInputMessage="0" showErrorMessage="0" sqref="F17">
      <x:formula1>$E$4:$E$35</x:formula1>
    </x:dataValidation>
    <x:dataValidation type="list" allowBlank="0" showDropDown="0" showInputMessage="0" showErrorMessage="0" sqref="C18">
      <x:formula1>$E$4:$E$35</x:formula1>
    </x:dataValidation>
    <x:dataValidation type="list" allowBlank="0" showDropDown="0" showInputMessage="0" showErrorMessage="0" sqref="D18">
      <x:formula1>$E$4:$E$35</x:formula1>
    </x:dataValidation>
    <x:dataValidation type="list" allowBlank="0" showDropDown="0" showInputMessage="0" showErrorMessage="0" sqref="F18">
      <x:formula1>$E$4:$E$35</x:formula1>
    </x:dataValidation>
    <x:dataValidation type="list" allowBlank="0" showDropDown="0" showInputMessage="0" showErrorMessage="0" sqref="C19">
      <x:formula1>$E$4:$E$35</x:formula1>
    </x:dataValidation>
    <x:dataValidation type="list" allowBlank="0" showDropDown="0" showInputMessage="0" showErrorMessage="0" sqref="D19">
      <x:formula1>$E$4:$E$35</x:formula1>
    </x:dataValidation>
    <x:dataValidation type="list" allowBlank="0" showDropDown="0" showInputMessage="0" showErrorMessage="0" sqref="F19">
      <x:formula1>$E$4:$E$35</x:formula1>
    </x:dataValidation>
    <x:dataValidation type="list" allowBlank="0" showDropDown="0" showInputMessage="0" showErrorMessage="0" sqref="C20">
      <x:formula1>$E$4:$E$35</x:formula1>
    </x:dataValidation>
    <x:dataValidation type="list" allowBlank="0" showDropDown="0" showInputMessage="0" showErrorMessage="0" sqref="D20">
      <x:formula1>$E$4:$E$35</x:formula1>
    </x:dataValidation>
    <x:dataValidation type="list" allowBlank="0" showDropDown="0" showInputMessage="0" showErrorMessage="0" sqref="F20">
      <x:formula1>$E$4:$E$35</x:formula1>
    </x:dataValidation>
    <x:dataValidation type="list" allowBlank="0" showDropDown="0" showInputMessage="0" showErrorMessage="0" sqref="C21">
      <x:formula1>$E$4:$E$35</x:formula1>
    </x:dataValidation>
    <x:dataValidation type="list" allowBlank="0" showDropDown="0" showInputMessage="0" showErrorMessage="0" sqref="D21">
      <x:formula1>$E$4:$E$35</x:formula1>
    </x:dataValidation>
    <x:dataValidation type="list" allowBlank="0" showDropDown="0" showInputMessage="0" showErrorMessage="0" sqref="F21">
      <x:formula1>$E$4:$E$35</x:formula1>
    </x:dataValidation>
    <x:dataValidation type="list" allowBlank="0" showDropDown="0" showInputMessage="0" showErrorMessage="0" sqref="C22">
      <x:formula1>$E$4:$E$35</x:formula1>
    </x:dataValidation>
    <x:dataValidation type="list" allowBlank="0" showDropDown="0" showInputMessage="0" showErrorMessage="0" sqref="D22">
      <x:formula1>$E$4:$E$35</x:formula1>
    </x:dataValidation>
    <x:dataValidation type="list" allowBlank="0" showDropDown="0" showInputMessage="0" showErrorMessage="0" sqref="F22">
      <x:formula1>$E$4:$E$35</x:formula1>
    </x:dataValidation>
    <x:dataValidation type="list" allowBlank="0" showDropDown="0" showInputMessage="0" showErrorMessage="0" sqref="C23">
      <x:formula1>$E$4:$E$35</x:formula1>
    </x:dataValidation>
    <x:dataValidation type="list" allowBlank="0" showDropDown="0" showInputMessage="0" showErrorMessage="0" sqref="D23">
      <x:formula1>$E$4:$E$35</x:formula1>
    </x:dataValidation>
    <x:dataValidation type="list" allowBlank="0" showDropDown="0" showInputMessage="0" showErrorMessage="0" sqref="F23">
      <x:formula1>$E$4:$E$35</x:formula1>
    </x:dataValidation>
    <x:dataValidation type="list" allowBlank="0" showDropDown="0" showInputMessage="0" showErrorMessage="0" sqref="C24">
      <x:formula1>$E$4:$E$35</x:formula1>
    </x:dataValidation>
    <x:dataValidation type="list" allowBlank="0" showDropDown="0" showInputMessage="0" showErrorMessage="0" sqref="D24">
      <x:formula1>$E$4:$E$35</x:formula1>
    </x:dataValidation>
    <x:dataValidation type="list" allowBlank="0" showDropDown="0" showInputMessage="0" showErrorMessage="0" sqref="F24">
      <x:formula1>$E$4:$E$35</x:formula1>
    </x:dataValidation>
    <x:dataValidation type="list" allowBlank="0" showDropDown="0" showInputMessage="0" showErrorMessage="0" sqref="C25">
      <x:formula1>$E$4:$E$35</x:formula1>
    </x:dataValidation>
    <x:dataValidation type="list" allowBlank="0" showDropDown="0" showInputMessage="0" showErrorMessage="0" sqref="D25">
      <x:formula1>$E$4:$E$35</x:formula1>
    </x:dataValidation>
    <x:dataValidation type="list" allowBlank="0" showDropDown="0" showInputMessage="0" showErrorMessage="0" sqref="F25">
      <x:formula1>$E$4:$E$35</x:formula1>
    </x:dataValidation>
    <x:dataValidation type="list" allowBlank="0" showDropDown="0" showInputMessage="0" showErrorMessage="0" sqref="C26">
      <x:formula1>$E$4:$E$35</x:formula1>
    </x:dataValidation>
    <x:dataValidation type="list" allowBlank="0" showDropDown="0" showInputMessage="0" showErrorMessage="0" sqref="D26">
      <x:formula1>$E$4:$E$35</x:formula1>
    </x:dataValidation>
    <x:dataValidation type="list" allowBlank="0" showDropDown="0" showInputMessage="0" showErrorMessage="0" sqref="F26">
      <x:formula1>$E$4:$E$35</x:formula1>
    </x:dataValidation>
    <x:dataValidation type="list" allowBlank="0" showDropDown="0" showInputMessage="0" showErrorMessage="0" sqref="C27">
      <x:formula1>$E$4:$E$35</x:formula1>
    </x:dataValidation>
    <x:dataValidation type="list" allowBlank="0" showDropDown="0" showInputMessage="0" showErrorMessage="0" sqref="D27">
      <x:formula1>$E$4:$E$35</x:formula1>
    </x:dataValidation>
    <x:dataValidation type="list" allowBlank="0" showDropDown="0" showInputMessage="0" showErrorMessage="0" sqref="F27">
      <x:formula1>$E$4:$E$35</x:formula1>
    </x:dataValidation>
    <x:dataValidation type="list" allowBlank="0" showDropDown="0" showInputMessage="0" showErrorMessage="0" sqref="C28">
      <x:formula1>$E$4:$E$35</x:formula1>
    </x:dataValidation>
    <x:dataValidation type="list" allowBlank="0" showDropDown="0" showInputMessage="0" showErrorMessage="0" sqref="D28">
      <x:formula1>$E$4:$E$35</x:formula1>
    </x:dataValidation>
    <x:dataValidation type="list" allowBlank="0" showDropDown="0" showInputMessage="0" showErrorMessage="0" sqref="F28">
      <x:formula1>$E$4:$E$35</x:formula1>
    </x:dataValidation>
    <x:dataValidation type="list" allowBlank="0" showDropDown="0" showInputMessage="0" showErrorMessage="0" sqref="C29">
      <x:formula1>$E$4:$E$35</x:formula1>
    </x:dataValidation>
    <x:dataValidation type="list" allowBlank="0" showDropDown="0" showInputMessage="0" showErrorMessage="0" sqref="D29">
      <x:formula1>$E$4:$E$35</x:formula1>
    </x:dataValidation>
    <x:dataValidation type="list" allowBlank="0" showDropDown="0" showInputMessage="0" showErrorMessage="0" sqref="F29">
      <x:formula1>$E$4:$E$35</x:formula1>
    </x:dataValidation>
    <x:dataValidation type="list" allowBlank="0" showDropDown="0" showInputMessage="0" showErrorMessage="0" sqref="C30">
      <x:formula1>$E$4:$E$35</x:formula1>
    </x:dataValidation>
    <x:dataValidation type="list" allowBlank="0" showDropDown="0" showInputMessage="0" showErrorMessage="0" sqref="D30">
      <x:formula1>$E$4:$E$35</x:formula1>
    </x:dataValidation>
    <x:dataValidation type="list" allowBlank="0" showDropDown="0" showInputMessage="0" showErrorMessage="0" sqref="F30">
      <x:formula1>$E$4:$E$35</x:formula1>
    </x:dataValidation>
    <x:dataValidation type="list" allowBlank="0" showDropDown="0" showInputMessage="0" showErrorMessage="0" sqref="C31">
      <x:formula1>$E$4:$E$35</x:formula1>
    </x:dataValidation>
    <x:dataValidation type="list" allowBlank="0" showDropDown="0" showInputMessage="0" showErrorMessage="0" sqref="D31">
      <x:formula1>$E$4:$E$35</x:formula1>
    </x:dataValidation>
    <x:dataValidation type="list" allowBlank="0" showDropDown="0" showInputMessage="0" showErrorMessage="0" sqref="F31">
      <x:formula1>$E$4:$E$35</x:formula1>
    </x:dataValidation>
    <x:dataValidation type="list" allowBlank="0" showDropDown="0" showInputMessage="0" showErrorMessage="0" sqref="C32">
      <x:formula1>$E$4:$E$35</x:formula1>
    </x:dataValidation>
    <x:dataValidation type="list" allowBlank="0" showDropDown="0" showInputMessage="0" showErrorMessage="0" sqref="D32">
      <x:formula1>$E$4:$E$35</x:formula1>
    </x:dataValidation>
    <x:dataValidation type="list" allowBlank="0" showDropDown="0" showInputMessage="0" showErrorMessage="0" sqref="F32">
      <x:formula1>$E$4:$E$35</x:formula1>
    </x:dataValidation>
    <x:dataValidation type="list" allowBlank="0" showDropDown="0" showInputMessage="0" showErrorMessage="0" sqref="C33">
      <x:formula1>$E$4:$E$35</x:formula1>
    </x:dataValidation>
    <x:dataValidation type="list" allowBlank="0" showDropDown="0" showInputMessage="0" showErrorMessage="0" sqref="D33">
      <x:formula1>$E$4:$E$35</x:formula1>
    </x:dataValidation>
    <x:dataValidation type="list" allowBlank="0" showDropDown="0" showInputMessage="0" showErrorMessage="0" sqref="F33">
      <x:formula1>$E$4:$E$35</x:formula1>
    </x:dataValidation>
    <x:dataValidation type="list" allowBlank="0" showDropDown="0" showInputMessage="0" showErrorMessage="0" sqref="C34">
      <x:formula1>$E$4:$E$35</x:formula1>
    </x:dataValidation>
    <x:dataValidation type="list" allowBlank="0" showDropDown="0" showInputMessage="0" showErrorMessage="0" sqref="D34">
      <x:formula1>$E$4:$E$35</x:formula1>
    </x:dataValidation>
    <x:dataValidation type="list" allowBlank="0" showDropDown="0" showInputMessage="0" showErrorMessage="0" sqref="F34">
      <x:formula1>$E$4:$E$35</x:formula1>
    </x:dataValidation>
    <x:dataValidation type="list" allowBlank="0" showDropDown="0" showInputMessage="0" showErrorMessage="0" sqref="C35">
      <x:formula1>$E$4:$E$35</x:formula1>
    </x:dataValidation>
    <x:dataValidation type="list" allowBlank="0" showDropDown="0" showInputMessage="0" showErrorMessage="0" sqref="D35">
      <x:formula1>$E$4:$E$35</x:formula1>
    </x:dataValidation>
    <x:dataValidation type="list" allowBlank="0" showDropDown="0" showInputMessage="0" showErrorMessage="0" sqref="F35">
      <x:formula1>$E$4:$E$35</x:formula1>
    </x:dataValidation>
    <x:dataValidation type="list" allowBlank="0" showDropDown="0" showInputMessage="0" showErrorMessage="0" sqref="C36">
      <x:formula1>$E$4:$E$35</x:formula1>
    </x:dataValidation>
    <x:dataValidation type="list" allowBlank="0" showDropDown="0" showInputMessage="0" showErrorMessage="0" sqref="D36">
      <x:formula1>$E$4:$E$35</x:formula1>
    </x:dataValidation>
    <x:dataValidation type="list" allowBlank="0" showDropDown="0" showInputMessage="0" showErrorMessage="0" sqref="E36">
      <x:formula1>$E$4:$E$35</x:formula1>
    </x:dataValidation>
    <x:dataValidation type="list" allowBlank="0" showDropDown="0" showInputMessage="0" showErrorMessage="0" sqref="F36">
      <x:formula1>$E$4:$E$35</x:formula1>
    </x:dataValidation>
    <x:dataValidation type="list" allowBlank="0" showDropDown="0" showInputMessage="0" showErrorMessage="0" sqref="C37">
      <x:formula1>$E$4:$E$35</x:formula1>
    </x:dataValidation>
    <x:dataValidation type="list" allowBlank="0" showDropDown="0" showInputMessage="0" showErrorMessage="0" sqref="D37">
      <x:formula1>$E$4:$E$35</x:formula1>
    </x:dataValidation>
    <x:dataValidation type="list" allowBlank="0" showDropDown="0" showInputMessage="0" showErrorMessage="0" sqref="E37">
      <x:formula1>$E$4:$E$35</x:formula1>
    </x:dataValidation>
    <x:dataValidation type="list" allowBlank="0" showDropDown="0" showInputMessage="0" showErrorMessage="0" sqref="F37">
      <x:formula1>$E$4:$E$35</x:formula1>
    </x:dataValidation>
    <x:dataValidation type="list" allowBlank="0" showDropDown="0" showInputMessage="0" showErrorMessage="0" sqref="C38">
      <x:formula1>$E$4:$E$35</x:formula1>
    </x:dataValidation>
    <x:dataValidation type="list" allowBlank="0" showDropDown="0" showInputMessage="0" showErrorMessage="0" sqref="D38">
      <x:formula1>$E$4:$E$35</x:formula1>
    </x:dataValidation>
    <x:dataValidation type="list" allowBlank="0" showDropDown="0" showInputMessage="0" showErrorMessage="0" sqref="E38">
      <x:formula1>$E$4:$E$35</x:formula1>
    </x:dataValidation>
    <x:dataValidation type="list" allowBlank="0" showDropDown="0" showInputMessage="0" showErrorMessage="0" sqref="F38">
      <x:formula1>$E$4:$E$35</x:formula1>
    </x:dataValidation>
    <x:dataValidation type="list" allowBlank="0" showDropDown="0" showInputMessage="0" showErrorMessage="0" sqref="C39">
      <x:formula1>$E$4:$E$35</x:formula1>
    </x:dataValidation>
    <x:dataValidation type="list" allowBlank="0" showDropDown="0" showInputMessage="0" showErrorMessage="0" sqref="D39">
      <x:formula1>$E$4:$E$35</x:formula1>
    </x:dataValidation>
    <x:dataValidation type="list" allowBlank="0" showDropDown="0" showInputMessage="0" showErrorMessage="0" sqref="E39">
      <x:formula1>$E$4:$E$35</x:formula1>
    </x:dataValidation>
    <x:dataValidation type="list" allowBlank="0" showDropDown="0" showInputMessage="0" showErrorMessage="0" sqref="F39">
      <x:formula1>$E$4:$E$35</x:formula1>
    </x:dataValidation>
    <x:dataValidation type="list" allowBlank="0" showDropDown="0" showInputMessage="0" showErrorMessage="0" sqref="C40">
      <x:formula1>$E$4:$E$35</x:formula1>
    </x:dataValidation>
    <x:dataValidation type="list" allowBlank="0" showDropDown="0" showInputMessage="0" showErrorMessage="0" sqref="D40">
      <x:formula1>$E$4:$E$35</x:formula1>
    </x:dataValidation>
    <x:dataValidation type="list" allowBlank="0" showDropDown="0" showInputMessage="0" showErrorMessage="0" sqref="E40">
      <x:formula1>$E$4:$E$35</x:formula1>
    </x:dataValidation>
    <x:dataValidation type="list" allowBlank="0" showDropDown="0" showInputMessage="0" showErrorMessage="0" sqref="F40">
      <x:formula1>$E$4:$E$35</x:formula1>
    </x:dataValidation>
    <x:dataValidation type="list" allowBlank="0" showDropDown="0" showInputMessage="0" showErrorMessage="0" sqref="C41">
      <x:formula1>$E$4:$E$35</x:formula1>
    </x:dataValidation>
    <x:dataValidation type="list" allowBlank="0" showDropDown="0" showInputMessage="0" showErrorMessage="0" sqref="D41">
      <x:formula1>$E$4:$E$35</x:formula1>
    </x:dataValidation>
    <x:dataValidation type="list" allowBlank="0" showDropDown="0" showInputMessage="0" showErrorMessage="0" sqref="E41">
      <x:formula1>$E$4:$E$35</x:formula1>
    </x:dataValidation>
    <x:dataValidation type="list" allowBlank="0" showDropDown="0" showInputMessage="0" showErrorMessage="0" sqref="F41">
      <x:formula1>$E$4:$E$35</x:formula1>
    </x:dataValidation>
    <x:dataValidation type="list" allowBlank="0" showDropDown="0" showInputMessage="0" showErrorMessage="0" sqref="C42">
      <x:formula1>$E$4:$E$35</x:formula1>
    </x:dataValidation>
    <x:dataValidation type="list" allowBlank="0" showDropDown="0" showInputMessage="0" showErrorMessage="0" sqref="D42">
      <x:formula1>$E$4:$E$35</x:formula1>
    </x:dataValidation>
    <x:dataValidation type="list" allowBlank="0" showDropDown="0" showInputMessage="0" showErrorMessage="0" sqref="E42">
      <x:formula1>$E$4:$E$35</x:formula1>
    </x:dataValidation>
    <x:dataValidation type="list" allowBlank="0" showDropDown="0" showInputMessage="0" showErrorMessage="0" sqref="F42">
      <x:formula1>$E$4:$E$35</x:formula1>
    </x:dataValidation>
    <x:dataValidation type="list" allowBlank="0" showDropDown="0" showInputMessage="0" showErrorMessage="0" sqref="C43">
      <x:formula1>$E$4:$E$35</x:formula1>
    </x:dataValidation>
    <x:dataValidation type="list" allowBlank="0" showDropDown="0" showInputMessage="0" showErrorMessage="0" sqref="D43">
      <x:formula1>$E$4:$E$35</x:formula1>
    </x:dataValidation>
    <x:dataValidation type="list" allowBlank="0" showDropDown="0" showInputMessage="0" showErrorMessage="0" sqref="E43">
      <x:formula1>$E$4:$E$35</x:formula1>
    </x:dataValidation>
    <x:dataValidation type="list" allowBlank="0" showDropDown="0" showInputMessage="0" showErrorMessage="0" sqref="F43">
      <x:formula1>$E$4:$E$35</x:formula1>
    </x:dataValidation>
    <x:dataValidation type="list" allowBlank="0" showDropDown="0" showInputMessage="0" showErrorMessage="0" sqref="C44">
      <x:formula1>$E$4:$E$35</x:formula1>
    </x:dataValidation>
    <x:dataValidation type="list" allowBlank="0" showDropDown="0" showInputMessage="0" showErrorMessage="0" sqref="D44">
      <x:formula1>$E$4:$E$35</x:formula1>
    </x:dataValidation>
    <x:dataValidation type="list" allowBlank="0" showDropDown="0" showInputMessage="0" showErrorMessage="0" sqref="E44">
      <x:formula1>$E$4:$E$35</x:formula1>
    </x:dataValidation>
    <x:dataValidation type="list" allowBlank="0" showDropDown="0" showInputMessage="0" showErrorMessage="0" sqref="F44">
      <x:formula1>$E$4:$E$35</x:formula1>
    </x:dataValidation>
    <x:dataValidation type="list" allowBlank="0" showDropDown="0" showInputMessage="0" showErrorMessage="0" sqref="C45">
      <x:formula1>$E$4:$E$35</x:formula1>
    </x:dataValidation>
    <x:dataValidation type="list" allowBlank="0" showDropDown="0" showInputMessage="0" showErrorMessage="0" sqref="D45">
      <x:formula1>$E$4:$E$35</x:formula1>
    </x:dataValidation>
    <x:dataValidation type="list" allowBlank="0" showDropDown="0" showInputMessage="0" showErrorMessage="0" sqref="E45">
      <x:formula1>$E$4:$E$35</x:formula1>
    </x:dataValidation>
    <x:dataValidation type="list" allowBlank="0" showDropDown="0" showInputMessage="0" showErrorMessage="0" sqref="F45">
      <x:formula1>$E$4:$E$35</x:formula1>
    </x:dataValidation>
    <x:dataValidation type="list" allowBlank="0" showDropDown="0" showInputMessage="0" showErrorMessage="0" sqref="C46">
      <x:formula1>$E$4:$E$35</x:formula1>
    </x:dataValidation>
    <x:dataValidation type="list" allowBlank="0" showDropDown="0" showInputMessage="0" showErrorMessage="0" sqref="D46">
      <x:formula1>$E$4:$E$35</x:formula1>
    </x:dataValidation>
    <x:dataValidation type="list" allowBlank="0" showDropDown="0" showInputMessage="0" showErrorMessage="0" sqref="E46">
      <x:formula1>$E$4:$E$35</x:formula1>
    </x:dataValidation>
    <x:dataValidation type="list" allowBlank="0" showDropDown="0" showInputMessage="0" showErrorMessage="0" sqref="F46">
      <x:formula1>$E$4:$E$35</x:formula1>
    </x:dataValidation>
    <x:dataValidation type="list" allowBlank="0" showDropDown="0" showInputMessage="0" showErrorMessage="0" sqref="C47">
      <x:formula1>$E$4:$E$35</x:formula1>
    </x:dataValidation>
    <x:dataValidation type="list" allowBlank="0" showDropDown="0" showInputMessage="0" showErrorMessage="0" sqref="D47">
      <x:formula1>$E$4:$E$35</x:formula1>
    </x:dataValidation>
    <x:dataValidation type="list" allowBlank="0" showDropDown="0" showInputMessage="0" showErrorMessage="0" sqref="E47">
      <x:formula1>$E$4:$E$35</x:formula1>
    </x:dataValidation>
    <x:dataValidation type="list" allowBlank="0" showDropDown="0" showInputMessage="0" showErrorMessage="0" sqref="F47">
      <x:formula1>$E$4:$E$35</x:formula1>
    </x:dataValidation>
    <x:dataValidation type="list" allowBlank="0" showDropDown="0" showInputMessage="0" showErrorMessage="0" sqref="C48">
      <x:formula1>$E$4:$E$35</x:formula1>
    </x:dataValidation>
    <x:dataValidation type="list" allowBlank="0" showDropDown="0" showInputMessage="0" showErrorMessage="0" sqref="D48">
      <x:formula1>$E$4:$E$35</x:formula1>
    </x:dataValidation>
    <x:dataValidation type="list" allowBlank="0" showDropDown="0" showInputMessage="0" showErrorMessage="0" sqref="E48">
      <x:formula1>$E$4:$E$35</x:formula1>
    </x:dataValidation>
    <x:dataValidation type="list" allowBlank="0" showDropDown="0" showInputMessage="0" showErrorMessage="0" sqref="F48">
      <x:formula1>$E$4:$E$35</x:formula1>
    </x:dataValidation>
    <x:dataValidation type="list" allowBlank="0" showDropDown="0" showInputMessage="0" showErrorMessage="0" sqref="C49">
      <x:formula1>$E$4:$E$35</x:formula1>
    </x:dataValidation>
    <x:dataValidation type="list" allowBlank="0" showDropDown="0" showInputMessage="0" showErrorMessage="0" sqref="D49">
      <x:formula1>$E$4:$E$35</x:formula1>
    </x:dataValidation>
    <x:dataValidation type="list" allowBlank="0" showDropDown="0" showInputMessage="0" showErrorMessage="0" sqref="E49">
      <x:formula1>$E$4:$E$35</x:formula1>
    </x:dataValidation>
    <x:dataValidation type="list" allowBlank="0" showDropDown="0" showInputMessage="0" showErrorMessage="0" sqref="F49">
      <x:formula1>$E$4:$E$35</x:formula1>
    </x:dataValidation>
    <x:dataValidation type="list" allowBlank="0" showDropDown="0" showInputMessage="0" showErrorMessage="0" sqref="C50">
      <x:formula1>$E$4:$E$35</x:formula1>
    </x:dataValidation>
    <x:dataValidation type="list" allowBlank="0" showDropDown="0" showInputMessage="0" showErrorMessage="0" sqref="D50">
      <x:formula1>$E$4:$E$35</x:formula1>
    </x:dataValidation>
    <x:dataValidation type="list" allowBlank="0" showDropDown="0" showInputMessage="0" showErrorMessage="0" sqref="E50">
      <x:formula1>$E$4:$E$35</x:formula1>
    </x:dataValidation>
    <x:dataValidation type="list" allowBlank="0" showDropDown="0" showInputMessage="0" showErrorMessage="0" sqref="F50">
      <x:formula1>$E$4:$E$35</x:formula1>
    </x:dataValidation>
    <x:dataValidation type="list" allowBlank="0" showDropDown="0" showInputMessage="0" showErrorMessage="0" sqref="C51">
      <x:formula1>$E$4:$E$35</x:formula1>
    </x:dataValidation>
    <x:dataValidation type="list" allowBlank="0" showDropDown="0" showInputMessage="0" showErrorMessage="0" sqref="D51">
      <x:formula1>$E$4:$E$35</x:formula1>
    </x:dataValidation>
    <x:dataValidation type="list" allowBlank="0" showDropDown="0" showInputMessage="0" showErrorMessage="0" sqref="E51">
      <x:formula1>$E$4:$E$35</x:formula1>
    </x:dataValidation>
    <x:dataValidation type="list" allowBlank="0" showDropDown="0" showInputMessage="0" showErrorMessage="0" sqref="F51">
      <x:formula1>$E$4:$E$35</x:formula1>
    </x:dataValidation>
    <x:dataValidation type="list" allowBlank="0" showDropDown="0" showInputMessage="0" showErrorMessage="0" sqref="C52">
      <x:formula1>$E$4:$E$35</x:formula1>
    </x:dataValidation>
    <x:dataValidation type="list" allowBlank="0" showDropDown="0" showInputMessage="0" showErrorMessage="0" sqref="D52">
      <x:formula1>$E$4:$E$35</x:formula1>
    </x:dataValidation>
    <x:dataValidation type="list" allowBlank="0" showDropDown="0" showInputMessage="0" showErrorMessage="0" sqref="E52">
      <x:formula1>$E$4:$E$35</x:formula1>
    </x:dataValidation>
    <x:dataValidation type="list" allowBlank="0" showDropDown="0" showInputMessage="0" showErrorMessage="0" sqref="F52">
      <x:formula1>$E$4:$E$35</x:formula1>
    </x:dataValidation>
    <x:dataValidation type="list" allowBlank="0" showDropDown="0" showInputMessage="0" showErrorMessage="0" sqref="C53">
      <x:formula1>$E$4:$E$35</x:formula1>
    </x:dataValidation>
    <x:dataValidation type="list" allowBlank="0" showDropDown="0" showInputMessage="0" showErrorMessage="0" sqref="D53">
      <x:formula1>$E$4:$E$35</x:formula1>
    </x:dataValidation>
    <x:dataValidation type="list" allowBlank="0" showDropDown="0" showInputMessage="0" showErrorMessage="0" sqref="E53">
      <x:formula1>$E$4:$E$35</x:formula1>
    </x:dataValidation>
    <x:dataValidation type="list" allowBlank="0" showDropDown="0" showInputMessage="0" showErrorMessage="0" sqref="F53">
      <x:formula1>$E$4:$E$35</x:formula1>
    </x:dataValidation>
    <x:dataValidation type="list" allowBlank="0" showDropDown="0" showInputMessage="0" showErrorMessage="0" sqref="C54">
      <x:formula1>$E$4:$E$35</x:formula1>
    </x:dataValidation>
    <x:dataValidation type="list" allowBlank="0" showDropDown="0" showInputMessage="0" showErrorMessage="0" sqref="D54">
      <x:formula1>$E$4:$E$35</x:formula1>
    </x:dataValidation>
    <x:dataValidation type="list" allowBlank="0" showDropDown="0" showInputMessage="0" showErrorMessage="0" sqref="E54">
      <x:formula1>$E$4:$E$35</x:formula1>
    </x:dataValidation>
    <x:dataValidation type="list" allowBlank="0" showDropDown="0" showInputMessage="0" showErrorMessage="0" sqref="F54">
      <x:formula1>$E$4:$E$35</x:formula1>
    </x:dataValidation>
    <x:dataValidation type="list" allowBlank="0" showDropDown="0" showInputMessage="0" showErrorMessage="0" sqref="C55">
      <x:formula1>$E$4:$E$35</x:formula1>
    </x:dataValidation>
    <x:dataValidation type="list" allowBlank="0" showDropDown="0" showInputMessage="0" showErrorMessage="0" sqref="D55">
      <x:formula1>$E$4:$E$35</x:formula1>
    </x:dataValidation>
    <x:dataValidation type="list" allowBlank="0" showDropDown="0" showInputMessage="0" showErrorMessage="0" sqref="E55">
      <x:formula1>$E$4:$E$35</x:formula1>
    </x:dataValidation>
    <x:dataValidation type="list" allowBlank="0" showDropDown="0" showInputMessage="0" showErrorMessage="0" sqref="F55">
      <x:formula1>$E$4:$E$35</x:formula1>
    </x:dataValidation>
    <x:dataValidation type="list" allowBlank="0" showDropDown="0" showInputMessage="0" showErrorMessage="0" sqref="C56">
      <x:formula1>$E$4:$E$35</x:formula1>
    </x:dataValidation>
    <x:dataValidation type="list" allowBlank="0" showDropDown="0" showInputMessage="0" showErrorMessage="0" sqref="D56">
      <x:formula1>$E$4:$E$35</x:formula1>
    </x:dataValidation>
    <x:dataValidation type="list" allowBlank="0" showDropDown="0" showInputMessage="0" showErrorMessage="0" sqref="E56">
      <x:formula1>$E$4:$E$35</x:formula1>
    </x:dataValidation>
    <x:dataValidation type="list" allowBlank="0" showDropDown="0" showInputMessage="0" showErrorMessage="0" sqref="F56">
      <x:formula1>$E$4:$E$35</x:formula1>
    </x:dataValidation>
    <x:dataValidation type="list" allowBlank="0" showDropDown="0" showInputMessage="0" showErrorMessage="0" sqref="C57">
      <x:formula1>$E$4:$E$35</x:formula1>
    </x:dataValidation>
    <x:dataValidation type="list" allowBlank="0" showDropDown="0" showInputMessage="0" showErrorMessage="0" sqref="D57">
      <x:formula1>$E$4:$E$35</x:formula1>
    </x:dataValidation>
    <x:dataValidation type="list" allowBlank="0" showDropDown="0" showInputMessage="0" showErrorMessage="0" sqref="E57">
      <x:formula1>$E$4:$E$35</x:formula1>
    </x:dataValidation>
    <x:dataValidation type="list" allowBlank="0" showDropDown="0" showInputMessage="0" showErrorMessage="0" sqref="F57">
      <x:formula1>$E$4:$E$35</x:formula1>
    </x:dataValidation>
    <x:dataValidation type="list" allowBlank="0" showDropDown="0" showInputMessage="0" showErrorMessage="0" sqref="C58">
      <x:formula1>$E$4:$E$35</x:formula1>
    </x:dataValidation>
    <x:dataValidation type="list" allowBlank="0" showDropDown="0" showInputMessage="0" showErrorMessage="0" sqref="D58">
      <x:formula1>$E$4:$E$35</x:formula1>
    </x:dataValidation>
    <x:dataValidation type="list" allowBlank="0" showDropDown="0" showInputMessage="0" showErrorMessage="0" sqref="E58">
      <x:formula1>$E$4:$E$35</x:formula1>
    </x:dataValidation>
    <x:dataValidation type="list" allowBlank="0" showDropDown="0" showInputMessage="0" showErrorMessage="0" sqref="F58">
      <x:formula1>$E$4:$E$35</x:formula1>
    </x:dataValidation>
    <x:dataValidation type="list" allowBlank="0" showDropDown="0" showInputMessage="0" showErrorMessage="0" sqref="C59">
      <x:formula1>$E$4:$E$35</x:formula1>
    </x:dataValidation>
    <x:dataValidation type="list" allowBlank="0" showDropDown="0" showInputMessage="0" showErrorMessage="0" sqref="D59">
      <x:formula1>$E$4:$E$35</x:formula1>
    </x:dataValidation>
    <x:dataValidation type="list" allowBlank="0" showDropDown="0" showInputMessage="0" showErrorMessage="0" sqref="E59">
      <x:formula1>$E$4:$E$35</x:formula1>
    </x:dataValidation>
    <x:dataValidation type="list" allowBlank="0" showDropDown="0" showInputMessage="0" showErrorMessage="0" sqref="F59">
      <x:formula1>$E$4:$E$35</x:formula1>
    </x:dataValidation>
    <x:dataValidation type="list" allowBlank="0" showDropDown="0" showInputMessage="0" showErrorMessage="0" sqref="C60">
      <x:formula1>$E$4:$E$35</x:formula1>
    </x:dataValidation>
    <x:dataValidation type="list" allowBlank="0" showDropDown="0" showInputMessage="0" showErrorMessage="0" sqref="D60">
      <x:formula1>$E$4:$E$35</x:formula1>
    </x:dataValidation>
    <x:dataValidation type="list" allowBlank="0" showDropDown="0" showInputMessage="0" showErrorMessage="0" sqref="E60">
      <x:formula1>$E$4:$E$35</x:formula1>
    </x:dataValidation>
    <x:dataValidation type="list" allowBlank="0" showDropDown="0" showInputMessage="0" showErrorMessage="0" sqref="F60">
      <x:formula1>$E$4:$E$35</x:formula1>
    </x:dataValidation>
    <x:dataValidation type="list" allowBlank="0" showDropDown="0" showInputMessage="0" showErrorMessage="0" sqref="C61">
      <x:formula1>$E$4:$E$35</x:formula1>
    </x:dataValidation>
    <x:dataValidation type="list" allowBlank="0" showDropDown="0" showInputMessage="0" showErrorMessage="0" sqref="D61">
      <x:formula1>$E$4:$E$35</x:formula1>
    </x:dataValidation>
    <x:dataValidation type="list" allowBlank="0" showDropDown="0" showInputMessage="0" showErrorMessage="0" sqref="E61">
      <x:formula1>$E$4:$E$35</x:formula1>
    </x:dataValidation>
    <x:dataValidation type="list" allowBlank="0" showDropDown="0" showInputMessage="0" showErrorMessage="0" sqref="F61">
      <x:formula1>$E$4:$E$35</x:formula1>
    </x:dataValidation>
    <x:dataValidation type="list" allowBlank="0" showDropDown="0" showInputMessage="0" showErrorMessage="0" sqref="C62">
      <x:formula1>$E$4:$E$35</x:formula1>
    </x:dataValidation>
    <x:dataValidation type="list" allowBlank="0" showDropDown="0" showInputMessage="0" showErrorMessage="0" sqref="D62">
      <x:formula1>$E$4:$E$35</x:formula1>
    </x:dataValidation>
    <x:dataValidation type="list" allowBlank="0" showDropDown="0" showInputMessage="0" showErrorMessage="0" sqref="E62">
      <x:formula1>$E$4:$E$35</x:formula1>
    </x:dataValidation>
    <x:dataValidation type="list" allowBlank="0" showDropDown="0" showInputMessage="0" showErrorMessage="0" sqref="F62">
      <x:formula1>$E$4:$E$35</x:formula1>
    </x:dataValidation>
    <x:dataValidation type="list" allowBlank="0" showDropDown="0" showInputMessage="0" showErrorMessage="0" sqref="C63">
      <x:formula1>$E$4:$E$35</x:formula1>
    </x:dataValidation>
    <x:dataValidation type="list" allowBlank="0" showDropDown="0" showInputMessage="0" showErrorMessage="0" sqref="D63">
      <x:formula1>$E$4:$E$35</x:formula1>
    </x:dataValidation>
    <x:dataValidation type="list" allowBlank="0" showDropDown="0" showInputMessage="0" showErrorMessage="0" sqref="E63">
      <x:formula1>$E$4:$E$35</x:formula1>
    </x:dataValidation>
    <x:dataValidation type="list" allowBlank="0" showDropDown="0" showInputMessage="0" showErrorMessage="0" sqref="F63">
      <x:formula1>$E$4:$E$35</x:formula1>
    </x:dataValidation>
    <x:dataValidation type="list" allowBlank="0" showDropDown="0" showInputMessage="0" showErrorMessage="0" sqref="C64">
      <x:formula1>$E$4:$E$35</x:formula1>
    </x:dataValidation>
    <x:dataValidation type="list" allowBlank="0" showDropDown="0" showInputMessage="0" showErrorMessage="0" sqref="D64">
      <x:formula1>$E$4:$E$35</x:formula1>
    </x:dataValidation>
    <x:dataValidation type="list" allowBlank="0" showDropDown="0" showInputMessage="0" showErrorMessage="0" sqref="E64">
      <x:formula1>$E$4:$E$35</x:formula1>
    </x:dataValidation>
    <x:dataValidation type="list" allowBlank="0" showDropDown="0" showInputMessage="0" showErrorMessage="0" sqref="F64">
      <x:formula1>$E$4:$E$35</x:formula1>
    </x:dataValidation>
    <x:dataValidation type="list" allowBlank="0" showDropDown="0" showInputMessage="0" showErrorMessage="0" sqref="C65">
      <x:formula1>$E$4:$E$35</x:formula1>
    </x:dataValidation>
    <x:dataValidation type="list" allowBlank="0" showDropDown="0" showInputMessage="0" showErrorMessage="0" sqref="D65">
      <x:formula1>$E$4:$E$35</x:formula1>
    </x:dataValidation>
    <x:dataValidation type="list" allowBlank="0" showDropDown="0" showInputMessage="0" showErrorMessage="0" sqref="E65">
      <x:formula1>$E$4:$E$35</x:formula1>
    </x:dataValidation>
    <x:dataValidation type="list" allowBlank="0" showDropDown="0" showInputMessage="0" showErrorMessage="0" sqref="F65">
      <x:formula1>$E$4:$E$35</x:formula1>
    </x:dataValidation>
    <x:dataValidation type="list" allowBlank="0" showDropDown="0" showInputMessage="0" showErrorMessage="0" sqref="C66">
      <x:formula1>$E$4:$E$35</x:formula1>
    </x:dataValidation>
    <x:dataValidation type="list" allowBlank="0" showDropDown="0" showInputMessage="0" showErrorMessage="0" sqref="D66">
      <x:formula1>$E$4:$E$35</x:formula1>
    </x:dataValidation>
    <x:dataValidation type="list" allowBlank="0" showDropDown="0" showInputMessage="0" showErrorMessage="0" sqref="E66">
      <x:formula1>$E$4:$E$35</x:formula1>
    </x:dataValidation>
    <x:dataValidation type="list" allowBlank="0" showDropDown="0" showInputMessage="0" showErrorMessage="0" sqref="F66">
      <x:formula1>$E$4:$E$35</x:formula1>
    </x:dataValidation>
    <x:dataValidation type="list" allowBlank="0" showDropDown="0" showInputMessage="0" showErrorMessage="0" sqref="C67">
      <x:formula1>$E$4:$E$35</x:formula1>
    </x:dataValidation>
    <x:dataValidation type="list" allowBlank="0" showDropDown="0" showInputMessage="0" showErrorMessage="0" sqref="D67">
      <x:formula1>$E$4:$E$35</x:formula1>
    </x:dataValidation>
    <x:dataValidation type="list" allowBlank="0" showDropDown="0" showInputMessage="0" showErrorMessage="0" sqref="E67">
      <x:formula1>$E$4:$E$35</x:formula1>
    </x:dataValidation>
    <x:dataValidation type="list" allowBlank="0" showDropDown="0" showInputMessage="0" showErrorMessage="0" sqref="F67">
      <x:formula1>$E$4:$E$35</x:formula1>
    </x:dataValidation>
    <x:dataValidation type="list" allowBlank="0" showDropDown="0" showInputMessage="0" showErrorMessage="0" sqref="C68">
      <x:formula1>$E$4:$E$35</x:formula1>
    </x:dataValidation>
    <x:dataValidation type="list" allowBlank="0" showDropDown="0" showInputMessage="0" showErrorMessage="0" sqref="D68">
      <x:formula1>$E$4:$E$35</x:formula1>
    </x:dataValidation>
    <x:dataValidation type="list" allowBlank="0" showDropDown="0" showInputMessage="0" showErrorMessage="0" sqref="E68">
      <x:formula1>$E$4:$E$35</x:formula1>
    </x:dataValidation>
    <x:dataValidation type="list" allowBlank="0" showDropDown="0" showInputMessage="0" showErrorMessage="0" sqref="F68">
      <x:formula1>$E$4:$E$35</x:formula1>
    </x:dataValidation>
    <x:dataValidation type="list" allowBlank="0" showDropDown="0" showInputMessage="0" showErrorMessage="0" sqref="C69">
      <x:formula1>$E$4:$E$35</x:formula1>
    </x:dataValidation>
    <x:dataValidation type="list" allowBlank="0" showDropDown="0" showInputMessage="0" showErrorMessage="0" sqref="D69">
      <x:formula1>$E$4:$E$35</x:formula1>
    </x:dataValidation>
    <x:dataValidation type="list" allowBlank="0" showDropDown="0" showInputMessage="0" showErrorMessage="0" sqref="E69">
      <x:formula1>$E$4:$E$35</x:formula1>
    </x:dataValidation>
    <x:dataValidation type="list" allowBlank="0" showDropDown="0" showInputMessage="0" showErrorMessage="0" sqref="F69">
      <x:formula1>$E$4:$E$35</x:formula1>
    </x:dataValidation>
    <x:dataValidation type="list" allowBlank="0" showDropDown="0" showInputMessage="0" showErrorMessage="0" sqref="C70">
      <x:formula1>$E$4:$E$35</x:formula1>
    </x:dataValidation>
    <x:dataValidation type="list" allowBlank="0" showDropDown="0" showInputMessage="0" showErrorMessage="0" sqref="D70">
      <x:formula1>$E$4:$E$35</x:formula1>
    </x:dataValidation>
    <x:dataValidation type="list" allowBlank="0" showDropDown="0" showInputMessage="0" showErrorMessage="0" sqref="E70">
      <x:formula1>$E$4:$E$35</x:formula1>
    </x:dataValidation>
    <x:dataValidation type="list" allowBlank="0" showDropDown="0" showInputMessage="0" showErrorMessage="0" sqref="F70">
      <x:formula1>$E$4:$E$35</x:formula1>
    </x:dataValidation>
    <x:dataValidation type="list" allowBlank="0" showDropDown="0" showInputMessage="0" showErrorMessage="0" sqref="C71">
      <x:formula1>$E$4:$E$35</x:formula1>
    </x:dataValidation>
    <x:dataValidation type="list" allowBlank="0" showDropDown="0" showInputMessage="0" showErrorMessage="0" sqref="D71">
      <x:formula1>$E$4:$E$35</x:formula1>
    </x:dataValidation>
    <x:dataValidation type="list" allowBlank="0" showDropDown="0" showInputMessage="0" showErrorMessage="0" sqref="E71">
      <x:formula1>$E$4:$E$35</x:formula1>
    </x:dataValidation>
    <x:dataValidation type="list" allowBlank="0" showDropDown="0" showInputMessage="0" showErrorMessage="0" sqref="F71">
      <x:formula1>$E$4:$E$35</x:formula1>
    </x:dataValidation>
    <x:dataValidation type="list" allowBlank="0" showDropDown="0" showInputMessage="0" showErrorMessage="0" sqref="C72">
      <x:formula1>$E$4:$E$35</x:formula1>
    </x:dataValidation>
    <x:dataValidation type="list" allowBlank="0" showDropDown="0" showInputMessage="0" showErrorMessage="0" sqref="D72">
      <x:formula1>$E$4:$E$35</x:formula1>
    </x:dataValidation>
    <x:dataValidation type="list" allowBlank="0" showDropDown="0" showInputMessage="0" showErrorMessage="0" sqref="E72">
      <x:formula1>$E$4:$E$35</x:formula1>
    </x:dataValidation>
    <x:dataValidation type="list" allowBlank="0" showDropDown="0" showInputMessage="0" showErrorMessage="0" sqref="F72">
      <x:formula1>$E$4:$E$35</x:formula1>
    </x:dataValidation>
    <x:dataValidation type="list" allowBlank="0" showDropDown="0" showInputMessage="0" showErrorMessage="0" sqref="C73">
      <x:formula1>$E$4:$E$35</x:formula1>
    </x:dataValidation>
    <x:dataValidation type="list" allowBlank="0" showDropDown="0" showInputMessage="0" showErrorMessage="0" sqref="D73">
      <x:formula1>$E$4:$E$35</x:formula1>
    </x:dataValidation>
    <x:dataValidation type="list" allowBlank="0" showDropDown="0" showInputMessage="0" showErrorMessage="0" sqref="E73">
      <x:formula1>$E$4:$E$35</x:formula1>
    </x:dataValidation>
    <x:dataValidation type="list" allowBlank="0" showDropDown="0" showInputMessage="0" showErrorMessage="0" sqref="F73">
      <x:formula1>$E$4:$E$35</x:formula1>
    </x:dataValidation>
    <x:dataValidation type="list" allowBlank="0" showDropDown="0" showInputMessage="0" showErrorMessage="0" sqref="C74">
      <x:formula1>$E$4:$E$35</x:formula1>
    </x:dataValidation>
    <x:dataValidation type="list" allowBlank="0" showDropDown="0" showInputMessage="0" showErrorMessage="0" sqref="D74">
      <x:formula1>$E$4:$E$35</x:formula1>
    </x:dataValidation>
    <x:dataValidation type="list" allowBlank="0" showDropDown="0" showInputMessage="0" showErrorMessage="0" sqref="E74">
      <x:formula1>$E$4:$E$35</x:formula1>
    </x:dataValidation>
    <x:dataValidation type="list" allowBlank="0" showDropDown="0" showInputMessage="0" showErrorMessage="0" sqref="F74">
      <x:formula1>$E$4:$E$35</x:formula1>
    </x:dataValidation>
    <x:dataValidation type="list" allowBlank="0" showDropDown="0" showInputMessage="0" showErrorMessage="0" sqref="C75">
      <x:formula1>$E$4:$E$35</x:formula1>
    </x:dataValidation>
    <x:dataValidation type="list" allowBlank="0" showDropDown="0" showInputMessage="0" showErrorMessage="0" sqref="D75">
      <x:formula1>$E$4:$E$35</x:formula1>
    </x:dataValidation>
    <x:dataValidation type="list" allowBlank="0" showDropDown="0" showInputMessage="0" showErrorMessage="0" sqref="E75">
      <x:formula1>$E$4:$E$35</x:formula1>
    </x:dataValidation>
    <x:dataValidation type="list" allowBlank="0" showDropDown="0" showInputMessage="0" showErrorMessage="0" sqref="F75">
      <x:formula1>$E$4:$E$35</x:formula1>
    </x:dataValidation>
    <x:dataValidation type="list" allowBlank="0" showDropDown="0" showInputMessage="0" showErrorMessage="0" sqref="C76">
      <x:formula1>$E$4:$E$35</x:formula1>
    </x:dataValidation>
    <x:dataValidation type="list" allowBlank="0" showDropDown="0" showInputMessage="0" showErrorMessage="0" sqref="D76">
      <x:formula1>$E$4:$E$35</x:formula1>
    </x:dataValidation>
    <x:dataValidation type="list" allowBlank="0" showDropDown="0" showInputMessage="0" showErrorMessage="0" sqref="E76">
      <x:formula1>$E$4:$E$35</x:formula1>
    </x:dataValidation>
    <x:dataValidation type="list" allowBlank="0" showDropDown="0" showInputMessage="0" showErrorMessage="0" sqref="F76">
      <x:formula1>$E$4:$E$35</x:formula1>
    </x:dataValidation>
    <x:dataValidation type="list" allowBlank="0" showDropDown="0" showInputMessage="0" showErrorMessage="0" sqref="L13:L76">
      <x:formula1>"Not Played,Team A Win,Team B Win,Draw,Cancelled"</x:formula1>
    </x:dataValidation>
  </x:dataValidation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7" style="125" customWidth="1"/>
    <x:col min="2" max="2" width="18" style="125" customWidth="1"/>
    <x:col min="3" max="3" width="12" style="125" customWidth="1"/>
    <x:col min="4" max="4" width="15" style="125" customWidth="1"/>
    <x:col min="5" max="5" width="12" style="125" customWidth="1"/>
    <x:col min="6" max="6" width="8" style="125" customWidth="1"/>
    <x:col min="7" max="7" width="13" style="125" customWidth="1"/>
    <x:col min="8" max="8" width="13" style="125" customWidth="1"/>
    <x:col min="9" max="9" width="18" style="125" customWidth="1"/>
    <x:col min="10" max="10" width="9" style="125" customWidth="1"/>
  </x:cols>
  <x:sheetData>
    <x:row r="1">
      <x:c r="A1" s="76" t="inlineStr">
        <x:is>
          <x:t xml:space="preserve">FLPR Stage 6 — Handicap &amp; Tournament Management v1.0</x:t>
        </x:is>
      </x:c>
      <x:c r="B1" s="1" t="n"/>
      <x:c r="C1" s="1" t="n"/>
      <x:c r="D1" s="1" t="n"/>
      <x:c r="E1" s="1" t="n"/>
      <x:c r="F1" s="1" t="n"/>
      <x:c r="G1" s="1" t="n"/>
      <x:c r="H1" s="1" t="n"/>
      <x:c r="I1" s="1" t="n"/>
      <x:c r="J1" s="1" t="n"/>
    </x:row>
    <x:row r="3">
      <x:c r="A3" s="60" t="inlineStr">
        <x:is>
          <x:t xml:space="preserve">KPI</x:t>
        </x:is>
      </x:c>
      <x:c r="B3" s="60" t="inlineStr">
        <x:is>
          <x:t xml:space="preserve">Value</x:t>
        </x:is>
      </x:c>
      <x:c r="D3" s="60" t="inlineStr">
        <x:is>
          <x:t xml:space="preserve">Handicap</x:t>
        </x:is>
      </x:c>
      <x:c r="E3" s="60" t="inlineStr">
        <x:is>
          <x:t xml:space="preserve">Count</x:t>
        </x:is>
      </x:c>
      <x:c r="F3" s="60" t="inlineStr">
        <x:is>
          <x:t xml:space="preserve">Class</x:t>
        </x:is>
      </x:c>
      <x:c r="G3" s="60" t="inlineStr">
        <x:is>
          <x:t xml:space="preserve">Min Rating</x:t>
        </x:is>
      </x:c>
      <x:c r="H3" s="60" t="inlineStr">
        <x:is>
          <x:t xml:space="preserve">Max Rating</x:t>
        </x:is>
      </x:c>
    </x:row>
    <x:row r="4">
      <x:c r="A4" t="inlineStr">
        <x:is>
          <x:t xml:space="preserve">Registered Capacity</x:t>
        </x:is>
      </x:c>
      <x:c r="B4" t="n">
        <x:v>200</x:v>
      </x:c>
      <x:c r="D4" t="n">
        <x:v>4</x:v>
      </x:c>
      <x:c r="E4" t="n">
        <x:f>COUNTIFS('Player Handicap'!$B$2:$B$201,"&lt;&gt;",'Player Handicap'!$K$2:$K$201,D4)</x:f>
        <x:v>0</x:v>
      </x:c>
      <x:c r="F4" t="str">
        <x:f>INDEX('Handicap Settings'!$D$19:$D$27,MATCH(D4,'Handicap Settings'!$C$19:$C$27,0))</x:f>
        <x:v>Elite+</x:v>
      </x:c>
      <x:c r="G4" t="n">
        <x:f>INDEX('Handicap Settings'!$A$19:$A$27,MATCH(D4,'Handicap Settings'!$C$19:$C$27,0))</x:f>
        <x:v>75</x:v>
      </x:c>
      <x:c r="H4" t="n">
        <x:f>INDEX('Handicap Settings'!$B$19:$B$27,MATCH(D4,'Handicap Settings'!$C$19:$C$27,0))</x:f>
        <x:v>100</x:v>
      </x:c>
    </x:row>
    <x:row r="5">
      <x:c r="A5" t="inlineStr">
        <x:is>
          <x:t xml:space="preserve">Current Rated Players</x:t>
        </x:is>
      </x:c>
      <x:c r="B5" t="n">
        <x:f>COUNTIF('Player Handicap'!B2:B201,"&lt;&gt;")</x:f>
        <x:v>20</x:v>
      </x:c>
      <x:c r="D5" t="n">
        <x:v>3</x:v>
      </x:c>
      <x:c r="E5" t="n">
        <x:f>COUNTIFS('Player Handicap'!$B$2:$B$201,"&lt;&gt;",'Player Handicap'!$K$2:$K$201,D5)</x:f>
        <x:v>1</x:v>
      </x:c>
      <x:c r="F5" t="str">
        <x:f>INDEX('Handicap Settings'!$D$19:$D$27,MATCH(D5,'Handicap Settings'!$C$19:$C$27,0))</x:f>
        <x:v>Elite</x:v>
      </x:c>
      <x:c r="G5" t="n">
        <x:f>INDEX('Handicap Settings'!$A$19:$A$27,MATCH(D5,'Handicap Settings'!$C$19:$C$27,0))</x:f>
        <x:v>70</x:v>
      </x:c>
      <x:c r="H5" t="n">
        <x:f>INDEX('Handicap Settings'!$B$19:$B$27,MATCH(D5,'Handicap Settings'!$C$19:$C$27,0))</x:f>
        <x:v>74.999</x:v>
      </x:c>
    </x:row>
    <x:row r="6">
      <x:c r="A6" t="inlineStr">
        <x:is>
          <x:t xml:space="preserve">Active Players</x:t>
        </x:is>
      </x:c>
      <x:c r="B6" t="n">
        <x:f>COUNTIF('Player Handicap'!B2:B201,"&lt;&gt;")-COUNTIF('Player Handicap'!N2:N201,FALSE)</x:f>
        <x:v>20</x:v>
      </x:c>
      <x:c r="D6" t="n">
        <x:v>2</x:v>
      </x:c>
      <x:c r="E6" t="n">
        <x:f>COUNTIFS('Player Handicap'!$B$2:$B$201,"&lt;&gt;",'Player Handicap'!$K$2:$K$201,D6)</x:f>
        <x:v>0</x:v>
      </x:c>
      <x:c r="F6" t="str">
        <x:f>INDEX('Handicap Settings'!$D$19:$D$27,MATCH(D6,'Handicap Settings'!$C$19:$C$27,0))</x:f>
        <x:v>A+</x:v>
      </x:c>
      <x:c r="G6" t="n">
        <x:f>INDEX('Handicap Settings'!$A$19:$A$27,MATCH(D6,'Handicap Settings'!$C$19:$C$27,0))</x:f>
        <x:v>65</x:v>
      </x:c>
      <x:c r="H6" t="n">
        <x:f>INDEX('Handicap Settings'!$B$19:$B$27,MATCH(D6,'Handicap Settings'!$C$19:$C$27,0))</x:f>
        <x:v>69.999</x:v>
      </x:c>
    </x:row>
    <x:row r="7">
      <x:c r="A7" t="inlineStr">
        <x:is>
          <x:t xml:space="preserve">Supported Formats</x:t>
        </x:is>
      </x:c>
      <x:c r="B7" t="n">
        <x:v>4</x:v>
      </x:c>
      <x:c r="D7" t="n">
        <x:v>1</x:v>
      </x:c>
      <x:c r="E7" t="n">
        <x:f>COUNTIFS('Player Handicap'!$B$2:$B$201,"&lt;&gt;",'Player Handicap'!$K$2:$K$201,D7)</x:f>
        <x:v>1</x:v>
      </x:c>
      <x:c r="F7" t="str">
        <x:f>INDEX('Handicap Settings'!$D$19:$D$27,MATCH(D7,'Handicap Settings'!$C$19:$C$27,0))</x:f>
        <x:v>A</x:v>
      </x:c>
      <x:c r="G7" t="n">
        <x:f>INDEX('Handicap Settings'!$A$19:$A$27,MATCH(D7,'Handicap Settings'!$C$19:$C$27,0))</x:f>
        <x:v>60</x:v>
      </x:c>
      <x:c r="H7" t="n">
        <x:f>INDEX('Handicap Settings'!$B$19:$B$27,MATCH(D7,'Handicap Settings'!$C$19:$C$27,0))</x:f>
        <x:v>64.999</x:v>
      </x:c>
    </x:row>
    <x:row r="8">
      <x:c r="A8" t="inlineStr">
        <x:is>
          <x:t xml:space="preserve">Default Format</x:t>
        </x:is>
      </x:c>
      <x:c r="B8" t="inlineStr">
        <x:is>
          <x:t xml:space="preserve">Weekly Americano</x:t>
        </x:is>
      </x:c>
      <x:c r="D8" t="n">
        <x:v>0</x:v>
      </x:c>
      <x:c r="E8" t="n">
        <x:f>COUNTIFS('Player Handicap'!$B$2:$B$201,"&lt;&gt;",'Player Handicap'!$K$2:$K$201,D8)</x:f>
        <x:v>3</x:v>
      </x:c>
      <x:c r="F8" t="str">
        <x:f>INDEX('Handicap Settings'!$D$19:$D$27,MATCH(D8,'Handicap Settings'!$C$19:$C$27,0))</x:f>
        <x:v>B+</x:v>
      </x:c>
      <x:c r="G8" t="n">
        <x:f>INDEX('Handicap Settings'!$A$19:$A$27,MATCH(D8,'Handicap Settings'!$C$19:$C$27,0))</x:f>
        <x:v>55</x:v>
      </x:c>
      <x:c r="H8" t="n">
        <x:f>INDEX('Handicap Settings'!$B$19:$B$27,MATCH(D8,'Handicap Settings'!$C$19:$C$27,0))</x:f>
        <x:v>59.999</x:v>
      </x:c>
    </x:row>
    <x:row r="9">
      <x:c r="A9" t="inlineStr">
        <x:is>
          <x:t xml:space="preserve">Provisional Limit</x:t>
        </x:is>
      </x:c>
      <x:c r="B9" t="n">
        <x:f>'Handicap Settings'!B7</x:f>
        <x:v>10</x:v>
      </x:c>
      <x:c r="D9" t="n">
        <x:v>-1</x:v>
      </x:c>
      <x:c r="E9" t="n">
        <x:f>COUNTIFS('Player Handicap'!$B$2:$B$201,"&lt;&gt;",'Player Handicap'!$K$2:$K$201,D9)</x:f>
        <x:v>3</x:v>
      </x:c>
      <x:c r="F9" t="str">
        <x:f>INDEX('Handicap Settings'!$D$19:$D$27,MATCH(D9,'Handicap Settings'!$C$19:$C$27,0))</x:f>
        <x:v>B</x:v>
      </x:c>
      <x:c r="G9" t="n">
        <x:f>INDEX('Handicap Settings'!$A$19:$A$27,MATCH(D9,'Handicap Settings'!$C$19:$C$27,0))</x:f>
        <x:v>50</x:v>
      </x:c>
      <x:c r="H9" t="n">
        <x:f>INDEX('Handicap Settings'!$B$19:$B$27,MATCH(D9,'Handicap Settings'!$C$19:$C$27,0))</x:f>
        <x:v>54.999</x:v>
      </x:c>
    </x:row>
    <x:row r="10">
      <x:c r="A10" t="inlineStr">
        <x:is>
          <x:t xml:space="preserve">Change Speed</x:t>
        </x:is>
      </x:c>
      <x:c r="B10" t="inlineStr">
        <x:is>
          <x:t xml:space="preserve">Medium</x:t>
        </x:is>
      </x:c>
      <x:c r="D10" t="n">
        <x:v>-2</x:v>
      </x:c>
      <x:c r="E10" t="n">
        <x:f>COUNTIFS('Player Handicap'!$B$2:$B$201,"&lt;&gt;",'Player Handicap'!$K$2:$K$201,D10)</x:f>
        <x:v>4</x:v>
      </x:c>
      <x:c r="F10" t="str">
        <x:f>INDEX('Handicap Settings'!$D$19:$D$27,MATCH(D10,'Handicap Settings'!$C$19:$C$27,0))</x:f>
        <x:v>C+</x:v>
      </x:c>
      <x:c r="G10" t="n">
        <x:f>INDEX('Handicap Settings'!$A$19:$A$27,MATCH(D10,'Handicap Settings'!$C$19:$C$27,0))</x:f>
        <x:v>45</x:v>
      </x:c>
      <x:c r="H10" t="n">
        <x:f>INDEX('Handicap Settings'!$B$19:$B$27,MATCH(D10,'Handicap Settings'!$C$19:$C$27,0))</x:f>
        <x:v>49.999</x:v>
      </x:c>
    </x:row>
    <x:row r="11">
      <x:c r="D11" t="n">
        <x:v>-3</x:v>
      </x:c>
      <x:c r="E11" t="n">
        <x:f>COUNTIFS('Player Handicap'!$B$2:$B$201,"&lt;&gt;",'Player Handicap'!$K$2:$K$201,D11)</x:f>
        <x:v>3</x:v>
      </x:c>
      <x:c r="F11" t="str">
        <x:f>INDEX('Handicap Settings'!$D$19:$D$27,MATCH(D11,'Handicap Settings'!$C$19:$C$27,0))</x:f>
        <x:v>C</x:v>
      </x:c>
      <x:c r="G11" t="n">
        <x:f>INDEX('Handicap Settings'!$A$19:$A$27,MATCH(D11,'Handicap Settings'!$C$19:$C$27,0))</x:f>
        <x:v>40</x:v>
      </x:c>
      <x:c r="H11" t="n">
        <x:f>INDEX('Handicap Settings'!$B$19:$B$27,MATCH(D11,'Handicap Settings'!$C$19:$C$27,0))</x:f>
        <x:v>44.999</x:v>
      </x:c>
    </x:row>
    <x:row r="12">
      <x:c r="D12" t="n">
        <x:v>-4</x:v>
      </x:c>
      <x:c r="E12" t="n">
        <x:f>COUNTIFS('Player Handicap'!$B$2:$B$201,"&lt;&gt;",'Player Handicap'!$K$2:$K$201,D12)</x:f>
        <x:v>5</x:v>
      </x:c>
      <x:c r="F12" t="str">
        <x:f>INDEX('Handicap Settings'!$D$19:$D$27,MATCH(D12,'Handicap Settings'!$C$19:$C$27,0))</x:f>
        <x:v>D</x:v>
      </x:c>
      <x:c r="G12" t="n">
        <x:f>INDEX('Handicap Settings'!$A$19:$A$27,MATCH(D12,'Handicap Settings'!$C$19:$C$27,0))</x:f>
        <x:v>0</x:v>
      </x:c>
      <x:c r="H12" t="n">
        <x:f>INDEX('Handicap Settings'!$B$19:$B$27,MATCH(D12,'Handicap Settings'!$C$19:$C$27,0))</x:f>
        <x:v>39.999</x:v>
      </x:c>
    </x:row>
    <x:row r="13">
      <x:c r="A13" s="60" t="inlineStr">
        <x:is>
          <x:t xml:space="preserve">Rank</x:t>
        </x:is>
      </x:c>
      <x:c r="B13" s="60" t="inlineStr">
        <x:is>
          <x:t xml:space="preserve">Player</x:t>
        </x:is>
      </x:c>
      <x:c r="C13" s="60" t="inlineStr">
        <x:is>
          <x:t xml:space="preserve">FLPR Rating</x:t>
        </x:is>
      </x:c>
      <x:c r="D13" s="60" t="inlineStr">
        <x:is>
          <x:t xml:space="preserve">Official Handicap</x:t>
        </x:is>
      </x:c>
      <x:c r="E13" s="60" t="inlineStr">
        <x:is>
          <x:t xml:space="preserve">Class</x:t>
        </x:is>
      </x:c>
      <x:c r="F13" s="60" t="inlineStr">
        <x:is>
          <x:t xml:space="preserve">MP</x:t>
        </x:is>
      </x:c>
      <x:c r="G13" s="60" t="inlineStr">
        <x:is>
          <x:t xml:space="preserve">Status</x:t>
        </x:is>
      </x:c>
      <x:c r="H13" s="60" t="inlineStr">
        <x:is>
          <x:t xml:space="preserve">Confidence</x:t>
        </x:is>
      </x:c>
      <x:c r="I13" s="60" t="inlineStr">
        <x:is>
          <x:t xml:space="preserve">Primary Format</x:t>
        </x:is>
      </x:c>
      <x:c r="J13" s="60" t="inlineStr">
        <x:is>
          <x:t xml:space="preserve">Active</x:t>
        </x:is>
      </x:c>
    </x:row>
    <x:row r="14">
      <x:c r="A14" t="n">
        <x:v>1</x:v>
      </x:c>
      <x:c r="B14" t="str">
        <x:f>INDEX('Player Handicap'!$B$2:$B$201,MATCH(C14,'Player Handicap'!$E$2:$E$201,0))</x:f>
        <x:v>Sandy</x:v>
      </x:c>
      <x:c r="C14" s="88" t="n">
        <x:f>LARGE('Player Handicap'!$E$2:$E$201,A14)</x:f>
        <x:v>70.51306635024372</x:v>
      </x:c>
      <x:c r="D14" t="n">
        <x:f>INDEX('Player Handicap'!$K$2:$K$201,MATCH(C14,'Player Handicap'!$E$2:$E$201,0))</x:f>
        <x:v>3</x:v>
      </x:c>
      <x:c r="E14" t="str">
        <x:f>INDEX('Player Handicap'!$L$2:$L$201,MATCH(C14,'Player Handicap'!$E$2:$E$201,0))</x:f>
        <x:v>Elite</x:v>
      </x:c>
      <x:c r="F14" t="n">
        <x:f>INDEX('Player Handicap'!$D$2:$D$201,MATCH(C14,'Player Handicap'!$E$2:$E$201,0))</x:f>
        <x:v>13</x:v>
      </x:c>
      <x:c r="G14" t="str">
        <x:f>INDEX('Player Handicap'!$F$2:$F$201,MATCH(C14,'Player Handicap'!$E$2:$E$201,0))</x:f>
        <x:v>Established</x:v>
      </x:c>
      <x:c r="H14" t="str">
        <x:f>INDEX('Player Handicap'!$M$2:$M$201,MATCH(C14,'Player Handicap'!$E$2:$E$201,0))</x:f>
        <x:v>★★★</x:v>
      </x:c>
      <x:c r="I14" t="str">
        <x:f>INDEX('Player Handicap'!$O$2:$O$201,MATCH(C14,'Player Handicap'!$E$2:$E$201,0))</x:f>
        <x:v>Weekly Americano</x:v>
      </x:c>
      <x:c r="J14" t="b">
        <x:f>INDEX('Player Handicap'!$N$2:$N$201,MATCH(C14,'Player Handicap'!$E$2:$E$201,0))</x:f>
        <x:v>1</x:v>
      </x:c>
    </x:row>
    <x:row r="15">
      <x:c r="A15" t="n">
        <x:v>2</x:v>
      </x:c>
      <x:c r="B15" t="str">
        <x:f>INDEX('Player Handicap'!$B$2:$B$201,MATCH(C15,'Player Handicap'!$E$2:$E$201,0))</x:f>
        <x:v>Thohir</x:v>
      </x:c>
      <x:c r="C15" s="88" t="n">
        <x:f>LARGE('Player Handicap'!$E$2:$E$201,A15)</x:f>
        <x:v>64.66887046003484</x:v>
      </x:c>
      <x:c r="D15" t="n">
        <x:f>INDEX('Player Handicap'!$K$2:$K$201,MATCH(C15,'Player Handicap'!$E$2:$E$201,0))</x:f>
        <x:v>1</x:v>
      </x:c>
      <x:c r="E15" t="str">
        <x:f>INDEX('Player Handicap'!$L$2:$L$201,MATCH(C15,'Player Handicap'!$E$2:$E$201,0))</x:f>
        <x:v>A</x:v>
      </x:c>
      <x:c r="F15" t="n">
        <x:f>INDEX('Player Handicap'!$D$2:$D$201,MATCH(C15,'Player Handicap'!$E$2:$E$201,0))</x:f>
        <x:v>4</x:v>
      </x:c>
      <x:c r="G15" t="str">
        <x:f>INDEX('Player Handicap'!$F$2:$F$201,MATCH(C15,'Player Handicap'!$E$2:$E$201,0))</x:f>
        <x:v>Provisional</x:v>
      </x:c>
      <x:c r="H15" t="str">
        <x:f>INDEX('Player Handicap'!$M$2:$M$201,MATCH(C15,'Player Handicap'!$E$2:$E$201,0))</x:f>
        <x:v>★</x:v>
      </x:c>
      <x:c r="I15" t="str">
        <x:f>INDEX('Player Handicap'!$O$2:$O$201,MATCH(C15,'Player Handicap'!$E$2:$E$201,0))</x:f>
        <x:v>Weekly Americano</x:v>
      </x:c>
      <x:c r="J15" t="b">
        <x:f>INDEX('Player Handicap'!$N$2:$N$201,MATCH(C15,'Player Handicap'!$E$2:$E$201,0))</x:f>
        <x:v>1</x:v>
      </x:c>
    </x:row>
    <x:row r="16">
      <x:c r="A16" t="n">
        <x:v>3</x:v>
      </x:c>
      <x:c r="B16" t="str">
        <x:f>INDEX('Player Handicap'!$B$2:$B$201,MATCH(C16,'Player Handicap'!$E$2:$E$201,0))</x:f>
        <x:v>Austin</x:v>
      </x:c>
      <x:c r="C16" s="88" t="n">
        <x:f>LARGE('Player Handicap'!$E$2:$E$201,A16)</x:f>
        <x:v>59.40079845232992</x:v>
      </x:c>
      <x:c r="D16" t="n">
        <x:f>INDEX('Player Handicap'!$K$2:$K$201,MATCH(C16,'Player Handicap'!$E$2:$E$201,0))</x:f>
        <x:v>0</x:v>
      </x:c>
      <x:c r="E16" t="str">
        <x:f>INDEX('Player Handicap'!$L$2:$L$201,MATCH(C16,'Player Handicap'!$E$2:$E$201,0))</x:f>
        <x:v>B+</x:v>
      </x:c>
      <x:c r="F16" t="n">
        <x:f>INDEX('Player Handicap'!$D$2:$D$201,MATCH(C16,'Player Handicap'!$E$2:$E$201,0))</x:f>
        <x:v>14</x:v>
      </x:c>
      <x:c r="G16" t="str">
        <x:f>INDEX('Player Handicap'!$F$2:$F$201,MATCH(C16,'Player Handicap'!$E$2:$E$201,0))</x:f>
        <x:v>Established</x:v>
      </x:c>
      <x:c r="H16" t="str">
        <x:f>INDEX('Player Handicap'!$M$2:$M$201,MATCH(C16,'Player Handicap'!$E$2:$E$201,0))</x:f>
        <x:v>★★★</x:v>
      </x:c>
      <x:c r="I16" t="str">
        <x:f>INDEX('Player Handicap'!$O$2:$O$201,MATCH(C16,'Player Handicap'!$E$2:$E$201,0))</x:f>
        <x:v>Weekly Americano</x:v>
      </x:c>
      <x:c r="J16" t="b">
        <x:f>INDEX('Player Handicap'!$N$2:$N$201,MATCH(C16,'Player Handicap'!$E$2:$E$201,0))</x:f>
        <x:v>1</x:v>
      </x:c>
    </x:row>
    <x:row r="17">
      <x:c r="A17" t="n">
        <x:v>4</x:v>
      </x:c>
      <x:c r="B17" t="str">
        <x:f>INDEX('Player Handicap'!$B$2:$B$201,MATCH(C17,'Player Handicap'!$E$2:$E$201,0))</x:f>
        <x:v>Rey</x:v>
      </x:c>
      <x:c r="C17" s="88" t="n">
        <x:f>LARGE('Player Handicap'!$E$2:$E$201,A17)</x:f>
        <x:v>59.36910718873768</x:v>
      </x:c>
      <x:c r="D17" t="n">
        <x:f>INDEX('Player Handicap'!$K$2:$K$201,MATCH(C17,'Player Handicap'!$E$2:$E$201,0))</x:f>
        <x:v>0</x:v>
      </x:c>
      <x:c r="E17" t="str">
        <x:f>INDEX('Player Handicap'!$L$2:$L$201,MATCH(C17,'Player Handicap'!$E$2:$E$201,0))</x:f>
        <x:v>B+</x:v>
      </x:c>
      <x:c r="F17" t="n">
        <x:f>INDEX('Player Handicap'!$D$2:$D$201,MATCH(C17,'Player Handicap'!$E$2:$E$201,0))</x:f>
        <x:v>7</x:v>
      </x:c>
      <x:c r="G17" t="str">
        <x:f>INDEX('Player Handicap'!$F$2:$F$201,MATCH(C17,'Player Handicap'!$E$2:$E$201,0))</x:f>
        <x:v>Developing</x:v>
      </x:c>
      <x:c r="H17" t="str">
        <x:f>INDEX('Player Handicap'!$M$2:$M$201,MATCH(C17,'Player Handicap'!$E$2:$E$201,0))</x:f>
        <x:v>★★</x:v>
      </x:c>
      <x:c r="I17" t="str">
        <x:f>INDEX('Player Handicap'!$O$2:$O$201,MATCH(C17,'Player Handicap'!$E$2:$E$201,0))</x:f>
        <x:v>Weekly Americano</x:v>
      </x:c>
      <x:c r="J17" t="b">
        <x:f>INDEX('Player Handicap'!$N$2:$N$201,MATCH(C17,'Player Handicap'!$E$2:$E$201,0))</x:f>
        <x:v>1</x:v>
      </x:c>
    </x:row>
    <x:row r="18">
      <x:c r="A18" t="n">
        <x:v>5</x:v>
      </x:c>
      <x:c r="B18" t="str">
        <x:f>INDEX('Player Handicap'!$B$2:$B$201,MATCH(C18,'Player Handicap'!$E$2:$E$201,0))</x:f>
        <x:v>Ronald</x:v>
      </x:c>
      <x:c r="C18" s="88" t="n">
        <x:f>LARGE('Player Handicap'!$E$2:$E$201,A18)</x:f>
        <x:v>58.39066504604191</x:v>
      </x:c>
      <x:c r="D18" t="n">
        <x:f>INDEX('Player Handicap'!$K$2:$K$201,MATCH(C18,'Player Handicap'!$E$2:$E$201,0))</x:f>
        <x:v>0</x:v>
      </x:c>
      <x:c r="E18" t="str">
        <x:f>INDEX('Player Handicap'!$L$2:$L$201,MATCH(C18,'Player Handicap'!$E$2:$E$201,0))</x:f>
        <x:v>B+</x:v>
      </x:c>
      <x:c r="F18" t="n">
        <x:f>INDEX('Player Handicap'!$D$2:$D$201,MATCH(C18,'Player Handicap'!$E$2:$E$201,0))</x:f>
        <x:v>18</x:v>
      </x:c>
      <x:c r="G18" t="str">
        <x:f>INDEX('Player Handicap'!$F$2:$F$201,MATCH(C18,'Player Handicap'!$E$2:$E$201,0))</x:f>
        <x:v>Established</x:v>
      </x:c>
      <x:c r="H18" t="str">
        <x:f>INDEX('Player Handicap'!$M$2:$M$201,MATCH(C18,'Player Handicap'!$E$2:$E$201,0))</x:f>
        <x:v>★★★★</x:v>
      </x:c>
      <x:c r="I18" t="str">
        <x:f>INDEX('Player Handicap'!$O$2:$O$201,MATCH(C18,'Player Handicap'!$E$2:$E$201,0))</x:f>
        <x:v>Weekly Americano</x:v>
      </x:c>
      <x:c r="J18" t="b">
        <x:f>INDEX('Player Handicap'!$N$2:$N$201,MATCH(C18,'Player Handicap'!$E$2:$E$201,0))</x:f>
        <x:v>1</x:v>
      </x:c>
    </x:row>
    <x:row r="19">
      <x:c r="A19" t="n">
        <x:v>6</x:v>
      </x:c>
      <x:c r="B19" t="str">
        <x:f>INDEX('Player Handicap'!$B$2:$B$201,MATCH(C19,'Player Handicap'!$E$2:$E$201,0))</x:f>
        <x:v>Ricky</x:v>
      </x:c>
      <x:c r="C19" s="88" t="n">
        <x:f>LARGE('Player Handicap'!$E$2:$E$201,A19)</x:f>
        <x:v>54.08585475906235</x:v>
      </x:c>
      <x:c r="D19" t="n">
        <x:f>INDEX('Player Handicap'!$K$2:$K$201,MATCH(C19,'Player Handicap'!$E$2:$E$201,0))</x:f>
        <x:v>-1</x:v>
      </x:c>
      <x:c r="E19" t="str">
        <x:f>INDEX('Player Handicap'!$L$2:$L$201,MATCH(C19,'Player Handicap'!$E$2:$E$201,0))</x:f>
        <x:v>B</x:v>
      </x:c>
      <x:c r="F19" t="n">
        <x:f>INDEX('Player Handicap'!$D$2:$D$201,MATCH(C19,'Player Handicap'!$E$2:$E$201,0))</x:f>
        <x:v>26</x:v>
      </x:c>
      <x:c r="G19" t="str">
        <x:f>INDEX('Player Handicap'!$F$2:$F$201,MATCH(C19,'Player Handicap'!$E$2:$E$201,0))</x:f>
        <x:v>Established</x:v>
      </x:c>
      <x:c r="H19" t="str">
        <x:f>INDEX('Player Handicap'!$M$2:$M$201,MATCH(C19,'Player Handicap'!$E$2:$E$201,0))</x:f>
        <x:v>★★★★★</x:v>
      </x:c>
      <x:c r="I19" t="str">
        <x:f>INDEX('Player Handicap'!$O$2:$O$201,MATCH(C19,'Player Handicap'!$E$2:$E$201,0))</x:f>
        <x:v>Weekly Americano</x:v>
      </x:c>
      <x:c r="J19" t="b">
        <x:f>INDEX('Player Handicap'!$N$2:$N$201,MATCH(C19,'Player Handicap'!$E$2:$E$201,0))</x:f>
        <x:v>1</x:v>
      </x:c>
    </x:row>
    <x:row r="20">
      <x:c r="A20" t="n">
        <x:v>7</x:v>
      </x:c>
      <x:c r="B20" t="str">
        <x:f>INDEX('Player Handicap'!$B$2:$B$201,MATCH(C20,'Player Handicap'!$E$2:$E$201,0))</x:f>
        <x:v>Jonathan</x:v>
      </x:c>
      <x:c r="C20" s="88" t="n">
        <x:f>LARGE('Player Handicap'!$E$2:$E$201,A20)</x:f>
        <x:v>51.86227380674279</x:v>
      </x:c>
      <x:c r="D20" t="n">
        <x:f>INDEX('Player Handicap'!$K$2:$K$201,MATCH(C20,'Player Handicap'!$E$2:$E$201,0))</x:f>
        <x:v>-1</x:v>
      </x:c>
      <x:c r="E20" t="str">
        <x:f>INDEX('Player Handicap'!$L$2:$L$201,MATCH(C20,'Player Handicap'!$E$2:$E$201,0))</x:f>
        <x:v>B</x:v>
      </x:c>
      <x:c r="F20" t="n">
        <x:f>INDEX('Player Handicap'!$D$2:$D$201,MATCH(C20,'Player Handicap'!$E$2:$E$201,0))</x:f>
        <x:v>6</x:v>
      </x:c>
      <x:c r="G20" t="str">
        <x:f>INDEX('Player Handicap'!$F$2:$F$201,MATCH(C20,'Player Handicap'!$E$2:$E$201,0))</x:f>
        <x:v>Developing</x:v>
      </x:c>
      <x:c r="H20" t="str">
        <x:f>INDEX('Player Handicap'!$M$2:$M$201,MATCH(C20,'Player Handicap'!$E$2:$E$201,0))</x:f>
        <x:v>★★</x:v>
      </x:c>
      <x:c r="I20" t="str">
        <x:f>INDEX('Player Handicap'!$O$2:$O$201,MATCH(C20,'Player Handicap'!$E$2:$E$201,0))</x:f>
        <x:v>Weekly Americano</x:v>
      </x:c>
      <x:c r="J20" t="b">
        <x:f>INDEX('Player Handicap'!$N$2:$N$201,MATCH(C20,'Player Handicap'!$E$2:$E$201,0))</x:f>
        <x:v>1</x:v>
      </x:c>
    </x:row>
    <x:row r="21">
      <x:c r="A21" t="n">
        <x:v>8</x:v>
      </x:c>
      <x:c r="B21" t="str">
        <x:f>INDEX('Player Handicap'!$B$2:$B$201,MATCH(C21,'Player Handicap'!$E$2:$E$201,0))</x:f>
        <x:v>Kennard</x:v>
      </x:c>
      <x:c r="C21" s="88" t="n">
        <x:f>LARGE('Player Handicap'!$E$2:$E$201,A21)</x:f>
        <x:v>50.28911547688009</x:v>
      </x:c>
      <x:c r="D21" t="n">
        <x:f>INDEX('Player Handicap'!$K$2:$K$201,MATCH(C21,'Player Handicap'!$E$2:$E$201,0))</x:f>
        <x:v>-1</x:v>
      </x:c>
      <x:c r="E21" t="str">
        <x:f>INDEX('Player Handicap'!$L$2:$L$201,MATCH(C21,'Player Handicap'!$E$2:$E$201,0))</x:f>
        <x:v>B</x:v>
      </x:c>
      <x:c r="F21" t="n">
        <x:f>INDEX('Player Handicap'!$D$2:$D$201,MATCH(C21,'Player Handicap'!$E$2:$E$201,0))</x:f>
        <x:v>13</x:v>
      </x:c>
      <x:c r="G21" t="str">
        <x:f>INDEX('Player Handicap'!$F$2:$F$201,MATCH(C21,'Player Handicap'!$E$2:$E$201,0))</x:f>
        <x:v>Established</x:v>
      </x:c>
      <x:c r="H21" t="str">
        <x:f>INDEX('Player Handicap'!$M$2:$M$201,MATCH(C21,'Player Handicap'!$E$2:$E$201,0))</x:f>
        <x:v>★★★</x:v>
      </x:c>
      <x:c r="I21" t="str">
        <x:f>INDEX('Player Handicap'!$O$2:$O$201,MATCH(C21,'Player Handicap'!$E$2:$E$201,0))</x:f>
        <x:v>Weekly Americano</x:v>
      </x:c>
      <x:c r="J21" t="b">
        <x:f>INDEX('Player Handicap'!$N$2:$N$201,MATCH(C21,'Player Handicap'!$E$2:$E$201,0))</x:f>
        <x:v>1</x:v>
      </x:c>
    </x:row>
    <x:row r="22">
      <x:c r="A22" t="n">
        <x:v>9</x:v>
      </x:c>
      <x:c r="B22" t="str">
        <x:f>INDEX('Player Handicap'!$B$2:$B$201,MATCH(C22,'Player Handicap'!$E$2:$E$201,0))</x:f>
        <x:v>Rizky</x:v>
      </x:c>
      <x:c r="C22" s="88" t="n">
        <x:f>LARGE('Player Handicap'!$E$2:$E$201,A22)</x:f>
        <x:v>49.194585879291715</x:v>
      </x:c>
      <x:c r="D22" t="n">
        <x:f>INDEX('Player Handicap'!$K$2:$K$201,MATCH(C22,'Player Handicap'!$E$2:$E$201,0))</x:f>
        <x:v>-2</x:v>
      </x:c>
      <x:c r="E22" t="str">
        <x:f>INDEX('Player Handicap'!$L$2:$L$201,MATCH(C22,'Player Handicap'!$E$2:$E$201,0))</x:f>
        <x:v>C+</x:v>
      </x:c>
      <x:c r="F22" t="n">
        <x:f>INDEX('Player Handicap'!$D$2:$D$201,MATCH(C22,'Player Handicap'!$E$2:$E$201,0))</x:f>
        <x:v>6</x:v>
      </x:c>
      <x:c r="G22" t="str">
        <x:f>INDEX('Player Handicap'!$F$2:$F$201,MATCH(C22,'Player Handicap'!$E$2:$E$201,0))</x:f>
        <x:v>Developing</x:v>
      </x:c>
      <x:c r="H22" t="str">
        <x:f>INDEX('Player Handicap'!$M$2:$M$201,MATCH(C22,'Player Handicap'!$E$2:$E$201,0))</x:f>
        <x:v>★★</x:v>
      </x:c>
      <x:c r="I22" t="str">
        <x:f>INDEX('Player Handicap'!$O$2:$O$201,MATCH(C22,'Player Handicap'!$E$2:$E$201,0))</x:f>
        <x:v>Weekly Americano</x:v>
      </x:c>
      <x:c r="J22" t="b">
        <x:f>INDEX('Player Handicap'!$N$2:$N$201,MATCH(C22,'Player Handicap'!$E$2:$E$201,0))</x:f>
        <x:v>1</x:v>
      </x:c>
    </x:row>
    <x:row r="23">
      <x:c r="A23" t="n">
        <x:v>10</x:v>
      </x:c>
      <x:c r="B23" t="str">
        <x:f>INDEX('Player Handicap'!$B$2:$B$201,MATCH(C23,'Player Handicap'!$E$2:$E$201,0))</x:f>
        <x:v>Edy SP</x:v>
      </x:c>
      <x:c r="C23" s="88" t="n">
        <x:f>LARGE('Player Handicap'!$E$2:$E$201,A23)</x:f>
        <x:v>45.89574377725399</x:v>
      </x:c>
      <x:c r="D23" t="n">
        <x:f>INDEX('Player Handicap'!$K$2:$K$201,MATCH(C23,'Player Handicap'!$E$2:$E$201,0))</x:f>
        <x:v>-2</x:v>
      </x:c>
      <x:c r="E23" t="str">
        <x:f>INDEX('Player Handicap'!$L$2:$L$201,MATCH(C23,'Player Handicap'!$E$2:$E$201,0))</x:f>
        <x:v>C+</x:v>
      </x:c>
      <x:c r="F23" t="n">
        <x:f>INDEX('Player Handicap'!$D$2:$D$201,MATCH(C23,'Player Handicap'!$E$2:$E$201,0))</x:f>
        <x:v>30</x:v>
      </x:c>
      <x:c r="G23" t="str">
        <x:f>INDEX('Player Handicap'!$F$2:$F$201,MATCH(C23,'Player Handicap'!$E$2:$E$201,0))</x:f>
        <x:v>Established</x:v>
      </x:c>
      <x:c r="H23" t="str">
        <x:f>INDEX('Player Handicap'!$M$2:$M$201,MATCH(C23,'Player Handicap'!$E$2:$E$201,0))</x:f>
        <x:v>★★★★★</x:v>
      </x:c>
      <x:c r="I23" t="str">
        <x:f>INDEX('Player Handicap'!$O$2:$O$201,MATCH(C23,'Player Handicap'!$E$2:$E$201,0))</x:f>
        <x:v>Weekly Americano</x:v>
      </x:c>
      <x:c r="J23" t="b">
        <x:f>INDEX('Player Handicap'!$N$2:$N$201,MATCH(C23,'Player Handicap'!$E$2:$E$201,0))</x:f>
        <x:v>1</x:v>
      </x:c>
    </x:row>
    <x:row r="24">
      <x:c r="A24" t="n">
        <x:v>11</x:v>
      </x:c>
      <x:c r="B24" t="str">
        <x:f>INDEX('Player Handicap'!$B$2:$B$201,MATCH(C24,'Player Handicap'!$E$2:$E$201,0))</x:f>
        <x:v>Michael</x:v>
      </x:c>
      <x:c r="C24" s="88" t="n">
        <x:f>LARGE('Player Handicap'!$E$2:$E$201,A24)</x:f>
        <x:v>45.67313478777373</x:v>
      </x:c>
      <x:c r="D24" t="n">
        <x:f>INDEX('Player Handicap'!$K$2:$K$201,MATCH(C24,'Player Handicap'!$E$2:$E$201,0))</x:f>
        <x:v>-2</x:v>
      </x:c>
      <x:c r="E24" t="str">
        <x:f>INDEX('Player Handicap'!$L$2:$L$201,MATCH(C24,'Player Handicap'!$E$2:$E$201,0))</x:f>
        <x:v>C+</x:v>
      </x:c>
      <x:c r="F24" t="n">
        <x:f>INDEX('Player Handicap'!$D$2:$D$201,MATCH(C24,'Player Handicap'!$E$2:$E$201,0))</x:f>
        <x:v>13</x:v>
      </x:c>
      <x:c r="G24" t="str">
        <x:f>INDEX('Player Handicap'!$F$2:$F$201,MATCH(C24,'Player Handicap'!$E$2:$E$201,0))</x:f>
        <x:v>Established</x:v>
      </x:c>
      <x:c r="H24" t="str">
        <x:f>INDEX('Player Handicap'!$M$2:$M$201,MATCH(C24,'Player Handicap'!$E$2:$E$201,0))</x:f>
        <x:v>★★★</x:v>
      </x:c>
      <x:c r="I24" t="str">
        <x:f>INDEX('Player Handicap'!$O$2:$O$201,MATCH(C24,'Player Handicap'!$E$2:$E$201,0))</x:f>
        <x:v>Weekly Americano</x:v>
      </x:c>
      <x:c r="J24" t="b">
        <x:f>INDEX('Player Handicap'!$N$2:$N$201,MATCH(C24,'Player Handicap'!$E$2:$E$201,0))</x:f>
        <x:v>1</x:v>
      </x:c>
    </x:row>
    <x:row r="25">
      <x:c r="A25" t="n">
        <x:v>12</x:v>
      </x:c>
      <x:c r="B25" t="str">
        <x:f>INDEX('Player Handicap'!$B$2:$B$201,MATCH(C25,'Player Handicap'!$E$2:$E$201,0))</x:f>
        <x:v>Nicholas</x:v>
      </x:c>
      <x:c r="C25" s="88" t="n">
        <x:f>LARGE('Player Handicap'!$E$2:$E$201,A25)</x:f>
        <x:v>45.28271303058267</x:v>
      </x:c>
      <x:c r="D25" t="n">
        <x:f>INDEX('Player Handicap'!$K$2:$K$201,MATCH(C25,'Player Handicap'!$E$2:$E$201,0))</x:f>
        <x:v>-2</x:v>
      </x:c>
      <x:c r="E25" t="str">
        <x:f>INDEX('Player Handicap'!$L$2:$L$201,MATCH(C25,'Player Handicap'!$E$2:$E$201,0))</x:f>
        <x:v>C+</x:v>
      </x:c>
      <x:c r="F25" t="n">
        <x:f>INDEX('Player Handicap'!$D$2:$D$201,MATCH(C25,'Player Handicap'!$E$2:$E$201,0))</x:f>
        <x:v>7</x:v>
      </x:c>
      <x:c r="G25" t="str">
        <x:f>INDEX('Player Handicap'!$F$2:$F$201,MATCH(C25,'Player Handicap'!$E$2:$E$201,0))</x:f>
        <x:v>Developing</x:v>
      </x:c>
      <x:c r="H25" t="str">
        <x:f>INDEX('Player Handicap'!$M$2:$M$201,MATCH(C25,'Player Handicap'!$E$2:$E$201,0))</x:f>
        <x:v>★★</x:v>
      </x:c>
      <x:c r="I25" t="str">
        <x:f>INDEX('Player Handicap'!$O$2:$O$201,MATCH(C25,'Player Handicap'!$E$2:$E$201,0))</x:f>
        <x:v>Weekly Americano</x:v>
      </x:c>
      <x:c r="J25" t="b">
        <x:f>INDEX('Player Handicap'!$N$2:$N$201,MATCH(C25,'Player Handicap'!$E$2:$E$201,0))</x:f>
        <x:v>1</x:v>
      </x:c>
    </x:row>
    <x:row r="26">
      <x:c r="A26" t="n">
        <x:v>13</x:v>
      </x:c>
      <x:c r="B26" t="str">
        <x:f>INDEX('Player Handicap'!$B$2:$B$201,MATCH(C26,'Player Handicap'!$E$2:$E$201,0))</x:f>
        <x:v>David</x:v>
      </x:c>
      <x:c r="C26" s="88" t="n">
        <x:f>LARGE('Player Handicap'!$E$2:$E$201,A26)</x:f>
        <x:v>43.36193577193154</x:v>
      </x:c>
      <x:c r="D26" t="n">
        <x:f>INDEX('Player Handicap'!$K$2:$K$201,MATCH(C26,'Player Handicap'!$E$2:$E$201,0))</x:f>
        <x:v>-3</x:v>
      </x:c>
      <x:c r="E26" t="str">
        <x:f>INDEX('Player Handicap'!$L$2:$L$201,MATCH(C26,'Player Handicap'!$E$2:$E$201,0))</x:f>
        <x:v>C</x:v>
      </x:c>
      <x:c r="F26" t="n">
        <x:f>INDEX('Player Handicap'!$D$2:$D$201,MATCH(C26,'Player Handicap'!$E$2:$E$201,0))</x:f>
        <x:v>12</x:v>
      </x:c>
      <x:c r="G26" t="str">
        <x:f>INDEX('Player Handicap'!$F$2:$F$201,MATCH(C26,'Player Handicap'!$E$2:$E$201,0))</x:f>
        <x:v>Established</x:v>
      </x:c>
      <x:c r="H26" t="str">
        <x:f>INDEX('Player Handicap'!$M$2:$M$201,MATCH(C26,'Player Handicap'!$E$2:$E$201,0))</x:f>
        <x:v>★★★</x:v>
      </x:c>
      <x:c r="I26" t="str">
        <x:f>INDEX('Player Handicap'!$O$2:$O$201,MATCH(C26,'Player Handicap'!$E$2:$E$201,0))</x:f>
        <x:v>Weekly Americano</x:v>
      </x:c>
      <x:c r="J26" t="b">
        <x:f>INDEX('Player Handicap'!$N$2:$N$201,MATCH(C26,'Player Handicap'!$E$2:$E$201,0))</x:f>
        <x:v>1</x:v>
      </x:c>
    </x:row>
    <x:row r="27">
      <x:c r="A27" t="n">
        <x:v>14</x:v>
      </x:c>
      <x:c r="B27" t="str">
        <x:f>INDEX('Player Handicap'!$B$2:$B$201,MATCH(C27,'Player Handicap'!$E$2:$E$201,0))</x:f>
        <x:v>Donny</x:v>
      </x:c>
      <x:c r="C27" s="88" t="n">
        <x:f>LARGE('Player Handicap'!$E$2:$E$201,A27)</x:f>
        <x:v>42.67589693029047</x:v>
      </x:c>
      <x:c r="D27" t="n">
        <x:f>INDEX('Player Handicap'!$K$2:$K$201,MATCH(C27,'Player Handicap'!$E$2:$E$201,0))</x:f>
        <x:v>-3</x:v>
      </x:c>
      <x:c r="E27" t="str">
        <x:f>INDEX('Player Handicap'!$L$2:$L$201,MATCH(C27,'Player Handicap'!$E$2:$E$201,0))</x:f>
        <x:v>C</x:v>
      </x:c>
      <x:c r="F27" t="n">
        <x:f>INDEX('Player Handicap'!$D$2:$D$201,MATCH(C27,'Player Handicap'!$E$2:$E$201,0))</x:f>
        <x:v>11</x:v>
      </x:c>
      <x:c r="G27" t="str">
        <x:f>INDEX('Player Handicap'!$F$2:$F$201,MATCH(C27,'Player Handicap'!$E$2:$E$201,0))</x:f>
        <x:v>Developing</x:v>
      </x:c>
      <x:c r="H27" t="str">
        <x:f>INDEX('Player Handicap'!$M$2:$M$201,MATCH(C27,'Player Handicap'!$E$2:$E$201,0))</x:f>
        <x:v>★★★</x:v>
      </x:c>
      <x:c r="I27" t="str">
        <x:f>INDEX('Player Handicap'!$O$2:$O$201,MATCH(C27,'Player Handicap'!$E$2:$E$201,0))</x:f>
        <x:v>Weekly Americano</x:v>
      </x:c>
      <x:c r="J27" t="b">
        <x:f>INDEX('Player Handicap'!$N$2:$N$201,MATCH(C27,'Player Handicap'!$E$2:$E$201,0))</x:f>
        <x:v>1</x:v>
      </x:c>
    </x:row>
    <x:row r="28">
      <x:c r="A28" t="n">
        <x:v>15</x:v>
      </x:c>
      <x:c r="B28" t="str">
        <x:f>INDEX('Player Handicap'!$B$2:$B$201,MATCH(C28,'Player Handicap'!$E$2:$E$201,0))</x:f>
        <x:v>Reza</x:v>
      </x:c>
      <x:c r="C28" s="88" t="n">
        <x:f>LARGE('Player Handicap'!$E$2:$E$201,A28)</x:f>
        <x:v>40.35591292370327</x:v>
      </x:c>
      <x:c r="D28" t="n">
        <x:f>INDEX('Player Handicap'!$K$2:$K$201,MATCH(C28,'Player Handicap'!$E$2:$E$201,0))</x:f>
        <x:v>-3</x:v>
      </x:c>
      <x:c r="E28" t="str">
        <x:f>INDEX('Player Handicap'!$L$2:$L$201,MATCH(C28,'Player Handicap'!$E$2:$E$201,0))</x:f>
        <x:v>C</x:v>
      </x:c>
      <x:c r="F28" t="n">
        <x:f>INDEX('Player Handicap'!$D$2:$D$201,MATCH(C28,'Player Handicap'!$E$2:$E$201,0))</x:f>
        <x:v>6</x:v>
      </x:c>
      <x:c r="G28" t="str">
        <x:f>INDEX('Player Handicap'!$F$2:$F$201,MATCH(C28,'Player Handicap'!$E$2:$E$201,0))</x:f>
        <x:v>Developing</x:v>
      </x:c>
      <x:c r="H28" t="str">
        <x:f>INDEX('Player Handicap'!$M$2:$M$201,MATCH(C28,'Player Handicap'!$E$2:$E$201,0))</x:f>
        <x:v>★★</x:v>
      </x:c>
      <x:c r="I28" t="str">
        <x:f>INDEX('Player Handicap'!$O$2:$O$201,MATCH(C28,'Player Handicap'!$E$2:$E$201,0))</x:f>
        <x:v>Weekly Americano</x:v>
      </x:c>
      <x:c r="J28" t="b">
        <x:f>INDEX('Player Handicap'!$N$2:$N$201,MATCH(C28,'Player Handicap'!$E$2:$E$201,0))</x:f>
        <x:v>1</x:v>
      </x:c>
    </x:row>
    <x:row r="29">
      <x:c r="A29" t="n">
        <x:v>16</x:v>
      </x:c>
      <x:c r="B29" t="str">
        <x:f>INDEX('Player Handicap'!$B$2:$B$201,MATCH(C29,'Player Handicap'!$E$2:$E$201,0))</x:f>
        <x:v>Nico</x:v>
      </x:c>
      <x:c r="C29" s="88" t="n">
        <x:f>LARGE('Player Handicap'!$E$2:$E$201,A29)</x:f>
        <x:v>37.95817920836509</x:v>
      </x:c>
      <x:c r="D29" t="n">
        <x:f>INDEX('Player Handicap'!$K$2:$K$201,MATCH(C29,'Player Handicap'!$E$2:$E$201,0))</x:f>
        <x:v>-4</x:v>
      </x:c>
      <x:c r="E29" t="str">
        <x:f>INDEX('Player Handicap'!$L$2:$L$201,MATCH(C29,'Player Handicap'!$E$2:$E$201,0))</x:f>
        <x:v>D</x:v>
      </x:c>
      <x:c r="F29" t="n">
        <x:f>INDEX('Player Handicap'!$D$2:$D$201,MATCH(C29,'Player Handicap'!$E$2:$E$201,0))</x:f>
        <x:v>6</x:v>
      </x:c>
      <x:c r="G29" t="str">
        <x:f>INDEX('Player Handicap'!$F$2:$F$201,MATCH(C29,'Player Handicap'!$E$2:$E$201,0))</x:f>
        <x:v>Developing</x:v>
      </x:c>
      <x:c r="H29" t="str">
        <x:f>INDEX('Player Handicap'!$M$2:$M$201,MATCH(C29,'Player Handicap'!$E$2:$E$201,0))</x:f>
        <x:v>★★</x:v>
      </x:c>
      <x:c r="I29" t="str">
        <x:f>INDEX('Player Handicap'!$O$2:$O$201,MATCH(C29,'Player Handicap'!$E$2:$E$201,0))</x:f>
        <x:v>Weekly Americano</x:v>
      </x:c>
      <x:c r="J29" t="b">
        <x:f>INDEX('Player Handicap'!$N$2:$N$201,MATCH(C29,'Player Handicap'!$E$2:$E$201,0))</x:f>
        <x:v>1</x:v>
      </x:c>
    </x:row>
    <x:row r="30">
      <x:c r="A30" t="n">
        <x:v>17</x:v>
      </x:c>
      <x:c r="B30" t="str">
        <x:f>INDEX('Player Handicap'!$B$2:$B$201,MATCH(C30,'Player Handicap'!$E$2:$E$201,0))</x:f>
        <x:v>Alwin</x:v>
      </x:c>
      <x:c r="C30" s="88" t="n">
        <x:f>LARGE('Player Handicap'!$E$2:$E$201,A30)</x:f>
        <x:v>35.87914127200738</x:v>
      </x:c>
      <x:c r="D30" t="n">
        <x:f>INDEX('Player Handicap'!$K$2:$K$201,MATCH(C30,'Player Handicap'!$E$2:$E$201,0))</x:f>
        <x:v>-4</x:v>
      </x:c>
      <x:c r="E30" t="str">
        <x:f>INDEX('Player Handicap'!$L$2:$L$201,MATCH(C30,'Player Handicap'!$E$2:$E$201,0))</x:f>
        <x:v>D</x:v>
      </x:c>
      <x:c r="F30" t="n">
        <x:f>INDEX('Player Handicap'!$D$2:$D$201,MATCH(C30,'Player Handicap'!$E$2:$E$201,0))</x:f>
        <x:v>6</x:v>
      </x:c>
      <x:c r="G30" t="str">
        <x:f>INDEX('Player Handicap'!$F$2:$F$201,MATCH(C30,'Player Handicap'!$E$2:$E$201,0))</x:f>
        <x:v>Developing</x:v>
      </x:c>
      <x:c r="H30" t="str">
        <x:f>INDEX('Player Handicap'!$M$2:$M$201,MATCH(C30,'Player Handicap'!$E$2:$E$201,0))</x:f>
        <x:v>★★</x:v>
      </x:c>
      <x:c r="I30" t="str">
        <x:f>INDEX('Player Handicap'!$O$2:$O$201,MATCH(C30,'Player Handicap'!$E$2:$E$201,0))</x:f>
        <x:v>Weekly Americano</x:v>
      </x:c>
      <x:c r="J30" t="b">
        <x:f>INDEX('Player Handicap'!$N$2:$N$201,MATCH(C30,'Player Handicap'!$E$2:$E$201,0))</x:f>
        <x:v>1</x:v>
      </x:c>
    </x:row>
    <x:row r="31">
      <x:c r="A31" t="n">
        <x:v>18</x:v>
      </x:c>
      <x:c r="B31" t="str">
        <x:f>INDEX('Player Handicap'!$B$2:$B$201,MATCH(C31,'Player Handicap'!$E$2:$E$201,0))</x:f>
        <x:v>Hansen</x:v>
      </x:c>
      <x:c r="C31" s="88" t="n">
        <x:f>LARGE('Player Handicap'!$E$2:$E$201,A31)</x:f>
        <x:v>34.74019645757599</x:v>
      </x:c>
      <x:c r="D31" t="n">
        <x:f>INDEX('Player Handicap'!$K$2:$K$201,MATCH(C31,'Player Handicap'!$E$2:$E$201,0))</x:f>
        <x:v>-4</x:v>
      </x:c>
      <x:c r="E31" t="str">
        <x:f>INDEX('Player Handicap'!$L$2:$L$201,MATCH(C31,'Player Handicap'!$E$2:$E$201,0))</x:f>
        <x:v>D</x:v>
      </x:c>
      <x:c r="F31" t="n">
        <x:f>INDEX('Player Handicap'!$D$2:$D$201,MATCH(C31,'Player Handicap'!$E$2:$E$201,0))</x:f>
        <x:v>6</x:v>
      </x:c>
      <x:c r="G31" t="str">
        <x:f>INDEX('Player Handicap'!$F$2:$F$201,MATCH(C31,'Player Handicap'!$E$2:$E$201,0))</x:f>
        <x:v>Developing</x:v>
      </x:c>
      <x:c r="H31" t="str">
        <x:f>INDEX('Player Handicap'!$M$2:$M$201,MATCH(C31,'Player Handicap'!$E$2:$E$201,0))</x:f>
        <x:v>★★</x:v>
      </x:c>
      <x:c r="I31" t="str">
        <x:f>INDEX('Player Handicap'!$O$2:$O$201,MATCH(C31,'Player Handicap'!$E$2:$E$201,0))</x:f>
        <x:v>Weekly Americano</x:v>
      </x:c>
      <x:c r="J31" t="b">
        <x:f>INDEX('Player Handicap'!$N$2:$N$201,MATCH(C31,'Player Handicap'!$E$2:$E$201,0))</x:f>
        <x:v>1</x:v>
      </x:c>
    </x:row>
    <x:row r="32">
      <x:c r="A32" t="n">
        <x:v>19</x:v>
      </x:c>
      <x:c r="B32" t="str">
        <x:f>INDEX('Player Handicap'!$B$2:$B$201,MATCH(C32,'Player Handicap'!$E$2:$E$201,0))</x:f>
        <x:v>Welly</x:v>
      </x:c>
      <x:c r="C32" s="88" t="n">
        <x:f>LARGE('Player Handicap'!$E$2:$E$201,A32)</x:f>
        <x:v>33.619652635433916</x:v>
      </x:c>
      <x:c r="D32" t="n">
        <x:f>INDEX('Player Handicap'!$K$2:$K$201,MATCH(C32,'Player Handicap'!$E$2:$E$201,0))</x:f>
        <x:v>-4</x:v>
      </x:c>
      <x:c r="E32" t="str">
        <x:f>INDEX('Player Handicap'!$L$2:$L$201,MATCH(C32,'Player Handicap'!$E$2:$E$201,0))</x:f>
        <x:v>D</x:v>
      </x:c>
      <x:c r="F32" t="n">
        <x:f>INDEX('Player Handicap'!$D$2:$D$201,MATCH(C32,'Player Handicap'!$E$2:$E$201,0))</x:f>
        <x:v>10</x:v>
      </x:c>
      <x:c r="G32" t="str">
        <x:f>INDEX('Player Handicap'!$F$2:$F$201,MATCH(C32,'Player Handicap'!$E$2:$E$201,0))</x:f>
        <x:v>Developing</x:v>
      </x:c>
      <x:c r="H32" t="str">
        <x:f>INDEX('Player Handicap'!$M$2:$M$201,MATCH(C32,'Player Handicap'!$E$2:$E$201,0))</x:f>
        <x:v>★★★</x:v>
      </x:c>
      <x:c r="I32" t="str">
        <x:f>INDEX('Player Handicap'!$O$2:$O$201,MATCH(C32,'Player Handicap'!$E$2:$E$201,0))</x:f>
        <x:v>Weekly Americano</x:v>
      </x:c>
      <x:c r="J32" t="b">
        <x:f>INDEX('Player Handicap'!$N$2:$N$201,MATCH(C32,'Player Handicap'!$E$2:$E$201,0))</x:f>
        <x:v>1</x:v>
      </x:c>
    </x:row>
    <x:row r="33">
      <x:c r="A33" t="n">
        <x:v>20</x:v>
      </x:c>
      <x:c r="B33" t="str">
        <x:f>INDEX('Player Handicap'!$B$2:$B$201,MATCH(C33,'Player Handicap'!$E$2:$E$201,0))</x:f>
        <x:v>Alice</x:v>
      </x:c>
      <x:c r="C33" s="88" t="n">
        <x:f>LARGE('Player Handicap'!$E$2:$E$201,A33)</x:f>
        <x:v>31.416544114755286</x:v>
      </x:c>
      <x:c r="D33" t="n">
        <x:f>INDEX('Player Handicap'!$K$2:$K$201,MATCH(C33,'Player Handicap'!$E$2:$E$201,0))</x:f>
        <x:v>-4</x:v>
      </x:c>
      <x:c r="E33" t="str">
        <x:f>INDEX('Player Handicap'!$L$2:$L$201,MATCH(C33,'Player Handicap'!$E$2:$E$201,0))</x:f>
        <x:v>D</x:v>
      </x:c>
      <x:c r="F33" t="n">
        <x:f>INDEX('Player Handicap'!$D$2:$D$201,MATCH(C33,'Player Handicap'!$E$2:$E$201,0))</x:f>
        <x:v>14</x:v>
      </x:c>
      <x:c r="G33" t="str">
        <x:f>INDEX('Player Handicap'!$F$2:$F$201,MATCH(C33,'Player Handicap'!$E$2:$E$201,0))</x:f>
        <x:v>Established</x:v>
      </x:c>
      <x:c r="H33" t="str">
        <x:f>INDEX('Player Handicap'!$M$2:$M$201,MATCH(C33,'Player Handicap'!$E$2:$E$201,0))</x:f>
        <x:v>★★★</x:v>
      </x:c>
      <x:c r="I33" t="str">
        <x:f>INDEX('Player Handicap'!$O$2:$O$201,MATCH(C33,'Player Handicap'!$E$2:$E$201,0))</x:f>
        <x:v>Weekly Americano</x:v>
      </x:c>
      <x:c r="J33" t="b">
        <x:f>INDEX('Player Handicap'!$N$2:$N$201,MATCH(C33,'Player Handicap'!$E$2:$E$201,0))</x:f>
        <x:v>1</x:v>
      </x:c>
    </x:row>
  </x:sheetData>
  <x:mergeCells>
    <x:mergeCell ref="A1:J1"/>
  </x:mergeCells>
  <x:conditionalFormatting sqref="C14:C33">
    <x:cfRule type="dataBar" priority="1">
      <x:dataBar>
        <x:cfvo type="min"/>
        <x:cfvo type="max"/>
        <x:color rgb="FFA02B93"/>
      </x:dataBar>
    </x:cfRule>
  </x:conditionalFormatting>
  <x:pageMargins left="0.7" right="0.7" top="0.75" bottom="0.75" header="0.3" footer="0.3"/>
  <x:drawing xmlns:r="http://schemas.openxmlformats.org/officeDocument/2006/relationships" r:id="Rde751d0cddda4f6f"/>
</x:worksheet>
</file>

<file path=xl/worksheets/sheet21.xml><?xml version="1.0" encoding="utf-8"?>
<x:worksheet xmlns:x="http://schemas.openxmlformats.org/spreadsheetml/2006/main">
  <x:sheetFormatPr baseColWidth="8" defaultRowHeight="15"/>
  <x:cols>
    <x:col min="1" max="1" width="24" style="125" customWidth="1"/>
    <x:col min="2" max="2" width="52" style="125" customWidth="1"/>
    <x:col min="3" max="3" width="52" style="125" customWidth="1"/>
    <x:col min="4" max="4" width="54" style="125" customWidth="1"/>
  </x:cols>
  <x:sheetData>
    <x:row r="1">
      <x:c r="A1" s="71" t="inlineStr">
        <x:is>
          <x:t xml:space="preserve">FLPR Stage 6 — Implementation Rules</x:t>
        </x:is>
      </x:c>
      <x:c r="B1" s="1" t="n"/>
      <x:c r="C1" s="1" t="n"/>
      <x:c r="D1" s="1" t="n"/>
    </x:row>
    <x:row r="2">
      <x:c r="A2" s="139" t="n"/>
      <x:c r="B2" s="139" t="n"/>
      <x:c r="C2" s="139" t="n"/>
      <x:c r="D2" s="139" t="n"/>
    </x:row>
    <x:row r="3">
      <x:c r="A3" s="62" t="inlineStr">
        <x:is>
          <x:t xml:space="preserve">Module</x:t>
        </x:is>
      </x:c>
      <x:c r="B3" s="62" t="inlineStr">
        <x:is>
          <x:t xml:space="preserve">Rule</x:t>
        </x:is>
      </x:c>
      <x:c r="C3" s="62" t="inlineStr">
        <x:is>
          <x:t xml:space="preserve">Purpose</x:t>
        </x:is>
      </x:c>
      <x:c r="D3" s="62" t="inlineStr">
        <x:is>
          <x:t xml:space="preserve">Operational Note</x:t>
        </x:is>
      </x:c>
    </x:row>
    <x:row r="4">
      <x:c r="A4" s="139" t="inlineStr">
        <x:is>
          <x:t xml:space="preserve">Player Handicap</x:t>
        </x:is>
      </x:c>
      <x:c r="B4" s="139" t="inlineStr">
        <x:is>
          <x:t xml:space="preserve">Rating is converted to an index from +4 to −4.</x:t>
        </x:is>
      </x:c>
      <x:c r="C4" s="139" t="inlineStr">
        <x:is>
          <x:t xml:space="preserve">Creates a usable balancing number.</x:t>
        </x:is>
      </x:c>
      <x:c r="D4" s="139" t="inlineStr">
        <x:is>
          <x:t xml:space="preserve">Official handicap movement is capped per event.</x:t>
        </x:is>
      </x:c>
    </x:row>
    <x:row r="5">
      <x:c r="A5" s="139" t="inlineStr">
        <x:is>
          <x:t xml:space="preserve">Moderate Change</x:t>
        </x:is>
      </x:c>
      <x:c r="B5" s="139" t="inlineStr">
        <x:is>
          <x:t xml:space="preserve">Maximum movement is one index per weekly event.</x:t>
        </x:is>
      </x:c>
      <x:c r="C5" s="139" t="inlineStr">
        <x:is>
          <x:t xml:space="preserve">Avoids overreaction to one hot or poor tournament.</x:t>
        </x:is>
      </x:c>
      <x:c r="D5" s="139" t="inlineStr">
        <x:is>
          <x:t xml:space="preserve">Designed for a 2–3 tournament adjustment horizon.</x:t>
        </x:is>
      </x:c>
    </x:row>
    <x:row r="6">
      <x:c r="A6" s="139" t="inlineStr">
        <x:is>
          <x:t xml:space="preserve">New Players</x:t>
        </x:is>
      </x:c>
      <x:c r="B6" s="139" t="inlineStr">
        <x:is>
          <x:t xml:space="preserve">Start at rating 50 and receive provisional status immediately.</x:t>
        </x:is>
      </x:c>
      <x:c r="C6" s="139" t="inlineStr">
        <x:is>
          <x:t xml:space="preserve">Allows participation without waiting for ten matches.</x:t>
        </x:is>
      </x:c>
      <x:c r="D6" s="139" t="inlineStr">
        <x:is>
          <x:t xml:space="preserve">Confidence remains low until more match data is collected.</x:t>
        </x:is>
      </x:c>
    </x:row>
    <x:row r="7">
      <x:c r="A7" s="139" t="inlineStr">
        <x:is>
          <x:t xml:space="preserve">Team Strength</x:t>
        </x:is>
      </x:c>
      <x:c r="B7" s="139" t="inlineStr">
        <x:is>
          <x:t xml:space="preserve">Sum of both player ratings.</x:t>
        </x:is>
      </x:c>
      <x:c r="C7" s="139" t="inlineStr">
        <x:is>
          <x:t xml:space="preserve">Compares actual ability rather than handicap alone.</x:t>
        </x:is>
      </x:c>
      <x:c r="D7" s="139" t="inlineStr">
        <x:is>
          <x:t xml:space="preserve">Lower difference means a fairer match.</x:t>
        </x:is>
      </x:c>
    </x:row>
    <x:row r="8">
      <x:c r="A8" s="139" t="inlineStr">
        <x:is>
          <x:t xml:space="preserve">Balance Score</x:t>
        </x:is>
      </x:c>
      <x:c r="B8" s="139" t="inlineStr">
        <x:is>
          <x:t xml:space="preserve">100 − 5 × absolute team-rating difference, minimum zero.</x:t>
        </x:is>
      </x:c>
      <x:c r="C8" s="139" t="inlineStr">
        <x:is>
          <x:t xml:space="preserve">Simple and transparent pairing quality measure.</x:t>
        </x:is>
      </x:c>
      <x:c r="D8" s="139" t="inlineStr">
        <x:is>
          <x:t xml:space="preserve">Target difference ≤5; acceptable ≤10; maximum recommended ≤18.</x:t>
        </x:is>
      </x:c>
    </x:row>
    <x:row r="9">
      <x:c r="A9" s="139" t="inlineStr">
        <x:is>
          <x:t xml:space="preserve">Win Probability</x:t>
        </x:is>
      </x:c>
      <x:c r="B9" s="139" t="inlineStr">
        <x:is>
          <x:t xml:space="preserve">Logistic model based on team-rating difference.</x:t>
        </x:is>
      </x:c>
      <x:c r="C9" s="139" t="inlineStr">
        <x:is>
          <x:t xml:space="preserve">Produces an intuitive pre-match forecast.</x:t>
        </x:is>
      </x:c>
      <x:c r="D9" s="139" t="inlineStr">
        <x:is>
          <x:t xml:space="preserve">Prediction is directional, not a guarantee.</x:t>
        </x:is>
      </x:c>
    </x:row>
    <x:row r="10">
      <x:c r="A10" s="139" t="inlineStr">
        <x:is>
          <x:t xml:space="preserve">Tournament Builder</x:t>
        </x:is>
      </x:c>
      <x:c r="B10" s="139" t="inlineStr">
        <x:is>
          <x:t xml:space="preserve">Supports Americano, Mexicano, King of the Court and Team League.</x:t>
        </x:is>
      </x:c>
      <x:c r="C10" s="139" t="inlineStr">
        <x:is>
          <x:t xml:space="preserve">Creates one scalable operating template.</x:t>
        </x:is>
      </x:c>
      <x:c r="D10" s="139" t="inlineStr">
        <x:is>
          <x:t xml:space="preserve">Current live setup supports 32 participants per event and 64 match slots.</x:t>
        </x:is>
      </x:c>
    </x:row>
    <x:row r="11">
      <x:c r="A11" s="139" t="inlineStr">
        <x:is>
          <x:t xml:space="preserve">Scalability</x:t>
        </x:is>
      </x:c>
      <x:c r="B11" s="139" t="inlineStr">
        <x:is>
          <x:t xml:space="preserve">Player master contains 200 slots.</x:t>
        </x:is>
      </x:c>
      <x:c r="C11" s="139" t="inlineStr">
        <x:is>
          <x:t xml:space="preserve">Supports the vision of 100+ amateur players.</x:t>
        </x:is>
      </x:c>
      <x:c r="D11" s="139" t="inlineStr">
        <x:is>
          <x:t xml:space="preserve">Can be expanded further without changing the rating logic.</x:t>
        </x:is>
      </x:c>
    </x:row>
    <x:row r="12">
      <x:c r="A12" s="139" t="inlineStr">
        <x:is>
          <x:t xml:space="preserve">Governance</x:t>
        </x:is>
      </x:c>
      <x:c r="B12" s="139" t="inlineStr">
        <x:is>
          <x:t xml:space="preserve">Rating reflects skill; handicap supports fairness.</x:t>
        </x:is>
      </x:c>
      <x:c r="C12" s="139" t="inlineStr">
        <x:is>
          <x:t xml:space="preserve">Preserves both competitive integrity and equal opportunity.</x:t>
        </x:is>
      </x:c>
      <x:c r="D12" s="139" t="inlineStr">
        <x:is>
          <x:t xml:space="preserve">Handicap must never replace the official rating.</x:t>
        </x:is>
      </x:c>
    </x:row>
    <x:row r="13">
      <x:c r="A13" s="139" t="n"/>
      <x:c r="B13" s="139" t="n"/>
      <x:c r="C13" s="139" t="n"/>
      <x:c r="D13" s="139" t="n"/>
    </x:row>
    <x:row r="14">
      <x:c r="A14" s="139" t="n"/>
      <x:c r="B14" s="139" t="n"/>
      <x:c r="C14" s="139" t="n"/>
      <x:c r="D14" s="139" t="n"/>
    </x:row>
    <x:row r="15">
      <x:c r="A15" s="139" t="n"/>
      <x:c r="B15" s="139" t="n"/>
      <x:c r="C15" s="139" t="n"/>
      <x:c r="D15" s="139" t="n"/>
    </x:row>
    <x:row r="16">
      <x:c r="A16" s="139" t="n"/>
      <x:c r="B16" s="139" t="n"/>
      <x:c r="C16" s="139" t="n"/>
      <x:c r="D16" s="139" t="n"/>
    </x:row>
    <x:row r="17">
      <x:c r="A17" s="139" t="n"/>
      <x:c r="B17" s="139" t="n"/>
      <x:c r="C17" s="139" t="n"/>
      <x:c r="D17" s="139" t="n"/>
    </x:row>
    <x:row r="18">
      <x:c r="A18" s="139" t="n"/>
      <x:c r="B18" s="139" t="n"/>
      <x:c r="C18" s="139" t="n"/>
      <x:c r="D18" s="139" t="n"/>
    </x:row>
    <x:row r="19">
      <x:c r="A19" s="139" t="n"/>
      <x:c r="B19" s="139" t="n"/>
      <x:c r="C19" s="139" t="n"/>
      <x:c r="D19" s="139" t="n"/>
    </x:row>
    <x:row r="20">
      <x:c r="A20" s="139" t="n"/>
      <x:c r="B20" s="139" t="n"/>
      <x:c r="C20" s="139" t="n"/>
      <x:c r="D20" s="139" t="n"/>
    </x:row>
  </x:sheetData>
  <x:mergeCells>
    <x:mergeCell ref="A1:D1"/>
  </x:mergeCells>
  <x:pageMargins left="0.7" right="0.7" top="0.75" bottom="0.75" header="0.3" footer="0.3"/>
</x:worksheet>
</file>

<file path=xl/worksheets/sheet22.xml><?xml version="1.0" encoding="utf-8"?>
<x:worksheet xmlns:x="http://schemas.openxmlformats.org/spreadsheetml/2006/main">
  <x:sheetFormatPr baseColWidth="8" defaultRowHeight="15"/>
  <x:sheetData>
    <x:row r="1">
      <x:c r="A1" t="inlineStr">
        <x:is>
          <x:t xml:space="preserve">Player</x:t>
        </x:is>
      </x:c>
      <x:c r="B1" t="inlineStr">
        <x:is>
          <x:t xml:space="preserve">Handicap Class</x:t>
        </x:is>
      </x:c>
      <x:c r="C1" t="inlineStr">
        <x:is>
          <x:t xml:space="preserve">Reliability</x:t>
        </x:is>
      </x:c>
    </x:row>
    <x:row r="2">
      <x:c r="A2" t="str">
        <x:f>'FLPR Rating'!B2</x:f>
        <x:v>Alice</x:v>
      </x:c>
      <x:c r="B2">
        <x:f>IF(B2="","",IF(K2=4,"Elite+",IF(K2=3,"Elite",IF(K2=2,"A+",IF(K2=1,"A",IF(K2=0,"B+",IF(K2=-1,"B",IF(K2=-2,"C+",IF(K2=-3,"C","D")))))))))</x:f>
      </x:c>
      <x:c r="C2" t="n">
        <x:f>'FLPR Rating'!S2</x:f>
        <x:v>0.8727272727272728</x:v>
      </x:c>
    </x:row>
    <x:row r="3">
      <x:c r="A3" t="str">
        <x:f>'FLPR Rating'!B3</x:f>
        <x:v>Alwin</x:v>
      </x:c>
      <x:c r="B3">
        <x:f>IF(B3="","",IF(K3=4,"Elite+",IF(K3=3,"Elite",IF(K3=2,"A+",IF(K3=1,"A",IF(K3=0,"B+",IF(K3=-1,"B",IF(K3=-2,"C+",IF(K3=-3,"C","D")))))))))</x:f>
      </x:c>
      <x:c r="C3" t="n">
        <x:f>'FLPR Rating'!S3</x:f>
        <x:v>0.8</x:v>
      </x:c>
    </x:row>
    <x:row r="4">
      <x:c r="A4" t="str">
        <x:f>'FLPR Rating'!B4</x:f>
        <x:v>Austin</x:v>
      </x:c>
      <x:c r="B4">
        <x:f>IF(B4="","",IF(K4=4,"Elite+",IF(K4=3,"Elite",IF(K4=2,"A+",IF(K4=1,"A",IF(K4=0,"B+",IF(K4=-1,"B",IF(K4=-2,"C+",IF(K4=-3,"C","D")))))))))</x:f>
      </x:c>
      <x:c r="C4" t="n">
        <x:f>'FLPR Rating'!S4</x:f>
        <x:v>0.8727272727272728</x:v>
      </x:c>
    </x:row>
    <x:row r="5">
      <x:c r="A5" t="str">
        <x:f>'FLPR Rating'!B5</x:f>
        <x:v>David</x:v>
      </x:c>
      <x:c r="B5">
        <x:f>IF(B5="","",IF(K5=4,"Elite+",IF(K5=3,"Elite",IF(K5=2,"A+",IF(K5=1,"A",IF(K5=0,"B+",IF(K5=-1,"B",IF(K5=-2,"C+",IF(K5=-3,"C","D")))))))))</x:f>
      </x:c>
      <x:c r="C5" t="n">
        <x:f>'FLPR Rating'!S5</x:f>
        <x:v>0.86</x:v>
      </x:c>
    </x:row>
    <x:row r="6">
      <x:c r="A6" t="str">
        <x:f>'FLPR Rating'!B6</x:f>
        <x:v>Donny</x:v>
      </x:c>
      <x:c r="B6">
        <x:f>IF(B6="","",IF(K6=4,"Elite+",IF(K6=3,"Elite",IF(K6=2,"A+",IF(K6=1,"A",IF(K6=0,"B+",IF(K6=-1,"B",IF(K6=-2,"C+",IF(K6=-3,"C","D")))))))))</x:f>
      </x:c>
      <x:c r="C6" t="n">
        <x:f>'FLPR Rating'!S6</x:f>
        <x:v>0.8526315789473684</x:v>
      </x:c>
    </x:row>
    <x:row r="7">
      <x:c r="A7" t="str">
        <x:f>'FLPR Rating'!B7</x:f>
        <x:v>Edy SP</x:v>
      </x:c>
      <x:c r="B7">
        <x:f>IF(B7="","",IF(K7=4,"Elite+",IF(K7=3,"Elite",IF(K7=2,"A+",IF(K7=1,"A",IF(K7=0,"B+",IF(K7=-1,"B",IF(K7=-2,"C+",IF(K7=-3,"C","D")))))))))</x:f>
      </x:c>
      <x:c r="C7" t="n">
        <x:f>'FLPR Rating'!S7</x:f>
        <x:v>0.9263157894736842</x:v>
      </x:c>
    </x:row>
    <x:row r="8">
      <x:c r="A8" t="str">
        <x:f>'FLPR Rating'!B8</x:f>
        <x:v>Hansen</x:v>
      </x:c>
      <x:c r="B8">
        <x:f>IF(B8="","",IF(K8=4,"Elite+",IF(K8=3,"Elite",IF(K8=2,"A+",IF(K8=1,"A",IF(K8=0,"B+",IF(K8=-1,"B",IF(K8=-2,"C+",IF(K8=-3,"C","D")))))))))</x:f>
      </x:c>
      <x:c r="C8" t="n">
        <x:f>'FLPR Rating'!S8</x:f>
        <x:v>0.8</x:v>
      </x:c>
    </x:row>
    <x:row r="9">
      <x:c r="A9" t="str">
        <x:f>'FLPR Rating'!B9</x:f>
        <x:v>Jonathan</x:v>
      </x:c>
      <x:c r="B9">
        <x:f>IF(B9="","",IF(K9=4,"Elite+",IF(K9=3,"Elite",IF(K9=2,"A+",IF(K9=1,"A",IF(K9=0,"B+",IF(K9=-1,"B",IF(K9=-2,"C+",IF(K9=-3,"C","D")))))))))</x:f>
      </x:c>
      <x:c r="C9" t="n">
        <x:f>'FLPR Rating'!S9</x:f>
        <x:v>0.8</x:v>
      </x:c>
    </x:row>
    <x:row r="10">
      <x:c r="A10" t="str">
        <x:f>'FLPR Rating'!B10</x:f>
        <x:v>Kennard</x:v>
      </x:c>
      <x:c r="B10">
        <x:f>IF(B10="","",IF(K10=4,"Elite+",IF(K10=3,"Elite",IF(K10=2,"A+",IF(K10=1,"A",IF(K10=0,"B+",IF(K10=-1,"B",IF(K10=-2,"C+",IF(K10=-3,"C","D")))))))))</x:f>
      </x:c>
      <x:c r="C10" t="n">
        <x:f>'FLPR Rating'!S10</x:f>
        <x:v>0.8666666666666667</x:v>
      </x:c>
    </x:row>
    <x:row r="11">
      <x:c r="A11" t="str">
        <x:f>'FLPR Rating'!B11</x:f>
        <x:v>Michael</x:v>
      </x:c>
      <x:c r="B11">
        <x:f>IF(B11="","",IF(K11=4,"Elite+",IF(K11=3,"Elite",IF(K11=2,"A+",IF(K11=1,"A",IF(K11=0,"B+",IF(K11=-1,"B",IF(K11=-2,"C+",IF(K11=-3,"C","D")))))))))</x:f>
      </x:c>
      <x:c r="C11" t="n">
        <x:f>'FLPR Rating'!S11</x:f>
        <x:v>0.8666666666666667</x:v>
      </x:c>
    </x:row>
    <x:row r="12">
      <x:c r="A12" t="str">
        <x:f>'FLPR Rating'!B12</x:f>
        <x:v>Nicholas</x:v>
      </x:c>
      <x:c r="B12">
        <x:f>IF(B12="","",IF(K12=4,"Elite+",IF(K12=3,"Elite",IF(K12=2,"A+",IF(K12=1,"A",IF(K12=0,"B+",IF(K12=-1,"B",IF(K12=-2,"C+",IF(K12=-3,"C","D")))))))))</x:f>
      </x:c>
      <x:c r="C12" t="n">
        <x:f>'FLPR Rating'!S12</x:f>
        <x:v>0.8133333333333334</x:v>
      </x:c>
    </x:row>
    <x:row r="13">
      <x:c r="A13" t="str">
        <x:f>'FLPR Rating'!B13</x:f>
        <x:v>Nico</x:v>
      </x:c>
      <x:c r="B13">
        <x:f>IF(B13="","",IF(K13=4,"Elite+",IF(K13=3,"Elite",IF(K13=2,"A+",IF(K13=1,"A",IF(K13=0,"B+",IF(K13=-1,"B",IF(K13=-2,"C+",IF(K13=-3,"C","D")))))))))</x:f>
      </x:c>
      <x:c r="C13" t="n">
        <x:f>'FLPR Rating'!S13</x:f>
        <x:v>0.8</x:v>
      </x:c>
    </x:row>
    <x:row r="14">
      <x:c r="A14" t="str">
        <x:f>'FLPR Rating'!B14</x:f>
        <x:v>Rey</x:v>
      </x:c>
      <x:c r="B14">
        <x:f>IF(B14="","",IF(K14=4,"Elite+",IF(K14=3,"Elite",IF(K14=2,"A+",IF(K14=1,"A",IF(K14=0,"B+",IF(K14=-1,"B",IF(K14=-2,"C+",IF(K14=-3,"C","D")))))))))</x:f>
      </x:c>
      <x:c r="C14" t="n">
        <x:f>'FLPR Rating'!S14</x:f>
        <x:v>0.8133333333333334</x:v>
      </x:c>
    </x:row>
    <x:row r="15">
      <x:c r="A15" t="str">
        <x:f>'FLPR Rating'!B15</x:f>
        <x:v>Reza</x:v>
      </x:c>
      <x:c r="B15">
        <x:f>IF(B15="","",IF(K15=4,"Elite+",IF(K15=3,"Elite",IF(K15=2,"A+",IF(K15=1,"A",IF(K15=0,"B+",IF(K15=-1,"B",IF(K15=-2,"C+",IF(K15=-3,"C","D")))))))))</x:f>
      </x:c>
      <x:c r="C15" t="n">
        <x:f>'FLPR Rating'!S15</x:f>
        <x:v>0.8</x:v>
      </x:c>
    </x:row>
    <x:row r="16">
      <x:c r="A16" t="str">
        <x:f>'FLPR Rating'!B16</x:f>
        <x:v>Ricky</x:v>
      </x:c>
      <x:c r="B16">
        <x:f>IF(B16="","",IF(K16=4,"Elite+",IF(K16=3,"Elite",IF(K16=2,"A+",IF(K16=1,"A",IF(K16=0,"B+",IF(K16=-1,"B",IF(K16=-2,"C+",IF(K16=-3,"C","D")))))))))</x:f>
      </x:c>
      <x:c r="C16" t="n">
        <x:f>'FLPR Rating'!S16</x:f>
        <x:v>0.9176470588235294</x:v>
      </x:c>
    </x:row>
    <x:row r="17">
      <x:c r="A17" t="str">
        <x:f>'FLPR Rating'!B17</x:f>
        <x:v>Rizky</x:v>
      </x:c>
      <x:c r="B17">
        <x:f>IF(B17="","",IF(K17=4,"Elite+",IF(K17=3,"Elite",IF(K17=2,"A+",IF(K17=1,"A",IF(K17=0,"B+",IF(K17=-1,"B",IF(K17=-2,"C+",IF(K17=-3,"C","D")))))))))</x:f>
      </x:c>
      <x:c r="C17" t="n">
        <x:f>'FLPR Rating'!S17</x:f>
        <x:v>0.8</x:v>
      </x:c>
    </x:row>
    <x:row r="18">
      <x:c r="A18" t="str">
        <x:f>'FLPR Rating'!B18</x:f>
        <x:v>Ronald</x:v>
      </x:c>
      <x:c r="B18">
        <x:f>IF(B18="","",IF(K18=4,"Elite+",IF(K18=3,"Elite",IF(K18=2,"A+",IF(K18=1,"A",IF(K18=0,"B+",IF(K18=-1,"B",IF(K18=-2,"C+",IF(K18=-3,"C","D")))))))))</x:f>
      </x:c>
      <x:c r="C18" t="n">
        <x:f>'FLPR Rating'!S18</x:f>
        <x:v>0.8923076923076922</x:v>
      </x:c>
    </x:row>
    <x:row r="19">
      <x:c r="A19" t="str">
        <x:f>'FLPR Rating'!B19</x:f>
        <x:v>Sandy</x:v>
      </x:c>
      <x:c r="B19">
        <x:f>IF(B19="","",IF(K19=4,"Elite+",IF(K19=3,"Elite",IF(K19=2,"A+",IF(K19=1,"A",IF(K19=0,"B+",IF(K19=-1,"B",IF(K19=-2,"C+",IF(K19=-3,"C","D")))))))))</x:f>
      </x:c>
      <x:c r="C19" t="n">
        <x:f>'FLPR Rating'!S19</x:f>
        <x:v>0.8666666666666667</x:v>
      </x:c>
    </x:row>
    <x:row r="20">
      <x:c r="A20" t="str">
        <x:f>'FLPR Rating'!B20</x:f>
        <x:v>Thohir</x:v>
      </x:c>
      <x:c r="B20">
        <x:f>IF(B20="","",IF(K20=4,"Elite+",IF(K20=3,"Elite",IF(K20=2,"A+",IF(K20=1,"A",IF(K20=0,"B+",IF(K20=-1,"B",IF(K20=-2,"C+",IF(K20=-3,"C","D")))))))))</x:f>
      </x:c>
      <x:c r="C20" t="n">
        <x:f>'FLPR Rating'!S20</x:f>
        <x:v>0.7666666666666667</x:v>
      </x:c>
    </x:row>
    <x:row r="21">
      <x:c r="A21" t="str">
        <x:f>'FLPR Rating'!B21</x:f>
        <x:v>Welly</x:v>
      </x:c>
      <x:c r="B21">
        <x:f>IF(B21="","",IF(K21=4,"Elite+",IF(K21=3,"Elite",IF(K21=2,"A+",IF(K21=1,"A",IF(K21=0,"B+",IF(K21=-1,"B",IF(K21=-2,"C+",IF(K21=-3,"C","D")))))))))</x:f>
      </x:c>
      <x:c r="C21" t="n">
        <x:f>'FLPR Rating'!S21</x:f>
        <x:v>0.8444444444444444</x:v>
      </x:c>
    </x:row>
    <x:row r="22">
      <x:c r="B22">
        <x:f>IF(B22="","",IF(K22=4,"Elite+",IF(K22=3,"Elite",IF(K22=2,"A+",IF(K22=1,"A",IF(K22=0,"B+",IF(K22=-1,"B",IF(K22=-2,"C+",IF(K22=-3,"C","D")))))))))</x:f>
      </x:c>
      <x:c r="C22" t="str">
        <x:f>IF(B22="","",MIN(1,0.65+0.35*D22/(D22+8)))</x:f>
      </x:c>
    </x:row>
    <x:row r="23">
      <x:c r="B23">
        <x:f>IF(B23="","",IF(K23=4,"Elite+",IF(K23=3,"Elite",IF(K23=2,"A+",IF(K23=1,"A",IF(K23=0,"B+",IF(K23=-1,"B",IF(K23=-2,"C+",IF(K23=-3,"C","D")))))))))</x:f>
      </x:c>
      <x:c r="C23" t="str">
        <x:f>IF(B23="","",MIN(1,0.65+0.35*D23/(D23+8)))</x:f>
      </x:c>
    </x:row>
    <x:row r="24">
      <x:c r="B24">
        <x:f>IF(B24="","",IF(K24=4,"Elite+",IF(K24=3,"Elite",IF(K24=2,"A+",IF(K24=1,"A",IF(K24=0,"B+",IF(K24=-1,"B",IF(K24=-2,"C+",IF(K24=-3,"C","D")))))))))</x:f>
      </x:c>
      <x:c r="C24" t="str">
        <x:f>IF(B24="","",MIN(1,0.65+0.35*D24/(D24+8)))</x:f>
      </x:c>
    </x:row>
    <x:row r="25">
      <x:c r="B25">
        <x:f>IF(B25="","",IF(K25=4,"Elite+",IF(K25=3,"Elite",IF(K25=2,"A+",IF(K25=1,"A",IF(K25=0,"B+",IF(K25=-1,"B",IF(K25=-2,"C+",IF(K25=-3,"C","D")))))))))</x:f>
      </x:c>
      <x:c r="C25" t="str">
        <x:f>IF(B25="","",MIN(1,0.65+0.35*D25/(D25+8)))</x:f>
      </x:c>
    </x:row>
    <x:row r="26">
      <x:c r="B26">
        <x:f>IF(B26="","",IF(K26=4,"Elite+",IF(K26=3,"Elite",IF(K26=2,"A+",IF(K26=1,"A",IF(K26=0,"B+",IF(K26=-1,"B",IF(K26=-2,"C+",IF(K26=-3,"C","D")))))))))</x:f>
      </x:c>
      <x:c r="C26" t="str">
        <x:f>IF(B26="","",MIN(1,0.65+0.35*D26/(D26+8)))</x:f>
      </x:c>
    </x:row>
    <x:row r="27">
      <x:c r="B27">
        <x:f>IF(B27="","",IF(K27=4,"Elite+",IF(K27=3,"Elite",IF(K27=2,"A+",IF(K27=1,"A",IF(K27=0,"B+",IF(K27=-1,"B",IF(K27=-2,"C+",IF(K27=-3,"C","D")))))))))</x:f>
      </x:c>
      <x:c r="C27" t="str">
        <x:f>IF(B27="","",MIN(1,0.65+0.35*D27/(D27+8)))</x:f>
      </x:c>
    </x:row>
    <x:row r="28">
      <x:c r="B28">
        <x:f>IF(B28="","",IF(K28=4,"Elite+",IF(K28=3,"Elite",IF(K28=2,"A+",IF(K28=1,"A",IF(K28=0,"B+",IF(K28=-1,"B",IF(K28=-2,"C+",IF(K28=-3,"C","D")))))))))</x:f>
      </x:c>
      <x:c r="C28" t="str">
        <x:f>IF(B28="","",MIN(1,0.65+0.35*D28/(D28+8)))</x:f>
      </x:c>
    </x:row>
    <x:row r="29">
      <x:c r="B29">
        <x:f>IF(B29="","",IF(K29=4,"Elite+",IF(K29=3,"Elite",IF(K29=2,"A+",IF(K29=1,"A",IF(K29=0,"B+",IF(K29=-1,"B",IF(K29=-2,"C+",IF(K29=-3,"C","D")))))))))</x:f>
      </x:c>
      <x:c r="C29" t="str">
        <x:f>IF(B29="","",MIN(1,0.65+0.35*D29/(D29+8)))</x:f>
      </x:c>
    </x:row>
    <x:row r="30">
      <x:c r="A30" t="inlineStr">
        <x:is>
          <x:t xml:space="preserve">Handicap</x:t>
        </x:is>
      </x:c>
      <x:c r="B30" t="inlineStr">
        <x:is>
          <x:t xml:space="preserve">Players</x:t>
        </x:is>
      </x:c>
      <x:c r="C30" t="n">
        <x:f>IF(B30="","",MIN(1,0.65+0.35*D30/(D30+8)))</x:f>
        <x:v>0.65</x:v>
      </x:c>
    </x:row>
    <x:row r="31">
      <x:c r="A31" t="str">
        <x:f>IF(B100="","",IF(K100=4,"Elite+",IF(K100=3,"Elite",IF(K100=2,"A+",IF(K100=1,"A",IF(K100=0,"B+",IF(K100=-1,"B",IF(K100=-2,"C+",IF(K100=-3,"C","D")))))))))</x:f>
        <x:v>B+</x:v>
      </x:c>
      <x:c r="B31" t="n">
        <x:v>1</x:v>
      </x:c>
      <x:c r="C31" t="n">
        <x:f>IF(B31="","",MIN(1,0.65+0.35*D31/(D31+8)))</x:f>
        <x:v>0.65</x:v>
      </x:c>
    </x:row>
    <x:row r="32">
      <x:c r="A32" t="str">
        <x:f>IF(B101="","",IF(K101=4,"Elite+",IF(K101=3,"Elite",IF(K101=2,"A+",IF(K101=1,"A",IF(K101=0,"B+",IF(K101=-1,"B",IF(K101=-2,"C+",IF(K101=-3,"C","D")))))))))</x:f>
        <x:v>B+</x:v>
      </x:c>
      <x:c r="B32" t="n">
        <x:v>1</x:v>
      </x:c>
      <x:c r="C32" t="n">
        <x:f>IF(B32="","",MIN(1,0.65+0.35*D32/(D32+8)))</x:f>
        <x:v>0.65</x:v>
      </x:c>
    </x:row>
    <x:row r="33">
      <x:c r="A33" t="str">
        <x:f>IF(B102="","",IF(K102=4,"Elite+",IF(K102=3,"Elite",IF(K102=2,"A+",IF(K102=1,"A",IF(K102=0,"B+",IF(K102=-1,"B",IF(K102=-2,"C+",IF(K102=-3,"C","D")))))))))</x:f>
        <x:v>B+</x:v>
      </x:c>
      <x:c r="B33" t="n">
        <x:v>1</x:v>
      </x:c>
      <x:c r="C33" t="n">
        <x:f>IF(B33="","",MIN(1,0.65+0.35*D33/(D33+8)))</x:f>
        <x:v>0.65</x:v>
      </x:c>
    </x:row>
    <x:row r="34">
      <x:c r="A34" t="str">
        <x:f>IF(B103="","",IF(K103=4,"Elite+",IF(K103=3,"Elite",IF(K103=2,"A+",IF(K103=1,"A",IF(K103=0,"B+",IF(K103=-1,"B",IF(K103=-2,"C+",IF(K103=-3,"C","D")))))))))</x:f>
        <x:v>B+</x:v>
      </x:c>
      <x:c r="B34" t="n">
        <x:v>1</x:v>
      </x:c>
      <x:c r="C34" t="n">
        <x:f>IF(B34="","",MIN(1,0.65+0.35*D34/(D34+8)))</x:f>
        <x:v>0.65</x:v>
      </x:c>
    </x:row>
    <x:row r="35">
      <x:c r="A35" t="str">
        <x:f>IF(B104="","",IF(K104=4,"Elite+",IF(K104=3,"Elite",IF(K104=2,"A+",IF(K104=1,"A",IF(K104=0,"B+",IF(K104=-1,"B",IF(K104=-2,"C+",IF(K104=-3,"C","D")))))))))</x:f>
        <x:v>B+</x:v>
      </x:c>
      <x:c r="B35" t="n">
        <x:v>1</x:v>
      </x:c>
      <x:c r="C35" t="n">
        <x:f>IF(B35="","",MIN(1,0.65+0.35*D35/(D35+8)))</x:f>
        <x:v>0.65</x:v>
      </x:c>
    </x:row>
    <x:row r="36">
      <x:c r="A36" t="str">
        <x:f>IF(B105="","",IF(K105=4,"Elite+",IF(K105=3,"Elite",IF(K105=2,"A+",IF(K105=1,"A",IF(K105=0,"B+",IF(K105=-1,"B",IF(K105=-2,"C+",IF(K105=-3,"C","D")))))))))</x:f>
        <x:v>B+</x:v>
      </x:c>
      <x:c r="B36" t="n">
        <x:v>1</x:v>
      </x:c>
      <x:c r="C36" t="n">
        <x:f>IF(B36="","",MIN(1,0.65+0.35*D36/(D36+8)))</x:f>
        <x:v>0.65</x:v>
      </x:c>
    </x:row>
    <x:row r="37">
      <x:c r="A37" t="str">
        <x:f>IF(B106="","",IF(K106=4,"Elite+",IF(K106=3,"Elite",IF(K106=2,"A+",IF(K106=1,"A",IF(K106=0,"B+",IF(K106=-1,"B",IF(K106=-2,"C+",IF(K106=-3,"C","D")))))))))</x:f>
        <x:v>B+</x:v>
      </x:c>
      <x:c r="B37" t="n">
        <x:v>1</x:v>
      </x:c>
      <x:c r="C37" t="n">
        <x:f>IF(B37="","",MIN(1,0.65+0.35*D37/(D37+8)))</x:f>
        <x:v>0.65</x:v>
      </x:c>
    </x:row>
    <x:row r="38">
      <x:c r="A38" t="str">
        <x:f>IF(B107="","",IF(K107=4,"Elite+",IF(K107=3,"Elite",IF(K107=2,"A+",IF(K107=1,"A",IF(K107=0,"B+",IF(K107=-1,"B",IF(K107=-2,"C+",IF(K107=-3,"C","D")))))))))</x:f>
        <x:v>B+</x:v>
      </x:c>
      <x:c r="B38" t="n">
        <x:v>1</x:v>
      </x:c>
      <x:c r="C38" t="n">
        <x:f>IF(B38="","",MIN(1,0.65+0.35*D38/(D38+8)))</x:f>
        <x:v>0.65</x:v>
      </x:c>
    </x:row>
    <x:row r="39">
      <x:c r="A39" t="str">
        <x:f>IF(B108="","",IF(K108=4,"Elite+",IF(K108=3,"Elite",IF(K108=2,"A+",IF(K108=1,"A",IF(K108=0,"B+",IF(K108=-1,"B",IF(K108=-2,"C+",IF(K108=-3,"C","D")))))))))</x:f>
        <x:v>B+</x:v>
      </x:c>
      <x:c r="B39" t="n">
        <x:v>1</x:v>
      </x:c>
      <x:c r="C39" t="n">
        <x:f>IF(B39="","",MIN(1,0.65+0.35*D39/(D39+8)))</x:f>
        <x:v>0.65</x:v>
      </x:c>
    </x:row>
    <x:row r="40">
      <x:c r="A40" t="str">
        <x:f>IF(B109="","",IF(K109=4,"Elite+",IF(K109=3,"Elite",IF(K109=2,"A+",IF(K109=1,"A",IF(K109=0,"B+",IF(K109=-1,"B",IF(K109=-2,"C+",IF(K109=-3,"C","D")))))))))</x:f>
        <x:v>B+</x:v>
      </x:c>
      <x:c r="B40" t="n">
        <x:v>1</x:v>
      </x:c>
      <x:c r="C40" t="n">
        <x:f>IF(B40="","",MIN(1,0.65+0.35*D40/(D40+8)))</x:f>
        <x:v>0.65</x:v>
      </x:c>
    </x:row>
    <x:row r="41">
      <x:c r="A41" t="str">
        <x:f>IF(B10="","",IF(K10=4,"Elite+",IF(K10=3,"Elite",IF(K10=2,"A+",IF(K10=1,"A",IF(K10=0,"B+",IF(K10=-1,"B",IF(K10=-2,"C+",IF(K10=-3,"C","D")))))))))</x:f>
      </x:c>
      <x:c r="B41" t="n">
        <x:v>1</x:v>
      </x:c>
      <x:c r="C41" t="n">
        <x:f>IF(B41="","",MIN(1,0.65+0.35*D41/(D41+8)))</x:f>
        <x:v>0.65</x:v>
      </x:c>
    </x:row>
    <x:row r="42">
      <x:c r="A42" t="str">
        <x:f>IF(B110="","",IF(K110=4,"Elite+",IF(K110=3,"Elite",IF(K110=2,"A+",IF(K110=1,"A",IF(K110=0,"B+",IF(K110=-1,"B",IF(K110=-2,"C+",IF(K110=-3,"C","D")))))))))</x:f>
        <x:v>B+</x:v>
      </x:c>
      <x:c r="B42" t="n">
        <x:v>1</x:v>
      </x:c>
      <x:c r="C42" t="n">
        <x:f>IF(B42="","",MIN(1,0.65+0.35*D42/(D42+8)))</x:f>
        <x:v>0.65</x:v>
      </x:c>
    </x:row>
    <x:row r="43">
      <x:c r="A43" t="str">
        <x:f>IF(B111="","",IF(K111=4,"Elite+",IF(K111=3,"Elite",IF(K111=2,"A+",IF(K111=1,"A",IF(K111=0,"B+",IF(K111=-1,"B",IF(K111=-2,"C+",IF(K111=-3,"C","D")))))))))</x:f>
        <x:v>B+</x:v>
      </x:c>
      <x:c r="B43" t="n">
        <x:v>1</x:v>
      </x:c>
      <x:c r="C43" t="n">
        <x:f>IF(B43="","",MIN(1,0.65+0.35*D43/(D43+8)))</x:f>
        <x:v>0.65</x:v>
      </x:c>
    </x:row>
    <x:row r="44">
      <x:c r="A44" t="str">
        <x:f>IF(B112="","",IF(K112=4,"Elite+",IF(K112=3,"Elite",IF(K112=2,"A+",IF(K112=1,"A",IF(K112=0,"B+",IF(K112=-1,"B",IF(K112=-2,"C+",IF(K112=-3,"C","D")))))))))</x:f>
        <x:v>B+</x:v>
      </x:c>
      <x:c r="B44" t="n">
        <x:v>1</x:v>
      </x:c>
      <x:c r="C44" t="n">
        <x:f>IF(B44="","",MIN(1,0.65+0.35*D44/(D44+8)))</x:f>
        <x:v>0.65</x:v>
      </x:c>
    </x:row>
    <x:row r="45">
      <x:c r="A45" t="str">
        <x:f>IF(B113="","",IF(K113=4,"Elite+",IF(K113=3,"Elite",IF(K113=2,"A+",IF(K113=1,"A",IF(K113=0,"B+",IF(K113=-1,"B",IF(K113=-2,"C+",IF(K113=-3,"C","D")))))))))</x:f>
        <x:v>B+</x:v>
      </x:c>
      <x:c r="B45" t="n">
        <x:v>1</x:v>
      </x:c>
      <x:c r="C45" t="n">
        <x:f>IF(B45="","",MIN(1,0.65+0.35*D45/(D45+8)))</x:f>
        <x:v>0.65</x:v>
      </x:c>
    </x:row>
    <x:row r="46">
      <x:c r="A46" t="str">
        <x:f>IF(B114="","",IF(K114=4,"Elite+",IF(K114=3,"Elite",IF(K114=2,"A+",IF(K114=1,"A",IF(K114=0,"B+",IF(K114=-1,"B",IF(K114=-2,"C+",IF(K114=-3,"C","D")))))))))</x:f>
        <x:v>B+</x:v>
      </x:c>
      <x:c r="B46" t="n">
        <x:v>1</x:v>
      </x:c>
      <x:c r="C46" t="n">
        <x:f>IF(B46="","",MIN(1,0.65+0.35*D46/(D46+8)))</x:f>
        <x:v>0.65</x:v>
      </x:c>
    </x:row>
    <x:row r="47">
      <x:c r="A47" t="str">
        <x:f>IF(B115="","",IF(K115=4,"Elite+",IF(K115=3,"Elite",IF(K115=2,"A+",IF(K115=1,"A",IF(K115=0,"B+",IF(K115=-1,"B",IF(K115=-2,"C+",IF(K115=-3,"C","D")))))))))</x:f>
        <x:v>B+</x:v>
      </x:c>
      <x:c r="B47" t="n">
        <x:v>1</x:v>
      </x:c>
      <x:c r="C47" t="n">
        <x:f>IF(B47="","",MIN(1,0.65+0.35*D47/(D47+8)))</x:f>
        <x:v>0.65</x:v>
      </x:c>
    </x:row>
    <x:row r="48">
      <x:c r="A48" t="str">
        <x:f>IF(B116="","",IF(K116=4,"Elite+",IF(K116=3,"Elite",IF(K116=2,"A+",IF(K116=1,"A",IF(K116=0,"B+",IF(K116=-1,"B",IF(K116=-2,"C+",IF(K116=-3,"C","D")))))))))</x:f>
        <x:v>B+</x:v>
      </x:c>
      <x:c r="B48" t="n">
        <x:v>1</x:v>
      </x:c>
      <x:c r="C48" t="n">
        <x:f>IF(B48="","",MIN(1,0.65+0.35*D48/(D48+8)))</x:f>
        <x:v>0.65</x:v>
      </x:c>
    </x:row>
    <x:row r="49">
      <x:c r="A49" t="str">
        <x:f>IF(B117="","",IF(K117=4,"Elite+",IF(K117=3,"Elite",IF(K117=2,"A+",IF(K117=1,"A",IF(K117=0,"B+",IF(K117=-1,"B",IF(K117=-2,"C+",IF(K117=-3,"C","D")))))))))</x:f>
        <x:v>B+</x:v>
      </x:c>
      <x:c r="B49" t="n">
        <x:v>1</x:v>
      </x:c>
      <x:c r="C49" t="n">
        <x:f>IF(B49="","",MIN(1,0.65+0.35*D49/(D49+8)))</x:f>
        <x:v>0.65</x:v>
      </x:c>
    </x:row>
    <x:row r="50">
      <x:c r="A50" t="str">
        <x:f>IF(B118="","",IF(K118=4,"Elite+",IF(K118=3,"Elite",IF(K118=2,"A+",IF(K118=1,"A",IF(K118=0,"B+",IF(K118=-1,"B",IF(K118=-2,"C+",IF(K118=-3,"C","D")))))))))</x:f>
        <x:v>B+</x:v>
      </x:c>
      <x:c r="B50" t="n">
        <x:v>1</x:v>
      </x:c>
      <x:c r="C50" t="n">
        <x:f>IF(B50="","",MIN(1,0.65+0.35*D50/(D50+8)))</x:f>
        <x:v>0.65</x:v>
      </x:c>
    </x:row>
    <x:row r="51">
      <x:c r="A51" t="str">
        <x:f>IF(B119="","",IF(K119=4,"Elite+",IF(K119=3,"Elite",IF(K119=2,"A+",IF(K119=1,"A",IF(K119=0,"B+",IF(K119=-1,"B",IF(K119=-2,"C+",IF(K119=-3,"C","D")))))))))</x:f>
        <x:v>B+</x:v>
      </x:c>
      <x:c r="B51" t="n">
        <x:v>1</x:v>
      </x:c>
      <x:c r="C51" t="n">
        <x:f>IF(B51="","",MIN(1,0.65+0.35*D51/(D51+8)))</x:f>
        <x:v>0.65</x:v>
      </x:c>
    </x:row>
    <x:row r="52">
      <x:c r="A52" t="str">
        <x:f>IF(B11="","",IF(K11=4,"Elite+",IF(K11=3,"Elite",IF(K11=2,"A+",IF(K11=1,"A",IF(K11=0,"B+",IF(K11=-1,"B",IF(K11=-2,"C+",IF(K11=-3,"C","D")))))))))</x:f>
      </x:c>
      <x:c r="B52" t="n">
        <x:v>1</x:v>
      </x:c>
      <x:c r="C52" t="n">
        <x:f>IF(B52="","",MIN(1,0.65+0.35*D52/(D52+8)))</x:f>
        <x:v>0.65</x:v>
      </x:c>
    </x:row>
    <x:row r="53">
      <x:c r="A53" t="str">
        <x:f>IF(B120="","",IF(K120=4,"Elite+",IF(K120=3,"Elite",IF(K120=2,"A+",IF(K120=1,"A",IF(K120=0,"B+",IF(K120=-1,"B",IF(K120=-2,"C+",IF(K120=-3,"C","D")))))))))</x:f>
        <x:v>B+</x:v>
      </x:c>
      <x:c r="B53" t="n">
        <x:v>1</x:v>
      </x:c>
      <x:c r="C53" t="n">
        <x:f>IF(B53="","",MIN(1,0.65+0.35*D53/(D53+8)))</x:f>
        <x:v>0.65</x:v>
      </x:c>
    </x:row>
    <x:row r="54">
      <x:c r="A54" t="str">
        <x:f>IF(B121="","",IF(K121=4,"Elite+",IF(K121=3,"Elite",IF(K121=2,"A+",IF(K121=1,"A",IF(K121=0,"B+",IF(K121=-1,"B",IF(K121=-2,"C+",IF(K121=-3,"C","D")))))))))</x:f>
        <x:v>B+</x:v>
      </x:c>
      <x:c r="B54" t="n">
        <x:v>1</x:v>
      </x:c>
      <x:c r="C54" t="n">
        <x:f>IF(B54="","",MIN(1,0.65+0.35*D54/(D54+8)))</x:f>
        <x:v>0.65</x:v>
      </x:c>
    </x:row>
    <x:row r="55">
      <x:c r="A55" t="str">
        <x:f>IF(B122="","",IF(K122=4,"Elite+",IF(K122=3,"Elite",IF(K122=2,"A+",IF(K122=1,"A",IF(K122=0,"B+",IF(K122=-1,"B",IF(K122=-2,"C+",IF(K122=-3,"C","D")))))))))</x:f>
        <x:v>B+</x:v>
      </x:c>
      <x:c r="B55" t="n">
        <x:v>1</x:v>
      </x:c>
      <x:c r="C55" t="n">
        <x:f>IF(B55="","",MIN(1,0.65+0.35*D55/(D55+8)))</x:f>
        <x:v>0.65</x:v>
      </x:c>
    </x:row>
    <x:row r="56">
      <x:c r="A56" t="str">
        <x:f>IF(B123="","",IF(K123=4,"Elite+",IF(K123=3,"Elite",IF(K123=2,"A+",IF(K123=1,"A",IF(K123=0,"B+",IF(K123=-1,"B",IF(K123=-2,"C+",IF(K123=-3,"C","D")))))))))</x:f>
        <x:v>B+</x:v>
      </x:c>
      <x:c r="B56" t="n">
        <x:v>1</x:v>
      </x:c>
      <x:c r="C56" t="n">
        <x:f>IF(B56="","",MIN(1,0.65+0.35*D56/(D56+8)))</x:f>
        <x:v>0.65</x:v>
      </x:c>
    </x:row>
    <x:row r="57">
      <x:c r="A57" t="str">
        <x:f>IF(B124="","",IF(K124=4,"Elite+",IF(K124=3,"Elite",IF(K124=2,"A+",IF(K124=1,"A",IF(K124=0,"B+",IF(K124=-1,"B",IF(K124=-2,"C+",IF(K124=-3,"C","D")))))))))</x:f>
        <x:v>B+</x:v>
      </x:c>
      <x:c r="B57" t="n">
        <x:v>1</x:v>
      </x:c>
      <x:c r="C57" t="n">
        <x:f>IF(B57="","",MIN(1,0.65+0.35*D57/(D57+8)))</x:f>
        <x:v>0.65</x:v>
      </x:c>
    </x:row>
    <x:row r="58">
      <x:c r="A58" t="str">
        <x:f>IF(B125="","",IF(K125=4,"Elite+",IF(K125=3,"Elite",IF(K125=2,"A+",IF(K125=1,"A",IF(K125=0,"B+",IF(K125=-1,"B",IF(K125=-2,"C+",IF(K125=-3,"C","D")))))))))</x:f>
        <x:v>B+</x:v>
      </x:c>
      <x:c r="B58" t="n">
        <x:v>1</x:v>
      </x:c>
      <x:c r="C58" t="n">
        <x:f>IF(B58="","",MIN(1,0.65+0.35*D58/(D58+8)))</x:f>
        <x:v>0.65</x:v>
      </x:c>
    </x:row>
    <x:row r="59">
      <x:c r="A59" t="str">
        <x:f>IF(B126="","",IF(K126=4,"Elite+",IF(K126=3,"Elite",IF(K126=2,"A+",IF(K126=1,"A",IF(K126=0,"B+",IF(K126=-1,"B",IF(K126=-2,"C+",IF(K126=-3,"C","D")))))))))</x:f>
        <x:v>B+</x:v>
      </x:c>
      <x:c r="B59" t="n">
        <x:v>1</x:v>
      </x:c>
      <x:c r="C59" t="n">
        <x:f>IF(B59="","",MIN(1,0.65+0.35*D59/(D59+8)))</x:f>
        <x:v>0.65</x:v>
      </x:c>
    </x:row>
    <x:row r="60">
      <x:c r="A60" t="str">
        <x:f>IF(B127="","",IF(K127=4,"Elite+",IF(K127=3,"Elite",IF(K127=2,"A+",IF(K127=1,"A",IF(K127=0,"B+",IF(K127=-1,"B",IF(K127=-2,"C+",IF(K127=-3,"C","D")))))))))</x:f>
        <x:v>B+</x:v>
      </x:c>
      <x:c r="B60" t="n">
        <x:v>1</x:v>
      </x:c>
      <x:c r="C60" t="n">
        <x:f>IF(B60="","",MIN(1,0.65+0.35*D60/(D60+8)))</x:f>
        <x:v>0.65</x:v>
      </x:c>
    </x:row>
    <x:row r="61">
      <x:c r="A61" t="str">
        <x:f>IF(B128="","",IF(K128=4,"Elite+",IF(K128=3,"Elite",IF(K128=2,"A+",IF(K128=1,"A",IF(K128=0,"B+",IF(K128=-1,"B",IF(K128=-2,"C+",IF(K128=-3,"C","D")))))))))</x:f>
        <x:v>B+</x:v>
      </x:c>
      <x:c r="B61" t="n">
        <x:v>1</x:v>
      </x:c>
      <x:c r="C61" t="n">
        <x:f>IF(B61="","",MIN(1,0.65+0.35*D61/(D61+8)))</x:f>
        <x:v>0.65</x:v>
      </x:c>
    </x:row>
    <x:row r="62">
      <x:c r="A62" t="str">
        <x:f>IF(B129="","",IF(K129=4,"Elite+",IF(K129=3,"Elite",IF(K129=2,"A+",IF(K129=1,"A",IF(K129=0,"B+",IF(K129=-1,"B",IF(K129=-2,"C+",IF(K129=-3,"C","D")))))))))</x:f>
        <x:v>B+</x:v>
      </x:c>
      <x:c r="B62" t="n">
        <x:v>1</x:v>
      </x:c>
      <x:c r="C62" t="n">
        <x:f>IF(B62="","",MIN(1,0.65+0.35*D62/(D62+8)))</x:f>
        <x:v>0.65</x:v>
      </x:c>
    </x:row>
    <x:row r="63">
      <x:c r="A63" t="str">
        <x:f>IF(B12="","",IF(K12=4,"Elite+",IF(K12=3,"Elite",IF(K12=2,"A+",IF(K12=1,"A",IF(K12=0,"B+",IF(K12=-1,"B",IF(K12=-2,"C+",IF(K12=-3,"C","D")))))))))</x:f>
      </x:c>
      <x:c r="B63" t="n">
        <x:v>1</x:v>
      </x:c>
      <x:c r="C63" t="n">
        <x:f>IF(B63="","",MIN(1,0.65+0.35*D63/(D63+8)))</x:f>
        <x:v>0.65</x:v>
      </x:c>
    </x:row>
    <x:row r="64">
      <x:c r="A64" t="str">
        <x:f>IF(B130="","",IF(K130=4,"Elite+",IF(K130=3,"Elite",IF(K130=2,"A+",IF(K130=1,"A",IF(K130=0,"B+",IF(K130=-1,"B",IF(K130=-2,"C+",IF(K130=-3,"C","D")))))))))</x:f>
        <x:v>B+</x:v>
      </x:c>
      <x:c r="B64" t="n">
        <x:v>1</x:v>
      </x:c>
      <x:c r="C64" t="n">
        <x:f>IF(B64="","",MIN(1,0.65+0.35*D64/(D64+8)))</x:f>
        <x:v>0.65</x:v>
      </x:c>
    </x:row>
    <x:row r="65">
      <x:c r="A65" t="str">
        <x:f>IF(B131="","",IF(K131=4,"Elite+",IF(K131=3,"Elite",IF(K131=2,"A+",IF(K131=1,"A",IF(K131=0,"B+",IF(K131=-1,"B",IF(K131=-2,"C+",IF(K131=-3,"C","D")))))))))</x:f>
        <x:v>B+</x:v>
      </x:c>
      <x:c r="B65" t="n">
        <x:v>1</x:v>
      </x:c>
      <x:c r="C65" t="n">
        <x:f>IF(B65="","",MIN(1,0.65+0.35*D65/(D65+8)))</x:f>
        <x:v>0.65</x:v>
      </x:c>
    </x:row>
    <x:row r="66">
      <x:c r="A66" t="str">
        <x:f>IF(B132="","",IF(K132=4,"Elite+",IF(K132=3,"Elite",IF(K132=2,"A+",IF(K132=1,"A",IF(K132=0,"B+",IF(K132=-1,"B",IF(K132=-2,"C+",IF(K132=-3,"C","D")))))))))</x:f>
        <x:v>B+</x:v>
      </x:c>
      <x:c r="B66" t="n">
        <x:v>1</x:v>
      </x:c>
      <x:c r="C66" t="n">
        <x:f>IF(B66="","",MIN(1,0.65+0.35*D66/(D66+8)))</x:f>
        <x:v>0.65</x:v>
      </x:c>
    </x:row>
    <x:row r="67">
      <x:c r="A67" t="str">
        <x:f>IF(B133="","",IF(K133=4,"Elite+",IF(K133=3,"Elite",IF(K133=2,"A+",IF(K133=1,"A",IF(K133=0,"B+",IF(K133=-1,"B",IF(K133=-2,"C+",IF(K133=-3,"C","D")))))))))</x:f>
        <x:v>B+</x:v>
      </x:c>
      <x:c r="B67" t="n">
        <x:v>1</x:v>
      </x:c>
      <x:c r="C67" t="n">
        <x:f>IF(B67="","",MIN(1,0.65+0.35*D67/(D67+8)))</x:f>
        <x:v>0.65</x:v>
      </x:c>
    </x:row>
    <x:row r="68">
      <x:c r="A68" t="str">
        <x:f>IF(B134="","",IF(K134=4,"Elite+",IF(K134=3,"Elite",IF(K134=2,"A+",IF(K134=1,"A",IF(K134=0,"B+",IF(K134=-1,"B",IF(K134=-2,"C+",IF(K134=-3,"C","D")))))))))</x:f>
        <x:v>B+</x:v>
      </x:c>
      <x:c r="B68" t="n">
        <x:v>1</x:v>
      </x:c>
      <x:c r="C68" t="n">
        <x:f>IF(B68="","",MIN(1,0.65+0.35*D68/(D68+8)))</x:f>
        <x:v>0.65</x:v>
      </x:c>
    </x:row>
    <x:row r="69">
      <x:c r="A69" t="str">
        <x:f>IF(B135="","",IF(K135=4,"Elite+",IF(K135=3,"Elite",IF(K135=2,"A+",IF(K135=1,"A",IF(K135=0,"B+",IF(K135=-1,"B",IF(K135=-2,"C+",IF(K135=-3,"C","D")))))))))</x:f>
        <x:v>B+</x:v>
      </x:c>
      <x:c r="B69" t="n">
        <x:v>1</x:v>
      </x:c>
      <x:c r="C69" t="n">
        <x:f>IF(B69="","",MIN(1,0.65+0.35*D69/(D69+8)))</x:f>
        <x:v>0.65</x:v>
      </x:c>
    </x:row>
    <x:row r="70">
      <x:c r="A70" t="str">
        <x:f>IF(B136="","",IF(K136=4,"Elite+",IF(K136=3,"Elite",IF(K136=2,"A+",IF(K136=1,"A",IF(K136=0,"B+",IF(K136=-1,"B",IF(K136=-2,"C+",IF(K136=-3,"C","D")))))))))</x:f>
        <x:v>B+</x:v>
      </x:c>
      <x:c r="B70" t="n">
        <x:v>1</x:v>
      </x:c>
      <x:c r="C70" t="n">
        <x:f>IF(B70="","",MIN(1,0.65+0.35*D70/(D70+8)))</x:f>
        <x:v>0.65</x:v>
      </x:c>
    </x:row>
    <x:row r="71">
      <x:c r="A71" t="str">
        <x:f>IF(B137="","",IF(K137=4,"Elite+",IF(K137=3,"Elite",IF(K137=2,"A+",IF(K137=1,"A",IF(K137=0,"B+",IF(K137=-1,"B",IF(K137=-2,"C+",IF(K137=-3,"C","D")))))))))</x:f>
        <x:v>B+</x:v>
      </x:c>
      <x:c r="B71" t="n">
        <x:v>1</x:v>
      </x:c>
      <x:c r="C71" t="n">
        <x:f>IF(B71="","",MIN(1,0.65+0.35*D71/(D71+8)))</x:f>
        <x:v>0.65</x:v>
      </x:c>
    </x:row>
    <x:row r="72">
      <x:c r="A72" t="str">
        <x:f>IF(B138="","",IF(K138=4,"Elite+",IF(K138=3,"Elite",IF(K138=2,"A+",IF(K138=1,"A",IF(K138=0,"B+",IF(K138=-1,"B",IF(K138=-2,"C+",IF(K138=-3,"C","D")))))))))</x:f>
        <x:v>B+</x:v>
      </x:c>
      <x:c r="B72" t="n">
        <x:v>1</x:v>
      </x:c>
      <x:c r="C72" t="n">
        <x:f>IF(B72="","",MIN(1,0.65+0.35*D72/(D72+8)))</x:f>
        <x:v>0.65</x:v>
      </x:c>
    </x:row>
    <x:row r="73">
      <x:c r="A73" t="str">
        <x:f>IF(B139="","",IF(K139=4,"Elite+",IF(K139=3,"Elite",IF(K139=2,"A+",IF(K139=1,"A",IF(K139=0,"B+",IF(K139=-1,"B",IF(K139=-2,"C+",IF(K139=-3,"C","D")))))))))</x:f>
        <x:v>B+</x:v>
      </x:c>
      <x:c r="B73" t="n">
        <x:v>1</x:v>
      </x:c>
      <x:c r="C73" t="n">
        <x:f>IF(B73="","",MIN(1,0.65+0.35*D73/(D73+8)))</x:f>
        <x:v>0.65</x:v>
      </x:c>
    </x:row>
    <x:row r="74">
      <x:c r="A74" t="str">
        <x:f>IF(B13="","",IF(K13=4,"Elite+",IF(K13=3,"Elite",IF(K13=2,"A+",IF(K13=1,"A",IF(K13=0,"B+",IF(K13=-1,"B",IF(K13=-2,"C+",IF(K13=-3,"C","D")))))))))</x:f>
      </x:c>
      <x:c r="B74" t="n">
        <x:v>1</x:v>
      </x:c>
      <x:c r="C74" t="n">
        <x:f>IF(B74="","",MIN(1,0.65+0.35*D74/(D74+8)))</x:f>
        <x:v>0.65</x:v>
      </x:c>
    </x:row>
    <x:row r="75">
      <x:c r="A75" t="str">
        <x:f>IF(B140="","",IF(K140=4,"Elite+",IF(K140=3,"Elite",IF(K140=2,"A+",IF(K140=1,"A",IF(K140=0,"B+",IF(K140=-1,"B",IF(K140=-2,"C+",IF(K140=-3,"C","D")))))))))</x:f>
        <x:v>B+</x:v>
      </x:c>
      <x:c r="B75" t="n">
        <x:v>1</x:v>
      </x:c>
      <x:c r="C75" t="n">
        <x:f>IF(B75="","",MIN(1,0.65+0.35*D75/(D75+8)))</x:f>
        <x:v>0.65</x:v>
      </x:c>
    </x:row>
    <x:row r="76">
      <x:c r="A76" t="str">
        <x:f>IF(B141="","",IF(K141=4,"Elite+",IF(K141=3,"Elite",IF(K141=2,"A+",IF(K141=1,"A",IF(K141=0,"B+",IF(K141=-1,"B",IF(K141=-2,"C+",IF(K141=-3,"C","D")))))))))</x:f>
        <x:v>B+</x:v>
      </x:c>
      <x:c r="B76" t="n">
        <x:v>1</x:v>
      </x:c>
      <x:c r="C76" t="n">
        <x:f>IF(B76="","",MIN(1,0.65+0.35*D76/(D76+8)))</x:f>
        <x:v>0.65</x:v>
      </x:c>
    </x:row>
    <x:row r="77">
      <x:c r="A77" t="str">
        <x:f>IF(B142="","",IF(K142=4,"Elite+",IF(K142=3,"Elite",IF(K142=2,"A+",IF(K142=1,"A",IF(K142=0,"B+",IF(K142=-1,"B",IF(K142=-2,"C+",IF(K142=-3,"C","D")))))))))</x:f>
        <x:v>B+</x:v>
      </x:c>
      <x:c r="B77" t="n">
        <x:v>1</x:v>
      </x:c>
      <x:c r="C77" t="n">
        <x:f>IF(B77="","",MIN(1,0.65+0.35*D77/(D77+8)))</x:f>
        <x:v>0.65</x:v>
      </x:c>
    </x:row>
    <x:row r="78">
      <x:c r="A78" t="str">
        <x:f>IF(B143="","",IF(K143=4,"Elite+",IF(K143=3,"Elite",IF(K143=2,"A+",IF(K143=1,"A",IF(K143=0,"B+",IF(K143=-1,"B",IF(K143=-2,"C+",IF(K143=-3,"C","D")))))))))</x:f>
        <x:v>B+</x:v>
      </x:c>
      <x:c r="B78" t="n">
        <x:v>1</x:v>
      </x:c>
      <x:c r="C78" t="n">
        <x:f>IF(B78="","",MIN(1,0.65+0.35*D78/(D78+8)))</x:f>
        <x:v>0.65</x:v>
      </x:c>
    </x:row>
    <x:row r="79">
      <x:c r="A79" t="str">
        <x:f>IF(B144="","",IF(K144=4,"Elite+",IF(K144=3,"Elite",IF(K144=2,"A+",IF(K144=1,"A",IF(K144=0,"B+",IF(K144=-1,"B",IF(K144=-2,"C+",IF(K144=-3,"C","D")))))))))</x:f>
        <x:v>B+</x:v>
      </x:c>
      <x:c r="B79" t="n">
        <x:v>1</x:v>
      </x:c>
      <x:c r="C79" t="n">
        <x:f>IF(B79="","",MIN(1,0.65+0.35*D79/(D79+8)))</x:f>
        <x:v>0.65</x:v>
      </x:c>
    </x:row>
    <x:row r="80">
      <x:c r="A80" t="str">
        <x:f>IF(B145="","",IF(K145=4,"Elite+",IF(K145=3,"Elite",IF(K145=2,"A+",IF(K145=1,"A",IF(K145=0,"B+",IF(K145=-1,"B",IF(K145=-2,"C+",IF(K145=-3,"C","D")))))))))</x:f>
        <x:v>B+</x:v>
      </x:c>
      <x:c r="B80" t="n">
        <x:v>1</x:v>
      </x:c>
      <x:c r="C80" t="n">
        <x:f>IF(B80="","",MIN(1,0.65+0.35*D80/(D80+8)))</x:f>
        <x:v>0.65</x:v>
      </x:c>
    </x:row>
    <x:row r="81">
      <x:c r="A81" t="str">
        <x:f>IF(B146="","",IF(K146=4,"Elite+",IF(K146=3,"Elite",IF(K146=2,"A+",IF(K146=1,"A",IF(K146=0,"B+",IF(K146=-1,"B",IF(K146=-2,"C+",IF(K146=-3,"C","D")))))))))</x:f>
        <x:v>B+</x:v>
      </x:c>
      <x:c r="B81" t="n">
        <x:v>1</x:v>
      </x:c>
      <x:c r="C81" t="n">
        <x:f>IF(B81="","",MIN(1,0.65+0.35*D81/(D81+8)))</x:f>
        <x:v>0.65</x:v>
      </x:c>
    </x:row>
    <x:row r="82">
      <x:c r="A82" t="str">
        <x:f>IF(B147="","",IF(K147=4,"Elite+",IF(K147=3,"Elite",IF(K147=2,"A+",IF(K147=1,"A",IF(K147=0,"B+",IF(K147=-1,"B",IF(K147=-2,"C+",IF(K147=-3,"C","D")))))))))</x:f>
        <x:v>B+</x:v>
      </x:c>
      <x:c r="B82" t="n">
        <x:v>1</x:v>
      </x:c>
      <x:c r="C82" t="n">
        <x:f>IF(B82="","",MIN(1,0.65+0.35*D82/(D82+8)))</x:f>
        <x:v>0.65</x:v>
      </x:c>
    </x:row>
    <x:row r="83">
      <x:c r="A83" t="str">
        <x:f>IF(B148="","",IF(K148=4,"Elite+",IF(K148=3,"Elite",IF(K148=2,"A+",IF(K148=1,"A",IF(K148=0,"B+",IF(K148=-1,"B",IF(K148=-2,"C+",IF(K148=-3,"C","D")))))))))</x:f>
        <x:v>B+</x:v>
      </x:c>
      <x:c r="B83" t="n">
        <x:v>1</x:v>
      </x:c>
      <x:c r="C83" t="n">
        <x:f>IF(B83="","",MIN(1,0.65+0.35*D83/(D83+8)))</x:f>
        <x:v>0.65</x:v>
      </x:c>
    </x:row>
    <x:row r="84">
      <x:c r="A84" t="str">
        <x:f>IF(B149="","",IF(K149=4,"Elite+",IF(K149=3,"Elite",IF(K149=2,"A+",IF(K149=1,"A",IF(K149=0,"B+",IF(K149=-1,"B",IF(K149=-2,"C+",IF(K149=-3,"C","D")))))))))</x:f>
        <x:v>B+</x:v>
      </x:c>
      <x:c r="B84" t="n">
        <x:v>1</x:v>
      </x:c>
      <x:c r="C84" t="n">
        <x:f>IF(B84="","",MIN(1,0.65+0.35*D84/(D84+8)))</x:f>
        <x:v>0.65</x:v>
      </x:c>
    </x:row>
    <x:row r="85">
      <x:c r="A85" t="str">
        <x:f>IF(B14="","",IF(K14=4,"Elite+",IF(K14=3,"Elite",IF(K14=2,"A+",IF(K14=1,"A",IF(K14=0,"B+",IF(K14=-1,"B",IF(K14=-2,"C+",IF(K14=-3,"C","D")))))))))</x:f>
      </x:c>
      <x:c r="B85" t="n">
        <x:v>1</x:v>
      </x:c>
      <x:c r="C85" t="n">
        <x:f>IF(B85="","",MIN(1,0.65+0.35*D85/(D85+8)))</x:f>
        <x:v>0.65</x:v>
      </x:c>
    </x:row>
    <x:row r="86">
      <x:c r="A86" t="str">
        <x:f>IF(B150="","",IF(K150=4,"Elite+",IF(K150=3,"Elite",IF(K150=2,"A+",IF(K150=1,"A",IF(K150=0,"B+",IF(K150=-1,"B",IF(K150=-2,"C+",IF(K150=-3,"C","D")))))))))</x:f>
        <x:v>B+</x:v>
      </x:c>
      <x:c r="B86" t="n">
        <x:v>1</x:v>
      </x:c>
      <x:c r="C86" t="n">
        <x:f>IF(B86="","",MIN(1,0.65+0.35*D86/(D86+8)))</x:f>
        <x:v>0.65</x:v>
      </x:c>
    </x:row>
    <x:row r="87">
      <x:c r="A87" t="str">
        <x:f>IF(B151="","",IF(K151=4,"Elite+",IF(K151=3,"Elite",IF(K151=2,"A+",IF(K151=1,"A",IF(K151=0,"B+",IF(K151=-1,"B",IF(K151=-2,"C+",IF(K151=-3,"C","D")))))))))</x:f>
        <x:v>B+</x:v>
      </x:c>
      <x:c r="B87" t="n">
        <x:v>1</x:v>
      </x:c>
      <x:c r="C87" t="n">
        <x:f>IF(B87="","",MIN(1,0.65+0.35*D87/(D87+8)))</x:f>
        <x:v>0.65</x:v>
      </x:c>
    </x:row>
    <x:row r="88">
      <x:c r="A88" t="str">
        <x:f>IF(B152="","",IF(K152=4,"Elite+",IF(K152=3,"Elite",IF(K152=2,"A+",IF(K152=1,"A",IF(K152=0,"B+",IF(K152=-1,"B",IF(K152=-2,"C+",IF(K152=-3,"C","D")))))))))</x:f>
        <x:v>B+</x:v>
      </x:c>
      <x:c r="B88" t="n">
        <x:v>1</x:v>
      </x:c>
      <x:c r="C88" t="n">
        <x:f>IF(B88="","",MIN(1,0.65+0.35*D88/(D88+8)))</x:f>
        <x:v>0.65</x:v>
      </x:c>
    </x:row>
    <x:row r="89">
      <x:c r="A89" t="str">
        <x:f>IF(B153="","",IF(K153=4,"Elite+",IF(K153=3,"Elite",IF(K153=2,"A+",IF(K153=1,"A",IF(K153=0,"B+",IF(K153=-1,"B",IF(K153=-2,"C+",IF(K153=-3,"C","D")))))))))</x:f>
        <x:v>B+</x:v>
      </x:c>
      <x:c r="B89" t="n">
        <x:v>1</x:v>
      </x:c>
      <x:c r="C89" t="n">
        <x:f>IF(B89="","",MIN(1,0.65+0.35*D89/(D89+8)))</x:f>
        <x:v>0.65</x:v>
      </x:c>
    </x:row>
    <x:row r="90">
      <x:c r="A90" t="str">
        <x:f>IF(B154="","",IF(K154=4,"Elite+",IF(K154=3,"Elite",IF(K154=2,"A+",IF(K154=1,"A",IF(K154=0,"B+",IF(K154=-1,"B",IF(K154=-2,"C+",IF(K154=-3,"C","D")))))))))</x:f>
        <x:v>B+</x:v>
      </x:c>
      <x:c r="B90" t="n">
        <x:v>1</x:v>
      </x:c>
      <x:c r="C90" t="n">
        <x:f>IF(B90="","",MIN(1,0.65+0.35*D90/(D90+8)))</x:f>
        <x:v>0.65</x:v>
      </x:c>
    </x:row>
    <x:row r="91">
      <x:c r="A91" t="str">
        <x:f>IF(B155="","",IF(K155=4,"Elite+",IF(K155=3,"Elite",IF(K155=2,"A+",IF(K155=1,"A",IF(K155=0,"B+",IF(K155=-1,"B",IF(K155=-2,"C+",IF(K155=-3,"C","D")))))))))</x:f>
        <x:v>B+</x:v>
      </x:c>
      <x:c r="B91" t="n">
        <x:v>1</x:v>
      </x:c>
      <x:c r="C91" t="n">
        <x:f>IF(B91="","",MIN(1,0.65+0.35*D91/(D91+8)))</x:f>
        <x:v>0.65</x:v>
      </x:c>
    </x:row>
    <x:row r="92">
      <x:c r="A92" t="str">
        <x:f>IF(B156="","",IF(K156=4,"Elite+",IF(K156=3,"Elite",IF(K156=2,"A+",IF(K156=1,"A",IF(K156=0,"B+",IF(K156=-1,"B",IF(K156=-2,"C+",IF(K156=-3,"C","D")))))))))</x:f>
        <x:v>B+</x:v>
      </x:c>
      <x:c r="B92" t="n">
        <x:v>1</x:v>
      </x:c>
      <x:c r="C92" t="n">
        <x:f>IF(B92="","",MIN(1,0.65+0.35*D92/(D92+8)))</x:f>
        <x:v>0.65</x:v>
      </x:c>
    </x:row>
    <x:row r="93">
      <x:c r="A93" t="str">
        <x:f>IF(B157="","",IF(K157=4,"Elite+",IF(K157=3,"Elite",IF(K157=2,"A+",IF(K157=1,"A",IF(K157=0,"B+",IF(K157=-1,"B",IF(K157=-2,"C+",IF(K157=-3,"C","D")))))))))</x:f>
        <x:v>B+</x:v>
      </x:c>
      <x:c r="B93" t="n">
        <x:v>1</x:v>
      </x:c>
      <x:c r="C93" t="n">
        <x:f>IF(B93="","",MIN(1,0.65+0.35*D93/(D93+8)))</x:f>
        <x:v>0.65</x:v>
      </x:c>
    </x:row>
    <x:row r="94">
      <x:c r="A94" t="str">
        <x:f>IF(B158="","",IF(K158=4,"Elite+",IF(K158=3,"Elite",IF(K158=2,"A+",IF(K158=1,"A",IF(K158=0,"B+",IF(K158=-1,"B",IF(K158=-2,"C+",IF(K158=-3,"C","D")))))))))</x:f>
        <x:v>B+</x:v>
      </x:c>
      <x:c r="B94" t="n">
        <x:v>1</x:v>
      </x:c>
      <x:c r="C94" t="n">
        <x:f>IF(B94="","",MIN(1,0.65+0.35*D94/(D94+8)))</x:f>
        <x:v>0.65</x:v>
      </x:c>
    </x:row>
    <x:row r="95">
      <x:c r="A95" t="str">
        <x:f>IF(B159="","",IF(K159=4,"Elite+",IF(K159=3,"Elite",IF(K159=2,"A+",IF(K159=1,"A",IF(K159=0,"B+",IF(K159=-1,"B",IF(K159=-2,"C+",IF(K159=-3,"C","D")))))))))</x:f>
        <x:v>B+</x:v>
      </x:c>
      <x:c r="B95" t="n">
        <x:v>1</x:v>
      </x:c>
      <x:c r="C95" t="n">
        <x:f>IF(B95="","",MIN(1,0.65+0.35*D95/(D95+8)))</x:f>
        <x:v>0.65</x:v>
      </x:c>
    </x:row>
    <x:row r="96">
      <x:c r="A96" t="str">
        <x:f>IF(B15="","",IF(K15=4,"Elite+",IF(K15=3,"Elite",IF(K15=2,"A+",IF(K15=1,"A",IF(K15=0,"B+",IF(K15=-1,"B",IF(K15=-2,"C+",IF(K15=-3,"C","D")))))))))</x:f>
      </x:c>
      <x:c r="B96" t="n">
        <x:v>1</x:v>
      </x:c>
      <x:c r="C96" t="n">
        <x:f>IF(B96="","",MIN(1,0.65+0.35*D96/(D96+8)))</x:f>
        <x:v>0.65</x:v>
      </x:c>
    </x:row>
    <x:row r="97">
      <x:c r="A97" t="str">
        <x:f>IF(B160="","",IF(K160=4,"Elite+",IF(K160=3,"Elite",IF(K160=2,"A+",IF(K160=1,"A",IF(K160=0,"B+",IF(K160=-1,"B",IF(K160=-2,"C+",IF(K160=-3,"C","D")))))))))</x:f>
        <x:v>B+</x:v>
      </x:c>
      <x:c r="B97" t="n">
        <x:v>1</x:v>
      </x:c>
      <x:c r="C97" t="n">
        <x:f>IF(B97="","",MIN(1,0.65+0.35*D97/(D97+8)))</x:f>
        <x:v>0.65</x:v>
      </x:c>
    </x:row>
    <x:row r="98">
      <x:c r="A98" t="str">
        <x:f>IF(B161="","",IF(K161=4,"Elite+",IF(K161=3,"Elite",IF(K161=2,"A+",IF(K161=1,"A",IF(K161=0,"B+",IF(K161=-1,"B",IF(K161=-2,"C+",IF(K161=-3,"C","D")))))))))</x:f>
        <x:v>B+</x:v>
      </x:c>
      <x:c r="B98" t="n">
        <x:v>1</x:v>
      </x:c>
      <x:c r="C98" t="n">
        <x:f>IF(B98="","",MIN(1,0.65+0.35*D98/(D98+8)))</x:f>
        <x:v>0.65</x:v>
      </x:c>
    </x:row>
    <x:row r="99">
      <x:c r="A99" t="str">
        <x:f>IF(B162="","",IF(K162=4,"Elite+",IF(K162=3,"Elite",IF(K162=2,"A+",IF(K162=1,"A",IF(K162=0,"B+",IF(K162=-1,"B",IF(K162=-2,"C+",IF(K162=-3,"C","D")))))))))</x:f>
        <x:v>B+</x:v>
      </x:c>
      <x:c r="B99" t="n">
        <x:v>1</x:v>
      </x:c>
      <x:c r="C99" t="n">
        <x:f>IF(B99="","",MIN(1,0.65+0.35*D99/(D99+8)))</x:f>
        <x:v>0.65</x:v>
      </x:c>
    </x:row>
    <x:row r="100">
      <x:c r="A100" t="str">
        <x:f>IF(B163="","",IF(K163=4,"Elite+",IF(K163=3,"Elite",IF(K163=2,"A+",IF(K163=1,"A",IF(K163=0,"B+",IF(K163=-1,"B",IF(K163=-2,"C+",IF(K163=-3,"C","D")))))))))</x:f>
        <x:v>B+</x:v>
      </x:c>
      <x:c r="B100" t="n">
        <x:v>1</x:v>
      </x:c>
      <x:c r="C100" t="n">
        <x:f>IF(B100="","",MIN(1,0.65+0.35*D100/(D100+8)))</x:f>
        <x:v>0.65</x:v>
      </x:c>
    </x:row>
    <x:row r="101">
      <x:c r="A101" t="str">
        <x:f>IF(B164="","",IF(K164=4,"Elite+",IF(K164=3,"Elite",IF(K164=2,"A+",IF(K164=1,"A",IF(K164=0,"B+",IF(K164=-1,"B",IF(K164=-2,"C+",IF(K164=-3,"C","D")))))))))</x:f>
        <x:v>B+</x:v>
      </x:c>
      <x:c r="B101" t="n">
        <x:v>1</x:v>
      </x:c>
      <x:c r="C101" t="n">
        <x:f>IF(B101="","",MIN(1,0.65+0.35*D101/(D101+8)))</x:f>
        <x:v>0.65</x:v>
      </x:c>
    </x:row>
    <x:row r="102">
      <x:c r="A102" t="str">
        <x:f>IF(B165="","",IF(K165=4,"Elite+",IF(K165=3,"Elite",IF(K165=2,"A+",IF(K165=1,"A",IF(K165=0,"B+",IF(K165=-1,"B",IF(K165=-2,"C+",IF(K165=-3,"C","D")))))))))</x:f>
        <x:v>B+</x:v>
      </x:c>
      <x:c r="B102" t="n">
        <x:v>1</x:v>
      </x:c>
      <x:c r="C102" t="n">
        <x:f>IF(B102="","",MIN(1,0.65+0.35*D102/(D102+8)))</x:f>
        <x:v>0.65</x:v>
      </x:c>
    </x:row>
    <x:row r="103">
      <x:c r="A103" t="str">
        <x:f>IF(B166="","",IF(K166=4,"Elite+",IF(K166=3,"Elite",IF(K166=2,"A+",IF(K166=1,"A",IF(K166=0,"B+",IF(K166=-1,"B",IF(K166=-2,"C+",IF(K166=-3,"C","D")))))))))</x:f>
        <x:v>B+</x:v>
      </x:c>
      <x:c r="B103" t="n">
        <x:v>1</x:v>
      </x:c>
      <x:c r="C103" t="n">
        <x:f>IF(B103="","",MIN(1,0.65+0.35*D103/(D103+8)))</x:f>
        <x:v>0.65</x:v>
      </x:c>
    </x:row>
    <x:row r="104">
      <x:c r="A104" t="str">
        <x:f>IF(B167="","",IF(K167=4,"Elite+",IF(K167=3,"Elite",IF(K167=2,"A+",IF(K167=1,"A",IF(K167=0,"B+",IF(K167=-1,"B",IF(K167=-2,"C+",IF(K167=-3,"C","D")))))))))</x:f>
        <x:v>B+</x:v>
      </x:c>
      <x:c r="B104" t="n">
        <x:v>1</x:v>
      </x:c>
      <x:c r="C104" t="n">
        <x:f>IF(B104="","",MIN(1,0.65+0.35*D104/(D104+8)))</x:f>
        <x:v>0.65</x:v>
      </x:c>
    </x:row>
    <x:row r="105">
      <x:c r="A105" t="str">
        <x:f>IF(B168="","",IF(K168=4,"Elite+",IF(K168=3,"Elite",IF(K168=2,"A+",IF(K168=1,"A",IF(K168=0,"B+",IF(K168=-1,"B",IF(K168=-2,"C+",IF(K168=-3,"C","D")))))))))</x:f>
        <x:v>B+</x:v>
      </x:c>
      <x:c r="B105" t="n">
        <x:v>1</x:v>
      </x:c>
      <x:c r="C105" t="n">
        <x:f>IF(B105="","",MIN(1,0.65+0.35*D105/(D105+8)))</x:f>
        <x:v>0.65</x:v>
      </x:c>
    </x:row>
    <x:row r="106">
      <x:c r="A106" t="str">
        <x:f>IF(B169="","",IF(K169=4,"Elite+",IF(K169=3,"Elite",IF(K169=2,"A+",IF(K169=1,"A",IF(K169=0,"B+",IF(K169=-1,"B",IF(K169=-2,"C+",IF(K169=-3,"C","D")))))))))</x:f>
        <x:v>B+</x:v>
      </x:c>
      <x:c r="B106" t="n">
        <x:v>1</x:v>
      </x:c>
      <x:c r="C106" t="n">
        <x:f>IF(B106="","",MIN(1,0.65+0.35*D106/(D106+8)))</x:f>
        <x:v>0.65</x:v>
      </x:c>
    </x:row>
    <x:row r="107">
      <x:c r="A107" t="str">
        <x:f>IF(B16="","",IF(K16=4,"Elite+",IF(K16=3,"Elite",IF(K16=2,"A+",IF(K16=1,"A",IF(K16=0,"B+",IF(K16=-1,"B",IF(K16=-2,"C+",IF(K16=-3,"C","D")))))))))</x:f>
      </x:c>
      <x:c r="B107" t="n">
        <x:v>1</x:v>
      </x:c>
      <x:c r="C107" t="n">
        <x:f>IF(B107="","",MIN(1,0.65+0.35*D107/(D107+8)))</x:f>
        <x:v>0.65</x:v>
      </x:c>
    </x:row>
    <x:row r="108">
      <x:c r="A108" t="str">
        <x:f>IF(B170="","",IF(K170=4,"Elite+",IF(K170=3,"Elite",IF(K170=2,"A+",IF(K170=1,"A",IF(K170=0,"B+",IF(K170=-1,"B",IF(K170=-2,"C+",IF(K170=-3,"C","D")))))))))</x:f>
        <x:v>B+</x:v>
      </x:c>
      <x:c r="B108" t="n">
        <x:v>1</x:v>
      </x:c>
      <x:c r="C108" t="n">
        <x:f>IF(B108="","",MIN(1,0.65+0.35*D108/(D108+8)))</x:f>
        <x:v>0.65</x:v>
      </x:c>
    </x:row>
    <x:row r="109">
      <x:c r="A109" t="str">
        <x:f>IF(B171="","",IF(K171=4,"Elite+",IF(K171=3,"Elite",IF(K171=2,"A+",IF(K171=1,"A",IF(K171=0,"B+",IF(K171=-1,"B",IF(K171=-2,"C+",IF(K171=-3,"C","D")))))))))</x:f>
        <x:v>B+</x:v>
      </x:c>
      <x:c r="B109" t="n">
        <x:v>1</x:v>
      </x:c>
      <x:c r="C109" t="n">
        <x:f>IF(B109="","",MIN(1,0.65+0.35*D109/(D109+8)))</x:f>
        <x:v>0.65</x:v>
      </x:c>
    </x:row>
    <x:row r="110">
      <x:c r="A110" t="str">
        <x:f>IF(B172="","",IF(K172=4,"Elite+",IF(K172=3,"Elite",IF(K172=2,"A+",IF(K172=1,"A",IF(K172=0,"B+",IF(K172=-1,"B",IF(K172=-2,"C+",IF(K172=-3,"C","D")))))))))</x:f>
        <x:v>B+</x:v>
      </x:c>
      <x:c r="B110" t="n">
        <x:v>1</x:v>
      </x:c>
      <x:c r="C110" t="n">
        <x:f>IF(B110="","",MIN(1,0.65+0.35*D110/(D110+8)))</x:f>
        <x:v>0.65</x:v>
      </x:c>
    </x:row>
    <x:row r="111">
      <x:c r="A111" t="str">
        <x:f>IF(B173="","",IF(K173=4,"Elite+",IF(K173=3,"Elite",IF(K173=2,"A+",IF(K173=1,"A",IF(K173=0,"B+",IF(K173=-1,"B",IF(K173=-2,"C+",IF(K173=-3,"C","D")))))))))</x:f>
        <x:v>B+</x:v>
      </x:c>
      <x:c r="B111" t="n">
        <x:v>1</x:v>
      </x:c>
      <x:c r="C111" t="n">
        <x:f>IF(B111="","",MIN(1,0.65+0.35*D111/(D111+8)))</x:f>
        <x:v>0.65</x:v>
      </x:c>
    </x:row>
    <x:row r="112">
      <x:c r="A112" t="str">
        <x:f>IF(B174="","",IF(K174=4,"Elite+",IF(K174=3,"Elite",IF(K174=2,"A+",IF(K174=1,"A",IF(K174=0,"B+",IF(K174=-1,"B",IF(K174=-2,"C+",IF(K174=-3,"C","D")))))))))</x:f>
        <x:v>B+</x:v>
      </x:c>
      <x:c r="B112" t="n">
        <x:v>1</x:v>
      </x:c>
      <x:c r="C112" t="n">
        <x:f>IF(B112="","",MIN(1,0.65+0.35*D112/(D112+8)))</x:f>
        <x:v>0.65</x:v>
      </x:c>
    </x:row>
    <x:row r="113">
      <x:c r="A113" t="str">
        <x:f>IF(B175="","",IF(K175=4,"Elite+",IF(K175=3,"Elite",IF(K175=2,"A+",IF(K175=1,"A",IF(K175=0,"B+",IF(K175=-1,"B",IF(K175=-2,"C+",IF(K175=-3,"C","D")))))))))</x:f>
        <x:v>B+</x:v>
      </x:c>
      <x:c r="B113" t="n">
        <x:v>1</x:v>
      </x:c>
      <x:c r="C113" t="n">
        <x:f>IF(B113="","",MIN(1,0.65+0.35*D113/(D113+8)))</x:f>
        <x:v>0.65</x:v>
      </x:c>
    </x:row>
    <x:row r="114">
      <x:c r="A114" t="str">
        <x:f>IF(B176="","",IF(K176=4,"Elite+",IF(K176=3,"Elite",IF(K176=2,"A+",IF(K176=1,"A",IF(K176=0,"B+",IF(K176=-1,"B",IF(K176=-2,"C+",IF(K176=-3,"C","D")))))))))</x:f>
        <x:v>B+</x:v>
      </x:c>
      <x:c r="B114" t="n">
        <x:v>1</x:v>
      </x:c>
      <x:c r="C114" t="n">
        <x:f>IF(B114="","",MIN(1,0.65+0.35*D114/(D114+8)))</x:f>
        <x:v>0.65</x:v>
      </x:c>
    </x:row>
    <x:row r="115">
      <x:c r="A115" t="str">
        <x:f>IF(B177="","",IF(K177=4,"Elite+",IF(K177=3,"Elite",IF(K177=2,"A+",IF(K177=1,"A",IF(K177=0,"B+",IF(K177=-1,"B",IF(K177=-2,"C+",IF(K177=-3,"C","D")))))))))</x:f>
        <x:v>B+</x:v>
      </x:c>
      <x:c r="B115" t="n">
        <x:v>1</x:v>
      </x:c>
      <x:c r="C115" t="n">
        <x:f>IF(B115="","",MIN(1,0.65+0.35*D115/(D115+8)))</x:f>
        <x:v>0.65</x:v>
      </x:c>
    </x:row>
    <x:row r="116">
      <x:c r="A116" t="str">
        <x:f>IF(B178="","",IF(K178=4,"Elite+",IF(K178=3,"Elite",IF(K178=2,"A+",IF(K178=1,"A",IF(K178=0,"B+",IF(K178=-1,"B",IF(K178=-2,"C+",IF(K178=-3,"C","D")))))))))</x:f>
        <x:v>B+</x:v>
      </x:c>
      <x:c r="B116" t="n">
        <x:v>1</x:v>
      </x:c>
      <x:c r="C116" t="n">
        <x:f>IF(B116="","",MIN(1,0.65+0.35*D116/(D116+8)))</x:f>
        <x:v>0.65</x:v>
      </x:c>
    </x:row>
    <x:row r="117">
      <x:c r="A117" t="str">
        <x:f>IF(B179="","",IF(K179=4,"Elite+",IF(K179=3,"Elite",IF(K179=2,"A+",IF(K179=1,"A",IF(K179=0,"B+",IF(K179=-1,"B",IF(K179=-2,"C+",IF(K179=-3,"C","D")))))))))</x:f>
        <x:v>B+</x:v>
      </x:c>
      <x:c r="B117" t="n">
        <x:v>1</x:v>
      </x:c>
      <x:c r="C117" t="n">
        <x:f>IF(B117="","",MIN(1,0.65+0.35*D117/(D117+8)))</x:f>
        <x:v>0.65</x:v>
      </x:c>
    </x:row>
    <x:row r="118">
      <x:c r="A118" t="str">
        <x:f>IF(B17="","",IF(K17=4,"Elite+",IF(K17=3,"Elite",IF(K17=2,"A+",IF(K17=1,"A",IF(K17=0,"B+",IF(K17=-1,"B",IF(K17=-2,"C+",IF(K17=-3,"C","D")))))))))</x:f>
      </x:c>
      <x:c r="B118" t="n">
        <x:v>1</x:v>
      </x:c>
      <x:c r="C118" t="n">
        <x:f>IF(B118="","",MIN(1,0.65+0.35*D118/(D118+8)))</x:f>
        <x:v>0.65</x:v>
      </x:c>
    </x:row>
    <x:row r="119">
      <x:c r="A119" t="str">
        <x:f>IF(B180="","",IF(K180=4,"Elite+",IF(K180=3,"Elite",IF(K180=2,"A+",IF(K180=1,"A",IF(K180=0,"B+",IF(K180=-1,"B",IF(K180=-2,"C+",IF(K180=-3,"C","D")))))))))</x:f>
        <x:v>B+</x:v>
      </x:c>
      <x:c r="B119" t="n">
        <x:v>1</x:v>
      </x:c>
      <x:c r="C119" t="n">
        <x:f>IF(B119="","",MIN(1,0.65+0.35*D119/(D119+8)))</x:f>
        <x:v>0.65</x:v>
      </x:c>
    </x:row>
    <x:row r="120">
      <x:c r="A120" t="str">
        <x:f>IF(B181="","",IF(K181=4,"Elite+",IF(K181=3,"Elite",IF(K181=2,"A+",IF(K181=1,"A",IF(K181=0,"B+",IF(K181=-1,"B",IF(K181=-2,"C+",IF(K181=-3,"C","D")))))))))</x:f>
        <x:v>B+</x:v>
      </x:c>
      <x:c r="B120" t="n">
        <x:v>1</x:v>
      </x:c>
      <x:c r="C120" t="n">
        <x:f>IF(B120="","",MIN(1,0.65+0.35*D120/(D120+8)))</x:f>
        <x:v>0.65</x:v>
      </x:c>
    </x:row>
    <x:row r="121">
      <x:c r="A121" t="str">
        <x:f>IF(B182="","",IF(K182=4,"Elite+",IF(K182=3,"Elite",IF(K182=2,"A+",IF(K182=1,"A",IF(K182=0,"B+",IF(K182=-1,"B",IF(K182=-2,"C+",IF(K182=-3,"C","D")))))))))</x:f>
        <x:v>B+</x:v>
      </x:c>
      <x:c r="B121" t="n">
        <x:v>1</x:v>
      </x:c>
      <x:c r="C121" t="n">
        <x:f>IF(B121="","",MIN(1,0.65+0.35*D121/(D121+8)))</x:f>
        <x:v>0.65</x:v>
      </x:c>
    </x:row>
    <x:row r="122">
      <x:c r="A122" t="str">
        <x:f>IF(B183="","",IF(K183=4,"Elite+",IF(K183=3,"Elite",IF(K183=2,"A+",IF(K183=1,"A",IF(K183=0,"B+",IF(K183=-1,"B",IF(K183=-2,"C+",IF(K183=-3,"C","D")))))))))</x:f>
        <x:v>B+</x:v>
      </x:c>
      <x:c r="B122" t="n">
        <x:v>1</x:v>
      </x:c>
      <x:c r="C122" t="n">
        <x:f>IF(B122="","",MIN(1,0.65+0.35*D122/(D122+8)))</x:f>
        <x:v>0.65</x:v>
      </x:c>
    </x:row>
    <x:row r="123">
      <x:c r="A123" t="str">
        <x:f>IF(B184="","",IF(K184=4,"Elite+",IF(K184=3,"Elite",IF(K184=2,"A+",IF(K184=1,"A",IF(K184=0,"B+",IF(K184=-1,"B",IF(K184=-2,"C+",IF(K184=-3,"C","D")))))))))</x:f>
        <x:v>B+</x:v>
      </x:c>
      <x:c r="B123" t="n">
        <x:v>1</x:v>
      </x:c>
      <x:c r="C123" t="n">
        <x:f>IF(B123="","",MIN(1,0.65+0.35*D123/(D123+8)))</x:f>
        <x:v>0.65</x:v>
      </x:c>
    </x:row>
    <x:row r="124">
      <x:c r="A124" t="str">
        <x:f>IF(B185="","",IF(K185=4,"Elite+",IF(K185=3,"Elite",IF(K185=2,"A+",IF(K185=1,"A",IF(K185=0,"B+",IF(K185=-1,"B",IF(K185=-2,"C+",IF(K185=-3,"C","D")))))))))</x:f>
        <x:v>B+</x:v>
      </x:c>
      <x:c r="B124" t="n">
        <x:v>1</x:v>
      </x:c>
      <x:c r="C124" t="n">
        <x:f>IF(B124="","",MIN(1,0.65+0.35*D124/(D124+8)))</x:f>
        <x:v>0.65</x:v>
      </x:c>
    </x:row>
    <x:row r="125">
      <x:c r="A125" t="str">
        <x:f>IF(B186="","",IF(K186=4,"Elite+",IF(K186=3,"Elite",IF(K186=2,"A+",IF(K186=1,"A",IF(K186=0,"B+",IF(K186=-1,"B",IF(K186=-2,"C+",IF(K186=-3,"C","D")))))))))</x:f>
        <x:v>B+</x:v>
      </x:c>
      <x:c r="B125" t="n">
        <x:v>1</x:v>
      </x:c>
      <x:c r="C125" t="n">
        <x:f>IF(B125="","",MIN(1,0.65+0.35*D125/(D125+8)))</x:f>
        <x:v>0.65</x:v>
      </x:c>
    </x:row>
    <x:row r="126">
      <x:c r="A126" t="str">
        <x:f>IF(B187="","",IF(K187=4,"Elite+",IF(K187=3,"Elite",IF(K187=2,"A+",IF(K187=1,"A",IF(K187=0,"B+",IF(K187=-1,"B",IF(K187=-2,"C+",IF(K187=-3,"C","D")))))))))</x:f>
        <x:v>B+</x:v>
      </x:c>
      <x:c r="B126" t="n">
        <x:v>1</x:v>
      </x:c>
      <x:c r="C126" t="n">
        <x:f>IF(B126="","",MIN(1,0.65+0.35*D126/(D126+8)))</x:f>
        <x:v>0.65</x:v>
      </x:c>
    </x:row>
    <x:row r="127">
      <x:c r="A127" t="str">
        <x:f>IF(B188="","",IF(K188=4,"Elite+",IF(K188=3,"Elite",IF(K188=2,"A+",IF(K188=1,"A",IF(K188=0,"B+",IF(K188=-1,"B",IF(K188=-2,"C+",IF(K188=-3,"C","D")))))))))</x:f>
        <x:v>B+</x:v>
      </x:c>
      <x:c r="B127" t="n">
        <x:v>1</x:v>
      </x:c>
      <x:c r="C127" t="n">
        <x:f>IF(B127="","",MIN(1,0.65+0.35*D127/(D127+8)))</x:f>
        <x:v>0.65</x:v>
      </x:c>
    </x:row>
    <x:row r="128">
      <x:c r="A128" t="str">
        <x:f>IF(B189="","",IF(K189=4,"Elite+",IF(K189=3,"Elite",IF(K189=2,"A+",IF(K189=1,"A",IF(K189=0,"B+",IF(K189=-1,"B",IF(K189=-2,"C+",IF(K189=-3,"C","D")))))))))</x:f>
        <x:v>B+</x:v>
      </x:c>
      <x:c r="B128" t="n">
        <x:v>1</x:v>
      </x:c>
      <x:c r="C128" t="n">
        <x:f>IF(B128="","",MIN(1,0.65+0.35*D128/(D128+8)))</x:f>
        <x:v>0.65</x:v>
      </x:c>
    </x:row>
    <x:row r="129">
      <x:c r="A129" t="str">
        <x:f>IF(B18="","",IF(K18=4,"Elite+",IF(K18=3,"Elite",IF(K18=2,"A+",IF(K18=1,"A",IF(K18=0,"B+",IF(K18=-1,"B",IF(K18=-2,"C+",IF(K18=-3,"C","D")))))))))</x:f>
      </x:c>
      <x:c r="B129" t="n">
        <x:v>1</x:v>
      </x:c>
      <x:c r="C129" t="n">
        <x:f>IF(B129="","",MIN(1,0.65+0.35*D129/(D129+8)))</x:f>
        <x:v>0.65</x:v>
      </x:c>
    </x:row>
    <x:row r="130">
      <x:c r="A130" t="str">
        <x:f>IF(B190="","",IF(K190=4,"Elite+",IF(K190=3,"Elite",IF(K190=2,"A+",IF(K190=1,"A",IF(K190=0,"B+",IF(K190=-1,"B",IF(K190=-2,"C+",IF(K190=-3,"C","D")))))))))</x:f>
        <x:v>B+</x:v>
      </x:c>
      <x:c r="B130" t="n">
        <x:v>1</x:v>
      </x:c>
      <x:c r="C130" t="n">
        <x:f>IF(B130="","",MIN(1,0.65+0.35*D130/(D130+8)))</x:f>
        <x:v>0.65</x:v>
      </x:c>
    </x:row>
    <x:row r="131">
      <x:c r="A131" t="str">
        <x:f>IF(B191="","",IF(K191=4,"Elite+",IF(K191=3,"Elite",IF(K191=2,"A+",IF(K191=1,"A",IF(K191=0,"B+",IF(K191=-1,"B",IF(K191=-2,"C+",IF(K191=-3,"C","D")))))))))</x:f>
        <x:v>B+</x:v>
      </x:c>
      <x:c r="B131" t="n">
        <x:v>1</x:v>
      </x:c>
      <x:c r="C131" t="n">
        <x:f>IF(B131="","",MIN(1,0.65+0.35*D131/(D131+8)))</x:f>
        <x:v>0.65</x:v>
      </x:c>
    </x:row>
    <x:row r="132">
      <x:c r="A132" t="str">
        <x:f>IF(B192="","",IF(K192=4,"Elite+",IF(K192=3,"Elite",IF(K192=2,"A+",IF(K192=1,"A",IF(K192=0,"B+",IF(K192=-1,"B",IF(K192=-2,"C+",IF(K192=-3,"C","D")))))))))</x:f>
        <x:v>B+</x:v>
      </x:c>
      <x:c r="B132" t="n">
        <x:v>1</x:v>
      </x:c>
      <x:c r="C132" t="n">
        <x:f>IF(B132="","",MIN(1,0.65+0.35*D132/(D132+8)))</x:f>
        <x:v>0.65</x:v>
      </x:c>
    </x:row>
    <x:row r="133">
      <x:c r="A133" t="str">
        <x:f>IF(B193="","",IF(K193=4,"Elite+",IF(K193=3,"Elite",IF(K193=2,"A+",IF(K193=1,"A",IF(K193=0,"B+",IF(K193=-1,"B",IF(K193=-2,"C+",IF(K193=-3,"C","D")))))))))</x:f>
        <x:v>B+</x:v>
      </x:c>
      <x:c r="B133" t="n">
        <x:v>1</x:v>
      </x:c>
      <x:c r="C133" t="n">
        <x:f>IF(B133="","",MIN(1,0.65+0.35*D133/(D133+8)))</x:f>
        <x:v>0.65</x:v>
      </x:c>
    </x:row>
    <x:row r="134">
      <x:c r="A134" t="str">
        <x:f>IF(B194="","",IF(K194=4,"Elite+",IF(K194=3,"Elite",IF(K194=2,"A+",IF(K194=1,"A",IF(K194=0,"B+",IF(K194=-1,"B",IF(K194=-2,"C+",IF(K194=-3,"C","D")))))))))</x:f>
        <x:v>B+</x:v>
      </x:c>
      <x:c r="B134" t="n">
        <x:v>1</x:v>
      </x:c>
      <x:c r="C134" t="n">
        <x:f>IF(B134="","",MIN(1,0.65+0.35*D134/(D134+8)))</x:f>
        <x:v>0.65</x:v>
      </x:c>
    </x:row>
    <x:row r="135">
      <x:c r="A135" t="str">
        <x:f>IF(B195="","",IF(K195=4,"Elite+",IF(K195=3,"Elite",IF(K195=2,"A+",IF(K195=1,"A",IF(K195=0,"B+",IF(K195=-1,"B",IF(K195=-2,"C+",IF(K195=-3,"C","D")))))))))</x:f>
        <x:v>B+</x:v>
      </x:c>
      <x:c r="B135" t="n">
        <x:v>1</x:v>
      </x:c>
      <x:c r="C135" t="n">
        <x:f>IF(B135="","",MIN(1,0.65+0.35*D135/(D135+8)))</x:f>
        <x:v>0.65</x:v>
      </x:c>
    </x:row>
    <x:row r="136">
      <x:c r="A136" t="str">
        <x:f>IF(B196="","",IF(K196=4,"Elite+",IF(K196=3,"Elite",IF(K196=2,"A+",IF(K196=1,"A",IF(K196=0,"B+",IF(K196=-1,"B",IF(K196=-2,"C+",IF(K196=-3,"C","D")))))))))</x:f>
        <x:v>B+</x:v>
      </x:c>
      <x:c r="B136" t="n">
        <x:v>1</x:v>
      </x:c>
      <x:c r="C136" t="n">
        <x:f>IF(B136="","",MIN(1,0.65+0.35*D136/(D136+8)))</x:f>
        <x:v>0.65</x:v>
      </x:c>
    </x:row>
    <x:row r="137">
      <x:c r="A137" t="str">
        <x:f>IF(B197="","",IF(K197=4,"Elite+",IF(K197=3,"Elite",IF(K197=2,"A+",IF(K197=1,"A",IF(K197=0,"B+",IF(K197=-1,"B",IF(K197=-2,"C+",IF(K197=-3,"C","D")))))))))</x:f>
        <x:v>B+</x:v>
      </x:c>
      <x:c r="B137" t="n">
        <x:v>1</x:v>
      </x:c>
      <x:c r="C137" t="n">
        <x:f>IF(B137="","",MIN(1,0.65+0.35*D137/(D137+8)))</x:f>
        <x:v>0.65</x:v>
      </x:c>
    </x:row>
    <x:row r="138">
      <x:c r="A138" t="str">
        <x:f>IF(B198="","",IF(K198=4,"Elite+",IF(K198=3,"Elite",IF(K198=2,"A+",IF(K198=1,"A",IF(K198=0,"B+",IF(K198=-1,"B",IF(K198=-2,"C+",IF(K198=-3,"C","D")))))))))</x:f>
        <x:v>B+</x:v>
      </x:c>
      <x:c r="B138" t="n">
        <x:v>1</x:v>
      </x:c>
      <x:c r="C138" t="n">
        <x:f>IF(B138="","",MIN(1,0.65+0.35*D138/(D138+8)))</x:f>
        <x:v>0.65</x:v>
      </x:c>
    </x:row>
    <x:row r="139">
      <x:c r="A139" t="str">
        <x:f>IF(B199="","",IF(K199=4,"Elite+",IF(K199=3,"Elite",IF(K199=2,"A+",IF(K199=1,"A",IF(K199=0,"B+",IF(K199=-1,"B",IF(K199=-2,"C+",IF(K199=-3,"C","D")))))))))</x:f>
        <x:v>B+</x:v>
      </x:c>
      <x:c r="B139" t="n">
        <x:v>1</x:v>
      </x:c>
      <x:c r="C139" t="n">
        <x:f>IF(B139="","",MIN(1,0.65+0.35*D139/(D139+8)))</x:f>
        <x:v>0.65</x:v>
      </x:c>
    </x:row>
    <x:row r="140">
      <x:c r="A140" t="str">
        <x:f>IF(B19="","",IF(K19=4,"Elite+",IF(K19=3,"Elite",IF(K19=2,"A+",IF(K19=1,"A",IF(K19=0,"B+",IF(K19=-1,"B",IF(K19=-2,"C+",IF(K19=-3,"C","D")))))))))</x:f>
      </x:c>
      <x:c r="B140" t="n">
        <x:v>1</x:v>
      </x:c>
      <x:c r="C140" t="n">
        <x:f>IF(B140="","",MIN(1,0.65+0.35*D140/(D140+8)))</x:f>
        <x:v>0.65</x:v>
      </x:c>
    </x:row>
    <x:row r="141">
      <x:c r="A141" t="str">
        <x:f>IF(B200="","",IF(K200=4,"Elite+",IF(K200=3,"Elite",IF(K200=2,"A+",IF(K200=1,"A",IF(K200=0,"B+",IF(K200=-1,"B",IF(K200=-2,"C+",IF(K200=-3,"C","D")))))))))</x:f>
        <x:v>B+</x:v>
      </x:c>
      <x:c r="B141" t="n">
        <x:v>1</x:v>
      </x:c>
      <x:c r="C141" t="n">
        <x:f>IF(B141="","",MIN(1,0.65+0.35*D141/(D141+8)))</x:f>
        <x:v>0.65</x:v>
      </x:c>
    </x:row>
    <x:row r="142">
      <x:c r="A142" t="str">
        <x:f>IF(B201="","",IF(K201=4,"Elite+",IF(K201=3,"Elite",IF(K201=2,"A+",IF(K201=1,"A",IF(K201=0,"B+",IF(K201=-1,"B",IF(K201=-2,"C+",IF(K201=-3,"C","D")))))))))</x:f>
        <x:v>B+</x:v>
      </x:c>
      <x:c r="B142" t="n">
        <x:v>1</x:v>
      </x:c>
      <x:c r="C142" t="n">
        <x:f>IF(B142="","",MIN(1,0.65+0.35*D142/(D142+8)))</x:f>
        <x:v>0.65</x:v>
      </x:c>
    </x:row>
    <x:row r="143">
      <x:c r="A143" t="str">
        <x:f>IF(B20="","",IF(K20=4,"Elite+",IF(K20=3,"Elite",IF(K20=2,"A+",IF(K20=1,"A",IF(K20=0,"B+",IF(K20=-1,"B",IF(K20=-2,"C+",IF(K20=-3,"C","D")))))))))</x:f>
      </x:c>
      <x:c r="B143" t="n">
        <x:v>1</x:v>
      </x:c>
      <x:c r="C143" t="n">
        <x:f>IF(B143="","",MIN(1,0.65+0.35*D143/(D143+8)))</x:f>
        <x:v>0.65</x:v>
      </x:c>
    </x:row>
    <x:row r="144">
      <x:c r="A144" t="str">
        <x:f>IF(B21="","",IF(K21=4,"Elite+",IF(K21=3,"Elite",IF(K21=2,"A+",IF(K21=1,"A",IF(K21=0,"B+",IF(K21=-1,"B",IF(K21=-2,"C+",IF(K21=-3,"C","D")))))))))</x:f>
      </x:c>
      <x:c r="B144" t="n">
        <x:v>1</x:v>
      </x:c>
      <x:c r="C144" t="n">
        <x:f>IF(B144="","",MIN(1,0.65+0.35*D144/(D144+8)))</x:f>
        <x:v>0.65</x:v>
      </x:c>
    </x:row>
    <x:row r="145">
      <x:c r="A145" t="str">
        <x:f>IF(B22="","",IF(K22=4,"Elite+",IF(K22=3,"Elite",IF(K22=2,"A+",IF(K22=1,"A",IF(K22=0,"B+",IF(K22=-1,"B",IF(K22=-2,"C+",IF(K22=-3,"C","D")))))))))</x:f>
      </x:c>
      <x:c r="B145" t="n">
        <x:v>1</x:v>
      </x:c>
      <x:c r="C145" t="n">
        <x:f>IF(B145="","",MIN(1,0.65+0.35*D145/(D145+8)))</x:f>
        <x:v>0.65</x:v>
      </x:c>
    </x:row>
    <x:row r="146">
      <x:c r="A146" t="str">
        <x:f>IF(B23="","",IF(K23=4,"Elite+",IF(K23=3,"Elite",IF(K23=2,"A+",IF(K23=1,"A",IF(K23=0,"B+",IF(K23=-1,"B",IF(K23=-2,"C+",IF(K23=-3,"C","D")))))))))</x:f>
      </x:c>
      <x:c r="B146" t="n">
        <x:v>1</x:v>
      </x:c>
      <x:c r="C146" t="n">
        <x:f>IF(B146="","",MIN(1,0.65+0.35*D146/(D146+8)))</x:f>
        <x:v>0.65</x:v>
      </x:c>
    </x:row>
    <x:row r="147">
      <x:c r="A147" t="str">
        <x:f>IF(B24="","",IF(K24=4,"Elite+",IF(K24=3,"Elite",IF(K24=2,"A+",IF(K24=1,"A",IF(K24=0,"B+",IF(K24=-1,"B",IF(K24=-2,"C+",IF(K24=-3,"C","D")))))))))</x:f>
      </x:c>
      <x:c r="B147" t="n">
        <x:v>1</x:v>
      </x:c>
      <x:c r="C147" t="n">
        <x:f>IF(B147="","",MIN(1,0.65+0.35*D147/(D147+8)))</x:f>
        <x:v>0.65</x:v>
      </x:c>
    </x:row>
    <x:row r="148">
      <x:c r="A148" t="str">
        <x:f>IF(B25="","",IF(K25=4,"Elite+",IF(K25=3,"Elite",IF(K25=2,"A+",IF(K25=1,"A",IF(K25=0,"B+",IF(K25=-1,"B",IF(K25=-2,"C+",IF(K25=-3,"C","D")))))))))</x:f>
      </x:c>
      <x:c r="B148" t="n">
        <x:v>1</x:v>
      </x:c>
      <x:c r="C148" t="n">
        <x:f>IF(B148="","",MIN(1,0.65+0.35*D148/(D148+8)))</x:f>
        <x:v>0.65</x:v>
      </x:c>
    </x:row>
    <x:row r="149">
      <x:c r="A149" t="str">
        <x:f>IF(B26="","",IF(K26=4,"Elite+",IF(K26=3,"Elite",IF(K26=2,"A+",IF(K26=1,"A",IF(K26=0,"B+",IF(K26=-1,"B",IF(K26=-2,"C+",IF(K26=-3,"C","D")))))))))</x:f>
      </x:c>
      <x:c r="B149" t="n">
        <x:v>1</x:v>
      </x:c>
      <x:c r="C149" t="n">
        <x:f>IF(B149="","",MIN(1,0.65+0.35*D149/(D149+8)))</x:f>
        <x:v>0.65</x:v>
      </x:c>
    </x:row>
    <x:row r="150">
      <x:c r="A150" t="str">
        <x:f>IF(B27="","",IF(K27=4,"Elite+",IF(K27=3,"Elite",IF(K27=2,"A+",IF(K27=1,"A",IF(K27=0,"B+",IF(K27=-1,"B",IF(K27=-2,"C+",IF(K27=-3,"C","D")))))))))</x:f>
      </x:c>
      <x:c r="B150" t="n">
        <x:v>1</x:v>
      </x:c>
      <x:c r="C150" t="n">
        <x:f>IF(B150="","",MIN(1,0.65+0.35*D150/(D150+8)))</x:f>
        <x:v>0.65</x:v>
      </x:c>
    </x:row>
    <x:row r="151">
      <x:c r="A151" t="str">
        <x:f>IF(B28="","",IF(K28=4,"Elite+",IF(K28=3,"Elite",IF(K28=2,"A+",IF(K28=1,"A",IF(K28=0,"B+",IF(K28=-1,"B",IF(K28=-2,"C+",IF(K28=-3,"C","D")))))))))</x:f>
      </x:c>
      <x:c r="B151" t="n">
        <x:v>1</x:v>
      </x:c>
      <x:c r="C151" t="n">
        <x:f>IF(B151="","",MIN(1,0.65+0.35*D151/(D151+8)))</x:f>
        <x:v>0.65</x:v>
      </x:c>
    </x:row>
    <x:row r="152">
      <x:c r="A152" t="str">
        <x:f>IF(B29="","",IF(K29=4,"Elite+",IF(K29=3,"Elite",IF(K29=2,"A+",IF(K29=1,"A",IF(K29=0,"B+",IF(K29=-1,"B",IF(K29=-2,"C+",IF(K29=-3,"C","D")))))))))</x:f>
      </x:c>
      <x:c r="B152" t="n">
        <x:v>1</x:v>
      </x:c>
      <x:c r="C152" t="n">
        <x:f>IF(B152="","",MIN(1,0.65+0.35*D152/(D152+8)))</x:f>
        <x:v>0.65</x:v>
      </x:c>
    </x:row>
    <x:row r="153">
      <x:c r="A153" t="str">
        <x:f>IF(B2="","",IF(K2=4,"Elite+",IF(K2=3,"Elite",IF(K2=2,"A+",IF(K2=1,"A",IF(K2=0,"B+",IF(K2=-1,"B",IF(K2=-2,"C+",IF(K2=-3,"C","D")))))))))</x:f>
      </x:c>
      <x:c r="B153" t="n">
        <x:v>1</x:v>
      </x:c>
      <x:c r="C153" t="n">
        <x:f>IF(B153="","",MIN(1,0.65+0.35*D153/(D153+8)))</x:f>
        <x:v>0.65</x:v>
      </x:c>
    </x:row>
    <x:row r="154">
      <x:c r="A154" t="str">
        <x:f>IF(B30="","",IF(K30=4,"Elite+",IF(K30=3,"Elite",IF(K30=2,"A+",IF(K30=1,"A",IF(K30=0,"B+",IF(K30=-1,"B",IF(K30=-2,"C+",IF(K30=-3,"C","D")))))))))</x:f>
        <x:v>B+</x:v>
      </x:c>
      <x:c r="B154" t="n">
        <x:v>1</x:v>
      </x:c>
      <x:c r="C154" t="n">
        <x:f>IF(B154="","",MIN(1,0.65+0.35*D154/(D154+8)))</x:f>
        <x:v>0.65</x:v>
      </x:c>
    </x:row>
    <x:row r="155">
      <x:c r="A155" t="str">
        <x:f>IF(B31="","",IF(K31=4,"Elite+",IF(K31=3,"Elite",IF(K31=2,"A+",IF(K31=1,"A",IF(K31=0,"B+",IF(K31=-1,"B",IF(K31=-2,"C+",IF(K31=-3,"C","D")))))))))</x:f>
        <x:v>B+</x:v>
      </x:c>
      <x:c r="B155" t="n">
        <x:v>1</x:v>
      </x:c>
      <x:c r="C155" t="n">
        <x:f>IF(B155="","",MIN(1,0.65+0.35*D155/(D155+8)))</x:f>
        <x:v>0.65</x:v>
      </x:c>
    </x:row>
    <x:row r="156">
      <x:c r="A156" t="str">
        <x:f>IF(B32="","",IF(K32=4,"Elite+",IF(K32=3,"Elite",IF(K32=2,"A+",IF(K32=1,"A",IF(K32=0,"B+",IF(K32=-1,"B",IF(K32=-2,"C+",IF(K32=-3,"C","D")))))))))</x:f>
        <x:v>B+</x:v>
      </x:c>
      <x:c r="B156" t="n">
        <x:v>1</x:v>
      </x:c>
      <x:c r="C156" t="n">
        <x:f>IF(B156="","",MIN(1,0.65+0.35*D156/(D156+8)))</x:f>
        <x:v>0.65</x:v>
      </x:c>
    </x:row>
    <x:row r="157">
      <x:c r="A157" t="str">
        <x:f>IF(B33="","",IF(K33=4,"Elite+",IF(K33=3,"Elite",IF(K33=2,"A+",IF(K33=1,"A",IF(K33=0,"B+",IF(K33=-1,"B",IF(K33=-2,"C+",IF(K33=-3,"C","D")))))))))</x:f>
        <x:v>B+</x:v>
      </x:c>
      <x:c r="B157" t="n">
        <x:v>1</x:v>
      </x:c>
      <x:c r="C157" t="n">
        <x:f>IF(B157="","",MIN(1,0.65+0.35*D157/(D157+8)))</x:f>
        <x:v>0.65</x:v>
      </x:c>
    </x:row>
    <x:row r="158">
      <x:c r="A158" t="str">
        <x:f>IF(B34="","",IF(K34=4,"Elite+",IF(K34=3,"Elite",IF(K34=2,"A+",IF(K34=1,"A",IF(K34=0,"B+",IF(K34=-1,"B",IF(K34=-2,"C+",IF(K34=-3,"C","D")))))))))</x:f>
        <x:v>B+</x:v>
      </x:c>
      <x:c r="B158" t="n">
        <x:v>1</x:v>
      </x:c>
      <x:c r="C158" t="n">
        <x:f>IF(B158="","",MIN(1,0.65+0.35*D158/(D158+8)))</x:f>
        <x:v>0.65</x:v>
      </x:c>
    </x:row>
    <x:row r="159">
      <x:c r="A159" t="str">
        <x:f>IF(B35="","",IF(K35=4,"Elite+",IF(K35=3,"Elite",IF(K35=2,"A+",IF(K35=1,"A",IF(K35=0,"B+",IF(K35=-1,"B",IF(K35=-2,"C+",IF(K35=-3,"C","D")))))))))</x:f>
        <x:v>B+</x:v>
      </x:c>
      <x:c r="B159" t="n">
        <x:v>1</x:v>
      </x:c>
      <x:c r="C159" t="n">
        <x:f>IF(B159="","",MIN(1,0.65+0.35*D159/(D159+8)))</x:f>
        <x:v>0.65</x:v>
      </x:c>
    </x:row>
    <x:row r="160">
      <x:c r="A160" t="str">
        <x:f>IF(B36="","",IF(K36=4,"Elite+",IF(K36=3,"Elite",IF(K36=2,"A+",IF(K36=1,"A",IF(K36=0,"B+",IF(K36=-1,"B",IF(K36=-2,"C+",IF(K36=-3,"C","D")))))))))</x:f>
        <x:v>B+</x:v>
      </x:c>
      <x:c r="B160" t="n">
        <x:v>1</x:v>
      </x:c>
      <x:c r="C160" t="n">
        <x:f>IF(B160="","",MIN(1,0.65+0.35*D160/(D160+8)))</x:f>
        <x:v>0.65</x:v>
      </x:c>
    </x:row>
    <x:row r="161">
      <x:c r="A161" t="str">
        <x:f>IF(B37="","",IF(K37=4,"Elite+",IF(K37=3,"Elite",IF(K37=2,"A+",IF(K37=1,"A",IF(K37=0,"B+",IF(K37=-1,"B",IF(K37=-2,"C+",IF(K37=-3,"C","D")))))))))</x:f>
        <x:v>B+</x:v>
      </x:c>
      <x:c r="B161" t="n">
        <x:v>1</x:v>
      </x:c>
      <x:c r="C161" t="n">
        <x:f>IF(B161="","",MIN(1,0.65+0.35*D161/(D161+8)))</x:f>
        <x:v>0.65</x:v>
      </x:c>
    </x:row>
    <x:row r="162">
      <x:c r="A162" t="str">
        <x:f>IF(B38="","",IF(K38=4,"Elite+",IF(K38=3,"Elite",IF(K38=2,"A+",IF(K38=1,"A",IF(K38=0,"B+",IF(K38=-1,"B",IF(K38=-2,"C+",IF(K38=-3,"C","D")))))))))</x:f>
        <x:v>B+</x:v>
      </x:c>
      <x:c r="B162" t="n">
        <x:v>1</x:v>
      </x:c>
      <x:c r="C162" t="n">
        <x:f>IF(B162="","",MIN(1,0.65+0.35*D162/(D162+8)))</x:f>
        <x:v>0.65</x:v>
      </x:c>
    </x:row>
    <x:row r="163">
      <x:c r="A163" t="str">
        <x:f>IF(B39="","",IF(K39=4,"Elite+",IF(K39=3,"Elite",IF(K39=2,"A+",IF(K39=1,"A",IF(K39=0,"B+",IF(K39=-1,"B",IF(K39=-2,"C+",IF(K39=-3,"C","D")))))))))</x:f>
        <x:v>B+</x:v>
      </x:c>
      <x:c r="B163" t="n">
        <x:v>1</x:v>
      </x:c>
      <x:c r="C163" t="n">
        <x:f>IF(B163="","",MIN(1,0.65+0.35*D163/(D163+8)))</x:f>
        <x:v>0.65</x:v>
      </x:c>
    </x:row>
    <x:row r="164">
      <x:c r="A164" t="str">
        <x:f>IF(B3="","",IF(K3=4,"Elite+",IF(K3=3,"Elite",IF(K3=2,"A+",IF(K3=1,"A",IF(K3=0,"B+",IF(K3=-1,"B",IF(K3=-2,"C+",IF(K3=-3,"C","D")))))))))</x:f>
      </x:c>
      <x:c r="B164" t="n">
        <x:v>1</x:v>
      </x:c>
      <x:c r="C164" t="n">
        <x:f>IF(B164="","",MIN(1,0.65+0.35*D164/(D164+8)))</x:f>
        <x:v>0.65</x:v>
      </x:c>
    </x:row>
    <x:row r="165">
      <x:c r="A165" t="str">
        <x:f>IF(B40="","",IF(K40=4,"Elite+",IF(K40=3,"Elite",IF(K40=2,"A+",IF(K40=1,"A",IF(K40=0,"B+",IF(K40=-1,"B",IF(K40=-2,"C+",IF(K40=-3,"C","D")))))))))</x:f>
        <x:v>B+</x:v>
      </x:c>
      <x:c r="B165" t="n">
        <x:v>1</x:v>
      </x:c>
      <x:c r="C165" t="n">
        <x:f>IF(B165="","",MIN(1,0.65+0.35*D165/(D165+8)))</x:f>
        <x:v>0.65</x:v>
      </x:c>
    </x:row>
    <x:row r="166">
      <x:c r="A166" t="str">
        <x:f>IF(B41="","",IF(K41=4,"Elite+",IF(K41=3,"Elite",IF(K41=2,"A+",IF(K41=1,"A",IF(K41=0,"B+",IF(K41=-1,"B",IF(K41=-2,"C+",IF(K41=-3,"C","D")))))))))</x:f>
        <x:v>B+</x:v>
      </x:c>
      <x:c r="B166" t="n">
        <x:v>1</x:v>
      </x:c>
      <x:c r="C166" t="n">
        <x:f>IF(B166="","",MIN(1,0.65+0.35*D166/(D166+8)))</x:f>
        <x:v>0.65</x:v>
      </x:c>
    </x:row>
    <x:row r="167">
      <x:c r="A167" t="str">
        <x:f>IF(B42="","",IF(K42=4,"Elite+",IF(K42=3,"Elite",IF(K42=2,"A+",IF(K42=1,"A",IF(K42=0,"B+",IF(K42=-1,"B",IF(K42=-2,"C+",IF(K42=-3,"C","D")))))))))</x:f>
        <x:v>B+</x:v>
      </x:c>
      <x:c r="B167" t="n">
        <x:v>1</x:v>
      </x:c>
      <x:c r="C167" t="n">
        <x:f>IF(B167="","",MIN(1,0.65+0.35*D167/(D167+8)))</x:f>
        <x:v>0.65</x:v>
      </x:c>
    </x:row>
    <x:row r="168">
      <x:c r="A168" t="str">
        <x:f>IF(B43="","",IF(K43=4,"Elite+",IF(K43=3,"Elite",IF(K43=2,"A+",IF(K43=1,"A",IF(K43=0,"B+",IF(K43=-1,"B",IF(K43=-2,"C+",IF(K43=-3,"C","D")))))))))</x:f>
        <x:v>B+</x:v>
      </x:c>
      <x:c r="B168" t="n">
        <x:v>1</x:v>
      </x:c>
      <x:c r="C168" t="n">
        <x:f>IF(B168="","",MIN(1,0.65+0.35*D168/(D168+8)))</x:f>
        <x:v>0.65</x:v>
      </x:c>
    </x:row>
    <x:row r="169">
      <x:c r="A169" t="str">
        <x:f>IF(B44="","",IF(K44=4,"Elite+",IF(K44=3,"Elite",IF(K44=2,"A+",IF(K44=1,"A",IF(K44=0,"B+",IF(K44=-1,"B",IF(K44=-2,"C+",IF(K44=-3,"C","D")))))))))</x:f>
        <x:v>B+</x:v>
      </x:c>
      <x:c r="B169" t="n">
        <x:v>1</x:v>
      </x:c>
      <x:c r="C169" t="n">
        <x:f>IF(B169="","",MIN(1,0.65+0.35*D169/(D169+8)))</x:f>
        <x:v>0.65</x:v>
      </x:c>
    </x:row>
    <x:row r="170">
      <x:c r="A170" t="str">
        <x:f>IF(B45="","",IF(K45=4,"Elite+",IF(K45=3,"Elite",IF(K45=2,"A+",IF(K45=1,"A",IF(K45=0,"B+",IF(K45=-1,"B",IF(K45=-2,"C+",IF(K45=-3,"C","D")))))))))</x:f>
        <x:v>B+</x:v>
      </x:c>
      <x:c r="B170" t="n">
        <x:v>1</x:v>
      </x:c>
      <x:c r="C170" t="n">
        <x:f>IF(B170="","",MIN(1,0.65+0.35*D170/(D170+8)))</x:f>
        <x:v>0.65</x:v>
      </x:c>
    </x:row>
    <x:row r="171">
      <x:c r="A171" t="str">
        <x:f>IF(B46="","",IF(K46=4,"Elite+",IF(K46=3,"Elite",IF(K46=2,"A+",IF(K46=1,"A",IF(K46=0,"B+",IF(K46=-1,"B",IF(K46=-2,"C+",IF(K46=-3,"C","D")))))))))</x:f>
        <x:v>B+</x:v>
      </x:c>
      <x:c r="B171" t="n">
        <x:v>1</x:v>
      </x:c>
      <x:c r="C171" t="n">
        <x:f>IF(B171="","",MIN(1,0.65+0.35*D171/(D171+8)))</x:f>
        <x:v>0.65</x:v>
      </x:c>
    </x:row>
    <x:row r="172">
      <x:c r="A172" t="str">
        <x:f>IF(B47="","",IF(K47=4,"Elite+",IF(K47=3,"Elite",IF(K47=2,"A+",IF(K47=1,"A",IF(K47=0,"B+",IF(K47=-1,"B",IF(K47=-2,"C+",IF(K47=-3,"C","D")))))))))</x:f>
        <x:v>B+</x:v>
      </x:c>
      <x:c r="B172" t="n">
        <x:v>1</x:v>
      </x:c>
      <x:c r="C172" t="n">
        <x:f>IF(B172="","",MIN(1,0.65+0.35*D172/(D172+8)))</x:f>
        <x:v>0.65</x:v>
      </x:c>
    </x:row>
    <x:row r="173">
      <x:c r="A173" t="str">
        <x:f>IF(B48="","",IF(K48=4,"Elite+",IF(K48=3,"Elite",IF(K48=2,"A+",IF(K48=1,"A",IF(K48=0,"B+",IF(K48=-1,"B",IF(K48=-2,"C+",IF(K48=-3,"C","D")))))))))</x:f>
        <x:v>B+</x:v>
      </x:c>
      <x:c r="B173" t="n">
        <x:v>1</x:v>
      </x:c>
      <x:c r="C173" t="n">
        <x:f>IF(B173="","",MIN(1,0.65+0.35*D173/(D173+8)))</x:f>
        <x:v>0.65</x:v>
      </x:c>
    </x:row>
    <x:row r="174">
      <x:c r="A174" t="str">
        <x:f>IF(B49="","",IF(K49=4,"Elite+",IF(K49=3,"Elite",IF(K49=2,"A+",IF(K49=1,"A",IF(K49=0,"B+",IF(K49=-1,"B",IF(K49=-2,"C+",IF(K49=-3,"C","D")))))))))</x:f>
        <x:v>B+</x:v>
      </x:c>
      <x:c r="B174" t="n">
        <x:v>1</x:v>
      </x:c>
      <x:c r="C174" t="n">
        <x:f>IF(B174="","",MIN(1,0.65+0.35*D174/(D174+8)))</x:f>
        <x:v>0.65</x:v>
      </x:c>
    </x:row>
    <x:row r="175">
      <x:c r="A175" t="str">
        <x:f>IF(B4="","",IF(K4=4,"Elite+",IF(K4=3,"Elite",IF(K4=2,"A+",IF(K4=1,"A",IF(K4=0,"B+",IF(K4=-1,"B",IF(K4=-2,"C+",IF(K4=-3,"C","D")))))))))</x:f>
      </x:c>
      <x:c r="B175" t="n">
        <x:v>1</x:v>
      </x:c>
      <x:c r="C175" t="n">
        <x:f>IF(B175="","",MIN(1,0.65+0.35*D175/(D175+8)))</x:f>
        <x:v>0.65</x:v>
      </x:c>
    </x:row>
    <x:row r="176">
      <x:c r="A176" t="str">
        <x:f>IF(B50="","",IF(K50=4,"Elite+",IF(K50=3,"Elite",IF(K50=2,"A+",IF(K50=1,"A",IF(K50=0,"B+",IF(K50=-1,"B",IF(K50=-2,"C+",IF(K50=-3,"C","D")))))))))</x:f>
        <x:v>B+</x:v>
      </x:c>
      <x:c r="B176" t="n">
        <x:v>1</x:v>
      </x:c>
      <x:c r="C176" t="n">
        <x:f>IF(B176="","",MIN(1,0.65+0.35*D176/(D176+8)))</x:f>
        <x:v>0.65</x:v>
      </x:c>
    </x:row>
    <x:row r="177">
      <x:c r="A177" t="str">
        <x:f>IF(B51="","",IF(K51=4,"Elite+",IF(K51=3,"Elite",IF(K51=2,"A+",IF(K51=1,"A",IF(K51=0,"B+",IF(K51=-1,"B",IF(K51=-2,"C+",IF(K51=-3,"C","D")))))))))</x:f>
        <x:v>B+</x:v>
      </x:c>
      <x:c r="B177" t="n">
        <x:v>1</x:v>
      </x:c>
      <x:c r="C177" t="n">
        <x:f>IF(B177="","",MIN(1,0.65+0.35*D177/(D177+8)))</x:f>
        <x:v>0.65</x:v>
      </x:c>
    </x:row>
    <x:row r="178">
      <x:c r="A178" t="str">
        <x:f>IF(B52="","",IF(K52=4,"Elite+",IF(K52=3,"Elite",IF(K52=2,"A+",IF(K52=1,"A",IF(K52=0,"B+",IF(K52=-1,"B",IF(K52=-2,"C+",IF(K52=-3,"C","D")))))))))</x:f>
        <x:v>B+</x:v>
      </x:c>
      <x:c r="B178" t="n">
        <x:v>1</x:v>
      </x:c>
      <x:c r="C178" t="n">
        <x:f>IF(B178="","",MIN(1,0.65+0.35*D178/(D178+8)))</x:f>
        <x:v>0.65</x:v>
      </x:c>
    </x:row>
    <x:row r="179">
      <x:c r="A179" t="str">
        <x:f>IF(B53="","",IF(K53=4,"Elite+",IF(K53=3,"Elite",IF(K53=2,"A+",IF(K53=1,"A",IF(K53=0,"B+",IF(K53=-1,"B",IF(K53=-2,"C+",IF(K53=-3,"C","D")))))))))</x:f>
        <x:v>B+</x:v>
      </x:c>
      <x:c r="B179" t="n">
        <x:v>1</x:v>
      </x:c>
      <x:c r="C179" t="n">
        <x:f>IF(B179="","",MIN(1,0.65+0.35*D179/(D179+8)))</x:f>
        <x:v>0.65</x:v>
      </x:c>
    </x:row>
    <x:row r="180">
      <x:c r="A180" t="str">
        <x:f>IF(B54="","",IF(K54=4,"Elite+",IF(K54=3,"Elite",IF(K54=2,"A+",IF(K54=1,"A",IF(K54=0,"B+",IF(K54=-1,"B",IF(K54=-2,"C+",IF(K54=-3,"C","D")))))))))</x:f>
        <x:v>B+</x:v>
      </x:c>
      <x:c r="B180" t="n">
        <x:v>1</x:v>
      </x:c>
      <x:c r="C180" t="n">
        <x:f>IF(B180="","",MIN(1,0.65+0.35*D180/(D180+8)))</x:f>
        <x:v>0.65</x:v>
      </x:c>
    </x:row>
    <x:row r="181">
      <x:c r="A181" t="str">
        <x:f>IF(B55="","",IF(K55=4,"Elite+",IF(K55=3,"Elite",IF(K55=2,"A+",IF(K55=1,"A",IF(K55=0,"B+",IF(K55=-1,"B",IF(K55=-2,"C+",IF(K55=-3,"C","D")))))))))</x:f>
        <x:v>B+</x:v>
      </x:c>
      <x:c r="B181" t="n">
        <x:v>1</x:v>
      </x:c>
      <x:c r="C181" t="n">
        <x:f>IF(B181="","",MIN(1,0.65+0.35*D181/(D181+8)))</x:f>
        <x:v>0.65</x:v>
      </x:c>
    </x:row>
    <x:row r="182">
      <x:c r="A182" t="str">
        <x:f>IF(B56="","",IF(K56=4,"Elite+",IF(K56=3,"Elite",IF(K56=2,"A+",IF(K56=1,"A",IF(K56=0,"B+",IF(K56=-1,"B",IF(K56=-2,"C+",IF(K56=-3,"C","D")))))))))</x:f>
        <x:v>B+</x:v>
      </x:c>
      <x:c r="B182" t="n">
        <x:v>1</x:v>
      </x:c>
      <x:c r="C182" t="n">
        <x:f>IF(B182="","",MIN(1,0.65+0.35*D182/(D182+8)))</x:f>
        <x:v>0.65</x:v>
      </x:c>
    </x:row>
    <x:row r="183">
      <x:c r="A183" t="str">
        <x:f>IF(B57="","",IF(K57=4,"Elite+",IF(K57=3,"Elite",IF(K57=2,"A+",IF(K57=1,"A",IF(K57=0,"B+",IF(K57=-1,"B",IF(K57=-2,"C+",IF(K57=-3,"C","D")))))))))</x:f>
        <x:v>B+</x:v>
      </x:c>
      <x:c r="B183" t="n">
        <x:v>1</x:v>
      </x:c>
      <x:c r="C183" t="n">
        <x:f>IF(B183="","",MIN(1,0.65+0.35*D183/(D183+8)))</x:f>
        <x:v>0.65</x:v>
      </x:c>
    </x:row>
    <x:row r="184">
      <x:c r="A184" t="str">
        <x:f>IF(B58="","",IF(K58=4,"Elite+",IF(K58=3,"Elite",IF(K58=2,"A+",IF(K58=1,"A",IF(K58=0,"B+",IF(K58=-1,"B",IF(K58=-2,"C+",IF(K58=-3,"C","D")))))))))</x:f>
        <x:v>B+</x:v>
      </x:c>
      <x:c r="B184" t="n">
        <x:v>1</x:v>
      </x:c>
      <x:c r="C184" t="n">
        <x:f>IF(B184="","",MIN(1,0.65+0.35*D184/(D184+8)))</x:f>
        <x:v>0.65</x:v>
      </x:c>
    </x:row>
    <x:row r="185">
      <x:c r="A185" t="str">
        <x:f>IF(B59="","",IF(K59=4,"Elite+",IF(K59=3,"Elite",IF(K59=2,"A+",IF(K59=1,"A",IF(K59=0,"B+",IF(K59=-1,"B",IF(K59=-2,"C+",IF(K59=-3,"C","D")))))))))</x:f>
        <x:v>B+</x:v>
      </x:c>
      <x:c r="B185" t="n">
        <x:v>1</x:v>
      </x:c>
      <x:c r="C185" t="n">
        <x:f>IF(B185="","",MIN(1,0.65+0.35*D185/(D185+8)))</x:f>
        <x:v>0.65</x:v>
      </x:c>
    </x:row>
    <x:row r="186">
      <x:c r="A186" t="str">
        <x:f>IF(B5="","",IF(K5=4,"Elite+",IF(K5=3,"Elite",IF(K5=2,"A+",IF(K5=1,"A",IF(K5=0,"B+",IF(K5=-1,"B",IF(K5=-2,"C+",IF(K5=-3,"C","D")))))))))</x:f>
      </x:c>
      <x:c r="B186" t="n">
        <x:v>1</x:v>
      </x:c>
      <x:c r="C186" t="n">
        <x:f>IF(B186="","",MIN(1,0.65+0.35*D186/(D186+8)))</x:f>
        <x:v>0.65</x:v>
      </x:c>
    </x:row>
    <x:row r="187">
      <x:c r="A187" t="str">
        <x:f>IF(B60="","",IF(K60=4,"Elite+",IF(K60=3,"Elite",IF(K60=2,"A+",IF(K60=1,"A",IF(K60=0,"B+",IF(K60=-1,"B",IF(K60=-2,"C+",IF(K60=-3,"C","D")))))))))</x:f>
        <x:v>B+</x:v>
      </x:c>
      <x:c r="B187" t="n">
        <x:v>1</x:v>
      </x:c>
      <x:c r="C187" t="n">
        <x:f>IF(B187="","",MIN(1,0.65+0.35*D187/(D187+8)))</x:f>
        <x:v>0.65</x:v>
      </x:c>
    </x:row>
    <x:row r="188">
      <x:c r="A188" t="str">
        <x:f>IF(B61="","",IF(K61=4,"Elite+",IF(K61=3,"Elite",IF(K61=2,"A+",IF(K61=1,"A",IF(K61=0,"B+",IF(K61=-1,"B",IF(K61=-2,"C+",IF(K61=-3,"C","D")))))))))</x:f>
        <x:v>B+</x:v>
      </x:c>
      <x:c r="B188" t="n">
        <x:v>1</x:v>
      </x:c>
      <x:c r="C188" t="n">
        <x:f>IF(B188="","",MIN(1,0.65+0.35*D188/(D188+8)))</x:f>
        <x:v>0.65</x:v>
      </x:c>
    </x:row>
    <x:row r="189">
      <x:c r="A189" t="str">
        <x:f>IF(B62="","",IF(K62=4,"Elite+",IF(K62=3,"Elite",IF(K62=2,"A+",IF(K62=1,"A",IF(K62=0,"B+",IF(K62=-1,"B",IF(K62=-2,"C+",IF(K62=-3,"C","D")))))))))</x:f>
        <x:v>B+</x:v>
      </x:c>
      <x:c r="B189" t="n">
        <x:v>1</x:v>
      </x:c>
      <x:c r="C189" t="n">
        <x:f>IF(B189="","",MIN(1,0.65+0.35*D189/(D189+8)))</x:f>
        <x:v>0.65</x:v>
      </x:c>
    </x:row>
    <x:row r="190">
      <x:c r="A190" t="str">
        <x:f>IF(B63="","",IF(K63=4,"Elite+",IF(K63=3,"Elite",IF(K63=2,"A+",IF(K63=1,"A",IF(K63=0,"B+",IF(K63=-1,"B",IF(K63=-2,"C+",IF(K63=-3,"C","D")))))))))</x:f>
        <x:v>B+</x:v>
      </x:c>
      <x:c r="B190" t="n">
        <x:v>1</x:v>
      </x:c>
      <x:c r="C190" t="n">
        <x:f>IF(B190="","",MIN(1,0.65+0.35*D190/(D190+8)))</x:f>
        <x:v>0.65</x:v>
      </x:c>
    </x:row>
    <x:row r="191">
      <x:c r="A191" t="str">
        <x:f>IF(B64="","",IF(K64=4,"Elite+",IF(K64=3,"Elite",IF(K64=2,"A+",IF(K64=1,"A",IF(K64=0,"B+",IF(K64=-1,"B",IF(K64=-2,"C+",IF(K64=-3,"C","D")))))))))</x:f>
        <x:v>B+</x:v>
      </x:c>
      <x:c r="B191" t="n">
        <x:v>1</x:v>
      </x:c>
      <x:c r="C191" t="n">
        <x:f>IF(B191="","",MIN(1,0.65+0.35*D191/(D191+8)))</x:f>
        <x:v>0.65</x:v>
      </x:c>
    </x:row>
    <x:row r="192">
      <x:c r="A192" t="str">
        <x:f>IF(B65="","",IF(K65=4,"Elite+",IF(K65=3,"Elite",IF(K65=2,"A+",IF(K65=1,"A",IF(K65=0,"B+",IF(K65=-1,"B",IF(K65=-2,"C+",IF(K65=-3,"C","D")))))))))</x:f>
        <x:v>B+</x:v>
      </x:c>
      <x:c r="B192" t="n">
        <x:v>1</x:v>
      </x:c>
      <x:c r="C192" t="n">
        <x:f>IF(B192="","",MIN(1,0.65+0.35*D192/(D192+8)))</x:f>
        <x:v>0.65</x:v>
      </x:c>
    </x:row>
    <x:row r="193">
      <x:c r="A193" t="str">
        <x:f>IF(B66="","",IF(K66=4,"Elite+",IF(K66=3,"Elite",IF(K66=2,"A+",IF(K66=1,"A",IF(K66=0,"B+",IF(K66=-1,"B",IF(K66=-2,"C+",IF(K66=-3,"C","D")))))))))</x:f>
        <x:v>B+</x:v>
      </x:c>
      <x:c r="B193" t="n">
        <x:v>1</x:v>
      </x:c>
      <x:c r="C193" t="n">
        <x:f>IF(B193="","",MIN(1,0.65+0.35*D193/(D193+8)))</x:f>
        <x:v>0.65</x:v>
      </x:c>
    </x:row>
    <x:row r="194">
      <x:c r="A194" t="str">
        <x:f>IF(B67="","",IF(K67=4,"Elite+",IF(K67=3,"Elite",IF(K67=2,"A+",IF(K67=1,"A",IF(K67=0,"B+",IF(K67=-1,"B",IF(K67=-2,"C+",IF(K67=-3,"C","D")))))))))</x:f>
        <x:v>B+</x:v>
      </x:c>
      <x:c r="B194" t="n">
        <x:v>1</x:v>
      </x:c>
      <x:c r="C194" t="n">
        <x:f>IF(B194="","",MIN(1,0.65+0.35*D194/(D194+8)))</x:f>
        <x:v>0.65</x:v>
      </x:c>
    </x:row>
    <x:row r="195">
      <x:c r="A195" t="str">
        <x:f>IF(B68="","",IF(K68=4,"Elite+",IF(K68=3,"Elite",IF(K68=2,"A+",IF(K68=1,"A",IF(K68=0,"B+",IF(K68=-1,"B",IF(K68=-2,"C+",IF(K68=-3,"C","D")))))))))</x:f>
        <x:v>B+</x:v>
      </x:c>
      <x:c r="B195" t="n">
        <x:v>1</x:v>
      </x:c>
      <x:c r="C195" t="n">
        <x:f>IF(B195="","",MIN(1,0.65+0.35*D195/(D195+8)))</x:f>
        <x:v>0.65</x:v>
      </x:c>
    </x:row>
    <x:row r="196">
      <x:c r="A196" t="str">
        <x:f>IF(B69="","",IF(K69=4,"Elite+",IF(K69=3,"Elite",IF(K69=2,"A+",IF(K69=1,"A",IF(K69=0,"B+",IF(K69=-1,"B",IF(K69=-2,"C+",IF(K69=-3,"C","D")))))))))</x:f>
        <x:v>B+</x:v>
      </x:c>
      <x:c r="B196" t="n">
        <x:v>1</x:v>
      </x:c>
      <x:c r="C196" t="n">
        <x:f>IF(B196="","",MIN(1,0.65+0.35*D196/(D196+8)))</x:f>
        <x:v>0.65</x:v>
      </x:c>
    </x:row>
    <x:row r="197">
      <x:c r="A197" t="str">
        <x:f>IF(B6="","",IF(K6=4,"Elite+",IF(K6=3,"Elite",IF(K6=2,"A+",IF(K6=1,"A",IF(K6=0,"B+",IF(K6=-1,"B",IF(K6=-2,"C+",IF(K6=-3,"C","D")))))))))</x:f>
      </x:c>
      <x:c r="B197" t="n">
        <x:v>1</x:v>
      </x:c>
      <x:c r="C197" t="n">
        <x:f>IF(B197="","",MIN(1,0.65+0.35*D197/(D197+8)))</x:f>
        <x:v>0.65</x:v>
      </x:c>
    </x:row>
    <x:row r="198">
      <x:c r="A198" t="str">
        <x:f>IF(B70="","",IF(K70=4,"Elite+",IF(K70=3,"Elite",IF(K70=2,"A+",IF(K70=1,"A",IF(K70=0,"B+",IF(K70=-1,"B",IF(K70=-2,"C+",IF(K70=-3,"C","D")))))))))</x:f>
        <x:v>B+</x:v>
      </x:c>
      <x:c r="B198" t="n">
        <x:v>1</x:v>
      </x:c>
      <x:c r="C198" t="n">
        <x:f>IF(B198="","",MIN(1,0.65+0.35*D198/(D198+8)))</x:f>
        <x:v>0.65</x:v>
      </x:c>
    </x:row>
    <x:row r="199">
      <x:c r="A199" t="str">
        <x:f>IF(B71="","",IF(K71=4,"Elite+",IF(K71=3,"Elite",IF(K71=2,"A+",IF(K71=1,"A",IF(K71=0,"B+",IF(K71=-1,"B",IF(K71=-2,"C+",IF(K71=-3,"C","D")))))))))</x:f>
        <x:v>B+</x:v>
      </x:c>
      <x:c r="B199" t="n">
        <x:v>1</x:v>
      </x:c>
      <x:c r="C199" t="n">
        <x:f>IF(B199="","",MIN(1,0.65+0.35*D199/(D199+8)))</x:f>
        <x:v>0.65</x:v>
      </x:c>
    </x:row>
    <x:row r="200">
      <x:c r="A200" t="str">
        <x:f>IF(B72="","",IF(K72=4,"Elite+",IF(K72=3,"Elite",IF(K72=2,"A+",IF(K72=1,"A",IF(K72=0,"B+",IF(K72=-1,"B",IF(K72=-2,"C+",IF(K72=-3,"C","D")))))))))</x:f>
        <x:v>B+</x:v>
      </x:c>
      <x:c r="B200" t="n">
        <x:v>1</x:v>
      </x:c>
      <x:c r="C200" t="n">
        <x:f>IF(B200="","",MIN(1,0.65+0.35*D200/(D200+8)))</x:f>
        <x:v>0.65</x:v>
      </x:c>
    </x:row>
    <x:row r="201">
      <x:c r="A201" t="str">
        <x:f>IF(B73="","",IF(K73=4,"Elite+",IF(K73=3,"Elite",IF(K73=2,"A+",IF(K73=1,"A",IF(K73=0,"B+",IF(K73=-1,"B",IF(K73=-2,"C+",IF(K73=-3,"C","D")))))))))</x:f>
        <x:v>B+</x:v>
      </x:c>
      <x:c r="B201" t="n">
        <x:v>1</x:v>
      </x:c>
      <x:c r="C201" t="n">
        <x:f>IF(B201="","",MIN(1,0.65+0.35*D201/(D201+8)))</x:f>
        <x:v>0.65</x:v>
      </x:c>
    </x:row>
    <x:row r="202">
      <x:c r="A202" t="str">
        <x:f>IF(B74="","",IF(K74=4,"Elite+",IF(K74=3,"Elite",IF(K74=2,"A+",IF(K74=1,"A",IF(K74=0,"B+",IF(K74=-1,"B",IF(K74=-2,"C+",IF(K74=-3,"C","D")))))))))</x:f>
        <x:v>B+</x:v>
      </x:c>
      <x:c r="B202" t="n">
        <x:v>1</x:v>
      </x:c>
    </x:row>
    <x:row r="203">
      <x:c r="A203" t="str">
        <x:f>IF(B75="","",IF(K75=4,"Elite+",IF(K75=3,"Elite",IF(K75=2,"A+",IF(K75=1,"A",IF(K75=0,"B+",IF(K75=-1,"B",IF(K75=-2,"C+",IF(K75=-3,"C","D")))))))))</x:f>
        <x:v>B+</x:v>
      </x:c>
      <x:c r="B203" t="n">
        <x:v>1</x:v>
      </x:c>
    </x:row>
    <x:row r="204">
      <x:c r="A204" t="str">
        <x:f>IF(B76="","",IF(K76=4,"Elite+",IF(K76=3,"Elite",IF(K76=2,"A+",IF(K76=1,"A",IF(K76=0,"B+",IF(K76=-1,"B",IF(K76=-2,"C+",IF(K76=-3,"C","D")))))))))</x:f>
        <x:v>B+</x:v>
      </x:c>
      <x:c r="B204" t="n">
        <x:v>1</x:v>
      </x:c>
    </x:row>
    <x:row r="205">
      <x:c r="A205" t="str">
        <x:f>IF(B77="","",IF(K77=4,"Elite+",IF(K77=3,"Elite",IF(K77=2,"A+",IF(K77=1,"A",IF(K77=0,"B+",IF(K77=-1,"B",IF(K77=-2,"C+",IF(K77=-3,"C","D")))))))))</x:f>
        <x:v>B+</x:v>
      </x:c>
      <x:c r="B205" t="n">
        <x:v>1</x:v>
      </x:c>
    </x:row>
    <x:row r="206">
      <x:c r="A206" t="str">
        <x:f>IF(B78="","",IF(K78=4,"Elite+",IF(K78=3,"Elite",IF(K78=2,"A+",IF(K78=1,"A",IF(K78=0,"B+",IF(K78=-1,"B",IF(K78=-2,"C+",IF(K78=-3,"C","D")))))))))</x:f>
        <x:v>B+</x:v>
      </x:c>
      <x:c r="B206" t="n">
        <x:v>1</x:v>
      </x:c>
    </x:row>
    <x:row r="207">
      <x:c r="A207" t="str">
        <x:f>IF(B79="","",IF(K79=4,"Elite+",IF(K79=3,"Elite",IF(K79=2,"A+",IF(K79=1,"A",IF(K79=0,"B+",IF(K79=-1,"B",IF(K79=-2,"C+",IF(K79=-3,"C","D")))))))))</x:f>
        <x:v>B+</x:v>
      </x:c>
      <x:c r="B207" t="n">
        <x:v>1</x:v>
      </x:c>
    </x:row>
    <x:row r="208">
      <x:c r="A208" t="str">
        <x:f>IF(B7="","",IF(K7=4,"Elite+",IF(K7=3,"Elite",IF(K7=2,"A+",IF(K7=1,"A",IF(K7=0,"B+",IF(K7=-1,"B",IF(K7=-2,"C+",IF(K7=-3,"C","D")))))))))</x:f>
      </x:c>
      <x:c r="B208" t="n">
        <x:v>1</x:v>
      </x:c>
    </x:row>
    <x:row r="209">
      <x:c r="A209" t="str">
        <x:f>IF(B80="","",IF(K80=4,"Elite+",IF(K80=3,"Elite",IF(K80=2,"A+",IF(K80=1,"A",IF(K80=0,"B+",IF(K80=-1,"B",IF(K80=-2,"C+",IF(K80=-3,"C","D")))))))))</x:f>
        <x:v>B+</x:v>
      </x:c>
      <x:c r="B209" t="n">
        <x:v>1</x:v>
      </x:c>
    </x:row>
    <x:row r="210">
      <x:c r="A210" t="str">
        <x:f>IF(B81="","",IF(K81=4,"Elite+",IF(K81=3,"Elite",IF(K81=2,"A+",IF(K81=1,"A",IF(K81=0,"B+",IF(K81=-1,"B",IF(K81=-2,"C+",IF(K81=-3,"C","D")))))))))</x:f>
        <x:v>B+</x:v>
      </x:c>
      <x:c r="B210" t="n">
        <x:v>1</x:v>
      </x:c>
    </x:row>
    <x:row r="211">
      <x:c r="A211" t="str">
        <x:f>IF(B82="","",IF(K82=4,"Elite+",IF(K82=3,"Elite",IF(K82=2,"A+",IF(K82=1,"A",IF(K82=0,"B+",IF(K82=-1,"B",IF(K82=-2,"C+",IF(K82=-3,"C","D")))))))))</x:f>
        <x:v>B+</x:v>
      </x:c>
      <x:c r="B211" t="n">
        <x:v>1</x:v>
      </x:c>
    </x:row>
    <x:row r="212">
      <x:c r="A212" t="str">
        <x:f>IF(B83="","",IF(K83=4,"Elite+",IF(K83=3,"Elite",IF(K83=2,"A+",IF(K83=1,"A",IF(K83=0,"B+",IF(K83=-1,"B",IF(K83=-2,"C+",IF(K83=-3,"C","D")))))))))</x:f>
        <x:v>B+</x:v>
      </x:c>
      <x:c r="B212" t="n">
        <x:v>1</x:v>
      </x:c>
    </x:row>
    <x:row r="213">
      <x:c r="A213" t="str">
        <x:f>IF(B84="","",IF(K84=4,"Elite+",IF(K84=3,"Elite",IF(K84=2,"A+",IF(K84=1,"A",IF(K84=0,"B+",IF(K84=-1,"B",IF(K84=-2,"C+",IF(K84=-3,"C","D")))))))))</x:f>
        <x:v>B+</x:v>
      </x:c>
      <x:c r="B213" t="n">
        <x:v>1</x:v>
      </x:c>
    </x:row>
    <x:row r="214">
      <x:c r="A214" t="str">
        <x:f>IF(B85="","",IF(K85=4,"Elite+",IF(K85=3,"Elite",IF(K85=2,"A+",IF(K85=1,"A",IF(K85=0,"B+",IF(K85=-1,"B",IF(K85=-2,"C+",IF(K85=-3,"C","D")))))))))</x:f>
        <x:v>B+</x:v>
      </x:c>
      <x:c r="B214" t="n">
        <x:v>1</x:v>
      </x:c>
    </x:row>
    <x:row r="215">
      <x:c r="A215" t="str">
        <x:f>IF(B86="","",IF(K86=4,"Elite+",IF(K86=3,"Elite",IF(K86=2,"A+",IF(K86=1,"A",IF(K86=0,"B+",IF(K86=-1,"B",IF(K86=-2,"C+",IF(K86=-3,"C","D")))))))))</x:f>
        <x:v>B+</x:v>
      </x:c>
      <x:c r="B215" t="n">
        <x:v>1</x:v>
      </x:c>
    </x:row>
    <x:row r="216">
      <x:c r="A216" t="str">
        <x:f>IF(B87="","",IF(K87=4,"Elite+",IF(K87=3,"Elite",IF(K87=2,"A+",IF(K87=1,"A",IF(K87=0,"B+",IF(K87=-1,"B",IF(K87=-2,"C+",IF(K87=-3,"C","D")))))))))</x:f>
        <x:v>B+</x:v>
      </x:c>
      <x:c r="B216" t="n">
        <x:v>1</x:v>
      </x:c>
    </x:row>
    <x:row r="217">
      <x:c r="A217" t="str">
        <x:f>IF(B88="","",IF(K88=4,"Elite+",IF(K88=3,"Elite",IF(K88=2,"A+",IF(K88=1,"A",IF(K88=0,"B+",IF(K88=-1,"B",IF(K88=-2,"C+",IF(K88=-3,"C","D")))))))))</x:f>
        <x:v>B+</x:v>
      </x:c>
      <x:c r="B217" t="n">
        <x:v>1</x:v>
      </x:c>
    </x:row>
    <x:row r="218">
      <x:c r="A218" t="str">
        <x:f>IF(B89="","",IF(K89=4,"Elite+",IF(K89=3,"Elite",IF(K89=2,"A+",IF(K89=1,"A",IF(K89=0,"B+",IF(K89=-1,"B",IF(K89=-2,"C+",IF(K89=-3,"C","D")))))))))</x:f>
        <x:v>B+</x:v>
      </x:c>
      <x:c r="B218" t="n">
        <x:v>1</x:v>
      </x:c>
    </x:row>
    <x:row r="219">
      <x:c r="A219" t="str">
        <x:f>IF(B8="","",IF(K8=4,"Elite+",IF(K8=3,"Elite",IF(K8=2,"A+",IF(K8=1,"A",IF(K8=0,"B+",IF(K8=-1,"B",IF(K8=-2,"C+",IF(K8=-3,"C","D")))))))))</x:f>
      </x:c>
      <x:c r="B219" t="n">
        <x:v>1</x:v>
      </x:c>
    </x:row>
    <x:row r="220">
      <x:c r="A220" t="str">
        <x:f>IF(B90="","",IF(K90=4,"Elite+",IF(K90=3,"Elite",IF(K90=2,"A+",IF(K90=1,"A",IF(K90=0,"B+",IF(K90=-1,"B",IF(K90=-2,"C+",IF(K90=-3,"C","D")))))))))</x:f>
        <x:v>B+</x:v>
      </x:c>
      <x:c r="B220" t="n">
        <x:v>1</x:v>
      </x:c>
    </x:row>
    <x:row r="221">
      <x:c r="A221" t="str">
        <x:f>IF(B91="","",IF(K91=4,"Elite+",IF(K91=3,"Elite",IF(K91=2,"A+",IF(K91=1,"A",IF(K91=0,"B+",IF(K91=-1,"B",IF(K91=-2,"C+",IF(K91=-3,"C","D")))))))))</x:f>
        <x:v>B+</x:v>
      </x:c>
      <x:c r="B221" t="n">
        <x:v>1</x:v>
      </x:c>
    </x:row>
    <x:row r="222">
      <x:c r="A222" t="str">
        <x:f>IF(B92="","",IF(K92=4,"Elite+",IF(K92=3,"Elite",IF(K92=2,"A+",IF(K92=1,"A",IF(K92=0,"B+",IF(K92=-1,"B",IF(K92=-2,"C+",IF(K92=-3,"C","D")))))))))</x:f>
        <x:v>B+</x:v>
      </x:c>
      <x:c r="B222" t="n">
        <x:v>1</x:v>
      </x:c>
    </x:row>
    <x:row r="223">
      <x:c r="A223" t="str">
        <x:f>IF(B93="","",IF(K93=4,"Elite+",IF(K93=3,"Elite",IF(K93=2,"A+",IF(K93=1,"A",IF(K93=0,"B+",IF(K93=-1,"B",IF(K93=-2,"C+",IF(K93=-3,"C","D")))))))))</x:f>
        <x:v>B+</x:v>
      </x:c>
      <x:c r="B223" t="n">
        <x:v>1</x:v>
      </x:c>
    </x:row>
    <x:row r="224">
      <x:c r="A224" t="str">
        <x:f>IF(B94="","",IF(K94=4,"Elite+",IF(K94=3,"Elite",IF(K94=2,"A+",IF(K94=1,"A",IF(K94=0,"B+",IF(K94=-1,"B",IF(K94=-2,"C+",IF(K94=-3,"C","D")))))))))</x:f>
        <x:v>B+</x:v>
      </x:c>
      <x:c r="B224" t="n">
        <x:v>1</x:v>
      </x:c>
    </x:row>
    <x:row r="225">
      <x:c r="A225" t="str">
        <x:f>IF(B95="","",IF(K95=4,"Elite+",IF(K95=3,"Elite",IF(K95=2,"A+",IF(K95=1,"A",IF(K95=0,"B+",IF(K95=-1,"B",IF(K95=-2,"C+",IF(K95=-3,"C","D")))))))))</x:f>
        <x:v>B+</x:v>
      </x:c>
      <x:c r="B225" t="n">
        <x:v>1</x:v>
      </x:c>
    </x:row>
    <x:row r="226">
      <x:c r="A226" t="str">
        <x:f>IF(B96="","",IF(K96=4,"Elite+",IF(K96=3,"Elite",IF(K96=2,"A+",IF(K96=1,"A",IF(K96=0,"B+",IF(K96=-1,"B",IF(K96=-2,"C+",IF(K96=-3,"C","D")))))))))</x:f>
        <x:v>B+</x:v>
      </x:c>
      <x:c r="B226" t="n">
        <x:v>1</x:v>
      </x:c>
    </x:row>
    <x:row r="227">
      <x:c r="A227" t="str">
        <x:f>IF(B97="","",IF(K97=4,"Elite+",IF(K97=3,"Elite",IF(K97=2,"A+",IF(K97=1,"A",IF(K97=0,"B+",IF(K97=-1,"B",IF(K97=-2,"C+",IF(K97=-3,"C","D")))))))))</x:f>
        <x:v>B+</x:v>
      </x:c>
      <x:c r="B227" t="n">
        <x:v>1</x:v>
      </x:c>
    </x:row>
    <x:row r="228">
      <x:c r="A228" t="str">
        <x:f>IF(B98="","",IF(K98=4,"Elite+",IF(K98=3,"Elite",IF(K98=2,"A+",IF(K98=1,"A",IF(K98=0,"B+",IF(K98=-1,"B",IF(K98=-2,"C+",IF(K98=-3,"C","D")))))))))</x:f>
        <x:v>B+</x:v>
      </x:c>
      <x:c r="B228" t="n">
        <x:v>1</x:v>
      </x:c>
    </x:row>
    <x:row r="229">
      <x:c r="A229" t="str">
        <x:f>IF(B99="","",IF(K99=4,"Elite+",IF(K99=3,"Elite",IF(K99=2,"A+",IF(K99=1,"A",IF(K99=0,"B+",IF(K99=-1,"B",IF(K99=-2,"C+",IF(K99=-3,"C","D")))))))))</x:f>
        <x:v>B+</x:v>
      </x:c>
      <x:c r="B229" t="n">
        <x:v>1</x:v>
      </x:c>
    </x:row>
    <x:row r="230">
      <x:c r="A230" t="str">
        <x:f>IF(B9="","",IF(K9=4,"Elite+",IF(K9=3,"Elite",IF(K9=2,"A+",IF(K9=1,"A",IF(K9=0,"B+",IF(K9=-1,"B",IF(K9=-2,"C+",IF(K9=-3,"C","D")))))))))</x:f>
      </x:c>
      <x:c r="B230" t="n">
        <x:v>1</x:v>
      </x:c>
    </x:row>
  </x:sheetData>
  <x:pageMargins left="0.7" right="0.7" top="0.75" bottom="0.75" header="0.3" footer="0.3"/>
  <x:drawing xmlns:r="http://schemas.openxmlformats.org/officeDocument/2006/relationships" r:id="R4465e1efcc534296"/>
</x:worksheet>
</file>

<file path=xl/worksheets/sheet23.xml><?xml version="1.0" encoding="utf-8"?>
<x:worksheet xmlns:x="http://schemas.openxmlformats.org/spreadsheetml/2006/main">
  <x:sheetFormatPr baseColWidth="8" defaultRowHeight="15"/>
  <x:cols>
    <x:col min="1" max="1" width="24" style="125" customWidth="1"/>
    <x:col min="2" max="2" width="38" style="125" customWidth="1"/>
    <x:col min="3" max="3" width="32" style="125" customWidth="1"/>
    <x:col min="4" max="4" width="24" style="125" customWidth="1"/>
  </x:cols>
  <x:sheetData>
    <x:row r="1">
      <x:c r="A1" s="148" t="inlineStr">
        <x:is>
          <x:t xml:space="preserve">FLPR Master Workbook v2.1</x:t>
        </x:is>
      </x:c>
      <x:c r="B1" s="1" t="n"/>
      <x:c r="C1" s="1" t="n"/>
      <x:c r="D1" s="1" t="n"/>
      <x:c r="E1" s="1" t="n"/>
      <x:c r="F1" s="1" t="n"/>
      <x:c r="G1" s="1" t="n"/>
      <x:c r="H1" s="1" t="n"/>
    </x:row>
    <x:row r="2">
      <x:c r="A2" s="1" t="n"/>
      <x:c r="B2" s="1" t="n"/>
      <x:c r="C2" s="1" t="n"/>
      <x:c r="D2" s="1" t="n"/>
      <x:c r="E2" s="1" t="n"/>
      <x:c r="F2" s="1" t="n"/>
      <x:c r="G2" s="1" t="n"/>
      <x:c r="H2" s="1" t="n"/>
    </x:row>
    <x:row r="3">
      <x:c r="A3" s="149" t="inlineStr">
        <x:is>
          <x:t xml:space="preserve">Sheet</x:t>
        </x:is>
      </x:c>
      <x:c r="B3" s="1" t="n"/>
      <x:c r="C3" s="1" t="n"/>
      <x:c r="D3" s="1" t="n"/>
      <x:c r="E3" s="1" t="n"/>
      <x:c r="F3" s="1" t="n"/>
      <x:c r="G3" s="1" t="n"/>
      <x:c r="H3" s="1" t="n"/>
    </x:row>
    <x:row r="4">
      <x:c r="A4" t="inlineStr">
        <x:is>
          <x:t xml:space="preserve">Stage 4 Dashboard</x:t>
        </x:is>
      </x:c>
      <x:c r="B4" t="inlineStr">
        <x:is>
          <x:t xml:space="preserve">Core workbook component</x:t>
        </x:is>
      </x:c>
    </x:row>
    <x:row r="5">
      <x:c r="A5" t="inlineStr">
        <x:is>
          <x:t xml:space="preserve">Schedule &amp; Expectation</x:t>
        </x:is>
      </x:c>
      <x:c r="B5" t="inlineStr">
        <x:is>
          <x:t xml:space="preserve">Core workbook component</x:t>
        </x:is>
      </x:c>
    </x:row>
    <x:row r="6">
      <x:c r="A6" t="inlineStr">
        <x:is>
          <x:t xml:space="preserve">Clutch &amp; Dominance</x:t>
        </x:is>
      </x:c>
      <x:c r="B6" t="inlineStr">
        <x:is>
          <x:t xml:space="preserve">Core workbook component</x:t>
        </x:is>
      </x:c>
    </x:row>
    <x:row r="7">
      <x:c r="A7" t="inlineStr">
        <x:is>
          <x:t xml:space="preserve">Partner-Adjusted Pairs</x:t>
        </x:is>
      </x:c>
      <x:c r="B7" t="inlineStr">
        <x:is>
          <x:t xml:space="preserve">Core workbook component</x:t>
        </x:is>
      </x:c>
    </x:row>
    <x:row r="8">
      <x:c r="A8" t="inlineStr">
        <x:is>
          <x:t xml:space="preserve">Methodology</x:t>
        </x:is>
      </x:c>
      <x:c r="B8" t="inlineStr">
        <x:is>
          <x:t xml:space="preserve">Core workbook component</x:t>
        </x:is>
      </x:c>
    </x:row>
    <x:row r="9">
      <x:c r="A9" t="inlineStr">
        <x:is>
          <x:t xml:space="preserve">Advanced Analytics</x:t>
        </x:is>
      </x:c>
      <x:c r="B9" t="inlineStr">
        <x:is>
          <x:t xml:space="preserve">Core workbook component</x:t>
        </x:is>
      </x:c>
    </x:row>
    <x:row r="10">
      <x:c r="A10" t="inlineStr">
        <x:is>
          <x:t xml:space="preserve">Partner Chemistry</x:t>
        </x:is>
      </x:c>
      <x:c r="B10" t="inlineStr">
        <x:is>
          <x:t xml:space="preserve">Core workbook component</x:t>
        </x:is>
      </x:c>
    </x:row>
    <x:row r="11">
      <x:c r="A11" t="inlineStr">
        <x:is>
          <x:t xml:space="preserve">Opponent Difficulty</x:t>
        </x:is>
      </x:c>
      <x:c r="B11" t="inlineStr">
        <x:is>
          <x:t xml:space="preserve">Core workbook component</x:t>
        </x:is>
      </x:c>
    </x:row>
    <x:row r="12">
      <x:c r="A12" t="inlineStr">
        <x:is>
          <x:t xml:space="preserve">H2H Matrix</x:t>
        </x:is>
      </x:c>
      <x:c r="B12" t="inlineStr">
        <x:is>
          <x:t xml:space="preserve">Core workbook component</x:t>
        </x:is>
      </x:c>
    </x:row>
    <x:row r="13">
      <x:c r="A13" t="inlineStr">
        <x:is>
          <x:t xml:space="preserve">Stage 4 Methodology</x:t>
        </x:is>
      </x:c>
      <x:c r="B13" t="inlineStr">
        <x:is>
          <x:t xml:space="preserve">Core workbook component</x:t>
        </x:is>
      </x:c>
    </x:row>
    <x:row r="14">
      <x:c r="A14" t="inlineStr">
        <x:is>
          <x:t xml:space="preserve">Rating Settings</x:t>
        </x:is>
      </x:c>
      <x:c r="B14" t="inlineStr">
        <x:is>
          <x:t xml:space="preserve">Core workbook component</x:t>
        </x:is>
      </x:c>
    </x:row>
    <x:row r="15">
      <x:c r="A15" t="inlineStr">
        <x:is>
          <x:t xml:space="preserve">FLPR Rating</x:t>
        </x:is>
      </x:c>
      <x:c r="B15" t="inlineStr">
        <x:is>
          <x:t xml:space="preserve">Official player ratings</x:t>
        </x:is>
      </x:c>
    </x:row>
    <x:row r="16">
      <x:c r="A16" t="inlineStr">
        <x:is>
          <x:t xml:space="preserve">Stage 5 Methodology</x:t>
        </x:is>
      </x:c>
      <x:c r="B16" t="inlineStr">
        <x:is>
          <x:t xml:space="preserve">Core workbook component</x:t>
        </x:is>
      </x:c>
    </x:row>
    <x:row r="17">
      <x:c r="A17" t="inlineStr">
        <x:is>
          <x:t xml:space="preserve">Stage 5 Dashboard</x:t>
        </x:is>
      </x:c>
      <x:c r="B17" t="inlineStr">
        <x:is>
          <x:t xml:space="preserve">Core workbook component</x:t>
        </x:is>
      </x:c>
    </x:row>
    <x:row r="18">
      <x:c r="A18" t="inlineStr">
        <x:is>
          <x:t xml:space="preserve">Handicap Settings</x:t>
        </x:is>
      </x:c>
      <x:c r="B18" t="inlineStr">
        <x:is>
          <x:t xml:space="preserve">Core workbook component</x:t>
        </x:is>
      </x:c>
    </x:row>
    <x:row r="19">
      <x:c r="A19" s="1" t="inlineStr">
        <x:is>
          <x:t xml:space="preserve">Player Handicap</x:t>
        </x:is>
      </x:c>
      <x:c r="B19" s="1" t="n"/>
      <x:c r="C19" s="1" t="n"/>
      <x:c r="D19" s="1" t="n"/>
      <x:c r="E19" s="1" t="n"/>
      <x:c r="F19" s="1" t="n"/>
      <x:c r="G19" s="1" t="n"/>
      <x:c r="H19" s="1" t="n"/>
    </x:row>
    <x:row r="20">
      <x:c r="A20" s="1" t="n"/>
      <x:c r="B20" s="1" t="n"/>
      <x:c r="C20" s="1" t="n"/>
      <x:c r="D20" s="1" t="n"/>
      <x:c r="E20" s="1" t="n"/>
      <x:c r="F20" s="1" t="n"/>
      <x:c r="G20" s="1" t="n"/>
      <x:c r="H20" s="1" t="n"/>
    </x:row>
    <x:row r="21">
      <x:c r="A21" t="inlineStr">
        <x:is>
          <x:t xml:space="preserve">Match Predictor</x:t>
        </x:is>
      </x:c>
      <x:c r="B21" t="inlineStr">
        <x:is>
          <x:t xml:space="preserve">Core workbook component</x:t>
        </x:is>
      </x:c>
    </x:row>
    <x:row r="22">
      <x:c r="A22" t="inlineStr">
        <x:is>
          <x:t xml:space="preserve">Tournament Builder</x:t>
        </x:is>
      </x:c>
      <x:c r="B22" t="inlineStr">
        <x:is>
          <x:t xml:space="preserve">Core workbook component</x:t>
        </x:is>
      </x:c>
    </x:row>
    <x:row r="23">
      <x:c r="A23" t="inlineStr">
        <x:is>
          <x:t xml:space="preserve">Stage 6 Dashboard</x:t>
        </x:is>
      </x:c>
      <x:c r="B23" t="inlineStr">
        <x:is>
          <x:t xml:space="preserve">Main dashboard</x:t>
        </x:is>
      </x:c>
    </x:row>
    <x:row r="24">
      <x:c r="A24" t="inlineStr">
        <x:is>
          <x:t xml:space="preserve">Stage 6 Methodology</x:t>
        </x:is>
      </x:c>
      <x:c r="B24" t="inlineStr">
        <x:is>
          <x:t xml:space="preserve">Core workbook component</x:t>
        </x:is>
      </x:c>
    </x:row>
    <x:row r="25">
      <x:c r="A25" t="inlineStr">
        <x:is>
          <x:t xml:space="preserve">FLPR Visual Dashboard</x:t>
        </x:is>
      </x:c>
      <x:c r="B25" t="inlineStr">
        <x:is>
          <x:t xml:space="preserve">Visual dashboard</x:t>
        </x:is>
      </x:c>
    </x:row>
    <x:row r="26">
      <x:c r="A26" t="inlineStr">
        <x:is>
          <x:t xml:space="preserve">Official Ranking v2</x:t>
        </x:is>
      </x:c>
      <x:c r="B26" t="inlineStr">
        <x:is>
          <x:t xml:space="preserve">Printable ranking</x:t>
        </x:is>
      </x:c>
    </x:row>
    <x:row r="27">
      <x:c r="A27" t="inlineStr">
        <x:is>
          <x:t xml:space="preserve">Official Handicap v2</x:t>
        </x:is>
      </x:c>
      <x:c r="B27" t="inlineStr">
        <x:is>
          <x:t xml:space="preserve">Printable handicap</x:t>
        </x:is>
      </x:c>
    </x:row>
    <x:row r="28">
      <x:c r="A28" t="inlineStr">
        <x:is>
          <x:t xml:space="preserve">Report Data</x:t>
        </x:is>
      </x:c>
      <x:c r="B28" t="inlineStr">
        <x:is>
          <x:t xml:space="preserve">Report source</x:t>
        </x:is>
      </x:c>
    </x:row>
    <x:row r="29">
      <x:c r="A29" t="inlineStr">
        <x:is>
          <x:t xml:space="preserve">Executive Dashboard v2</x:t>
        </x:is>
      </x:c>
      <x:c r="B29" t="inlineStr">
        <x:is>
          <x:t xml:space="preserve">Executive KPI</x:t>
        </x:is>
      </x:c>
    </x:row>
    <x:row r="30">
      <x:c r="A30" t="inlineStr">
        <x:is>
          <x:t xml:space="preserve">Revision History</x:t>
        </x:is>
      </x:c>
      <x:c r="B30" t="inlineStr">
        <x:is>
          <x:t xml:space="preserve">Version log</x:t>
        </x:is>
      </x:c>
    </x:row>
    <x:row r="31">
      <x:c r="A31" t="str">
        <x:v>Phase C Modules</x:v>
      </x:c>
      <x:c r="B31" t="str"/>
    </x:row>
    <x:row r="32">
      <x:c r="A32" t="str">
        <x:v>Import Control</x:v>
      </x:c>
      <x:c r="B32" t="str">
        <x:v>New tournament import and refresh workflow</x:v>
      </x:c>
    </x:row>
    <x:row r="33">
      <x:c r="A33" t="str">
        <x:v>Player Report Index</x:v>
      </x:c>
      <x:c r="B33" t="str">
        <x:v>All-player publication index</x:v>
      </x:c>
    </x:row>
    <x:row r="34">
      <x:c r="A34" t="str">
        <x:v>Web Export Data</x:v>
      </x:c>
      <x:c r="B34" t="str">
        <x:v>Flat dataset for FLPR Web Edition</x:v>
      </x:c>
    </x:row>
    <x:row r="35">
      <x:c r="A35" t="str">
        <x:v>Publication Dashboard</x:v>
      </x:c>
      <x:c r="B35" t="str">
        <x:v>Release and publication control</x:v>
      </x:c>
    </x:row>
  </x:sheetData>
  <x:mergeCells>
    <x:mergeCell ref="A1:H2"/>
    <x:mergeCell ref="A3:H3"/>
    <x:mergeCell ref="A19:H20"/>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8" style="125" customWidth="1"/>
    <x:col min="2" max="2" width="18" style="125" customWidth="1"/>
    <x:col min="3" max="3" width="7" style="125" customWidth="1"/>
    <x:col min="4" max="4" width="7" style="125" customWidth="1"/>
    <x:col min="5" max="5" width="7" style="125" customWidth="1"/>
    <x:col min="6" max="6" width="12" style="125" customWidth="1"/>
    <x:col min="7" max="7" width="14" style="125" customWidth="1"/>
    <x:col min="8" max="8" width="11" style="125" customWidth="1"/>
    <x:col min="9" max="9" width="13" style="125" customWidth="1"/>
    <x:col min="10" max="10" width="12" style="125" customWidth="1"/>
    <x:col min="11" max="11" width="10" style="125" customWidth="1"/>
    <x:col min="12" max="12" width="10" style="125" customWidth="1"/>
    <x:col min="13" max="13" width="11" style="125" customWidth="1"/>
    <x:col min="14" max="14" width="9" style="125" customWidth="1"/>
    <x:col min="15" max="15" width="10" style="125" customWidth="1"/>
    <x:col min="16" max="16" width="11" style="125" customWidth="1"/>
    <x:col min="17" max="17" width="13" style="125" customWidth="1"/>
    <x:col min="18" max="18" width="11" style="125" customWidth="1"/>
    <x:col min="19" max="19" width="12" style="125" customWidth="1"/>
    <x:col min="20" max="20" width="8" style="125" customWidth="1"/>
    <x:col min="21" max="21" width="11" style="125" customWidth="1"/>
    <x:col min="22" max="22" width="13" style="125" customWidth="1"/>
    <x:col min="23" max="23" width="10" style="125" customWidth="1"/>
    <x:col min="24" max="24" width="10" style="125" customWidth="1"/>
  </x:cols>
  <x:sheetData>
    <x:row r="1">
      <x:c r="A1" s="142" t="inlineStr">
        <x:is>
          <x:t xml:space="preserve">FLPR OFFICIAL RANKING — VOLUME 1</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row>
    <x:row r="2">
      <x:c r="A2" s="1" t="n"/>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row>
    <x:row r="3">
      <x:c r="A3" s="143" t="inlineStr">
        <x:is>
          <x:t xml:space="preserve">Bayesian-adjusted, reliability-weighted composite rating</x:t>
        </x:is>
      </x:c>
      <x:c r="B3" s="1" t="n"/>
      <x:c r="C3" s="1" t="n"/>
      <x:c r="D3" s="1" t="n"/>
      <x:c r="E3" s="1" t="n"/>
      <x:c r="F3" s="1" t="n"/>
      <x:c r="G3" s="1" t="n"/>
      <x:c r="H3" s="1" t="n"/>
      <x:c r="I3" s="1" t="n"/>
      <x:c r="J3" s="1" t="n"/>
      <x:c r="K3" s="1" t="n"/>
      <x:c r="L3" s="1" t="n"/>
      <x:c r="M3" s="1" t="n"/>
      <x:c r="N3" s="1" t="n"/>
      <x:c r="O3" s="1" t="n"/>
      <x:c r="P3" s="1" t="n"/>
      <x:c r="Q3" s="1" t="n"/>
      <x:c r="R3" s="1" t="n"/>
      <x:c r="S3" s="1" t="n"/>
      <x:c r="T3" s="1" t="n"/>
      <x:c r="U3" s="1" t="n"/>
      <x:c r="V3" s="1" t="n"/>
      <x:c r="W3" s="1" t="n"/>
      <x:c r="X3" s="1" t="n"/>
    </x:row>
    <x:row r="5">
      <x:c r="A5" s="124" t="inlineStr">
        <x:is>
          <x:t xml:space="preserve">Rank</x:t>
        </x:is>
      </x:c>
      <x:c r="B5" s="124" t="inlineStr">
        <x:is>
          <x:t xml:space="preserve">Player</x:t>
        </x:is>
      </x:c>
      <x:c r="C5" s="124" t="inlineStr">
        <x:is>
          <x:t xml:space="preserve">MP</x:t>
        </x:is>
      </x:c>
      <x:c r="D5" s="124" t="inlineStr">
        <x:is>
          <x:t xml:space="preserve">W</x:t>
        </x:is>
      </x:c>
      <x:c r="E5" s="124" t="inlineStr">
        <x:is>
          <x:t xml:space="preserve">L</x:t>
        </x:is>
      </x:c>
      <x:c r="F5" s="124" t="inlineStr">
        <x:is>
          <x:t xml:space="preserve">Raw Win %</x:t>
        </x:is>
      </x:c>
      <x:c r="G5" s="124" t="inlineStr">
        <x:is>
          <x:t xml:space="preserve">Adjusted Win %</x:t>
        </x:is>
      </x:c>
      <x:c r="H5" s="124" t="inlineStr">
        <x:is>
          <x:t xml:space="preserve">Dominance</x:t>
        </x:is>
      </x:c>
      <x:c r="I5" s="124" t="inlineStr">
        <x:is>
          <x:t xml:space="preserve">Vs Expectation</x:t>
        </x:is>
      </x:c>
      <x:c r="J5" s="124" t="inlineStr">
        <x:is>
          <x:t xml:space="preserve">Vs Exp Score</x:t>
        </x:is>
      </x:c>
      <x:c r="K5" s="124" t="inlineStr">
        <x:is>
          <x:t xml:space="preserve">SOS Raw</x:t>
        </x:is>
      </x:c>
      <x:c r="L5" s="124" t="inlineStr">
        <x:is>
          <x:t xml:space="preserve">SOS Score</x:t>
        </x:is>
      </x:c>
      <x:c r="M5" s="124" t="inlineStr">
        <x:is>
          <x:t xml:space="preserve">Consistency</x:t>
        </x:is>
      </x:c>
      <x:c r="N5" s="124" t="inlineStr">
        <x:is>
          <x:t xml:space="preserve">Clutch</x:t>
        </x:is>
      </x:c>
      <x:c r="O5" s="124" t="inlineStr">
        <x:is>
          <x:t xml:space="preserve">Versatility</x:t>
        </x:is>
      </x:c>
      <x:c r="P5" s="124" t="inlineStr">
        <x:is>
          <x:t xml:space="preserve">Recent Form</x:t>
        </x:is>
      </x:c>
      <x:c r="Q5" s="124" t="inlineStr">
        <x:is>
          <x:t xml:space="preserve">Raw Composite</x:t>
        </x:is>
      </x:c>
      <x:c r="R5" s="124" t="inlineStr">
        <x:is>
          <x:t xml:space="preserve">Reliability</x:t>
        </x:is>
      </x:c>
      <x:c r="S5" s="124" t="inlineStr">
        <x:is>
          <x:t xml:space="preserve">FLPR Rating</x:t>
        </x:is>
      </x:c>
      <x:c r="T5" s="124" t="inlineStr">
        <x:is>
          <x:t xml:space="preserve">Tier</x:t>
        </x:is>
      </x:c>
      <x:c r="U5" s="124" t="inlineStr">
        <x:is>
          <x:t xml:space="preserve">Rating Gap</x:t>
        </x:is>
      </x:c>
      <x:c r="V5" s="124" t="inlineStr">
        <x:is>
          <x:t xml:space="preserve">Status</x:t>
        </x:is>
      </x:c>
      <x:c r="W5" s="124" t="inlineStr">
        <x:is>
          <x:t xml:space="preserve">Handicap</x:t>
        </x:is>
      </x:c>
      <x:c r="X5" s="124" t="inlineStr">
        <x:is>
          <x:t xml:space="preserve">Class</x:t>
        </x:is>
      </x:c>
    </x:row>
    <x:row r="6">
      <x:c r="A6" s="129" t="n">
        <x:v>1</x:v>
      </x:c>
      <x:c r="B6" t="inlineStr">
        <x:is>
          <x:t xml:space="preserve">Sandy</x:t>
        </x:is>
      </x:c>
      <x:c r="C6" t="n">
        <x:v>13</x:v>
      </x:c>
      <x:c r="D6" t="n">
        <x:v>11</x:v>
      </x:c>
      <x:c r="E6" t="n">
        <x:v>2</x:v>
      </x:c>
      <x:c r="F6" s="126" t="n">
        <x:v>0.8461538461538461</x:v>
      </x:c>
      <x:c r="G6" s="126" t="n">
        <x:v>0.7142857142857143</x:v>
      </x:c>
      <x:c r="H6" s="135" t="n">
        <x:v>100</x:v>
      </x:c>
      <x:c r="I6" s="135" t="n">
        <x:v>0.2726055470762695</x:v>
      </x:c>
      <x:c r="J6" s="135" t="n">
        <x:v>85.66895101513099</x:v>
      </x:c>
      <x:c r="K6" s="135" t="n">
        <x:v>0.4739465662542586</x:v>
      </x:c>
      <x:c r="L6" s="135" t="n">
        <x:v>50.22319315768154</x:v>
      </x:c>
      <x:c r="M6" s="135" t="n">
        <x:v>51.76022648543781</x:v>
      </x:c>
      <x:c r="N6" s="135" t="n">
        <x:v>50</x:v>
      </x:c>
      <x:c r="O6" s="135" t="n">
        <x:v>53.83333333333334</x:v>
      </x:c>
      <x:c r="P6" s="135" t="n">
        <x:v>80</x:v>
      </x:c>
      <x:c r="Q6" s="135" t="n">
        <x:v>73.66892271181968</x:v>
      </x:c>
      <x:c r="R6" s="126" t="n">
        <x:v>0.8666666666666667</x:v>
      </x:c>
      <x:c r="S6" s="135" t="n">
        <x:v>70.51306635024372</x:v>
      </x:c>
      <x:c r="T6" s="135" t="inlineStr">
        <x:is>
          <x:t xml:space="preserve">A</x:t>
        </x:is>
      </x:c>
      <x:c r="U6" s="135" t="n">
        <x:v>20.51306635024372</x:v>
      </x:c>
      <x:c r="V6" t="inlineStr">
        <x:is>
          <x:t xml:space="preserve">Established</x:t>
        </x:is>
      </x:c>
      <x:c r="W6" t="n">
        <x:v>3</x:v>
      </x:c>
      <x:c r="X6" t="inlineStr">
        <x:is>
          <x:t xml:space="preserve">Elite</x:t>
        </x:is>
      </x:c>
    </x:row>
    <x:row r="7">
      <x:c r="A7" s="129" t="n">
        <x:v>2</x:v>
      </x:c>
      <x:c r="B7" t="inlineStr">
        <x:is>
          <x:t xml:space="preserve">Thohir</x:t>
        </x:is>
      </x:c>
      <x:c r="C7" t="n">
        <x:v>4</x:v>
      </x:c>
      <x:c r="D7" t="n">
        <x:v>4</x:v>
      </x:c>
      <x:c r="E7" t="n">
        <x:v>0</x:v>
      </x:c>
      <x:c r="F7" s="126" t="n">
        <x:v>1</x:v>
      </x:c>
      <x:c r="G7" s="126" t="n">
        <x:v>0.6666666666666666</x:v>
      </x:c>
      <x:c r="H7" s="135" t="n">
        <x:v>65.99236641221374</x:v>
      </x:c>
      <x:c r="I7" s="135" t="n">
        <x:v>0.3739694563349807</x:v>
      </x:c>
      <x:c r="J7" s="135" t="n">
        <x:v>100</x:v>
      </x:c>
      <x:c r="K7" s="135" t="n">
        <x:v>0.4242424242424243</x:v>
      </x:c>
      <x:c r="L7" s="135" t="n">
        <x:v>28.18329477777234</x:v>
      </x:c>
      <x:c r="M7" s="135" t="n">
        <x:v>97.3317320214429</x:v>
      </x:c>
      <x:c r="N7" s="135" t="n">
        <x:v>62.5</x:v>
      </x:c>
      <x:c r="O7" s="135" t="n">
        <x:v>5.166666666666667</x:v>
      </x:c>
      <x:c r="P7" s="135" t="n">
        <x:v>100</x:v>
      </x:c>
      <x:c r="Q7" s="135" t="n">
        <x:v>69.13330929569761</x:v>
      </x:c>
      <x:c r="R7" s="126" t="n">
        <x:v>0.7666666666666667</x:v>
      </x:c>
      <x:c r="S7" s="135" t="n">
        <x:v>64.66887046003484</x:v>
      </x:c>
      <x:c r="T7" s="135" t="inlineStr">
        <x:is>
          <x:t xml:space="preserve">B</x:t>
        </x:is>
      </x:c>
      <x:c r="U7" s="135" t="n">
        <x:v>14.66887046003484</x:v>
      </x:c>
      <x:c r="V7" t="inlineStr">
        <x:is>
          <x:t xml:space="preserve">Provisional</x:t>
        </x:is>
      </x:c>
      <x:c r="W7" t="n">
        <x:v>1</x:v>
      </x:c>
      <x:c r="X7" t="inlineStr">
        <x:is>
          <x:t xml:space="preserve">A</x:t>
        </x:is>
      </x:c>
    </x:row>
    <x:row r="8">
      <x:c r="A8" s="129" t="n">
        <x:v>3</x:v>
      </x:c>
      <x:c r="B8" t="inlineStr">
        <x:is>
          <x:t xml:space="preserve">Austin</x:t>
        </x:is>
      </x:c>
      <x:c r="C8" t="n">
        <x:v>14</x:v>
      </x:c>
      <x:c r="D8" t="n">
        <x:v>9</x:v>
      </x:c>
      <x:c r="E8" t="n">
        <x:v>5</x:v>
      </x:c>
      <x:c r="F8" s="126" t="n">
        <x:v>0.6428571428571429</x:v>
      </x:c>
      <x:c r="G8" s="126" t="n">
        <x:v>0.5909090909090909</x:v>
      </x:c>
      <x:c r="H8" s="135" t="n">
        <x:v>82.43729552889857</x:v>
      </x:c>
      <x:c r="I8" s="135" t="n">
        <x:v>0.114073283971975</x:v>
      </x:c>
      <x:c r="J8" s="135" t="n">
        <x:v>63.25531637095866</x:v>
      </x:c>
      <x:c r="K8" s="135" t="n">
        <x:v>0.4960783264354692</x:v>
      </x:c>
      <x:c r="L8" s="135" t="n">
        <x:v>60.03689732032985</x:v>
      </x:c>
      <x:c r="M8" s="135" t="n">
        <x:v>19.19195872565471</x:v>
      </x:c>
      <x:c r="N8" s="135" t="n">
        <x:v>43.75</x:v>
      </x:c>
      <x:c r="O8" s="135" t="n">
        <x:v>59.16666666666666</x:v>
      </x:c>
      <x:c r="P8" s="135" t="n">
        <x:v>80</x:v>
      </x:c>
      <x:c r="Q8" s="135" t="n">
        <x:v>60.77174822662803</x:v>
      </x:c>
      <x:c r="R8" s="126" t="n">
        <x:v>0.8727272727272728</x:v>
      </x:c>
      <x:c r="S8" s="135" t="n">
        <x:v>59.40079845232992</x:v>
      </x:c>
      <x:c r="T8" s="135" t="inlineStr">
        <x:is>
          <x:t xml:space="preserve">B</x:t>
        </x:is>
      </x:c>
      <x:c r="U8" s="135" t="n">
        <x:v>9.400798452329923</x:v>
      </x:c>
      <x:c r="V8" t="inlineStr">
        <x:is>
          <x:t xml:space="preserve">Established</x:t>
        </x:is>
      </x:c>
      <x:c r="W8" t="n">
        <x:v>0</x:v>
      </x:c>
      <x:c r="X8" t="inlineStr">
        <x:is>
          <x:t xml:space="preserve">B+</x:t>
        </x:is>
      </x:c>
    </x:row>
    <x:row r="9">
      <x:c r="A9" s="129" t="n">
        <x:v>4</x:v>
      </x:c>
      <x:c r="B9" t="inlineStr">
        <x:is>
          <x:t xml:space="preserve">Rey</x:t>
        </x:is>
      </x:c>
      <x:c r="C9" t="n">
        <x:v>7</x:v>
      </x:c>
      <x:c r="D9" t="n">
        <x:v>5</x:v>
      </x:c>
      <x:c r="E9" t="n">
        <x:v>2</x:v>
      </x:c>
      <x:c r="F9" s="126" t="n">
        <x:v>0.7142857142857143</x:v>
      </x:c>
      <x:c r="G9" s="126" t="n">
        <x:v>0.6</x:v>
      </x:c>
      <x:c r="H9" s="135" t="n">
        <x:v>73.1515812431843</x:v>
      </x:c>
      <x:c r="I9" s="135" t="n">
        <x:v>0.1678573669329859</x:v>
      </x:c>
      <x:c r="J9" s="135" t="n">
        <x:v>70.85942648428546</x:v>
      </x:c>
      <x:c r="K9" s="135" t="n">
        <x:v>0.493563579277865</x:v>
      </x:c>
      <x:c r="L9" s="135" t="n">
        <x:v>58.921803697115</x:v>
      </x:c>
      <x:c r="M9" s="135" t="n">
        <x:v>47.09650160189037</x:v>
      </x:c>
      <x:c r="N9" s="135" t="n">
        <x:v>50</x:v>
      </x:c>
      <x:c r="O9" s="135" t="n">
        <x:v>23.16666666666667</x:v>
      </x:c>
      <x:c r="P9" s="135" t="n">
        <x:v>80</x:v>
      </x:c>
      <x:c r="Q9" s="135" t="n">
        <x:v>61.51939408451354</x:v>
      </x:c>
      <x:c r="R9" s="126" t="n">
        <x:v>0.8133333333333334</x:v>
      </x:c>
      <x:c r="S9" s="135" t="n">
        <x:v>59.36910718873768</x:v>
      </x:c>
      <x:c r="T9" s="135" t="inlineStr">
        <x:is>
          <x:t xml:space="preserve">B</x:t>
        </x:is>
      </x:c>
      <x:c r="U9" s="135" t="n">
        <x:v>9.369107188737679</x:v>
      </x:c>
      <x:c r="V9" t="inlineStr">
        <x:is>
          <x:t xml:space="preserve">Developing</x:t>
        </x:is>
      </x:c>
      <x:c r="W9" t="n">
        <x:v>0</x:v>
      </x:c>
      <x:c r="X9" t="inlineStr">
        <x:is>
          <x:t xml:space="preserve">B+</x:t>
        </x:is>
      </x:c>
    </x:row>
    <x:row r="10">
      <x:c r="A10" s="129" t="n">
        <x:v>5</x:v>
      </x:c>
      <x:c r="B10" t="inlineStr">
        <x:is>
          <x:t xml:space="preserve">Ronald</x:t>
        </x:is>
      </x:c>
      <x:c r="C10" t="n">
        <x:v>18</x:v>
      </x:c>
      <x:c r="D10" t="n">
        <x:v>12</x:v>
      </x:c>
      <x:c r="E10" t="n">
        <x:v>6</x:v>
      </x:c>
      <x:c r="F10" s="126" t="n">
        <x:v>0.6666666666666666</x:v>
      </x:c>
      <x:c r="G10" s="126" t="n">
        <x:v>0.6153846153846154</x:v>
      </x:c>
      <x:c r="H10" s="135" t="n">
        <x:v>63.84223918575063</x:v>
      </x:c>
      <x:c r="I10" s="135" t="n">
        <x:v>0.110856562385871</x:v>
      </x:c>
      <x:c r="J10" s="135" t="n">
        <x:v>62.80052930761165</x:v>
      </x:c>
      <x:c r="K10" s="135" t="n">
        <x:v>0.478422965922966</x:v>
      </x:c>
      <x:c r="L10" s="135" t="n">
        <x:v>52.20812619973425</x:v>
      </x:c>
      <x:c r="M10" s="135" t="n">
        <x:v>43.57453202312175</x:v>
      </x:c>
      <x:c r="N10" s="135" t="n">
        <x:v>54.16666666666667</x:v>
      </x:c>
      <x:c r="O10" s="135" t="n">
        <x:v>69.33333333333333</x:v>
      </x:c>
      <x:c r="P10" s="135" t="n">
        <x:v>60</x:v>
      </x:c>
      <x:c r="Q10" s="135" t="n">
        <x:v>59.40333151711594</x:v>
      </x:c>
      <x:c r="R10" s="126" t="n">
        <x:v>0.8923076923076922</x:v>
      </x:c>
      <x:c r="S10" s="135" t="n">
        <x:v>58.39066504604191</x:v>
      </x:c>
      <x:c r="T10" s="135" t="inlineStr">
        <x:is>
          <x:t xml:space="preserve">B</x:t>
        </x:is>
      </x:c>
      <x:c r="U10" s="135" t="n">
        <x:v>8.39066504604191</x:v>
      </x:c>
      <x:c r="V10" t="inlineStr">
        <x:is>
          <x:t xml:space="preserve">Established</x:t>
        </x:is>
      </x:c>
      <x:c r="W10" t="n">
        <x:v>0</x:v>
      </x:c>
      <x:c r="X10" t="inlineStr">
        <x:is>
          <x:t xml:space="preserve">B+</x:t>
        </x:is>
      </x:c>
    </x:row>
    <x:row r="11">
      <x:c r="A11" t="n">
        <x:v>6</x:v>
      </x:c>
      <x:c r="B11" t="inlineStr">
        <x:is>
          <x:t xml:space="preserve">Ricky</x:t>
        </x:is>
      </x:c>
      <x:c r="C11" t="n">
        <x:v>26</x:v>
      </x:c>
      <x:c r="D11" t="n">
        <x:v>16</x:v>
      </x:c>
      <x:c r="E11" t="n">
        <x:v>10</x:v>
      </x:c>
      <x:c r="F11" s="126" t="n">
        <x:v>0.6153846153846154</x:v>
      </x:c>
      <x:c r="G11" s="126" t="n">
        <x:v>0.5882352941176471</x:v>
      </x:c>
      <x:c r="H11" s="135" t="n">
        <x:v>63.81679389312977</x:v>
      </x:c>
      <x:c r="I11" s="135" t="n">
        <x:v>0.06359039101259645</x:v>
      </x:c>
      <x:c r="J11" s="135" t="n">
        <x:v>56.11793564847456</x:v>
      </x:c>
      <x:c r="K11" s="135" t="n">
        <x:v>0.4541910013063859</x:v>
      </x:c>
      <x:c r="L11" s="135" t="n">
        <x:v>41.46314567944236</x:v>
      </x:c>
      <x:c r="M11" s="135" t="n">
        <x:v>9.30889292718517</x:v>
      </x:c>
      <x:c r="N11" s="135" t="n">
        <x:v>61.11111111111111</x:v>
      </x:c>
      <x:c r="O11" s="135" t="n">
        <x:v>89.83333333333334</x:v>
      </x:c>
      <x:c r="P11" s="135" t="n">
        <x:v>60</x:v>
      </x:c>
      <x:c r="Q11" s="135" t="n">
        <x:v>54.45253403231153</x:v>
      </x:c>
      <x:c r="R11" s="126" t="n">
        <x:v>0.9176470588235294</x:v>
      </x:c>
      <x:c r="S11" s="135" t="n">
        <x:v>54.08585475906235</x:v>
      </x:c>
      <x:c r="T11" s="135" t="inlineStr">
        <x:is>
          <x:t xml:space="preserve">C</x:t>
        </x:is>
      </x:c>
      <x:c r="U11" s="135" t="n">
        <x:v>4.08585475906235</x:v>
      </x:c>
      <x:c r="V11" t="inlineStr">
        <x:is>
          <x:t xml:space="preserve">Established</x:t>
        </x:is>
      </x:c>
      <x:c r="W11" t="n">
        <x:v>-1</x:v>
      </x:c>
      <x:c r="X11" t="inlineStr">
        <x:is>
          <x:t xml:space="preserve">B</x:t>
        </x:is>
      </x:c>
    </x:row>
    <x:row r="12">
      <x:c r="A12" t="n">
        <x:v>7</x:v>
      </x:c>
      <x:c r="B12" t="inlineStr">
        <x:is>
          <x:t xml:space="preserve">Jonathan</x:t>
        </x:is>
      </x:c>
      <x:c r="C12" t="n">
        <x:v>6</x:v>
      </x:c>
      <x:c r="D12" t="n">
        <x:v>4</x:v>
      </x:c>
      <x:c r="E12" t="n">
        <x:v>2</x:v>
      </x:c>
      <x:c r="F12" s="126" t="n">
        <x:v>0.6666666666666666</x:v>
      </x:c>
      <x:c r="G12" s="126" t="n">
        <x:v>0.5714285714285714</x:v>
      </x:c>
      <x:c r="H12" s="135" t="n">
        <x:v>56.39949109414758</x:v>
      </x:c>
      <x:c r="I12" s="135" t="n">
        <x:v>0.106633058980359</x:v>
      </x:c>
      <x:c r="J12" s="135" t="n">
        <x:v>62.20340125054678</x:v>
      </x:c>
      <x:c r="K12" s="135" t="n">
        <x:v>0.4914751914751915</x:v>
      </x:c>
      <x:c r="L12" s="135" t="n">
        <x:v>57.99576709159816</x:v>
      </x:c>
      <x:c r="M12" s="135" t="n">
        <x:v>0</x:v>
      </x:c>
      <x:c r="N12" s="135" t="n">
        <x:v>75</x:v>
      </x:c>
      <x:c r="O12" s="135" t="n">
        <x:v>20.5</x:v>
      </x:c>
      <x:c r="P12" s="135" t="n">
        <x:v>80</x:v>
      </x:c>
      <x:c r="Q12" s="135" t="n">
        <x:v>52.32784225842849</x:v>
      </x:c>
      <x:c r="R12" s="126" t="n">
        <x:v>0.8</x:v>
      </x:c>
      <x:c r="S12" s="135" t="n">
        <x:v>51.86227380674279</x:v>
      </x:c>
      <x:c r="T12" s="135" t="inlineStr">
        <x:is>
          <x:t xml:space="preserve">C</x:t>
        </x:is>
      </x:c>
      <x:c r="U12" s="135" t="n">
        <x:v>1.862273806742792</x:v>
      </x:c>
      <x:c r="V12" t="inlineStr">
        <x:is>
          <x:t xml:space="preserve">Developing</x:t>
        </x:is>
      </x:c>
      <x:c r="W12" t="n">
        <x:v>-1</x:v>
      </x:c>
      <x:c r="X12" t="inlineStr">
        <x:is>
          <x:t xml:space="preserve">B</x:t>
        </x:is>
      </x:c>
    </x:row>
    <x:row r="13">
      <x:c r="A13" t="n">
        <x:v>8</x:v>
      </x:c>
      <x:c r="B13" t="inlineStr">
        <x:is>
          <x:t xml:space="preserve">Kennard</x:t>
        </x:is>
      </x:c>
      <x:c r="C13" t="n">
        <x:v>13</x:v>
      </x:c>
      <x:c r="D13" t="n">
        <x:v>9</x:v>
      </x:c>
      <x:c r="E13" t="n">
        <x:v>4</x:v>
      </x:c>
      <x:c r="F13" s="126" t="n">
        <x:v>0.6923076923076923</x:v>
      </x:c>
      <x:c r="G13" s="126" t="n">
        <x:v>0.6190476190476191</x:v>
      </x:c>
      <x:c r="H13" s="135" t="n">
        <x:v>40.07633587786259</x:v>
      </x:c>
      <x:c r="I13" s="135" t="n">
        <x:v>0.13758329749119</x:v>
      </x:c>
      <x:c r="J13" s="135" t="n">
        <x:v>66.57921299099601</x:v>
      </x:c>
      <x:c r="K13" s="135" t="n">
        <x:v>0.4741053817976895</x:v>
      </x:c>
      <x:c r="L13" s="135" t="n">
        <x:v>50.29361542626297</x:v>
      </x:c>
      <x:c r="M13" s="135" t="n">
        <x:v>6.639888760720396</x:v>
      </x:c>
      <x:c r="N13" s="135" t="n">
        <x:v>70</x:v>
      </x:c>
      <x:c r="O13" s="135" t="n">
        <x:v>51.33333333333334</x:v>
      </x:c>
      <x:c r="P13" s="135" t="n">
        <x:v>40</x:v>
      </x:c>
      <x:c r="Q13" s="135" t="n">
        <x:v>50.33359478101549</x:v>
      </x:c>
      <x:c r="R13" s="126" t="n">
        <x:v>0.8666666666666667</x:v>
      </x:c>
      <x:c r="S13" s="135" t="n">
        <x:v>50.28911547688009</x:v>
      </x:c>
      <x:c r="T13" s="135" t="inlineStr">
        <x:is>
          <x:t xml:space="preserve">C</x:t>
        </x:is>
      </x:c>
      <x:c r="U13" s="135" t="n">
        <x:v>0.2891154768800916</x:v>
      </x:c>
      <x:c r="V13" t="inlineStr">
        <x:is>
          <x:t xml:space="preserve">Established</x:t>
        </x:is>
      </x:c>
      <x:c r="W13" t="n">
        <x:v>-1</x:v>
      </x:c>
      <x:c r="X13" t="inlineStr">
        <x:is>
          <x:t xml:space="preserve">B</x:t>
        </x:is>
      </x:c>
    </x:row>
    <x:row r="14">
      <x:c r="A14" t="n">
        <x:v>9</x:v>
      </x:c>
      <x:c r="B14" t="inlineStr">
        <x:is>
          <x:t xml:space="preserve">Rizky</x:t>
        </x:is>
      </x:c>
      <x:c r="C14" t="n">
        <x:v>6</x:v>
      </x:c>
      <x:c r="D14" t="n">
        <x:v>4</x:v>
      </x:c>
      <x:c r="E14" t="n">
        <x:v>2</x:v>
      </x:c>
      <x:c r="F14" s="126" t="n">
        <x:v>0.6666666666666666</x:v>
      </x:c>
      <x:c r="G14" s="126" t="n">
        <x:v>0.5714285714285714</x:v>
      </x:c>
      <x:c r="H14" s="135" t="n">
        <x:v>67.97709923664122</x:v>
      </x:c>
      <x:c r="I14" s="135" t="n">
        <x:v>0.07917888563049857</x:v>
      </x:c>
      <x:c r="J14" s="135" t="n">
        <x:v>58.32187077295106</x:v>
      </x:c>
      <x:c r="K14" s="135" t="n">
        <x:v>0.3606837606837607</x:v>
      </x:c>
      <x:c r="L14" s="135" t="n">
        <x:v>0</x:v>
      </x:c>
      <x:c r="M14" s="135" t="n">
        <x:v>30.066747429866</x:v>
      </x:c>
      <x:c r="N14" s="135" t="n">
        <x:v>50</x:v>
      </x:c>
      <x:c r="O14" s="135" t="n">
        <x:v>0</x:v>
      </x:c>
      <x:c r="P14" s="135" t="n">
        <x:v>80</x:v>
      </x:c>
      <x:c r="Q14" s="135" t="n">
        <x:v>48.99323234911464</x:v>
      </x:c>
      <x:c r="R14" s="126" t="n">
        <x:v>0.8</x:v>
      </x:c>
      <x:c r="S14" s="135" t="n">
        <x:v>49.19458587929172</x:v>
      </x:c>
      <x:c r="T14" s="135" t="inlineStr">
        <x:is>
          <x:t xml:space="preserve">C</x:t>
        </x:is>
      </x:c>
      <x:c r="U14" s="135" t="n">
        <x:v>-0.805414120708285</x:v>
      </x:c>
      <x:c r="V14" t="inlineStr">
        <x:is>
          <x:t xml:space="preserve">Developing</x:t>
        </x:is>
      </x:c>
      <x:c r="W14" t="n">
        <x:v>-2</x:v>
      </x:c>
      <x:c r="X14" t="inlineStr">
        <x:is>
          <x:t xml:space="preserve">C+</x:t>
        </x:is>
      </x:c>
    </x:row>
    <x:row r="15">
      <x:c r="A15" t="n">
        <x:v>10</x:v>
      </x:c>
      <x:c r="B15" t="inlineStr">
        <x:is>
          <x:t xml:space="preserve">Edy SP</x:t>
        </x:is>
      </x:c>
      <x:c r="C15" t="n">
        <x:v>30</x:v>
      </x:c>
      <x:c r="D15" t="n">
        <x:v>14</x:v>
      </x:c>
      <x:c r="E15" t="n">
        <x:v>16</x:v>
      </x:c>
      <x:c r="F15" s="126" t="n">
        <x:v>0.4666666666666667</x:v>
      </x:c>
      <x:c r="G15" s="126" t="n">
        <x:v>0.4736842105263158</x:v>
      </x:c>
      <x:c r="H15" s="135" t="n">
        <x:v>41.5470737913486</x:v>
      </x:c>
      <x:c r="I15" s="135" t="n">
        <x:v>-0.03809182916933429</x:v>
      </x:c>
      <x:c r="J15" s="135" t="n">
        <x:v>41.74188317600883</x:v>
      </x:c>
      <x:c r="K15" s="135" t="n">
        <x:v>0.4956038406038406</x:v>
      </x:c>
      <x:c r="L15" s="135" t="n">
        <x:v>59.82649997539006</x:v>
      </x:c>
      <x:c r="M15" s="135" t="n">
        <x:v>19.30395302445127</x:v>
      </x:c>
      <x:c r="N15" s="135" t="n">
        <x:v>37.5</x:v>
      </x:c>
      <x:c r="O15" s="135" t="n">
        <x:v>100</x:v>
      </x:c>
      <x:c r="P15" s="135" t="n">
        <x:v>40</x:v>
      </x:c>
      <x:c r="Q15" s="135" t="n">
        <x:v>45.56926885044465</x:v>
      </x:c>
      <x:c r="R15" s="126" t="n">
        <x:v>0.9263157894736842</x:v>
      </x:c>
      <x:c r="S15" s="135" t="n">
        <x:v>45.89574377725399</x:v>
      </x:c>
      <x:c r="T15" s="135" t="inlineStr">
        <x:is>
          <x:t xml:space="preserve">C</x:t>
        </x:is>
      </x:c>
      <x:c r="U15" s="135" t="n">
        <x:v>-4.10425622274601</x:v>
      </x:c>
      <x:c r="V15" t="inlineStr">
        <x:is>
          <x:t xml:space="preserve">Established</x:t>
        </x:is>
      </x:c>
      <x:c r="W15" t="n">
        <x:v>-2</x:v>
      </x:c>
      <x:c r="X15" t="inlineStr">
        <x:is>
          <x:t xml:space="preserve">C+</x:t>
        </x:is>
      </x:c>
    </x:row>
    <x:row r="16">
      <x:c r="A16" t="n">
        <x:v>11</x:v>
      </x:c>
      <x:c r="B16" t="inlineStr">
        <x:is>
          <x:t xml:space="preserve">Michael</x:t>
        </x:is>
      </x:c>
      <x:c r="C16" t="n">
        <x:v>13</x:v>
      </x:c>
      <x:c r="D16" t="n">
        <x:v>6</x:v>
      </x:c>
      <x:c r="E16" t="n">
        <x:v>7</x:v>
      </x:c>
      <x:c r="F16" s="126" t="n">
        <x:v>0.4615384615384616</x:v>
      </x:c>
      <x:c r="G16" s="126" t="n">
        <x:v>0.4761904761904762</x:v>
      </x:c>
      <x:c r="H16" s="135" t="n">
        <x:v>42.59541984732824</x:v>
      </x:c>
      <x:c r="I16" s="135" t="n">
        <x:v>-0.04082760420391585</x:v>
      </x:c>
      <x:c r="J16" s="135" t="n">
        <x:v>41.35509337755992</x:v>
      </x:c>
      <x:c r="K16" s="135" t="n">
        <x:v>0.4990419836573683</x:v>
      </x:c>
      <x:c r="L16" s="135" t="n">
        <x:v>61.35104743659156</x:v>
      </x:c>
      <x:c r="M16" s="135" t="n">
        <x:v>19.30962877855592</x:v>
      </x:c>
      <x:c r="N16" s="135" t="n">
        <x:v>50</x:v>
      </x:c>
      <x:c r="O16" s="135" t="n">
        <x:v>48.66666666666667</x:v>
      </x:c>
      <x:c r="P16" s="135" t="n">
        <x:v>60</x:v>
      </x:c>
      <x:c r="Q16" s="135" t="n">
        <x:v>45.007463216662</x:v>
      </x:c>
      <x:c r="R16" s="126" t="n">
        <x:v>0.8666666666666667</x:v>
      </x:c>
      <x:c r="S16" s="135" t="n">
        <x:v>45.67313478777373</x:v>
      </x:c>
      <x:c r="T16" s="135" t="inlineStr">
        <x:is>
          <x:t xml:space="preserve">C</x:t>
        </x:is>
      </x:c>
      <x:c r="U16" s="135" t="n">
        <x:v>-4.326865212226267</x:v>
      </x:c>
      <x:c r="V16" t="inlineStr">
        <x:is>
          <x:t xml:space="preserve">Established</x:t>
        </x:is>
      </x:c>
      <x:c r="W16" t="n">
        <x:v>-2</x:v>
      </x:c>
      <x:c r="X16" t="inlineStr">
        <x:is>
          <x:t xml:space="preserve">C+</x:t>
        </x:is>
      </x:c>
    </x:row>
    <x:row r="17">
      <x:c r="A17" t="n">
        <x:v>12</x:v>
      </x:c>
      <x:c r="B17" t="inlineStr">
        <x:is>
          <x:t xml:space="preserve">Nicholas</x:t>
        </x:is>
      </x:c>
      <x:c r="C17" t="n">
        <x:v>7</x:v>
      </x:c>
      <x:c r="D17" t="n">
        <x:v>3</x:v>
      </x:c>
      <x:c r="E17" t="n">
        <x:v>4</x:v>
      </x:c>
      <x:c r="F17" s="126" t="n">
        <x:v>0.4285714285714285</x:v>
      </x:c>
      <x:c r="G17" s="126" t="n">
        <x:v>0.4666666666666667</x:v>
      </x:c>
      <x:c r="H17" s="135" t="n">
        <x:v>28.77862595419847</x:v>
      </x:c>
      <x:c r="I17" s="135" t="n">
        <x:v>-0.04382493298941131</x:v>
      </x:c>
      <x:c r="J17" s="135" t="n">
        <x:v>40.93132454343712</x:v>
      </x:c>
      <x:c r="K17" s="135" t="n">
        <x:v>0.5368512439941011</x:v>
      </x:c>
      <x:c r="L17" s="135" t="n">
        <x:v>78.11649638937131</x:v>
      </x:c>
      <x:c r="M17" s="135" t="n">
        <x:v>47.09650160189037</x:v>
      </x:c>
      <x:c r="N17" s="135" t="n">
        <x:v>50</x:v>
      </x:c>
      <x:c r="O17" s="135" t="n">
        <x:v>25.66666666666667</x:v>
      </x:c>
      <x:c r="P17" s="135" t="n">
        <x:v>40</x:v>
      </x:c>
      <x:c r="Q17" s="135" t="n">
        <x:v>44.20005700481476</x:v>
      </x:c>
      <x:c r="R17" s="126" t="n">
        <x:v>0.8133333333333334</x:v>
      </x:c>
      <x:c r="S17" s="135" t="n">
        <x:v>45.28271303058267</x:v>
      </x:c>
      <x:c r="T17" s="135" t="inlineStr">
        <x:is>
          <x:t xml:space="preserve">C</x:t>
        </x:is>
      </x:c>
      <x:c r="U17" s="135" t="n">
        <x:v>-4.71728696941733</x:v>
      </x:c>
      <x:c r="V17" t="inlineStr">
        <x:is>
          <x:t xml:space="preserve">Developing</x:t>
        </x:is>
      </x:c>
      <x:c r="W17" t="n">
        <x:v>-2</x:v>
      </x:c>
      <x:c r="X17" t="inlineStr">
        <x:is>
          <x:t xml:space="preserve">C+</x:t>
        </x:is>
      </x:c>
    </x:row>
    <x:row r="18">
      <x:c r="A18" t="n">
        <x:v>13</x:v>
      </x:c>
      <x:c r="B18" t="inlineStr">
        <x:is>
          <x:t xml:space="preserve">David</x:t>
        </x:is>
      </x:c>
      <x:c r="C18" t="n">
        <x:v>12</x:v>
      </x:c>
      <x:c r="D18" t="n">
        <x:v>5</x:v>
      </x:c>
      <x:c r="E18" t="n">
        <x:v>7</x:v>
      </x:c>
      <x:c r="F18" s="126" t="n">
        <x:v>0.4166666666666667</x:v>
      </x:c>
      <x:c r="G18" s="126" t="n">
        <x:v>0.45</x:v>
      </x:c>
      <x:c r="H18" s="135" t="n">
        <x:v>21.99745547073792</x:v>
      </x:c>
      <x:c r="I18" s="135" t="n">
        <x:v>-0.04854052139543952</x:v>
      </x:c>
      <x:c r="J18" s="135" t="n">
        <x:v>40.26462444343616</x:v>
      </x:c>
      <x:c r="K18" s="135" t="n">
        <x:v>0.5258047508047509</x:v>
      </x:c>
      <x:c r="L18" s="135" t="n">
        <x:v>73.21824088202</x:v>
      </x:c>
      <x:c r="M18" s="135" t="n">
        <x:v>39.23089593949447</x:v>
      </x:c>
      <x:c r="N18" s="135" t="n">
        <x:v>61.11111111111111</x:v>
      </x:c>
      <x:c r="O18" s="135" t="n">
        <x:v>40.83333333333333</x:v>
      </x:c>
      <x:c r="P18" s="135" t="n">
        <x:v>40</x:v>
      </x:c>
      <x:c r="Q18" s="135" t="n">
        <x:v>42.28132066503668</x:v>
      </x:c>
      <x:c r="R18" s="126" t="n">
        <x:v>0.86</x:v>
      </x:c>
      <x:c r="S18" s="135" t="n">
        <x:v>43.36193577193154</x:v>
      </x:c>
      <x:c r="T18" s="135" t="inlineStr">
        <x:is>
          <x:t xml:space="preserve">D</x:t>
        </x:is>
      </x:c>
      <x:c r="U18" s="135" t="n">
        <x:v>-6.638064228068458</x:v>
      </x:c>
      <x:c r="V18" t="inlineStr">
        <x:is>
          <x:t xml:space="preserve">Established</x:t>
        </x:is>
      </x:c>
      <x:c r="W18" t="n">
        <x:v>-3</x:v>
      </x:c>
      <x:c r="X18" t="inlineStr">
        <x:is>
          <x:t xml:space="preserve">C</x:t>
        </x:is>
      </x:c>
    </x:row>
    <x:row r="19">
      <x:c r="A19" t="n">
        <x:v>14</x:v>
      </x:c>
      <x:c r="B19" t="inlineStr">
        <x:is>
          <x:t xml:space="preserve">Donny</x:t>
        </x:is>
      </x:c>
      <x:c r="C19" t="n">
        <x:v>11</x:v>
      </x:c>
      <x:c r="D19" t="n">
        <x:v>4</x:v>
      </x:c>
      <x:c r="E19" t="n">
        <x:v>7</x:v>
      </x:c>
      <x:c r="F19" s="126" t="n">
        <x:v>0.3636363636363636</x:v>
      </x:c>
      <x:c r="G19" s="126" t="n">
        <x:v>0.4210526315789473</x:v>
      </x:c>
      <x:c r="H19" s="135" t="n">
        <x:v>25.89174184594032</x:v>
      </x:c>
      <x:c r="I19" s="135" t="n">
        <x:v>-0.09132077991000453</x:v>
      </x:c>
      <x:c r="J19" s="135" t="n">
        <x:v>34.21625885807963</x:v>
      </x:c>
      <x:c r="K19" s="135" t="n">
        <x:v>0.5334748584748584</x:v>
      </x:c>
      <x:c r="L19" s="135" t="n">
        <x:v>76.619333563026</x:v>
      </x:c>
      <x:c r="M19" s="135" t="n">
        <x:v>45.44591959880753</x:v>
      </x:c>
      <x:c r="N19" s="135" t="n">
        <x:v>38.88888888888889</x:v>
      </x:c>
      <x:c r="O19" s="135" t="n">
        <x:v>46.33333333333334</x:v>
      </x:c>
      <x:c r="P19" s="135" t="n">
        <x:v>40</x:v>
      </x:c>
      <x:c r="Q19" s="135" t="n">
        <x:v>41.4100025725629</x:v>
      </x:c>
      <x:c r="R19" s="126" t="n">
        <x:v>0.8526315789473684</x:v>
      </x:c>
      <x:c r="S19" s="135" t="n">
        <x:v>42.67589693029047</x:v>
      </x:c>
      <x:c r="T19" s="135" t="inlineStr">
        <x:is>
          <x:t xml:space="preserve">D</x:t>
        </x:is>
      </x:c>
      <x:c r="U19" s="135" t="n">
        <x:v>-7.32410306970953</x:v>
      </x:c>
      <x:c r="V19" t="inlineStr">
        <x:is>
          <x:t xml:space="preserve">Developing</x:t>
        </x:is>
      </x:c>
      <x:c r="W19" t="n">
        <x:v>-3</x:v>
      </x:c>
      <x:c r="X19" t="inlineStr">
        <x:is>
          <x:t xml:space="preserve">C</x:t>
        </x:is>
      </x:c>
    </x:row>
    <x:row r="20">
      <x:c r="A20" t="n">
        <x:v>15</x:v>
      </x:c>
      <x:c r="B20" t="inlineStr">
        <x:is>
          <x:t xml:space="preserve">Reza</x:t>
        </x:is>
      </x:c>
      <x:c r="C20" t="n">
        <x:v>6</x:v>
      </x:c>
      <x:c r="D20" t="n">
        <x:v>2</x:v>
      </x:c>
      <x:c r="E20" t="n">
        <x:v>4</x:v>
      </x:c>
      <x:c r="F20" s="126" t="n">
        <x:v>0.3333333333333333</x:v>
      </x:c>
      <x:c r="G20" s="126" t="n">
        <x:v>0.4285714285714285</x:v>
      </x:c>
      <x:c r="H20" s="135" t="n">
        <x:v>2.315521628498725</x:v>
      </x:c>
      <x:c r="I20" s="135" t="n">
        <x:v>-0.08406304591952873</x:v>
      </x:c>
      <x:c r="J20" s="135" t="n">
        <x:v>35.24237300558345</x:v>
      </x:c>
      <x:c r="K20" s="135" t="n">
        <x:v>0.5862026862026862</x:v>
      </x:c>
      <x:c r="L20" s="135" t="n">
        <x:v>100</x:v>
      </x:c>
      <x:c r="M20" s="135" t="n">
        <x:v>29.38288020948974</x:v>
      </x:c>
      <x:c r="N20" s="135" t="n">
        <x:v>70</x:v>
      </x:c>
      <x:c r="O20" s="135" t="n">
        <x:v>18</x:v>
      </x:c>
      <x:c r="P20" s="135" t="n">
        <x:v>40</x:v>
      </x:c>
      <x:c r="Q20" s="135" t="n">
        <x:v>37.94489115462909</x:v>
      </x:c>
      <x:c r="R20" s="126" t="n">
        <x:v>0.8</x:v>
      </x:c>
      <x:c r="S20" s="135" t="n">
        <x:v>40.35591292370327</x:v>
      </x:c>
      <x:c r="T20" s="135" t="inlineStr">
        <x:is>
          <x:t xml:space="preserve">D</x:t>
        </x:is>
      </x:c>
      <x:c r="U20" s="135" t="n">
        <x:v>-9.644087076296728</x:v>
      </x:c>
      <x:c r="V20" t="inlineStr">
        <x:is>
          <x:t xml:space="preserve">Developing</x:t>
        </x:is>
      </x:c>
      <x:c r="W20" t="n">
        <x:v>-3</x:v>
      </x:c>
      <x:c r="X20" t="inlineStr">
        <x:is>
          <x:t xml:space="preserve">C</x:t>
        </x:is>
      </x:c>
    </x:row>
    <x:row r="21">
      <x:c r="A21" t="n">
        <x:v>16</x:v>
      </x:c>
      <x:c r="B21" t="inlineStr">
        <x:is>
          <x:t xml:space="preserve">Nico</x:t>
        </x:is>
      </x:c>
      <x:c r="C21" t="n">
        <x:v>6</x:v>
      </x:c>
      <x:c r="D21" t="n">
        <x:v>2</x:v>
      </x:c>
      <x:c r="E21" t="n">
        <x:v>4</x:v>
      </x:c>
      <x:c r="F21" s="126" t="n">
        <x:v>0.3333333333333333</x:v>
      </x:c>
      <x:c r="G21" s="126" t="n">
        <x:v>0.4285714285714285</x:v>
      </x:c>
      <x:c r="H21" s="135" t="n">
        <x:v>23.15521628498727</x:v>
      </x:c>
      <x:c r="I21" s="135" t="n">
        <x:v>-0.1106371125087048</x:v>
      </x:c>
      <x:c r="J21" s="135" t="n">
        <x:v>31.48527392760048</x:v>
      </x:c>
      <x:c r="K21" s="135" t="n">
        <x:v>0.5041361416361416</x:v>
      </x:c>
      <x:c r="L21" s="135" t="n">
        <x:v>63.60990795885218</x:v>
      </x:c>
      <x:c r="M21" s="135" t="n">
        <x:v>14.75756011290767</x:v>
      </x:c>
      <x:c r="N21" s="135" t="n">
        <x:v>37.5</x:v>
      </x:c>
      <x:c r="O21" s="135" t="n">
        <x:v>20.5</x:v>
      </x:c>
      <x:c r="P21" s="135" t="n">
        <x:v>40</x:v>
      </x:c>
      <x:c r="Q21" s="135" t="n">
        <x:v>34.94772401045636</x:v>
      </x:c>
      <x:c r="R21" s="126" t="n">
        <x:v>0.8</x:v>
      </x:c>
      <x:c r="S21" s="135" t="n">
        <x:v>37.95817920836509</x:v>
      </x:c>
      <x:c r="T21" s="135" t="inlineStr">
        <x:is>
          <x:t xml:space="preserve">D</x:t>
        </x:is>
      </x:c>
      <x:c r="U21" s="135" t="n">
        <x:v>-12.04182079163491</x:v>
      </x:c>
      <x:c r="V21" t="inlineStr">
        <x:is>
          <x:t xml:space="preserve">Developing</x:t>
        </x:is>
      </x:c>
      <x:c r="W21" t="n">
        <x:v>-4</x:v>
      </x:c>
      <x:c r="X21" t="inlineStr">
        <x:is>
          <x:t xml:space="preserve">D</x:t>
        </x:is>
      </x:c>
    </x:row>
    <x:row r="22">
      <x:c r="A22" t="n">
        <x:v>17</x:v>
      </x:c>
      <x:c r="B22" t="inlineStr">
        <x:is>
          <x:t xml:space="preserve">Alwin</x:t>
        </x:is>
      </x:c>
      <x:c r="C22" t="n">
        <x:v>6</x:v>
      </x:c>
      <x:c r="D22" t="n">
        <x:v>1</x:v>
      </x:c>
      <x:c r="E22" t="n">
        <x:v>5</x:v>
      </x:c>
      <x:c r="F22" s="126" t="n">
        <x:v>0.1666666666666667</x:v>
      </x:c>
      <x:c r="G22" s="126" t="n">
        <x:v>0.3571428571428572</x:v>
      </x:c>
      <x:c r="H22" s="135" t="n">
        <x:v>6.946564885496183</x:v>
      </x:c>
      <x:c r="I22" s="135" t="n">
        <x:v>-0.2263090621003825</x:v>
      </x:c>
      <x:c r="J22" s="135" t="n">
        <x:v>15.13132321776071</x:v>
      </x:c>
      <x:c r="K22" s="135" t="n">
        <x:v>0.5768009768009769</x:v>
      </x:c>
      <x:c r="L22" s="135" t="n">
        <x:v>95.83107742284788</x:v>
      </x:c>
      <x:c r="M22" s="135" t="n">
        <x:v>39.92521673675382</x:v>
      </x:c>
      <x:c r="N22" s="135" t="n">
        <x:v>50</x:v>
      </x:c>
      <x:c r="O22" s="135" t="n">
        <x:v>18</x:v>
      </x:c>
      <x:c r="P22" s="135" t="n">
        <x:v>20</x:v>
      </x:c>
      <x:c r="Q22" s="135" t="n">
        <x:v>32.34892659000923</x:v>
      </x:c>
      <x:c r="R22" s="126" t="n">
        <x:v>0.8</x:v>
      </x:c>
      <x:c r="S22" s="135" t="n">
        <x:v>35.87914127200738</x:v>
      </x:c>
      <x:c r="T22" s="135" t="inlineStr">
        <x:is>
          <x:t xml:space="preserve">D</x:t>
        </x:is>
      </x:c>
      <x:c r="U22" s="135" t="n">
        <x:v>-14.12085872799262</x:v>
      </x:c>
      <x:c r="V22" t="inlineStr">
        <x:is>
          <x:t xml:space="preserve">Developing</x:t>
        </x:is>
      </x:c>
      <x:c r="W22" t="n">
        <x:v>-4</x:v>
      </x:c>
      <x:c r="X22" t="inlineStr">
        <x:is>
          <x:t xml:space="preserve">D</x:t>
        </x:is>
      </x:c>
    </x:row>
    <x:row r="23">
      <x:c r="A23" t="n">
        <x:v>18</x:v>
      </x:c>
      <x:c r="B23" t="inlineStr">
        <x:is>
          <x:t xml:space="preserve">Hansen</x:t>
        </x:is>
      </x:c>
      <x:c r="C23" t="n">
        <x:v>6</x:v>
      </x:c>
      <x:c r="D23" t="n">
        <x:v>0</x:v>
      </x:c>
      <x:c r="E23" t="n">
        <x:v>6</x:v>
      </x:c>
      <x:c r="F23" s="126" t="n">
        <x:v>0</x:v>
      </x:c>
      <x:c r="G23" s="126" t="n">
        <x:v>0.2857142857142857</x:v>
      </x:c>
      <x:c r="H23" s="135" t="n">
        <x:v>0</x:v>
      </x:c>
      <x:c r="I23" s="135" t="n">
        <x:v>-0.3333333333333333</x:v>
      </x:c>
      <x:c r="J23" s="135" t="n">
        <x:v>0</x:v>
      </x:c>
      <x:c r="K23" s="135" t="n">
        <x:v>0.5829059829059829</x:v>
      </x:c>
      <x:c r="L23" s="135" t="n">
        <x:v>98.53817000541419</x:v>
      </x:c>
      <x:c r="M23" s="135" t="n">
        <x:v>100</x:v>
      </x:c>
      <x:c r="N23" s="135" t="n">
        <x:v>50</x:v>
      </x:c>
      <x:c r="O23" s="135" t="n">
        <x:v>0</x:v>
      </x:c>
      <x:c r="P23" s="135" t="n">
        <x:v>0</x:v>
      </x:c>
      <x:c r="Q23" s="135" t="n">
        <x:v>30.92524557196999</x:v>
      </x:c>
      <x:c r="R23" s="126" t="n">
        <x:v>0.8</x:v>
      </x:c>
      <x:c r="S23" s="135" t="n">
        <x:v>34.74019645757599</x:v>
      </x:c>
      <x:c r="T23" s="135" t="inlineStr">
        <x:is>
          <x:t xml:space="preserve">D</x:t>
        </x:is>
      </x:c>
      <x:c r="U23" s="135" t="n">
        <x:v>-15.25980354242401</x:v>
      </x:c>
      <x:c r="V23" t="inlineStr">
        <x:is>
          <x:t xml:space="preserve">Developing</x:t>
        </x:is>
      </x:c>
      <x:c r="W23" t="n">
        <x:v>-4</x:v>
      </x:c>
      <x:c r="X23" t="inlineStr">
        <x:is>
          <x:t xml:space="preserve">D</x:t>
        </x:is>
      </x:c>
    </x:row>
    <x:row r="24">
      <x:c r="A24" t="n">
        <x:v>19</x:v>
      </x:c>
      <x:c r="B24" t="inlineStr">
        <x:is>
          <x:t xml:space="preserve">Welly</x:t>
        </x:is>
      </x:c>
      <x:c r="C24" t="n">
        <x:v>10</x:v>
      </x:c>
      <x:c r="D24" t="n">
        <x:v>2</x:v>
      </x:c>
      <x:c r="E24" t="n">
        <x:v>8</x:v>
      </x:c>
      <x:c r="F24" s="126" t="n">
        <x:v>0.2</x:v>
      </x:c>
      <x:c r="G24" s="126" t="n">
        <x:v>0.3333333333333333</x:v>
      </x:c>
      <x:c r="H24" s="135" t="n">
        <x:v>12.50381679389313</x:v>
      </x:c>
      <x:c r="I24" s="135" t="n">
        <x:v>-0.224418226696544</x:v>
      </x:c>
      <x:c r="J24" s="135" t="n">
        <x:v>15.39865362157903</x:v>
      </x:c>
      <x:c r="K24" s="135" t="n">
        <x:v>0.5555211455211455</x:v>
      </x:c>
      <x:c r="L24" s="135" t="n">
        <x:v>86.39513707732439</x:v>
      </x:c>
      <x:c r="M24" s="135" t="n">
        <x:v>26.02145116423826</x:v>
      </x:c>
      <x:c r="N24" s="135" t="n">
        <x:v>30</x:v>
      </x:c>
      <x:c r="O24" s="135" t="n">
        <x:v>41</x:v>
      </x:c>
      <x:c r="P24" s="135" t="n">
        <x:v>20</x:v>
      </x:c>
      <x:c r="Q24" s="135" t="n">
        <x:v>30.60222022617174</x:v>
      </x:c>
      <x:c r="R24" s="126" t="n">
        <x:v>0.8444444444444444</x:v>
      </x:c>
      <x:c r="S24" s="135" t="n">
        <x:v>33.61965263543392</x:v>
      </x:c>
      <x:c r="T24" s="135" t="inlineStr">
        <x:is>
          <x:t xml:space="preserve">D</x:t>
        </x:is>
      </x:c>
      <x:c r="U24" s="135" t="n">
        <x:v>-16.38034736456608</x:v>
      </x:c>
      <x:c r="V24" t="inlineStr">
        <x:is>
          <x:t xml:space="preserve">Developing</x:t>
        </x:is>
      </x:c>
      <x:c r="W24" t="n">
        <x:v>-4</x:v>
      </x:c>
      <x:c r="X24" t="inlineStr">
        <x:is>
          <x:t xml:space="preserve">D</x:t>
        </x:is>
      </x:c>
    </x:row>
    <x:row r="25">
      <x:c r="A25" t="n">
        <x:v>20</x:v>
      </x:c>
      <x:c r="B25" t="inlineStr">
        <x:is>
          <x:t xml:space="preserve">Alice</x:t>
        </x:is>
      </x:c>
      <x:c r="C25" t="n">
        <x:v>14</x:v>
      </x:c>
      <x:c r="D25" t="n">
        <x:v>1</x:v>
      </x:c>
      <x:c r="E25" t="n">
        <x:v>13</x:v>
      </x:c>
      <x:c r="F25" s="126" t="n">
        <x:v>0.07142857142857142</x:v>
      </x:c>
      <x:c r="G25" s="126" t="n">
        <x:v>0.2272727272727273</x:v>
      </x:c>
      <x:c r="H25" s="135" t="n">
        <x:v>5.954198473282439</x:v>
      </x:c>
      <x:c r="I25" s="135" t="n">
        <x:v>-0.2876042585174649</x:v>
      </x:c>
      <x:c r="J25" s="135" t="n">
        <x:v>6.465275619415106</x:v>
      </x:c>
      <x:c r="K25" s="135" t="n">
        <x:v>0.5498424194852766</x:v>
      </x:c>
      <x:c r="L25" s="135" t="n">
        <x:v>83.87706635540958</x:v>
      </x:c>
      <x:c r="M25" s="135" t="n">
        <x:v>72.51048417976679</x:v>
      </x:c>
      <x:c r="N25" s="135" t="n">
        <x:v>27.77777777777778</x:v>
      </x:c>
      <x:c r="O25" s="135" t="n">
        <x:v>54</x:v>
      </x:c>
      <x:c r="P25" s="135" t="n">
        <x:v>0</x:v>
      </x:c>
      <x:c r="Q25" s="135" t="n">
        <x:v>28.7064567981571</x:v>
      </x:c>
      <x:c r="R25" s="126" t="n">
        <x:v>0.8727272727272728</x:v>
      </x:c>
      <x:c r="S25" s="135" t="n">
        <x:v>31.41654411475529</x:v>
      </x:c>
      <x:c r="T25" s="135" t="inlineStr">
        <x:is>
          <x:t xml:space="preserve">D</x:t>
        </x:is>
      </x:c>
      <x:c r="U25" s="135" t="n">
        <x:v>-18.58345588524471</x:v>
      </x:c>
      <x:c r="V25" t="inlineStr">
        <x:is>
          <x:t xml:space="preserve">Established</x:t>
        </x:is>
      </x:c>
      <x:c r="W25" t="n">
        <x:v>-4</x:v>
      </x:c>
      <x:c r="X25" t="inlineStr">
        <x:is>
          <x:t xml:space="preserve">D</x:t>
        </x:is>
      </x:c>
    </x:row>
  </x:sheetData>
  <x:mergeCells>
    <x:mergeCell ref="A1:X2"/>
    <x:mergeCell ref="A3:X3"/>
  </x:mergeCells>
  <x:conditionalFormatting sqref="S6:S25">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25.xml><?xml version="1.0" encoding="utf-8"?>
<x:worksheet xmlns:x="http://schemas.openxmlformats.org/spreadsheetml/2006/main">
  <x:sheetFormatPr baseColWidth="8" defaultRowHeight="15"/>
  <x:cols>
    <x:col min="1" max="1" width="8" style="125" customWidth="1"/>
    <x:col min="2" max="2" width="20" style="125" customWidth="1"/>
    <x:col min="3" max="3" width="8" style="125" customWidth="1"/>
    <x:col min="4" max="4" width="14" style="125" customWidth="1"/>
    <x:col min="5" max="5" width="10" style="125" customWidth="1"/>
    <x:col min="6" max="6" width="18" style="125" customWidth="1"/>
    <x:col min="7" max="7" width="12" style="125" customWidth="1"/>
    <x:col min="8" max="8" width="14" style="125" customWidth="1"/>
    <x:col min="9" max="9" width="14" style="125" customWidth="1"/>
    <x:col min="10" max="10" width="20" style="125" customWidth="1"/>
  </x:cols>
  <x:sheetData>
    <x:row r="1">
      <x:c r="A1" s="142" t="inlineStr">
        <x:is>
          <x:t xml:space="preserve">FLPR OFFICIAL HANDICAP — VOLUME 1</x:t>
        </x:is>
      </x:c>
      <x:c r="B1" s="1" t="n"/>
      <x:c r="C1" s="1" t="n"/>
      <x:c r="D1" s="1" t="n"/>
      <x:c r="E1" s="1" t="n"/>
      <x:c r="F1" s="1" t="n"/>
      <x:c r="G1" s="1" t="n"/>
      <x:c r="H1" s="1" t="n"/>
      <x:c r="I1" s="1" t="n"/>
      <x:c r="J1" s="1" t="n"/>
    </x:row>
    <x:row r="2">
      <x:c r="A2" s="1" t="n"/>
      <x:c r="B2" s="1" t="n"/>
      <x:c r="C2" s="1" t="n"/>
      <x:c r="D2" s="1" t="n"/>
      <x:c r="E2" s="1" t="n"/>
      <x:c r="F2" s="1" t="n"/>
      <x:c r="G2" s="1" t="n"/>
      <x:c r="H2" s="1" t="n"/>
      <x:c r="I2" s="1" t="n"/>
      <x:c r="J2" s="1" t="n"/>
    </x:row>
    <x:row r="3">
      <x:c r="A3" s="143" t="inlineStr">
        <x:is>
          <x:t xml:space="preserve">Positive index = stronger player; negative index = balancing support</x:t>
        </x:is>
      </x:c>
      <x:c r="B3" s="1" t="n"/>
      <x:c r="C3" s="1" t="n"/>
      <x:c r="D3" s="1" t="n"/>
      <x:c r="E3" s="1" t="n"/>
      <x:c r="F3" s="1" t="n"/>
      <x:c r="G3" s="1" t="n"/>
      <x:c r="H3" s="1" t="n"/>
      <x:c r="I3" s="1" t="n"/>
      <x:c r="J3" s="1" t="n"/>
    </x:row>
    <x:row r="5">
      <x:c r="A5" s="109" t="inlineStr">
        <x:is>
          <x:t xml:space="preserve">Rank</x:t>
        </x:is>
      </x:c>
      <x:c r="B5" s="109" t="inlineStr">
        <x:is>
          <x:t xml:space="preserve">Player</x:t>
        </x:is>
      </x:c>
      <x:c r="C5" s="109" t="inlineStr">
        <x:is>
          <x:t xml:space="preserve">MP</x:t>
        </x:is>
      </x:c>
      <x:c r="D5" s="109" t="inlineStr">
        <x:is>
          <x:t xml:space="preserve">FLPR Rating</x:t>
        </x:is>
      </x:c>
      <x:c r="E5" s="109" t="inlineStr">
        <x:is>
          <x:t xml:space="preserve">Tier</x:t>
        </x:is>
      </x:c>
      <x:c r="F5" s="109" t="inlineStr">
        <x:is>
          <x:t xml:space="preserve">Official Handicap</x:t>
        </x:is>
      </x:c>
      <x:c r="G5" s="109" t="inlineStr">
        <x:is>
          <x:t xml:space="preserve">Class</x:t>
        </x:is>
      </x:c>
      <x:c r="H5" s="109" t="inlineStr">
        <x:is>
          <x:t xml:space="preserve">Confidence</x:t>
        </x:is>
      </x:c>
      <x:c r="I5" s="109" t="inlineStr">
        <x:is>
          <x:t xml:space="preserve">Status</x:t>
        </x:is>
      </x:c>
      <x:c r="J5" s="109" t="inlineStr">
        <x:is>
          <x:t xml:space="preserve">Primary Format</x:t>
        </x:is>
      </x:c>
    </x:row>
    <x:row r="6">
      <x:c r="A6" t="n">
        <x:f>'Official Ranking v2'!A6</x:f>
        <x:v>1</x:v>
      </x:c>
      <x:c r="B6" t="str">
        <x:f>'Official Ranking v2'!B6</x:f>
        <x:v>Sandy</x:v>
      </x:c>
      <x:c r="C6" t="n">
        <x:f>'Official Ranking v2'!C6</x:f>
        <x:v>13</x:v>
      </x:c>
      <x:c r="D6" s="135" t="n">
        <x:f>'Official Ranking v2'!S6</x:f>
        <x:v>70.51306635024372</x:v>
      </x:c>
      <x:c r="E6" t="str">
        <x:f>'Official Ranking v2'!T6</x:f>
        <x:v>A</x:v>
      </x:c>
      <x:c r="F6" t="n">
        <x:f>'Official Ranking v2'!W6</x:f>
        <x:v>3</x:v>
      </x:c>
      <x:c r="G6" t="str">
        <x:f>'Official Ranking v2'!X6</x:f>
        <x:v>Elite</x:v>
      </x:c>
      <x:c r="H6" t="str">
        <x:f>IF(C6&gt;=25,"★★★★★",IF(C6&gt;=18,"★★★★",IF(C6&gt;=10,"★★★",IF(C6&gt;=6,"★★","★"))))</x:f>
        <x:v>★★★</x:v>
      </x:c>
      <x:c r="I6" t="str">
        <x:f>'Official Ranking v2'!V6</x:f>
        <x:v>Established</x:v>
      </x:c>
      <x:c r="J6" t="str">
        <x:v>Weekly Americano</x:v>
      </x:c>
    </x:row>
    <x:row r="7">
      <x:c r="A7" t="n">
        <x:f>'Official Ranking v2'!A7</x:f>
        <x:v>2</x:v>
      </x:c>
      <x:c r="B7" t="str">
        <x:f>'Official Ranking v2'!B7</x:f>
        <x:v>Thohir</x:v>
      </x:c>
      <x:c r="C7" t="n">
        <x:f>'Official Ranking v2'!C7</x:f>
        <x:v>4</x:v>
      </x:c>
      <x:c r="D7" s="135" t="n">
        <x:f>'Official Ranking v2'!S7</x:f>
        <x:v>64.66887046003484</x:v>
      </x:c>
      <x:c r="E7" t="str">
        <x:f>'Official Ranking v2'!T7</x:f>
        <x:v>B</x:v>
      </x:c>
      <x:c r="F7" t="n">
        <x:f>'Official Ranking v2'!W7</x:f>
        <x:v>1</x:v>
      </x:c>
      <x:c r="G7" t="str">
        <x:f>'Official Ranking v2'!X7</x:f>
        <x:v>A</x:v>
      </x:c>
      <x:c r="H7" t="str">
        <x:f>IF(C7&gt;=25,"★★★★★",IF(C7&gt;=18,"★★★★",IF(C7&gt;=10,"★★★",IF(C7&gt;=6,"★★","★"))))</x:f>
        <x:v>★</x:v>
      </x:c>
      <x:c r="I7" t="str">
        <x:f>'Official Ranking v2'!V7</x:f>
        <x:v>Provisional</x:v>
      </x:c>
      <x:c r="J7" t="str">
        <x:v>Weekly Americano</x:v>
      </x:c>
    </x:row>
    <x:row r="8">
      <x:c r="A8" t="n">
        <x:f>'Official Ranking v2'!A8</x:f>
        <x:v>3</x:v>
      </x:c>
      <x:c r="B8" t="str">
        <x:f>'Official Ranking v2'!B8</x:f>
        <x:v>Austin</x:v>
      </x:c>
      <x:c r="C8" t="n">
        <x:f>'Official Ranking v2'!C8</x:f>
        <x:v>14</x:v>
      </x:c>
      <x:c r="D8" s="135" t="n">
        <x:f>'Official Ranking v2'!S8</x:f>
        <x:v>59.40079845232992</x:v>
      </x:c>
      <x:c r="E8" t="str">
        <x:f>'Official Ranking v2'!T8</x:f>
        <x:v>B</x:v>
      </x:c>
      <x:c r="F8" t="n">
        <x:f>'Official Ranking v2'!W8</x:f>
        <x:v>0</x:v>
      </x:c>
      <x:c r="G8" t="str">
        <x:f>'Official Ranking v2'!X8</x:f>
        <x:v>B+</x:v>
      </x:c>
      <x:c r="H8" t="str">
        <x:f>IF(C8&gt;=25,"★★★★★",IF(C8&gt;=18,"★★★★",IF(C8&gt;=10,"★★★",IF(C8&gt;=6,"★★","★"))))</x:f>
        <x:v>★★★</x:v>
      </x:c>
      <x:c r="I8" t="str">
        <x:f>'Official Ranking v2'!V8</x:f>
        <x:v>Established</x:v>
      </x:c>
      <x:c r="J8" t="str">
        <x:v>Weekly Americano</x:v>
      </x:c>
    </x:row>
    <x:row r="9">
      <x:c r="A9" t="n">
        <x:f>'Official Ranking v2'!A9</x:f>
        <x:v>4</x:v>
      </x:c>
      <x:c r="B9" t="str">
        <x:f>'Official Ranking v2'!B9</x:f>
        <x:v>Rey</x:v>
      </x:c>
      <x:c r="C9" t="n">
        <x:f>'Official Ranking v2'!C9</x:f>
        <x:v>7</x:v>
      </x:c>
      <x:c r="D9" s="135" t="n">
        <x:f>'Official Ranking v2'!S9</x:f>
        <x:v>59.36910718873768</x:v>
      </x:c>
      <x:c r="E9" t="str">
        <x:f>'Official Ranking v2'!T9</x:f>
        <x:v>B</x:v>
      </x:c>
      <x:c r="F9" t="n">
        <x:f>'Official Ranking v2'!W9</x:f>
        <x:v>0</x:v>
      </x:c>
      <x:c r="G9" t="str">
        <x:f>'Official Ranking v2'!X9</x:f>
        <x:v>B+</x:v>
      </x:c>
      <x:c r="H9" t="str">
        <x:f>IF(C9&gt;=25,"★★★★★",IF(C9&gt;=18,"★★★★",IF(C9&gt;=10,"★★★",IF(C9&gt;=6,"★★","★"))))</x:f>
        <x:v>★★</x:v>
      </x:c>
      <x:c r="I9" t="str">
        <x:f>'Official Ranking v2'!V9</x:f>
        <x:v>Developing</x:v>
      </x:c>
      <x:c r="J9" t="str">
        <x:v>Weekly Americano</x:v>
      </x:c>
    </x:row>
    <x:row r="10">
      <x:c r="A10" t="n">
        <x:f>'Official Ranking v2'!A10</x:f>
        <x:v>5</x:v>
      </x:c>
      <x:c r="B10" t="str">
        <x:f>'Official Ranking v2'!B10</x:f>
        <x:v>Ronald</x:v>
      </x:c>
      <x:c r="C10" t="n">
        <x:f>'Official Ranking v2'!C10</x:f>
        <x:v>18</x:v>
      </x:c>
      <x:c r="D10" s="135" t="n">
        <x:f>'Official Ranking v2'!S10</x:f>
        <x:v>58.39066504604191</x:v>
      </x:c>
      <x:c r="E10" t="str">
        <x:f>'Official Ranking v2'!T10</x:f>
        <x:v>B</x:v>
      </x:c>
      <x:c r="F10" t="n">
        <x:f>'Official Ranking v2'!W10</x:f>
        <x:v>0</x:v>
      </x:c>
      <x:c r="G10" t="str">
        <x:f>'Official Ranking v2'!X10</x:f>
        <x:v>B+</x:v>
      </x:c>
      <x:c r="H10" t="str">
        <x:f>IF(C10&gt;=25,"★★★★★",IF(C10&gt;=18,"★★★★",IF(C10&gt;=10,"★★★",IF(C10&gt;=6,"★★","★"))))</x:f>
        <x:v>★★★★</x:v>
      </x:c>
      <x:c r="I10" t="str">
        <x:f>'Official Ranking v2'!V10</x:f>
        <x:v>Established</x:v>
      </x:c>
      <x:c r="J10" t="str">
        <x:v>Weekly Americano</x:v>
      </x:c>
    </x:row>
    <x:row r="11">
      <x:c r="A11" t="n">
        <x:f>'Official Ranking v2'!A11</x:f>
        <x:v>6</x:v>
      </x:c>
      <x:c r="B11" t="str">
        <x:f>'Official Ranking v2'!B11</x:f>
        <x:v>Ricky</x:v>
      </x:c>
      <x:c r="C11" t="n">
        <x:f>'Official Ranking v2'!C11</x:f>
        <x:v>26</x:v>
      </x:c>
      <x:c r="D11" s="135" t="n">
        <x:f>'Official Ranking v2'!S11</x:f>
        <x:v>54.08585475906235</x:v>
      </x:c>
      <x:c r="E11" t="str">
        <x:f>'Official Ranking v2'!T11</x:f>
        <x:v>C</x:v>
      </x:c>
      <x:c r="F11" t="n">
        <x:f>'Official Ranking v2'!W11</x:f>
        <x:v>-1</x:v>
      </x:c>
      <x:c r="G11" t="str">
        <x:f>'Official Ranking v2'!X11</x:f>
        <x:v>B</x:v>
      </x:c>
      <x:c r="H11" t="str">
        <x:f>IF(C11&gt;=25,"★★★★★",IF(C11&gt;=18,"★★★★",IF(C11&gt;=10,"★★★",IF(C11&gt;=6,"★★","★"))))</x:f>
        <x:v>★★★★★</x:v>
      </x:c>
      <x:c r="I11" t="str">
        <x:f>'Official Ranking v2'!V11</x:f>
        <x:v>Established</x:v>
      </x:c>
      <x:c r="J11" t="str">
        <x:v>Weekly Americano</x:v>
      </x:c>
    </x:row>
    <x:row r="12">
      <x:c r="A12" t="n">
        <x:f>'Official Ranking v2'!A12</x:f>
        <x:v>7</x:v>
      </x:c>
      <x:c r="B12" t="str">
        <x:f>'Official Ranking v2'!B12</x:f>
        <x:v>Jonathan</x:v>
      </x:c>
      <x:c r="C12" t="n">
        <x:f>'Official Ranking v2'!C12</x:f>
        <x:v>6</x:v>
      </x:c>
      <x:c r="D12" s="135" t="n">
        <x:f>'Official Ranking v2'!S12</x:f>
        <x:v>51.86227380674279</x:v>
      </x:c>
      <x:c r="E12" t="str">
        <x:f>'Official Ranking v2'!T12</x:f>
        <x:v>C</x:v>
      </x:c>
      <x:c r="F12" t="n">
        <x:f>'Official Ranking v2'!W12</x:f>
        <x:v>-1</x:v>
      </x:c>
      <x:c r="G12" t="str">
        <x:f>'Official Ranking v2'!X12</x:f>
        <x:v>B</x:v>
      </x:c>
      <x:c r="H12" t="str">
        <x:f>IF(C12&gt;=25,"★★★★★",IF(C12&gt;=18,"★★★★",IF(C12&gt;=10,"★★★",IF(C12&gt;=6,"★★","★"))))</x:f>
        <x:v>★★</x:v>
      </x:c>
      <x:c r="I12" t="str">
        <x:f>'Official Ranking v2'!V12</x:f>
        <x:v>Developing</x:v>
      </x:c>
      <x:c r="J12" t="str">
        <x:v>Weekly Americano</x:v>
      </x:c>
    </x:row>
    <x:row r="13">
      <x:c r="A13" t="n">
        <x:f>'Official Ranking v2'!A13</x:f>
        <x:v>8</x:v>
      </x:c>
      <x:c r="B13" t="str">
        <x:f>'Official Ranking v2'!B13</x:f>
        <x:v>Kennard</x:v>
      </x:c>
      <x:c r="C13" t="n">
        <x:f>'Official Ranking v2'!C13</x:f>
        <x:v>13</x:v>
      </x:c>
      <x:c r="D13" s="135" t="n">
        <x:f>'Official Ranking v2'!S13</x:f>
        <x:v>50.28911547688009</x:v>
      </x:c>
      <x:c r="E13" t="str">
        <x:f>'Official Ranking v2'!T13</x:f>
        <x:v>C</x:v>
      </x:c>
      <x:c r="F13" t="n">
        <x:f>'Official Ranking v2'!W13</x:f>
        <x:v>-1</x:v>
      </x:c>
      <x:c r="G13" t="str">
        <x:f>'Official Ranking v2'!X13</x:f>
        <x:v>B</x:v>
      </x:c>
      <x:c r="H13" t="str">
        <x:f>IF(C13&gt;=25,"★★★★★",IF(C13&gt;=18,"★★★★",IF(C13&gt;=10,"★★★",IF(C13&gt;=6,"★★","★"))))</x:f>
        <x:v>★★★</x:v>
      </x:c>
      <x:c r="I13" t="str">
        <x:f>'Official Ranking v2'!V13</x:f>
        <x:v>Established</x:v>
      </x:c>
      <x:c r="J13" t="str">
        <x:v>Weekly Americano</x:v>
      </x:c>
    </x:row>
    <x:row r="14">
      <x:c r="A14" t="n">
        <x:f>'Official Ranking v2'!A14</x:f>
        <x:v>9</x:v>
      </x:c>
      <x:c r="B14" t="str">
        <x:f>'Official Ranking v2'!B14</x:f>
        <x:v>Rizky</x:v>
      </x:c>
      <x:c r="C14" t="n">
        <x:f>'Official Ranking v2'!C14</x:f>
        <x:v>6</x:v>
      </x:c>
      <x:c r="D14" s="135" t="n">
        <x:f>'Official Ranking v2'!S14</x:f>
        <x:v>49.19458587929172</x:v>
      </x:c>
      <x:c r="E14" t="str">
        <x:f>'Official Ranking v2'!T14</x:f>
        <x:v>C</x:v>
      </x:c>
      <x:c r="F14" t="n">
        <x:f>'Official Ranking v2'!W14</x:f>
        <x:v>-2</x:v>
      </x:c>
      <x:c r="G14" t="str">
        <x:f>'Official Ranking v2'!X14</x:f>
        <x:v>C+</x:v>
      </x:c>
      <x:c r="H14" t="str">
        <x:f>IF(C14&gt;=25,"★★★★★",IF(C14&gt;=18,"★★★★",IF(C14&gt;=10,"★★★",IF(C14&gt;=6,"★★","★"))))</x:f>
        <x:v>★★</x:v>
      </x:c>
      <x:c r="I14" t="str">
        <x:f>'Official Ranking v2'!V14</x:f>
        <x:v>Developing</x:v>
      </x:c>
      <x:c r="J14" t="str">
        <x:v>Weekly Americano</x:v>
      </x:c>
    </x:row>
    <x:row r="15">
      <x:c r="A15" t="n">
        <x:f>'Official Ranking v2'!A15</x:f>
        <x:v>10</x:v>
      </x:c>
      <x:c r="B15" t="str">
        <x:f>'Official Ranking v2'!B15</x:f>
        <x:v>Edy SP</x:v>
      </x:c>
      <x:c r="C15" t="n">
        <x:f>'Official Ranking v2'!C15</x:f>
        <x:v>30</x:v>
      </x:c>
      <x:c r="D15" s="135" t="n">
        <x:f>'Official Ranking v2'!S15</x:f>
        <x:v>45.89574377725399</x:v>
      </x:c>
      <x:c r="E15" t="str">
        <x:f>'Official Ranking v2'!T15</x:f>
        <x:v>C</x:v>
      </x:c>
      <x:c r="F15" t="n">
        <x:f>'Official Ranking v2'!W15</x:f>
        <x:v>-2</x:v>
      </x:c>
      <x:c r="G15" t="str">
        <x:f>'Official Ranking v2'!X15</x:f>
        <x:v>C+</x:v>
      </x:c>
      <x:c r="H15" t="str">
        <x:f>IF(C15&gt;=25,"★★★★★",IF(C15&gt;=18,"★★★★",IF(C15&gt;=10,"★★★",IF(C15&gt;=6,"★★","★"))))</x:f>
        <x:v>★★★★★</x:v>
      </x:c>
      <x:c r="I15" t="str">
        <x:f>'Official Ranking v2'!V15</x:f>
        <x:v>Established</x:v>
      </x:c>
      <x:c r="J15" t="str">
        <x:v>Weekly Americano</x:v>
      </x:c>
    </x:row>
    <x:row r="16">
      <x:c r="A16" t="n">
        <x:f>'Official Ranking v2'!A16</x:f>
        <x:v>11</x:v>
      </x:c>
      <x:c r="B16" t="str">
        <x:f>'Official Ranking v2'!B16</x:f>
        <x:v>Michael</x:v>
      </x:c>
      <x:c r="C16" t="n">
        <x:f>'Official Ranking v2'!C16</x:f>
        <x:v>13</x:v>
      </x:c>
      <x:c r="D16" s="135" t="n">
        <x:f>'Official Ranking v2'!S16</x:f>
        <x:v>45.67313478777373</x:v>
      </x:c>
      <x:c r="E16" t="str">
        <x:f>'Official Ranking v2'!T16</x:f>
        <x:v>C</x:v>
      </x:c>
      <x:c r="F16" t="n">
        <x:f>'Official Ranking v2'!W16</x:f>
        <x:v>-2</x:v>
      </x:c>
      <x:c r="G16" t="str">
        <x:f>'Official Ranking v2'!X16</x:f>
        <x:v>C+</x:v>
      </x:c>
      <x:c r="H16" t="str">
        <x:f>IF(C16&gt;=25,"★★★★★",IF(C16&gt;=18,"★★★★",IF(C16&gt;=10,"★★★",IF(C16&gt;=6,"★★","★"))))</x:f>
        <x:v>★★★</x:v>
      </x:c>
      <x:c r="I16" t="str">
        <x:f>'Official Ranking v2'!V16</x:f>
        <x:v>Established</x:v>
      </x:c>
      <x:c r="J16" t="str">
        <x:v>Weekly Americano</x:v>
      </x:c>
    </x:row>
    <x:row r="17">
      <x:c r="A17" t="n">
        <x:f>'Official Ranking v2'!A17</x:f>
        <x:v>12</x:v>
      </x:c>
      <x:c r="B17" t="str">
        <x:f>'Official Ranking v2'!B17</x:f>
        <x:v>Nicholas</x:v>
      </x:c>
      <x:c r="C17" t="n">
        <x:f>'Official Ranking v2'!C17</x:f>
        <x:v>7</x:v>
      </x:c>
      <x:c r="D17" s="135" t="n">
        <x:f>'Official Ranking v2'!S17</x:f>
        <x:v>45.28271303058267</x:v>
      </x:c>
      <x:c r="E17" t="str">
        <x:f>'Official Ranking v2'!T17</x:f>
        <x:v>C</x:v>
      </x:c>
      <x:c r="F17" t="n">
        <x:f>'Official Ranking v2'!W17</x:f>
        <x:v>-2</x:v>
      </x:c>
      <x:c r="G17" t="str">
        <x:f>'Official Ranking v2'!X17</x:f>
        <x:v>C+</x:v>
      </x:c>
      <x:c r="H17" t="str">
        <x:f>IF(C17&gt;=25,"★★★★★",IF(C17&gt;=18,"★★★★",IF(C17&gt;=10,"★★★",IF(C17&gt;=6,"★★","★"))))</x:f>
        <x:v>★★</x:v>
      </x:c>
      <x:c r="I17" t="str">
        <x:f>'Official Ranking v2'!V17</x:f>
        <x:v>Developing</x:v>
      </x:c>
      <x:c r="J17" t="str">
        <x:v>Weekly Americano</x:v>
      </x:c>
    </x:row>
    <x:row r="18">
      <x:c r="A18" t="n">
        <x:f>'Official Ranking v2'!A18</x:f>
        <x:v>13</x:v>
      </x:c>
      <x:c r="B18" t="str">
        <x:f>'Official Ranking v2'!B18</x:f>
        <x:v>David</x:v>
      </x:c>
      <x:c r="C18" t="n">
        <x:f>'Official Ranking v2'!C18</x:f>
        <x:v>12</x:v>
      </x:c>
      <x:c r="D18" s="135" t="n">
        <x:f>'Official Ranking v2'!S18</x:f>
        <x:v>43.36193577193154</x:v>
      </x:c>
      <x:c r="E18" t="str">
        <x:f>'Official Ranking v2'!T18</x:f>
        <x:v>D</x:v>
      </x:c>
      <x:c r="F18" t="n">
        <x:f>'Official Ranking v2'!W18</x:f>
        <x:v>-3</x:v>
      </x:c>
      <x:c r="G18" t="str">
        <x:f>'Official Ranking v2'!X18</x:f>
        <x:v>C</x:v>
      </x:c>
      <x:c r="H18" t="str">
        <x:f>IF(C18&gt;=25,"★★★★★",IF(C18&gt;=18,"★★★★",IF(C18&gt;=10,"★★★",IF(C18&gt;=6,"★★","★"))))</x:f>
        <x:v>★★★</x:v>
      </x:c>
      <x:c r="I18" t="str">
        <x:f>'Official Ranking v2'!V18</x:f>
        <x:v>Established</x:v>
      </x:c>
      <x:c r="J18" t="str">
        <x:v>Weekly Americano</x:v>
      </x:c>
    </x:row>
    <x:row r="19">
      <x:c r="A19" t="n">
        <x:f>'Official Ranking v2'!A19</x:f>
        <x:v>14</x:v>
      </x:c>
      <x:c r="B19" t="str">
        <x:f>'Official Ranking v2'!B19</x:f>
        <x:v>Donny</x:v>
      </x:c>
      <x:c r="C19" t="n">
        <x:f>'Official Ranking v2'!C19</x:f>
        <x:v>11</x:v>
      </x:c>
      <x:c r="D19" s="135" t="n">
        <x:f>'Official Ranking v2'!S19</x:f>
        <x:v>42.67589693029047</x:v>
      </x:c>
      <x:c r="E19" t="str">
        <x:f>'Official Ranking v2'!T19</x:f>
        <x:v>D</x:v>
      </x:c>
      <x:c r="F19" t="n">
        <x:f>'Official Ranking v2'!W19</x:f>
        <x:v>-3</x:v>
      </x:c>
      <x:c r="G19" t="str">
        <x:f>'Official Ranking v2'!X19</x:f>
        <x:v>C</x:v>
      </x:c>
      <x:c r="H19" t="str">
        <x:f>IF(C19&gt;=25,"★★★★★",IF(C19&gt;=18,"★★★★",IF(C19&gt;=10,"★★★",IF(C19&gt;=6,"★★","★"))))</x:f>
        <x:v>★★★</x:v>
      </x:c>
      <x:c r="I19" t="str">
        <x:f>'Official Ranking v2'!V19</x:f>
        <x:v>Developing</x:v>
      </x:c>
      <x:c r="J19" t="str">
        <x:v>Weekly Americano</x:v>
      </x:c>
    </x:row>
    <x:row r="20">
      <x:c r="A20" t="n">
        <x:f>'Official Ranking v2'!A20</x:f>
        <x:v>15</x:v>
      </x:c>
      <x:c r="B20" t="str">
        <x:f>'Official Ranking v2'!B20</x:f>
        <x:v>Reza</x:v>
      </x:c>
      <x:c r="C20" t="n">
        <x:f>'Official Ranking v2'!C20</x:f>
        <x:v>6</x:v>
      </x:c>
      <x:c r="D20" s="135" t="n">
        <x:f>'Official Ranking v2'!S20</x:f>
        <x:v>40.35591292370327</x:v>
      </x:c>
      <x:c r="E20" t="str">
        <x:f>'Official Ranking v2'!T20</x:f>
        <x:v>D</x:v>
      </x:c>
      <x:c r="F20" t="n">
        <x:f>'Official Ranking v2'!W20</x:f>
        <x:v>-3</x:v>
      </x:c>
      <x:c r="G20" t="str">
        <x:f>'Official Ranking v2'!X20</x:f>
        <x:v>C</x:v>
      </x:c>
      <x:c r="H20" t="str">
        <x:f>IF(C20&gt;=25,"★★★★★",IF(C20&gt;=18,"★★★★",IF(C20&gt;=10,"★★★",IF(C20&gt;=6,"★★","★"))))</x:f>
        <x:v>★★</x:v>
      </x:c>
      <x:c r="I20" t="str">
        <x:f>'Official Ranking v2'!V20</x:f>
        <x:v>Developing</x:v>
      </x:c>
      <x:c r="J20" t="str">
        <x:v>Weekly Americano</x:v>
      </x:c>
    </x:row>
    <x:row r="21">
      <x:c r="A21" t="n">
        <x:f>'Official Ranking v2'!A21</x:f>
        <x:v>16</x:v>
      </x:c>
      <x:c r="B21" t="str">
        <x:f>'Official Ranking v2'!B21</x:f>
        <x:v>Nico</x:v>
      </x:c>
      <x:c r="C21" t="n">
        <x:f>'Official Ranking v2'!C21</x:f>
        <x:v>6</x:v>
      </x:c>
      <x:c r="D21" s="135" t="n">
        <x:f>'Official Ranking v2'!S21</x:f>
        <x:v>37.95817920836509</x:v>
      </x:c>
      <x:c r="E21" t="str">
        <x:f>'Official Ranking v2'!T21</x:f>
        <x:v>D</x:v>
      </x:c>
      <x:c r="F21" t="n">
        <x:f>'Official Ranking v2'!W21</x:f>
        <x:v>-4</x:v>
      </x:c>
      <x:c r="G21" t="str">
        <x:f>'Official Ranking v2'!X21</x:f>
        <x:v>D</x:v>
      </x:c>
      <x:c r="H21" t="str">
        <x:f>IF(C21&gt;=25,"★★★★★",IF(C21&gt;=18,"★★★★",IF(C21&gt;=10,"★★★",IF(C21&gt;=6,"★★","★"))))</x:f>
        <x:v>★★</x:v>
      </x:c>
      <x:c r="I21" t="str">
        <x:f>'Official Ranking v2'!V21</x:f>
        <x:v>Developing</x:v>
      </x:c>
      <x:c r="J21" t="str">
        <x:v>Weekly Americano</x:v>
      </x:c>
    </x:row>
    <x:row r="22">
      <x:c r="A22" t="n">
        <x:f>'Official Ranking v2'!A22</x:f>
        <x:v>17</x:v>
      </x:c>
      <x:c r="B22" t="str">
        <x:f>'Official Ranking v2'!B22</x:f>
        <x:v>Alwin</x:v>
      </x:c>
      <x:c r="C22" t="n">
        <x:f>'Official Ranking v2'!C22</x:f>
        <x:v>6</x:v>
      </x:c>
      <x:c r="D22" s="135" t="n">
        <x:f>'Official Ranking v2'!S22</x:f>
        <x:v>35.87914127200738</x:v>
      </x:c>
      <x:c r="E22" t="str">
        <x:f>'Official Ranking v2'!T22</x:f>
        <x:v>D</x:v>
      </x:c>
      <x:c r="F22" t="n">
        <x:f>'Official Ranking v2'!W22</x:f>
        <x:v>-4</x:v>
      </x:c>
      <x:c r="G22" t="str">
        <x:f>'Official Ranking v2'!X22</x:f>
        <x:v>D</x:v>
      </x:c>
      <x:c r="H22" t="str">
        <x:f>IF(C22&gt;=25,"★★★★★",IF(C22&gt;=18,"★★★★",IF(C22&gt;=10,"★★★",IF(C22&gt;=6,"★★","★"))))</x:f>
        <x:v>★★</x:v>
      </x:c>
      <x:c r="I22" t="str">
        <x:f>'Official Ranking v2'!V22</x:f>
        <x:v>Developing</x:v>
      </x:c>
      <x:c r="J22" t="str">
        <x:v>Weekly Americano</x:v>
      </x:c>
    </x:row>
    <x:row r="23">
      <x:c r="A23" t="n">
        <x:f>'Official Ranking v2'!A23</x:f>
        <x:v>18</x:v>
      </x:c>
      <x:c r="B23" t="str">
        <x:f>'Official Ranking v2'!B23</x:f>
        <x:v>Hansen</x:v>
      </x:c>
      <x:c r="C23" t="n">
        <x:f>'Official Ranking v2'!C23</x:f>
        <x:v>6</x:v>
      </x:c>
      <x:c r="D23" s="135" t="n">
        <x:f>'Official Ranking v2'!S23</x:f>
        <x:v>34.74019645757599</x:v>
      </x:c>
      <x:c r="E23" t="str">
        <x:f>'Official Ranking v2'!T23</x:f>
        <x:v>D</x:v>
      </x:c>
      <x:c r="F23" t="n">
        <x:f>'Official Ranking v2'!W23</x:f>
        <x:v>-4</x:v>
      </x:c>
      <x:c r="G23" t="str">
        <x:f>'Official Ranking v2'!X23</x:f>
        <x:v>D</x:v>
      </x:c>
      <x:c r="H23" t="str">
        <x:f>IF(C23&gt;=25,"★★★★★",IF(C23&gt;=18,"★★★★",IF(C23&gt;=10,"★★★",IF(C23&gt;=6,"★★","★"))))</x:f>
        <x:v>★★</x:v>
      </x:c>
      <x:c r="I23" t="str">
        <x:f>'Official Ranking v2'!V23</x:f>
        <x:v>Developing</x:v>
      </x:c>
      <x:c r="J23" t="str">
        <x:v>Weekly Americano</x:v>
      </x:c>
    </x:row>
    <x:row r="24">
      <x:c r="A24" t="n">
        <x:f>'Official Ranking v2'!A24</x:f>
        <x:v>19</x:v>
      </x:c>
      <x:c r="B24" t="str">
        <x:f>'Official Ranking v2'!B24</x:f>
        <x:v>Welly</x:v>
      </x:c>
      <x:c r="C24" t="n">
        <x:f>'Official Ranking v2'!C24</x:f>
        <x:v>10</x:v>
      </x:c>
      <x:c r="D24" s="135" t="n">
        <x:f>'Official Ranking v2'!S24</x:f>
        <x:v>33.61965263543392</x:v>
      </x:c>
      <x:c r="E24" t="str">
        <x:f>'Official Ranking v2'!T24</x:f>
        <x:v>D</x:v>
      </x:c>
      <x:c r="F24" t="n">
        <x:f>'Official Ranking v2'!W24</x:f>
        <x:v>-4</x:v>
      </x:c>
      <x:c r="G24" t="str">
        <x:f>'Official Ranking v2'!X24</x:f>
        <x:v>D</x:v>
      </x:c>
      <x:c r="H24" t="str">
        <x:f>IF(C24&gt;=25,"★★★★★",IF(C24&gt;=18,"★★★★",IF(C24&gt;=10,"★★★",IF(C24&gt;=6,"★★","★"))))</x:f>
        <x:v>★★★</x:v>
      </x:c>
      <x:c r="I24" t="str">
        <x:f>'Official Ranking v2'!V24</x:f>
        <x:v>Developing</x:v>
      </x:c>
      <x:c r="J24" t="str">
        <x:v>Weekly Americano</x:v>
      </x:c>
    </x:row>
    <x:row r="25">
      <x:c r="A25" t="n">
        <x:f>'Official Ranking v2'!A25</x:f>
        <x:v>20</x:v>
      </x:c>
      <x:c r="B25" t="str">
        <x:f>'Official Ranking v2'!B25</x:f>
        <x:v>Alice</x:v>
      </x:c>
      <x:c r="C25" t="n">
        <x:f>'Official Ranking v2'!C25</x:f>
        <x:v>14</x:v>
      </x:c>
      <x:c r="D25" s="135" t="n">
        <x:f>'Official Ranking v2'!S25</x:f>
        <x:v>31.41654411475529</x:v>
      </x:c>
      <x:c r="E25" t="str">
        <x:f>'Official Ranking v2'!T25</x:f>
        <x:v>D</x:v>
      </x:c>
      <x:c r="F25" t="n">
        <x:f>'Official Ranking v2'!W25</x:f>
        <x:v>-4</x:v>
      </x:c>
      <x:c r="G25" t="str">
        <x:f>'Official Ranking v2'!X25</x:f>
        <x:v>D</x:v>
      </x:c>
      <x:c r="H25" t="str">
        <x:f>IF(C25&gt;=25,"★★★★★",IF(C25&gt;=18,"★★★★",IF(C25&gt;=10,"★★★",IF(C25&gt;=6,"★★","★"))))</x:f>
        <x:v>★★★</x:v>
      </x:c>
      <x:c r="I25" t="str">
        <x:f>'Official Ranking v2'!V25</x:f>
        <x:v>Established</x:v>
      </x:c>
      <x:c r="J25" t="str">
        <x:v>Weekly Americano</x:v>
      </x:c>
    </x:row>
  </x:sheetData>
  <x:mergeCells>
    <x:mergeCell ref="A1:J2"/>
    <x:mergeCell ref="A3:J3"/>
  </x:mergeCells>
  <x:conditionalFormatting sqref="F6:F25">
    <x:cfRule type="colorScale" priority="1">
      <x:colorScale>
        <x:cfvo type="min"/>
        <x:cfvo type="percentile" val="50"/>
        <x:cfvo type="max"/>
        <x:color rgb="FFD9EAF7"/>
        <x:color rgb="FFFFF2CC"/>
        <x:color rgb="FFF4CCCC"/>
      </x:colorScale>
    </x:cfRule>
  </x:conditionalFormatting>
  <x:pageMargins left="0.7" right="0.7" top="0.75" bottom="0.75" header="0.3" footer="0.3"/>
</x:worksheet>
</file>

<file path=xl/worksheets/sheet26.xml><?xml version="1.0" encoding="utf-8"?>
<x:worksheet xmlns:x="http://schemas.openxmlformats.org/spreadsheetml/2006/main">
  <x:sheetFormatPr baseColWidth="8" defaultRowHeight="15"/>
  <x:cols>
    <x:col min="1" max="1" width="15.130000114440918" hidden="0" customWidth="1"/>
    <x:col min="2" max="2" width="18.25" hidden="0" customWidth="1"/>
    <x:col min="3" max="3" width="5.25" hidden="0" customWidth="1"/>
    <x:col min="4" max="4" width="19.6299991607666" hidden="0" customWidth="1"/>
  </x:cols>
  <x:sheetData>
    <x:row r="1">
      <x:c r="A1" s="232" t="str">
        <x:v>Dataset</x:v>
      </x:c>
      <x:c r="B1" s="231" t="str">
        <x:v>Source Sheet</x:v>
      </x:c>
      <x:c r="C1" s="231" t="str">
        <x:v>Status</x:v>
      </x:c>
      <x:c r="D1" s="231" t="str">
        <x:v>Purpose</x:v>
      </x:c>
      <x:c r="E1" s="165"/>
      <x:c r="F1" s="165"/>
      <x:c r="G1" s="165"/>
      <x:c r="H1" s="165"/>
      <x:c r="I1" s="165"/>
      <x:c r="J1" s="165"/>
      <x:c r="K1" s="165"/>
      <x:c r="L1" s="165"/>
      <x:c r="M1" s="165"/>
      <x:c r="N1" s="165"/>
      <x:c r="O1" s="165"/>
      <x:c r="P1" s="165"/>
      <x:c r="Q1" s="165"/>
      <x:c r="R1" s="165"/>
      <x:c r="S1" s="165"/>
      <x:c r="T1" s="165"/>
      <x:c r="U1" s="165"/>
      <x:c r="V1" s="165"/>
      <x:c r="W1" s="165"/>
      <x:c r="X1" s="165"/>
      <x:c r="Y1" s="165"/>
      <x:c r="Z1" s="165"/>
    </x:row>
    <x:row r="2">
      <x:c r="A2" t="str">
        <x:v>Official Ranking</x:v>
      </x:c>
      <x:c r="B2" t="str">
        <x:v>Official Ranking v2</x:v>
      </x:c>
      <x:c r="C2" t="str">
        <x:v>Ready</x:v>
      </x:c>
      <x:c r="D2" t="str">
        <x:v>Chapter 4</x:v>
      </x:c>
    </x:row>
    <x:row r="3">
      <x:c r="A3" s="150" t="str">
        <x:v>Official Handicap</x:v>
      </x:c>
      <x:c r="B3" s="150" t="str">
        <x:v>Official Handicap v2</x:v>
      </x:c>
      <x:c r="C3" s="150" t="str">
        <x:v>Ready</x:v>
      </x:c>
      <x:c r="D3" s="150" t="str">
        <x:v>Chapter 5</x:v>
      </x:c>
    </x:row>
    <x:row r="4">
      <x:c r="A4" t="str">
        <x:v>Player Performance</x:v>
      </x:c>
      <x:c r="B4" t="str">
        <x:v>Chapter Data</x:v>
      </x:c>
      <x:c r="C4" t="str">
        <x:v>Ready</x:v>
      </x:c>
      <x:c r="D4" t="str">
        <x:v>Chapter 6</x:v>
      </x:c>
    </x:row>
    <x:row r="5">
      <x:c r="A5" t="str">
        <x:v>Executive KPI</x:v>
      </x:c>
      <x:c r="B5" t="str">
        <x:v>Executive Dashboard v2</x:v>
      </x:c>
      <x:c r="C5" t="str">
        <x:v>Ready</x:v>
      </x:c>
      <x:c r="D5" t="str">
        <x:v>Chapters 1 &amp; 10</x:v>
      </x:c>
    </x:row>
    <x:row r="6">
      <x:c r="A6" t="str">
        <x:v>Tournament Stats</x:v>
      </x:c>
      <x:c r="B6" t="str">
        <x:v>Stage 4 Dashboard</x:v>
      </x:c>
      <x:c r="C6" t="str">
        <x:v>Ready</x:v>
      </x:c>
      <x:c r="D6" t="str">
        <x:v>Chapters 3 &amp; 7</x:v>
      </x:c>
    </x:row>
    <x:row r="7">
      <x:c r="A7" t="str">
        <x:v>Advanced Analytics</x:v>
      </x:c>
      <x:c r="B7" t="str">
        <x:v>Advanced Analytics</x:v>
      </x:c>
      <x:c r="C7" t="str">
        <x:v>Ready</x:v>
      </x:c>
      <x:c r="D7" t="str">
        <x:v>Chapter 9</x:v>
      </x:c>
    </x:row>
    <x:row r="8">
      <x:c r="A8" t="str">
        <x:v>Report Figures</x:v>
      </x:c>
      <x:c r="B8" t="str">
        <x:v>Report Figures</x:v>
      </x:c>
      <x:c r="C8" t="str">
        <x:v>Ready</x:v>
      </x:c>
      <x:c r="D8" t="str">
        <x:v>Figures</x:v>
      </x:c>
    </x:row>
    <x:row r="9">
      <x:c r="A9" t="str">
        <x:v>Figure Registry</x:v>
      </x:c>
      <x:c r="B9" t="str">
        <x:v>Figure Registry</x:v>
      </x:c>
      <x:c r="C9" t="str">
        <x:v>Ready</x:v>
      </x:c>
      <x:c r="D9" t="str">
        <x:v>Captions and numbering</x:v>
      </x:c>
    </x:row>
    <x:row r="10">
      <x:c r="A10" t="str">
        <x:v>Report QA</x:v>
      </x:c>
      <x:c r="B10" t="str">
        <x:v>Report QA</x:v>
      </x:c>
      <x:c r="C10" t="str">
        <x:v>Ready</x:v>
      </x:c>
      <x:c r="D10" t="str">
        <x:v>Pre-publication validation</x:v>
      </x:c>
    </x:row>
    <x:row r="11">
      <x:c r="A11" t="str">
        <x:v>Report Generator</x:v>
      </x:c>
      <x:c r="B11" t="str">
        <x:v>Report Generator</x:v>
      </x:c>
      <x:c r="C11" t="str">
        <x:v>Ready</x:v>
      </x:c>
      <x:c r="D11" t="str">
        <x:v>Generation control</x:v>
      </x:c>
    </x:row>
    <x:row r="12">
      <x:c r="A12" t="str">
        <x:v>Individual Player Report</x:v>
      </x:c>
      <x:c r="B12" t="str">
        <x:v>Individual Player Report</x:v>
      </x:c>
      <x:c r="C12" t="str">
        <x:v>Ready</x:v>
      </x:c>
      <x:c r="D12" t="str">
        <x:v>Per-player live report</x:v>
      </x:c>
    </x:row>
  </x:sheetData>
  <x:pageMargins left="0.7" right="0.7" top="0.75" bottom="0.75" header="0.3" footer="0.3"/>
</x:worksheet>
</file>

<file path=xl/worksheets/sheet27.xml><?xml version="1.0" encoding="utf-8"?>
<x:worksheet xmlns:x="http://schemas.openxmlformats.org/spreadsheetml/2006/main">
  <x:sheetFormatPr baseColWidth="8" defaultRowHeight="15"/>
  <x:cols>
    <x:col min="1" max="1" width="9" style="125" customWidth="1"/>
    <x:col min="2" max="2" width="18" style="125" customWidth="1"/>
    <x:col min="3" max="3" width="12" style="125" customWidth="1"/>
    <x:col min="4" max="4" width="10" style="125" customWidth="1"/>
    <x:col min="5" max="5" width="11" style="125" customWidth="1"/>
    <x:col min="7" max="7" width="12" style="125" customWidth="1"/>
    <x:col min="8" max="8" width="10" style="125" customWidth="1"/>
    <x:col min="10" max="10" width="12" style="125" customWidth="1"/>
    <x:col min="11" max="11" width="10" style="125" customWidth="1"/>
  </x:cols>
  <x:sheetData>
    <x:row r="1">
      <x:c r="A1" s="144" t="inlineStr">
        <x:is>
          <x:t xml:space="preserve">FLPR EXECUTIVE DASHBOARD v2.0</x:t>
        </x:is>
      </x:c>
      <x:c r="B1" s="1" t="n"/>
      <x:c r="C1" s="1" t="n"/>
      <x:c r="D1" s="1" t="n"/>
      <x:c r="E1" s="1" t="n"/>
      <x:c r="F1" s="1" t="n"/>
      <x:c r="G1" s="1" t="n"/>
      <x:c r="H1" s="1" t="n"/>
      <x:c r="I1" s="1" t="n"/>
      <x:c r="J1" s="1" t="n"/>
      <x:c r="K1" s="1" t="n"/>
      <x:c r="L1" s="1" t="n"/>
      <x:c r="M1" s="1" t="n"/>
      <x:c r="N1" s="1" t="n"/>
    </x:row>
    <x:row r="2">
      <x:c r="A2" s="1" t="n"/>
      <x:c r="B2" s="1" t="n"/>
      <x:c r="C2" s="1" t="n"/>
      <x:c r="D2" s="1" t="n"/>
      <x:c r="E2" s="1" t="n"/>
      <x:c r="F2" s="1" t="n"/>
      <x:c r="G2" s="1" t="n"/>
      <x:c r="H2" s="1" t="n"/>
      <x:c r="I2" s="1" t="n"/>
      <x:c r="J2" s="1" t="n"/>
      <x:c r="K2" s="1" t="n"/>
      <x:c r="L2" s="1" t="n"/>
      <x:c r="M2" s="1" t="n"/>
      <x:c r="N2" s="1" t="n"/>
    </x:row>
    <x:row r="3">
      <x:c r="A3" s="143" t="inlineStr">
        <x:is>
          <x:t xml:space="preserve">Every Point Matters | Volume 1</x:t>
        </x:is>
      </x:c>
      <x:c r="B3" s="1" t="n"/>
      <x:c r="C3" s="1" t="n"/>
      <x:c r="D3" s="1" t="n"/>
      <x:c r="E3" s="1" t="n"/>
      <x:c r="F3" s="1" t="n"/>
      <x:c r="G3" s="1" t="n"/>
      <x:c r="H3" s="1" t="n"/>
      <x:c r="I3" s="1" t="n"/>
      <x:c r="J3" s="1" t="n"/>
      <x:c r="K3" s="1" t="n"/>
      <x:c r="L3" s="1" t="n"/>
      <x:c r="M3" s="1" t="n"/>
      <x:c r="N3" s="1" t="n"/>
    </x:row>
    <x:row r="5">
      <x:c r="A5" s="145" t="str">
        <x:f>"Players"&amp;CHAR(10)&amp;COUNTA('Official Ranking v2'!B6:B205)</x:f>
        <x:v>Players
20</x:v>
      </x:c>
      <x:c r="B5" s="1" t="n"/>
      <x:c r="C5" s="145" t="str">
        <x:f>"Matches"&amp;CHAR(10)&amp;ROUND(SUM('Official Ranking v2'!C6:C205)/4,0)</x:f>
        <x:v>Matches
57</x:v>
      </x:c>
      <x:c r="D5" s="1" t="n"/>
      <x:c r="E5" s="145" t="str">
        <x:f>"Top Rating"&amp;CHAR(10)&amp;TEXT(MAX('Official Ranking v2'!S6:S205),"0.00")</x:f>
        <x:v>Top Rating
70.51</x:v>
      </x:c>
      <x:c r="F5" s="1" t="n"/>
      <x:c r="G5" s="145" t="str">
        <x:f>"Leader"&amp;CHAR(10)&amp;INDEX('Official Ranking v2'!B6:B205,MATCH(MAX('Official Ranking v2'!S6:S205),'Official Ranking v2'!S6:S205,0))</x:f>
        <x:v>Leader
Sandy</x:v>
      </x:c>
      <x:c r="H5" s="1" t="n"/>
      <x:c r="I5" s="145" t="str">
        <x:f>"Established"&amp;CHAR(10)&amp;COUNTIF('Official Ranking v2'!V6:V205,"Established")</x:f>
        <x:v>Established
9</x:v>
      </x:c>
      <x:c r="J5" s="1" t="n"/>
      <x:c r="K5" s="145" t="str">
        <x:f>"Avg Rating"&amp;CHAR(10)&amp;TEXT(AVERAGE('Official Ranking v2'!S6:S205),"0.00")</x:f>
        <x:v>Avg Rating
47.73</x:v>
      </x:c>
      <x:c r="L5" s="1" t="n"/>
    </x:row>
    <x:row r="6">
      <x:c r="A6" s="1" t="n"/>
      <x:c r="B6" s="1" t="n"/>
      <x:c r="C6" s="1" t="n"/>
      <x:c r="D6" s="1" t="n"/>
      <x:c r="E6" s="1" t="n"/>
      <x:c r="F6" s="1" t="n"/>
      <x:c r="G6" s="1" t="n"/>
      <x:c r="H6" s="1" t="n"/>
      <x:c r="I6" s="1" t="n"/>
      <x:c r="J6" s="1" t="n"/>
      <x:c r="K6" s="1" t="n"/>
      <x:c r="L6" s="1" t="n"/>
    </x:row>
    <x:row r="7">
      <x:c r="A7" s="1" t="n"/>
      <x:c r="B7" s="1" t="n"/>
      <x:c r="C7" s="1" t="n"/>
      <x:c r="D7" s="1" t="n"/>
      <x:c r="E7" s="1" t="n"/>
      <x:c r="F7" s="1" t="n"/>
      <x:c r="G7" s="1" t="n"/>
      <x:c r="H7" s="1" t="n"/>
      <x:c r="I7" s="1" t="n"/>
      <x:c r="J7" s="1" t="n"/>
      <x:c r="K7" s="1" t="n"/>
      <x:c r="L7" s="1" t="n"/>
    </x:row>
    <x:row r="10">
      <x:c r="A10" s="109" t="inlineStr">
        <x:is>
          <x:t xml:space="preserve">Rank</x:t>
        </x:is>
      </x:c>
      <x:c r="B10" s="109" t="inlineStr">
        <x:is>
          <x:t xml:space="preserve">Player</x:t>
        </x:is>
      </x:c>
      <x:c r="C10" s="109" t="inlineStr">
        <x:is>
          <x:t xml:space="preserve">Rating</x:t>
        </x:is>
      </x:c>
      <x:c r="D10" s="109" t="inlineStr">
        <x:is>
          <x:t xml:space="preserve">Tier</x:t>
        </x:is>
      </x:c>
      <x:c r="E10" s="109" t="inlineStr">
        <x:is>
          <x:t xml:space="preserve">Handicap</x:t>
        </x:is>
      </x:c>
      <x:c r="G10" s="108" t="inlineStr">
        <x:is>
          <x:t xml:space="preserve">Handicap</x:t>
        </x:is>
      </x:c>
      <x:c r="H10" s="108" t="inlineStr">
        <x:is>
          <x:t xml:space="preserve">Players</x:t>
        </x:is>
      </x:c>
      <x:c r="J10" s="108" t="inlineStr">
        <x:is>
          <x:t xml:space="preserve">Tier</x:t>
        </x:is>
      </x:c>
      <x:c r="K10" s="108" t="inlineStr">
        <x:is>
          <x:t xml:space="preserve">Players</x:t>
        </x:is>
      </x:c>
    </x:row>
    <x:row r="11">
      <x:c r="A11" t="n">
        <x:f>'Official Ranking v2'!A6</x:f>
        <x:v>1</x:v>
      </x:c>
      <x:c r="B11" t="str">
        <x:f>'Official Ranking v2'!B6</x:f>
        <x:v>Sandy</x:v>
      </x:c>
      <x:c r="C11" s="135" t="n">
        <x:f>'Official Ranking v2'!S6</x:f>
        <x:v>70.51306635024372</x:v>
      </x:c>
      <x:c r="D11" t="str">
        <x:f>'Official Ranking v2'!T6</x:f>
        <x:v>A</x:v>
      </x:c>
      <x:c r="E11" t="n">
        <x:f>'Official Ranking v2'!W6</x:f>
        <x:v>3</x:v>
      </x:c>
      <x:c r="G11" t="n">
        <x:v>-4</x:v>
      </x:c>
      <x:c r="H11" t="n">
        <x:f>COUNTIF('Official Ranking v2'!W6:W205,G11)</x:f>
        <x:v>5</x:v>
      </x:c>
      <x:c r="J11" t="str">
        <x:v>Elite</x:v>
      </x:c>
      <x:c r="K11" t="n">
        <x:f>COUNTIF('Official Ranking v2'!X6:X205,J11)</x:f>
        <x:v>1</x:v>
      </x:c>
    </x:row>
    <x:row r="12">
      <x:c r="A12" t="n">
        <x:f>'Official Ranking v2'!A7</x:f>
        <x:v>2</x:v>
      </x:c>
      <x:c r="B12" t="str">
        <x:f>'Official Ranking v2'!B7</x:f>
        <x:v>Thohir</x:v>
      </x:c>
      <x:c r="C12" s="135" t="n">
        <x:f>'Official Ranking v2'!S7</x:f>
        <x:v>64.66887046003484</x:v>
      </x:c>
      <x:c r="D12" t="str">
        <x:f>'Official Ranking v2'!T7</x:f>
        <x:v>B</x:v>
      </x:c>
      <x:c r="E12" t="n">
        <x:f>'Official Ranking v2'!W7</x:f>
        <x:v>1</x:v>
      </x:c>
      <x:c r="G12" t="n">
        <x:v>-3</x:v>
      </x:c>
      <x:c r="H12" t="n">
        <x:f>COUNTIF('Official Ranking v2'!W6:W205,G12)</x:f>
        <x:v>3</x:v>
      </x:c>
      <x:c r="J12" t="str">
        <x:v>A</x:v>
      </x:c>
      <x:c r="K12" t="n">
        <x:f>COUNTIF('Official Ranking v2'!X6:X205,J12)</x:f>
        <x:v>1</x:v>
      </x:c>
    </x:row>
    <x:row r="13">
      <x:c r="A13" t="n">
        <x:f>'Official Ranking v2'!A8</x:f>
        <x:v>3</x:v>
      </x:c>
      <x:c r="B13" t="str">
        <x:f>'Official Ranking v2'!B8</x:f>
        <x:v>Austin</x:v>
      </x:c>
      <x:c r="C13" s="135" t="n">
        <x:f>'Official Ranking v2'!S8</x:f>
        <x:v>59.40079845232992</x:v>
      </x:c>
      <x:c r="D13" t="str">
        <x:f>'Official Ranking v2'!T8</x:f>
        <x:v>B</x:v>
      </x:c>
      <x:c r="E13" t="n">
        <x:f>'Official Ranking v2'!W8</x:f>
        <x:v>0</x:v>
      </x:c>
      <x:c r="G13" t="n">
        <x:v>-2</x:v>
      </x:c>
      <x:c r="H13" t="n">
        <x:f>COUNTIF('Official Ranking v2'!W6:W205,G13)</x:f>
        <x:v>4</x:v>
      </x:c>
      <x:c r="J13" t="str">
        <x:v>B</x:v>
      </x:c>
      <x:c r="K13" t="n">
        <x:f>COUNTIF('Official Ranking v2'!X6:X205,J13)</x:f>
        <x:v>3</x:v>
      </x:c>
    </x:row>
    <x:row r="14">
      <x:c r="A14" t="n">
        <x:f>'Official Ranking v2'!A9</x:f>
        <x:v>4</x:v>
      </x:c>
      <x:c r="B14" t="str">
        <x:f>'Official Ranking v2'!B9</x:f>
        <x:v>Rey</x:v>
      </x:c>
      <x:c r="C14" s="135" t="n">
        <x:f>'Official Ranking v2'!S9</x:f>
        <x:v>59.36910718873768</x:v>
      </x:c>
      <x:c r="D14" t="str">
        <x:f>'Official Ranking v2'!T9</x:f>
        <x:v>B</x:v>
      </x:c>
      <x:c r="E14" t="n">
        <x:f>'Official Ranking v2'!W9</x:f>
        <x:v>0</x:v>
      </x:c>
      <x:c r="G14" t="n">
        <x:v>-1</x:v>
      </x:c>
      <x:c r="H14" t="n">
        <x:f>COUNTIF('Official Ranking v2'!W6:W205,G14)</x:f>
        <x:v>3</x:v>
      </x:c>
      <x:c r="J14" t="str">
        <x:v>C</x:v>
      </x:c>
      <x:c r="K14" t="n">
        <x:f>COUNTIF('Official Ranking v2'!X6:X205,J14)</x:f>
        <x:v>3</x:v>
      </x:c>
    </x:row>
    <x:row r="15">
      <x:c r="A15" t="n">
        <x:f>'Official Ranking v2'!A10</x:f>
        <x:v>5</x:v>
      </x:c>
      <x:c r="B15" t="str">
        <x:f>'Official Ranking v2'!B10</x:f>
        <x:v>Ronald</x:v>
      </x:c>
      <x:c r="C15" s="135" t="n">
        <x:f>'Official Ranking v2'!S10</x:f>
        <x:v>58.39066504604191</x:v>
      </x:c>
      <x:c r="D15" t="str">
        <x:f>'Official Ranking v2'!T10</x:f>
        <x:v>B</x:v>
      </x:c>
      <x:c r="E15" t="n">
        <x:f>'Official Ranking v2'!W10</x:f>
        <x:v>0</x:v>
      </x:c>
      <x:c r="G15" t="n">
        <x:v>0</x:v>
      </x:c>
      <x:c r="H15" t="n">
        <x:f>COUNTIF('Official Ranking v2'!W6:W205,G15)</x:f>
        <x:v>3</x:v>
      </x:c>
      <x:c r="J15" t="str">
        <x:v>D</x:v>
      </x:c>
      <x:c r="K15" t="n">
        <x:f>COUNTIF('Official Ranking v2'!X6:X205,J15)</x:f>
        <x:v>5</x:v>
      </x:c>
    </x:row>
    <x:row r="16">
      <x:c r="A16" t="n">
        <x:f>'Official Ranking v2'!A11</x:f>
        <x:v>6</x:v>
      </x:c>
      <x:c r="B16" t="str">
        <x:f>'Official Ranking v2'!B11</x:f>
        <x:v>Ricky</x:v>
      </x:c>
      <x:c r="C16" s="135" t="n">
        <x:f>'Official Ranking v2'!S11</x:f>
        <x:v>54.08585475906235</x:v>
      </x:c>
      <x:c r="D16" t="str">
        <x:f>'Official Ranking v2'!T11</x:f>
        <x:v>C</x:v>
      </x:c>
      <x:c r="E16" t="n">
        <x:f>'Official Ranking v2'!W11</x:f>
        <x:v>-1</x:v>
      </x:c>
      <x:c r="G16" t="n">
        <x:v>1</x:v>
      </x:c>
      <x:c r="H16" t="n">
        <x:f>COUNTIF('Official Ranking v2'!W6:W205,G16)</x:f>
        <x:v>1</x:v>
      </x:c>
    </x:row>
    <x:row r="17">
      <x:c r="A17" t="n">
        <x:f>'Official Ranking v2'!A12</x:f>
        <x:v>7</x:v>
      </x:c>
      <x:c r="B17" t="str">
        <x:f>'Official Ranking v2'!B12</x:f>
        <x:v>Jonathan</x:v>
      </x:c>
      <x:c r="C17" s="135" t="n">
        <x:f>'Official Ranking v2'!S12</x:f>
        <x:v>51.86227380674279</x:v>
      </x:c>
      <x:c r="D17" t="str">
        <x:f>'Official Ranking v2'!T12</x:f>
        <x:v>C</x:v>
      </x:c>
      <x:c r="E17" t="n">
        <x:f>'Official Ranking v2'!W12</x:f>
        <x:v>-1</x:v>
      </x:c>
      <x:c r="G17" t="n">
        <x:v>2</x:v>
      </x:c>
      <x:c r="H17" t="n">
        <x:f>COUNTIF('Official Ranking v2'!W6:W205,G17)</x:f>
        <x:v>0</x:v>
      </x:c>
    </x:row>
    <x:row r="18">
      <x:c r="A18" t="n">
        <x:f>'Official Ranking v2'!A13</x:f>
        <x:v>8</x:v>
      </x:c>
      <x:c r="B18" t="str">
        <x:f>'Official Ranking v2'!B13</x:f>
        <x:v>Kennard</x:v>
      </x:c>
      <x:c r="C18" s="135" t="n">
        <x:f>'Official Ranking v2'!S13</x:f>
        <x:v>50.28911547688009</x:v>
      </x:c>
      <x:c r="D18" t="str">
        <x:f>'Official Ranking v2'!T13</x:f>
        <x:v>C</x:v>
      </x:c>
      <x:c r="E18" t="n">
        <x:f>'Official Ranking v2'!W13</x:f>
        <x:v>-1</x:v>
      </x:c>
      <x:c r="G18" t="n">
        <x:v>3</x:v>
      </x:c>
      <x:c r="H18" t="n">
        <x:f>COUNTIF('Official Ranking v2'!W6:W205,G18)</x:f>
        <x:v>1</x:v>
      </x:c>
    </x:row>
    <x:row r="19">
      <x:c r="A19" t="n">
        <x:f>'Official Ranking v2'!A14</x:f>
        <x:v>9</x:v>
      </x:c>
      <x:c r="B19" t="str">
        <x:f>'Official Ranking v2'!B14</x:f>
        <x:v>Rizky</x:v>
      </x:c>
      <x:c r="C19" s="135" t="n">
        <x:f>'Official Ranking v2'!S14</x:f>
        <x:v>49.19458587929172</x:v>
      </x:c>
      <x:c r="D19" t="str">
        <x:f>'Official Ranking v2'!T14</x:f>
        <x:v>C</x:v>
      </x:c>
      <x:c r="E19" t="n">
        <x:f>'Official Ranking v2'!W14</x:f>
        <x:v>-2</x:v>
      </x:c>
      <x:c r="G19" t="n">
        <x:v>4</x:v>
      </x:c>
      <x:c r="H19" t="n">
        <x:f>COUNTIF('Official Ranking v2'!W6:W205,G19)</x:f>
        <x:v>0</x:v>
      </x:c>
    </x:row>
    <x:row r="20">
      <x:c r="A20" t="n">
        <x:f>'Official Ranking v2'!A15</x:f>
        <x:v>10</x:v>
      </x:c>
      <x:c r="B20" t="str">
        <x:f>'Official Ranking v2'!B15</x:f>
        <x:v>Edy SP</x:v>
      </x:c>
      <x:c r="C20" s="135" t="n">
        <x:f>'Official Ranking v2'!S15</x:f>
        <x:v>45.89574377725399</x:v>
      </x:c>
      <x:c r="D20" t="str">
        <x:f>'Official Ranking v2'!T15</x:f>
        <x:v>C</x:v>
      </x:c>
      <x:c r="E20" t="n">
        <x:f>'Official Ranking v2'!W15</x:f>
        <x:v>-2</x:v>
      </x:c>
    </x:row>
    <x:row r="23">
      <x:c r="A23" s="146" t="str">
        <x:f>"Live source: "&amp;COUNTA('Official Ranking v2'!B6:B205)&amp;" players, "&amp;ROUND(SUM('Official Ranking v2'!C6:C205)/4,0)&amp;" valid matches, "&amp;SUM('Official Ranking v2'!C6:C205)&amp;" player-match records."</x:f>
        <x:v>Live source: 20 players, 57 valid matches, 228 player-match records.</x:v>
      </x:c>
      <x:c r="B23" s="1" t="n"/>
      <x:c r="C23" s="1" t="n"/>
      <x:c r="D23" s="1" t="n"/>
      <x:c r="E23" s="1" t="n"/>
      <x:c r="F23" s="1" t="n"/>
      <x:c r="G23" s="1" t="n"/>
      <x:c r="H23" s="1" t="n"/>
      <x:c r="I23" s="1" t="n"/>
      <x:c r="J23" s="1" t="n"/>
      <x:c r="K23" s="1" t="n"/>
      <x:c r="L23" s="1" t="n"/>
      <x:c r="M23" s="1" t="n"/>
      <x:c r="N23" s="1" t="n"/>
    </x:row>
    <x:row r="24">
      <x:c r="A24" s="1" t="n"/>
      <x:c r="B24" s="1" t="n"/>
      <x:c r="C24" s="1" t="n"/>
      <x:c r="D24" s="1" t="n"/>
      <x:c r="E24" s="1" t="n"/>
      <x:c r="F24" s="1" t="n"/>
      <x:c r="G24" s="1" t="n"/>
      <x:c r="H24" s="1" t="n"/>
      <x:c r="I24" s="1" t="n"/>
      <x:c r="J24" s="1" t="n"/>
      <x:c r="K24" s="1" t="n"/>
      <x:c r="L24" s="1" t="n"/>
      <x:c r="M24" s="1" t="n"/>
      <x:c r="N24" s="1" t="n"/>
    </x:row>
  </x:sheetData>
  <x:mergeCells>
    <x:mergeCell ref="A1:N2"/>
    <x:mergeCell ref="A3:N3"/>
    <x:mergeCell ref="C5:D7"/>
    <x:mergeCell ref="G5:H7"/>
    <x:mergeCell ref="E5:F7"/>
    <x:mergeCell ref="K5:L7"/>
    <x:mergeCell ref="A5:B7"/>
    <x:mergeCell ref="A23:N24"/>
    <x:mergeCell ref="I5:J7"/>
  </x:mergeCells>
  <x:pageMargins left="0.7" right="0.7" top="0.75" bottom="0.75" header="0.3" footer="0.3"/>
  <x:drawing xmlns:r="http://schemas.openxmlformats.org/officeDocument/2006/relationships" r:id="R348fa5d219694133"/>
</x:worksheet>
</file>

<file path=xl/worksheets/sheet28.xml><?xml version="1.0" encoding="utf-8"?>
<x:worksheet xmlns:x="http://schemas.openxmlformats.org/spreadsheetml/2006/main">
  <x:sheetFormatPr baseColWidth="8" defaultRowHeight="15"/>
  <x:cols>
    <x:col min="1" max="1" width="12" style="125" customWidth="1"/>
    <x:col min="2" max="2" width="14" style="125" customWidth="1"/>
    <x:col min="3" max="3" width="18" style="125" customWidth="1"/>
    <x:col min="4" max="4" width="34" style="125" customWidth="1"/>
    <x:col min="5" max="5" width="14" style="125" customWidth="1"/>
    <x:col min="6" max="6" width="50" style="125" customWidth="1"/>
  </x:cols>
  <x:sheetData>
    <x:row r="1">
      <x:c r="A1" s="142" t="inlineStr">
        <x:is>
          <x:t xml:space="preserve">FLPR REVISION HISTORY</x:t>
        </x:is>
      </x:c>
      <x:c r="B1" s="1" t="n"/>
      <x:c r="C1" s="1" t="n"/>
      <x:c r="D1" s="1" t="n"/>
      <x:c r="E1" s="1" t="n"/>
      <x:c r="F1" s="1" t="n"/>
    </x:row>
    <x:row r="2">
      <x:c r="A2" s="1" t="n"/>
      <x:c r="B2" s="1" t="n"/>
      <x:c r="C2" s="1" t="n"/>
      <x:c r="D2" s="1" t="n"/>
      <x:c r="E2" s="1" t="n"/>
      <x:c r="F2" s="1" t="n"/>
    </x:row>
    <x:row r="4">
      <x:c r="A4" s="108" t="inlineStr">
        <x:is>
          <x:t xml:space="preserve">Version</x:t>
        </x:is>
      </x:c>
      <x:c r="B4" s="108" t="inlineStr">
        <x:is>
          <x:t xml:space="preserve">Date</x:t>
        </x:is>
      </x:c>
      <x:c r="C4" s="108" t="inlineStr">
        <x:is>
          <x:t xml:space="preserve">Author</x:t>
        </x:is>
      </x:c>
      <x:c r="D4" s="108" t="inlineStr">
        <x:is>
          <x:t xml:space="preserve">Scope</x:t>
        </x:is>
      </x:c>
      <x:c r="E4" s="108" t="inlineStr">
        <x:is>
          <x:t xml:space="preserve">Status</x:t>
        </x:is>
      </x:c>
      <x:c r="F4" s="108" t="inlineStr">
        <x:is>
          <x:t xml:space="preserve">Notes</x:t>
        </x:is>
      </x:c>
    </x:row>
    <x:row r="5">
      <x:c r="A5" s="139" t="inlineStr">
        <x:is>
          <x:t xml:space="preserve">1.0</x:t>
        </x:is>
      </x:c>
      <x:c r="B5" s="139" t="inlineStr">
        <x:is>
          <x:t xml:space="preserve">2026-07-24</x:t>
        </x:is>
      </x:c>
      <x:c r="C5" s="139" t="inlineStr">
        <x:is>
          <x:t xml:space="preserve">FLPR Project</x:t>
        </x:is>
      </x:c>
      <x:c r="D5" s="139" t="inlineStr">
        <x:is>
          <x:t xml:space="preserve">Stage 6 engine and dashboards</x:t>
        </x:is>
      </x:c>
      <x:c r="E5" s="139" t="inlineStr">
        <x:is>
          <x:t xml:space="preserve">Superseded</x:t>
        </x:is>
      </x:c>
      <x:c r="F5" s="139" t="inlineStr">
        <x:is>
          <x:t xml:space="preserve">Original analytical workbook</x:t>
        </x:is>
      </x:c>
    </x:row>
    <x:row r="6">
      <x:c r="A6" s="139" t="inlineStr">
        <x:is>
          <x:t xml:space="preserve">2.0</x:t>
        </x:is>
      </x:c>
      <x:c r="B6" s="139" t="inlineStr">
        <x:is>
          <x:t xml:space="preserve">2026-07-25</x:t>
        </x:is>
      </x:c>
      <x:c r="C6" s="139" t="inlineStr">
        <x:is>
          <x:t xml:space="preserve">FLPR Project</x:t>
        </x:is>
      </x:c>
      <x:c r="D6" s="139" t="inlineStr">
        <x:is>
          <x:t xml:space="preserve">Master workbook consolidation</x:t>
        </x:is>
      </x:c>
      <x:c r="E6" s="139" t="inlineStr">
        <x:is>
          <x:t xml:space="preserve">Current</x:t>
        </x:is>
      </x:c>
      <x:c r="F6" s="139" t="inlineStr">
        <x:is>
          <x:t xml:space="preserve">Added official ranking, official handicap, report data, executive dashboard and master index</x:t>
        </x:is>
      </x:c>
    </x:row>
    <x:row r="7">
      <x:c r="A7" s="139" t="inlineStr">
        <x:is>
          <x:t xml:space="preserve">2.1</x:t>
        </x:is>
      </x:c>
      <x:c r="B7" s="139" t="inlineStr">
        <x:is>
          <x:t xml:space="preserve">Planned</x:t>
        </x:is>
      </x:c>
      <x:c r="C7" s="139" t="inlineStr">
        <x:is>
          <x:t xml:space="preserve">FLPR Project</x:t>
        </x:is>
      </x:c>
      <x:c r="D7" s="139" t="inlineStr">
        <x:is>
          <x:t xml:space="preserve">Raw match database and automated PDF feed</x:t>
        </x:is>
      </x:c>
      <x:c r="E7" s="139" t="inlineStr">
        <x:is>
          <x:t xml:space="preserve">Planned</x:t>
        </x:is>
      </x:c>
      <x:c r="F7" s="139" t="inlineStr">
        <x:is>
          <x:t xml:space="preserve">Requires complete historical match-level source data</x:t>
        </x:is>
      </x:c>
    </x:row>
    <x:row r="8">
      <x:c r="A8" t="inlineStr">
        <x:is>
          <x:t xml:space="preserve">v2.1</x:t>
        </x:is>
      </x:c>
      <x:c r="B8" t="inlineStr">
        <x:is>
          <x:t xml:space="preserve">Phase 1</x:t>
        </x:is>
      </x:c>
      <x:c r="C8" t="inlineStr">
        <x:is>
          <x:t xml:space="preserve">Added Master Index and Settings sheet</x:t>
        </x:is>
      </x:c>
    </x:row>
    <x:row r="9">
      <x:c r="A9" t="str">
        <x:v>v2.3</x:v>
      </x:c>
      <x:c r="B9" t="str">
        <x:v>Phase 2</x:v>
      </x:c>
      <x:c r="C9" t="str">
        <x:v>Report generator data layer, figure registry, charts and QA</x:v>
      </x:c>
      <x:c r="D9" t="str">
        <x:v>Completed</x:v>
      </x:c>
      <x:c r="E9" t="str">
        <x:v>Automated report foundation</x:v>
      </x:c>
      <x:c r="F9" t="str">
        <x:v>2026-07-25</x:v>
      </x:c>
    </x:row>
    <x:row r="10">
      <x:c r="A10" t="str">
        <x:v>2.6</x:v>
      </x:c>
      <x:c r="B10" t="str">
        <x:v>Phase C</x:v>
      </x:c>
      <x:c r="C10" t="str">
        <x:v>Publication layer, web export, release controls</x:v>
      </x:c>
      <x:c r="D10" t="str">
        <x:v>Complete</x:v>
      </x:c>
      <x:c r="E10" t="str">
        <x:v>OpenAI</x:v>
      </x:c>
      <x:c r="F10" t="str">
        <x:v>2026-07-25</x:v>
      </x:c>
    </x:row>
  </x:sheetData>
  <x:mergeCells>
    <x:mergeCell ref="A1:F2"/>
  </x:mergeCells>
  <x:pageMargins left="0.7" right="0.7" top="0.75" bottom="0.75" header="0.3" footer="0.3"/>
</x:worksheet>
</file>

<file path=xl/worksheets/sheet29.xml><?xml version="1.0" encoding="utf-8"?>
<x:worksheet xmlns:x="http://schemas.openxmlformats.org/spreadsheetml/2006/main">
  <x:sheetFormatPr baseColWidth="8" defaultRowHeight="15"/>
  <x:sheetData>
    <x:row r="1">
      <x:c r="A1" s="147" t="inlineStr">
        <x:is>
          <x:t xml:space="preserve">FLPR Settings</x:t>
        </x:is>
      </x:c>
    </x:row>
    <x:row r="2">
      <x:c r="A2" t="inlineStr">
        <x:is>
          <x:t xml:space="preserve">Parameter</x:t>
        </x:is>
      </x:c>
      <x:c r="B2" t="inlineStr">
        <x:is>
          <x:t xml:space="preserve">Value</x:t>
        </x:is>
      </x:c>
    </x:row>
    <x:row r="3">
      <x:c r="A3" t="inlineStr">
        <x:is>
          <x:t xml:space="preserve">Report Version</x:t>
        </x:is>
      </x:c>
      <x:c r="B3" t="inlineStr">
        <x:is>
          <x:t xml:space="preserve">2.1</x:t>
        </x:is>
      </x:c>
    </x:row>
    <x:row r="4">
      <x:c r="A4" t="inlineStr">
        <x:is>
          <x:t xml:space="preserve">Theme</x:t>
        </x:is>
      </x:c>
      <x:c r="B4" t="inlineStr">
        <x:is>
          <x:t xml:space="preserve">Vintage Blue</x:t>
        </x:is>
      </x:c>
    </x:row>
    <x:row r="5">
      <x:c r="A5" t="inlineStr">
        <x:is>
          <x:t xml:space="preserve">Slogan</x:t>
        </x:is>
      </x:c>
      <x:c r="B5" t="inlineStr">
        <x:is>
          <x:t xml:space="preserve">Every Point Matters</x:t>
        </x:is>
      </x:c>
    </x:row>
    <x:row r="6">
      <x:c r="A6" t="inlineStr">
        <x:is>
          <x:t xml:space="preserve">Season</x:t>
        </x:is>
      </x:c>
      <x:c r="B6" t="inlineStr">
        <x:is>
          <x:t xml:space="preserve">Volume 1</x:t>
        </x:is>
      </x:c>
    </x:row>
    <x:row r="7">
      <x:c r="A7" t="inlineStr">
        <x:is>
          <x:t xml:space="preserve">Status</x:t>
        </x:is>
      </x:c>
      <x:c r="B7" t="inlineStr">
        <x:is>
          <x:t xml:space="preserve">Development</x:t>
        </x:is>
      </x:c>
    </x:row>
    <x:row r="8">
      <x:c r="A8" t="str">
        <x:v>Phase B Status</x:v>
      </x:c>
      <x:c r="B8" t="str">
        <x:v>Complete</x:v>
      </x:c>
    </x:row>
    <x:row r="9">
      <x:c r="A9" t="str">
        <x:v>Phase C Status</x:v>
      </x:c>
      <x:c r="B9" t="str">
        <x:v>Complete</x:v>
      </x:c>
    </x:row>
    <x:row r="10">
      <x:c r="A10" t="str">
        <x:v>Release Layer</x:v>
      </x:c>
      <x:c r="B10" t="str">
        <x:v>Ready</x:v>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7.380000114440918" hidden="0" customWidth="1"/>
    <x:col min="2" max="2" width="10.25" hidden="0" customWidth="1"/>
    <x:col min="3" max="3" width="12.880000114440918" hidden="0" customWidth="1"/>
    <x:col min="4" max="4" width="6.380000114440918" hidden="0" customWidth="1"/>
  </x:cols>
  <x:sheetData>
    <x:row r="1">
      <x:c r="A1" s="231" t="str">
        <x:v>Player ID</x:v>
      </x:c>
      <x:c r="B1" s="231" t="str">
        <x:v>Player Name</x:v>
      </x:c>
      <x:c r="C1" s="231" t="str">
        <x:v>Canonical Name</x:v>
      </x:c>
      <x:c r="D1" s="231" t="str">
        <x:v>Status</x:v>
      </x:c>
      <x:c r="E1" s="165"/>
      <x:c r="F1" s="165"/>
      <x:c r="G1" s="165"/>
      <x:c r="H1" s="165"/>
      <x:c r="I1" s="165"/>
      <x:c r="J1" s="165"/>
      <x:c r="K1" s="165"/>
      <x:c r="L1" s="165"/>
      <x:c r="M1" s="165"/>
      <x:c r="N1" s="165"/>
      <x:c r="O1" s="165"/>
      <x:c r="P1" s="165"/>
      <x:c r="Q1" s="165"/>
      <x:c r="R1" s="165"/>
      <x:c r="S1" s="165"/>
      <x:c r="T1" s="165"/>
      <x:c r="U1" s="165"/>
      <x:c r="V1" s="165"/>
      <x:c r="W1" s="165"/>
      <x:c r="X1" s="165"/>
      <x:c r="Y1" s="165"/>
      <x:c r="Z1" s="165"/>
    </x:row>
    <x:row r="2">
      <x:c r="A2" t="str">
        <x:v>P001</x:v>
      </x:c>
      <x:c r="B2" t="str">
        <x:f>'Official Handicap v2'!B6</x:f>
        <x:v>Sandy</x:v>
      </x:c>
      <x:c r="C2" t="str">
        <x:f>B2</x:f>
        <x:v>Sandy</x:v>
      </x:c>
      <x:c r="D2" s="221" t="str">
        <x:v>Verified</x:v>
      </x:c>
    </x:row>
    <x:row r="3">
      <x:c r="A3" t="str">
        <x:v>P002</x:v>
      </x:c>
      <x:c r="B3" t="str">
        <x:f>'Official Handicap v2'!B7</x:f>
        <x:v>Thohir</x:v>
      </x:c>
      <x:c r="C3" t="str">
        <x:f>B3</x:f>
        <x:v>Thohir</x:v>
      </x:c>
      <x:c r="D3" s="221" t="str">
        <x:v>Verified</x:v>
      </x:c>
    </x:row>
    <x:row r="4">
      <x:c r="A4" t="str">
        <x:v>P003</x:v>
      </x:c>
      <x:c r="B4" t="str">
        <x:f>'Official Handicap v2'!B8</x:f>
        <x:v>Austin</x:v>
      </x:c>
      <x:c r="C4" t="str">
        <x:f>B4</x:f>
        <x:v>Austin</x:v>
      </x:c>
      <x:c r="D4" s="221" t="str">
        <x:v>Verified</x:v>
      </x:c>
    </x:row>
    <x:row r="5">
      <x:c r="A5" t="str">
        <x:v>P004</x:v>
      </x:c>
      <x:c r="B5" t="str">
        <x:f>'Official Handicap v2'!B9</x:f>
        <x:v>Rey</x:v>
      </x:c>
      <x:c r="C5" t="str">
        <x:f>B5</x:f>
        <x:v>Rey</x:v>
      </x:c>
      <x:c r="D5" s="221" t="str">
        <x:v>Verified</x:v>
      </x:c>
    </x:row>
    <x:row r="6">
      <x:c r="A6" t="str">
        <x:v>P005</x:v>
      </x:c>
      <x:c r="B6" t="str">
        <x:f>'Official Handicap v2'!B10</x:f>
        <x:v>Ronald</x:v>
      </x:c>
      <x:c r="C6" t="str">
        <x:f>B6</x:f>
        <x:v>Ronald</x:v>
      </x:c>
      <x:c r="D6" s="221" t="str">
        <x:v>Verified</x:v>
      </x:c>
    </x:row>
    <x:row r="7">
      <x:c r="A7" t="str">
        <x:v>P006</x:v>
      </x:c>
      <x:c r="B7" t="str">
        <x:f>'Official Handicap v2'!B11</x:f>
        <x:v>Ricky</x:v>
      </x:c>
      <x:c r="C7" t="str">
        <x:f>B7</x:f>
        <x:v>Ricky</x:v>
      </x:c>
      <x:c r="D7" s="221" t="str">
        <x:v>Verified</x:v>
      </x:c>
    </x:row>
    <x:row r="8">
      <x:c r="A8" t="str">
        <x:v>P007</x:v>
      </x:c>
      <x:c r="B8" t="str">
        <x:f>'Official Handicap v2'!B12</x:f>
        <x:v>Jonathan</x:v>
      </x:c>
      <x:c r="C8" t="str">
        <x:f>B8</x:f>
        <x:v>Jonathan</x:v>
      </x:c>
      <x:c r="D8" s="221" t="str">
        <x:v>Verified</x:v>
      </x:c>
    </x:row>
    <x:row r="9">
      <x:c r="A9" t="str">
        <x:v>P008</x:v>
      </x:c>
      <x:c r="B9" t="str">
        <x:f>'Official Handicap v2'!B13</x:f>
        <x:v>Kennard</x:v>
      </x:c>
      <x:c r="C9" t="str">
        <x:f>B9</x:f>
        <x:v>Kennard</x:v>
      </x:c>
      <x:c r="D9" s="221" t="str">
        <x:v>Verified</x:v>
      </x:c>
    </x:row>
    <x:row r="10">
      <x:c r="A10" t="str">
        <x:v>P009</x:v>
      </x:c>
      <x:c r="B10" t="str">
        <x:f>'Official Handicap v2'!B14</x:f>
        <x:v>Rizky</x:v>
      </x:c>
      <x:c r="C10" t="str">
        <x:f>B10</x:f>
        <x:v>Rizky</x:v>
      </x:c>
      <x:c r="D10" s="221" t="str">
        <x:v>Verified</x:v>
      </x:c>
    </x:row>
    <x:row r="11">
      <x:c r="A11" t="str">
        <x:v>P010</x:v>
      </x:c>
      <x:c r="B11" t="str">
        <x:f>'Official Handicap v2'!B15</x:f>
        <x:v>Edy SP</x:v>
      </x:c>
      <x:c r="C11" t="str">
        <x:f>B11</x:f>
        <x:v>Edy SP</x:v>
      </x:c>
      <x:c r="D11" s="221" t="str">
        <x:v>Verified</x:v>
      </x:c>
    </x:row>
    <x:row r="12">
      <x:c r="A12" t="str">
        <x:v>P011</x:v>
      </x:c>
      <x:c r="B12" t="str">
        <x:f>'Official Handicap v2'!B16</x:f>
        <x:v>Michael</x:v>
      </x:c>
      <x:c r="C12" t="str">
        <x:f>B12</x:f>
        <x:v>Michael</x:v>
      </x:c>
      <x:c r="D12" s="221" t="str">
        <x:v>Verified</x:v>
      </x:c>
    </x:row>
    <x:row r="13">
      <x:c r="A13" t="str">
        <x:v>P012</x:v>
      </x:c>
      <x:c r="B13" t="str">
        <x:f>'Official Handicap v2'!B17</x:f>
        <x:v>Nicholas</x:v>
      </x:c>
      <x:c r="C13" t="str">
        <x:f>B13</x:f>
        <x:v>Nicholas</x:v>
      </x:c>
      <x:c r="D13" s="221" t="str">
        <x:v>Verified</x:v>
      </x:c>
    </x:row>
    <x:row r="14">
      <x:c r="A14" t="str">
        <x:v>P013</x:v>
      </x:c>
      <x:c r="B14" t="str">
        <x:f>'Official Handicap v2'!B18</x:f>
        <x:v>David</x:v>
      </x:c>
      <x:c r="C14" t="str">
        <x:f>B14</x:f>
        <x:v>David</x:v>
      </x:c>
      <x:c r="D14" s="221" t="str">
        <x:v>Verified</x:v>
      </x:c>
    </x:row>
    <x:row r="15">
      <x:c r="A15" t="str">
        <x:v>P014</x:v>
      </x:c>
      <x:c r="B15" t="str">
        <x:f>'Official Handicap v2'!B19</x:f>
        <x:v>Donny</x:v>
      </x:c>
      <x:c r="C15" t="str">
        <x:f>B15</x:f>
        <x:v>Donny</x:v>
      </x:c>
      <x:c r="D15" s="221" t="str">
        <x:v>Verified</x:v>
      </x:c>
    </x:row>
    <x:row r="16">
      <x:c r="A16" t="str">
        <x:v>P015</x:v>
      </x:c>
      <x:c r="B16" t="str">
        <x:f>'Official Handicap v2'!B20</x:f>
        <x:v>Reza</x:v>
      </x:c>
      <x:c r="C16" t="str">
        <x:f>B16</x:f>
        <x:v>Reza</x:v>
      </x:c>
      <x:c r="D16" s="221" t="str">
        <x:v>Verified</x:v>
      </x:c>
    </x:row>
    <x:row r="17">
      <x:c r="A17" t="str">
        <x:v>P016</x:v>
      </x:c>
      <x:c r="B17" t="str">
        <x:f>'Official Handicap v2'!B21</x:f>
        <x:v>Nico</x:v>
      </x:c>
      <x:c r="C17" t="str">
        <x:f>B17</x:f>
        <x:v>Nico</x:v>
      </x:c>
      <x:c r="D17" s="221" t="str">
        <x:v>Verified</x:v>
      </x:c>
    </x:row>
    <x:row r="18">
      <x:c r="A18" t="str">
        <x:v>P017</x:v>
      </x:c>
      <x:c r="B18" t="str">
        <x:f>'Official Handicap v2'!B22</x:f>
        <x:v>Alwin</x:v>
      </x:c>
      <x:c r="C18" t="str">
        <x:f>B18</x:f>
        <x:v>Alwin</x:v>
      </x:c>
      <x:c r="D18" s="221" t="str">
        <x:v>Verified</x:v>
      </x:c>
    </x:row>
    <x:row r="19">
      <x:c r="A19" t="str">
        <x:v>P018</x:v>
      </x:c>
      <x:c r="B19" t="str">
        <x:f>'Official Handicap v2'!B23</x:f>
        <x:v>Hansen</x:v>
      </x:c>
      <x:c r="C19" t="str">
        <x:f>B19</x:f>
        <x:v>Hansen</x:v>
      </x:c>
      <x:c r="D19" s="221" t="str">
        <x:v>Verified</x:v>
      </x:c>
    </x:row>
    <x:row r="20">
      <x:c r="A20" t="str">
        <x:v>P019</x:v>
      </x:c>
      <x:c r="B20" t="str">
        <x:f>'Official Handicap v2'!B24</x:f>
        <x:v>Welly</x:v>
      </x:c>
      <x:c r="C20" t="str">
        <x:f>B20</x:f>
        <x:v>Welly</x:v>
      </x:c>
      <x:c r="D20" s="221" t="str">
        <x:v>Verified</x:v>
      </x:c>
    </x:row>
    <x:row r="21">
      <x:c r="A21" t="str">
        <x:v>P020</x:v>
      </x:c>
      <x:c r="B21" t="str">
        <x:f>'Official Handicap v2'!B25</x:f>
        <x:v>Alice</x:v>
      </x:c>
      <x:c r="C21" t="str">
        <x:f>B21</x:f>
        <x:v>Alice</x:v>
      </x:c>
      <x:c r="D21" s="221" t="str">
        <x:v>Verified</x:v>
      </x:c>
    </x:row>
  </x:sheetData>
  <x:pageMargins left="0.7" right="0.7" top="0.75" bottom="0.75" header="0.3" footer="0.3"/>
</x:worksheet>
</file>

<file path=xl/worksheets/sheet31.xml><?xml version="1.0" encoding="utf-8"?>
<x:worksheet xmlns:x="http://schemas.openxmlformats.org/spreadsheetml/2006/main">
  <x:sheetFormatPr baseColWidth="8" defaultRowHeight="15"/>
  <x:sheetData>
    <x:row r="1">
      <x:c r="A1" t="inlineStr">
        <x:is>
          <x:t xml:space="preserve">Check</x:t>
        </x:is>
      </x:c>
      <x:c r="B1" t="inlineStr">
        <x:is>
          <x:t xml:space="preserve">Result</x:t>
        </x:is>
      </x:c>
    </x:row>
    <x:row r="2">
      <x:c r="A2" t="inlineStr">
        <x:is>
          <x:t xml:space="preserve">Workbook opens</x:t>
        </x:is>
      </x:c>
      <x:c r="B2" t="inlineStr">
        <x:is>
          <x:t xml:space="preserve">PASS</x:t>
        </x:is>
      </x:c>
    </x:row>
    <x:row r="3">
      <x:c r="A3" t="inlineStr">
        <x:is>
          <x:t xml:space="preserve">Master Index</x:t>
        </x:is>
      </x:c>
      <x:c r="B3" t="inlineStr">
        <x:is>
          <x:t xml:space="preserve">PASS</x:t>
        </x:is>
      </x:c>
    </x:row>
    <x:row r="4">
      <x:c r="A4" t="inlineStr">
        <x:is>
          <x:t xml:space="preserve">Settings</x:t>
        </x:is>
      </x:c>
      <x:c r="B4" t="inlineStr">
        <x:is>
          <x:t xml:space="preserve">PASS</x:t>
        </x:is>
      </x:c>
    </x:row>
    <x:row r="5">
      <x:c r="A5" t="inlineStr">
        <x:is>
          <x:t xml:space="preserve">Report Data</x:t>
        </x:is>
      </x:c>
      <x:c r="B5" t="inlineStr">
        <x:is>
          <x:t xml:space="preserve">PASS</x:t>
        </x:is>
      </x:c>
    </x:row>
    <x:row r="6">
      <x:c r="A6" t="inlineStr">
        <x:is>
          <x:t xml:space="preserve">Player Registry</x:t>
        </x:is>
      </x:c>
      <x:c r="B6" t="inlineStr">
        <x:is>
          <x:t xml:space="preserve">PASS</x:t>
        </x:is>
      </x:c>
    </x:row>
    <x:row r="7">
      <x:c r="A7" t="inlineStr">
        <x:is>
          <x:t xml:space="preserve">Revision History</x:t>
        </x:is>
      </x:c>
      <x:c r="B7" t="inlineStr">
        <x:is>
          <x:t xml:space="preserve">PASS</x:t>
        </x:is>
      </x:c>
    </x:row>
    <x:row r="8">
      <x:c r="A8" t="inlineStr">
        <x:is>
          <x:t xml:space="preserve">Total Sheets</x:t>
        </x:is>
      </x:c>
      <x:c r="B8" t="n">
        <x:v>31</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24" hidden="0" customWidth="1"/>
    <x:col min="4" max="4" width="26" hidden="0" customWidth="1"/>
    <x:col min="5" max="5" width="24" hidden="0" customWidth="1"/>
    <x:col min="6" max="6" width="14" hidden="0" customWidth="1"/>
    <x:col min="7" max="7" width="14" hidden="0" customWidth="1"/>
    <x:col min="8" max="8" width="14" hidden="0" customWidth="1"/>
  </x:cols>
  <x:sheetData>
    <x:row r="1">
      <x:c r="A1" s="229" t="str">
        <x:v>FLPR REPORT GENERATOR — PHASE 2</x:v>
      </x:c>
      <x:c r="B1" s="229"/>
      <x:c r="C1" s="229"/>
      <x:c r="D1" s="229"/>
      <x:c r="E1" s="229"/>
      <x:c r="F1" s="229"/>
      <x:c r="G1" s="229"/>
      <x:c r="H1" s="229"/>
      <x:c r="I1" s="165"/>
      <x:c r="J1" s="165"/>
      <x:c r="K1" s="165"/>
      <x:c r="L1" s="165"/>
      <x:c r="M1" s="165"/>
      <x:c r="N1" s="165"/>
      <x:c r="O1" s="165"/>
      <x:c r="P1" s="165"/>
      <x:c r="Q1" s="165"/>
      <x:c r="R1" s="165"/>
      <x:c r="S1" s="165"/>
      <x:c r="T1" s="165"/>
      <x:c r="U1" s="165"/>
      <x:c r="V1" s="165"/>
      <x:c r="W1" s="165"/>
      <x:c r="X1" s="165"/>
      <x:c r="Y1" s="165"/>
      <x:c r="Z1" s="165"/>
    </x:row>
    <x:row r="2">
      <x:c r="A2" s="214"/>
      <x:c r="B2" s="214"/>
      <x:c r="C2" s="214"/>
      <x:c r="D2" s="214"/>
      <x:c r="E2" s="214"/>
      <x:c r="F2" s="214"/>
      <x:c r="G2" s="214"/>
      <x:c r="H2" s="214"/>
    </x:row>
    <x:row r="3">
      <x:c r="A3" s="217" t="str">
        <x:v>Automated source layer for FLPR Official Report Volume 1</x:v>
      </x:c>
      <x:c r="B3" s="217"/>
      <x:c r="C3" s="217"/>
      <x:c r="D3" s="217"/>
      <x:c r="E3" s="217"/>
      <x:c r="F3" s="217"/>
      <x:c r="G3" s="217"/>
      <x:c r="H3" s="217"/>
    </x:row>
    <x:row r="5">
      <x:c r="A5" s="218" t="str">
        <x:v>Control</x:v>
      </x:c>
      <x:c r="B5" s="218" t="str">
        <x:v>Value</x:v>
      </x:c>
      <x:c r="D5" s="218" t="str">
        <x:v>Chapter</x:v>
      </x:c>
      <x:c r="E5" s="218" t="str">
        <x:v>Source</x:v>
      </x:c>
      <x:c r="F5" s="218" t="str">
        <x:v>Data</x:v>
      </x:c>
      <x:c r="G5" s="218" t="str">
        <x:v>Figures</x:v>
      </x:c>
      <x:c r="H5" s="218" t="str">
        <x:v>Readiness</x:v>
      </x:c>
    </x:row>
    <x:row r="6">
      <x:c r="A6" s="220" t="str">
        <x:v>Report Version</x:v>
      </x:c>
      <x:c r="B6" t="str">
        <x:v>Volume 1 / Phase 2</x:v>
      </x:c>
      <x:c r="D6" t="str">
        <x:v>1 Executive Summary</x:v>
      </x:c>
      <x:c r="E6" t="str">
        <x:v>Executive Dashboard v2</x:v>
      </x:c>
      <x:c r="F6" t="str">
        <x:v>Ready</x:v>
      </x:c>
      <x:c r="G6" t="str">
        <x:v>Ready</x:v>
      </x:c>
      <x:c r="H6" t="str">
        <x:v>READY</x:v>
      </x:c>
    </x:row>
    <x:row r="7">
      <x:c r="A7" s="220" t="str">
        <x:v>Theme</x:v>
      </x:c>
      <x:c r="B7" t="str">
        <x:v>Vintage Blue</x:v>
      </x:c>
      <x:c r="D7" t="str">
        <x:v>2 About FLPR</x:v>
      </x:c>
      <x:c r="E7" t="str">
        <x:v>Methodology / Settings</x:v>
      </x:c>
      <x:c r="F7" t="str">
        <x:v>Ready</x:v>
      </x:c>
      <x:c r="G7" t="str">
        <x:v>N/A</x:v>
      </x:c>
      <x:c r="H7" t="str">
        <x:v>READY</x:v>
      </x:c>
    </x:row>
    <x:row r="8">
      <x:c r="A8" s="220" t="str">
        <x:v>Slogan</x:v>
      </x:c>
      <x:c r="B8" t="str">
        <x:v>Every Point Matters</x:v>
      </x:c>
      <x:c r="D8" t="str">
        <x:v>3 Tournament Overview</x:v>
      </x:c>
      <x:c r="E8" t="str">
        <x:v>Stage 4 Dashboard</x:v>
      </x:c>
      <x:c r="F8" t="str">
        <x:v>Ready</x:v>
      </x:c>
      <x:c r="G8" t="str">
        <x:v>Ready</x:v>
      </x:c>
      <x:c r="H8" t="str">
        <x:v>READY</x:v>
      </x:c>
    </x:row>
    <x:row r="9">
      <x:c r="A9" s="220" t="str">
        <x:v>Player Count</x:v>
      </x:c>
      <x:c r="B9" t="n">
        <x:f>COUNTA('Official Ranking v2'!B6:B205)</x:f>
        <x:v>20</x:v>
      </x:c>
      <x:c r="D9" t="str">
        <x:v>4 Official Ranking</x:v>
      </x:c>
      <x:c r="E9" t="str">
        <x:v>Official Ranking v2</x:v>
      </x:c>
      <x:c r="F9" t="str">
        <x:v>Ready</x:v>
      </x:c>
      <x:c r="G9" t="str">
        <x:v>Ready</x:v>
      </x:c>
      <x:c r="H9" t="str">
        <x:v>READY</x:v>
      </x:c>
    </x:row>
    <x:row r="10">
      <x:c r="A10" s="220" t="str">
        <x:v>Valid Matches</x:v>
      </x:c>
      <x:c r="B10" t="n">
        <x:f>ROUND(SUM('Official Ranking v2'!C6:C205)/4,0)</x:f>
        <x:v>57</x:v>
      </x:c>
      <x:c r="D10" t="str">
        <x:v>5 Official Handicap</x:v>
      </x:c>
      <x:c r="E10" t="str">
        <x:v>Official Handicap v2</x:v>
      </x:c>
      <x:c r="F10" t="str">
        <x:v>Ready</x:v>
      </x:c>
      <x:c r="G10" t="str">
        <x:v>Ready</x:v>
      </x:c>
      <x:c r="H10" t="str">
        <x:v>READY</x:v>
      </x:c>
    </x:row>
    <x:row r="11">
      <x:c r="A11" s="220" t="str">
        <x:v>Player-Match Records</x:v>
      </x:c>
      <x:c r="B11" t="n">
        <x:f>SUM('Official Ranking v2'!C6:C205)</x:f>
        <x:v>228</x:v>
      </x:c>
      <x:c r="D11" t="str">
        <x:v>6 Player Performance</x:v>
      </x:c>
      <x:c r="E11" t="str">
        <x:v>Official Ranking v2</x:v>
      </x:c>
      <x:c r="F11" t="str">
        <x:v>Ready</x:v>
      </x:c>
      <x:c r="G11" t="str">
        <x:v>Ready</x:v>
      </x:c>
      <x:c r="H11" t="str">
        <x:v>READY</x:v>
      </x:c>
    </x:row>
    <x:row r="12">
      <x:c r="A12" s="220" t="str">
        <x:v>Generation Status</x:v>
      </x:c>
      <x:c r="B12" s="222" t="str">
        <x:f>IF(AND(B9&gt;0,B10&gt;0),"READY FOR REPORT BUILD","DATA REQUIRED")</x:f>
        <x:v>READY FOR REPORT BUILD</x:v>
      </x:c>
      <x:c r="D12" t="str">
        <x:v>7 Tournament Statistics</x:v>
      </x:c>
      <x:c r="E12" t="str">
        <x:v>Stage 4 Dashboard</x:v>
      </x:c>
      <x:c r="F12" t="str">
        <x:v>Ready</x:v>
      </x:c>
      <x:c r="G12" t="str">
        <x:v>Ready</x:v>
      </x:c>
      <x:c r="H12" t="str">
        <x:v>READY</x:v>
      </x:c>
    </x:row>
    <x:row r="13">
      <x:c r="D13" t="str">
        <x:v>8 Awards</x:v>
      </x:c>
      <x:c r="E13" t="str">
        <x:v>Awards</x:v>
      </x:c>
      <x:c r="F13" t="str">
        <x:v>Ready</x:v>
      </x:c>
      <x:c r="G13" t="str">
        <x:v>Ready</x:v>
      </x:c>
      <x:c r="H13" t="str">
        <x:v>READY</x:v>
      </x:c>
    </x:row>
    <x:row r="14">
      <x:c r="D14" t="str">
        <x:v>9 Advanced Analytics</x:v>
      </x:c>
      <x:c r="E14" t="str">
        <x:v>Advanced Analytics</x:v>
      </x:c>
      <x:c r="F14" t="str">
        <x:v>Ready</x:v>
      </x:c>
      <x:c r="G14" t="str">
        <x:v>Ready</x:v>
      </x:c>
      <x:c r="H14" t="str">
        <x:v>READY</x:v>
      </x:c>
    </x:row>
    <x:row r="15">
      <x:c r="D15" t="str">
        <x:v>10 Executive Dashboard</x:v>
      </x:c>
      <x:c r="E15" t="str">
        <x:v>Executive Dashboard v2</x:v>
      </x:c>
      <x:c r="F15" t="str">
        <x:v>Ready</x:v>
      </x:c>
      <x:c r="G15" t="str">
        <x:v>Ready</x:v>
      </x:c>
      <x:c r="H15" t="str">
        <x:v>READY</x:v>
      </x:c>
    </x:row>
    <x:row r="16">
      <x:c r="D16" t="str">
        <x:v>11 Conclusions</x:v>
      </x:c>
      <x:c r="E16" t="str">
        <x:v>Report narrative</x:v>
      </x:c>
      <x:c r="F16" t="str">
        <x:v>Ready</x:v>
      </x:c>
      <x:c r="G16" t="str">
        <x:v>N/A</x:v>
      </x:c>
      <x:c r="H16" t="str">
        <x:v>READY</x:v>
      </x:c>
    </x:row>
    <x:row r="17">
      <x:c r="D17" t="str">
        <x:v>12 Appendix</x:v>
      </x:c>
      <x:c r="E17" t="str">
        <x:v>Methodology / Settings</x:v>
      </x:c>
      <x:c r="F17" t="str">
        <x:v>Ready</x:v>
      </x:c>
      <x:c r="G17" t="str">
        <x:v>N/A</x:v>
      </x:c>
      <x:c r="H17" t="str">
        <x:v>READY</x:v>
      </x:c>
    </x:row>
  </x:sheetData>
  <x:mergeCells>
    <x:mergeCell ref="A1:H2"/>
    <x:mergeCell ref="A3:H3"/>
  </x:mergeCells>
  <x:conditionalFormatting sqref="H6:H17">
    <x:cfRule type="expression" dxfId="5" priority="1">
      <x:formula>H6="READY"</x:formula>
    </x:cfRule>
    <x:cfRule type="expression" dxfId="6" priority="2">
      <x:formula>H6="PARTIAL"</x:formula>
    </x:cfRule>
  </x:conditionalFormatting>
  <x:pageMargins left="0.7" right="0.7" top="0.75" bottom="0.75" header="0.3" footer="0.3"/>
</x:worksheet>
</file>

<file path=xl/worksheets/sheet33.xml><?xml version="1.0" encoding="utf-8"?>
<x:worksheet xmlns:x="http://schemas.openxmlformats.org/spreadsheetml/2006/main">
  <x:sheetFormatPr defaultRowHeight="15"/>
  <x:cols>
    <x:col min="1" max="1" width="45.630001068115234" hidden="0" customWidth="1"/>
    <x:col min="2" max="2" width="18" hidden="0" customWidth="1"/>
    <x:col min="3" max="3" width="3.130000114440918" hidden="0" customWidth="1"/>
    <x:col min="4" max="4" width="2.380000114440918" hidden="0" customWidth="1"/>
    <x:col min="5" max="5" width="2.380000114440918" hidden="0" customWidth="1"/>
    <x:col min="6" max="6" width="9.130000114440918" hidden="0" customWidth="1"/>
    <x:col min="7" max="7" width="9.5" hidden="0" customWidth="1"/>
    <x:col min="8" max="8" width="3.5" hidden="0" customWidth="1"/>
    <x:col min="9" max="9" width="7.630000114440918" hidden="0" customWidth="1"/>
    <x:col min="10" max="10" width="9" hidden="0" customWidth="1"/>
    <x:col min="12" max="12" width="15" hidden="0" customWidth="1"/>
    <x:col min="13" max="13" width="6" hidden="0" customWidth="1"/>
    <x:col min="15" max="15" width="3.75" hidden="0" customWidth="1"/>
    <x:col min="16" max="16" width="6" hidden="0" customWidth="1"/>
  </x:cols>
  <x:sheetData>
    <x:row r="1">
      <x:c r="A1" s="230" t="str">
        <x:v>FLPR VOLUME 1 — CHAPTER DATA LAYER</x:v>
      </x:c>
      <x:c r="B1" s="230"/>
      <x:c r="C1" s="230"/>
      <x:c r="D1" s="230"/>
      <x:c r="E1" s="230"/>
      <x:c r="F1" s="230"/>
      <x:c r="G1" s="230"/>
      <x:c r="H1" s="230"/>
      <x:c r="I1" s="230"/>
      <x:c r="J1" s="230"/>
      <x:c r="K1" s="165"/>
      <x:c r="L1" s="165"/>
      <x:c r="M1" s="165"/>
      <x:c r="N1" s="165"/>
      <x:c r="O1" s="165"/>
      <x:c r="P1" s="165"/>
      <x:c r="Q1" s="165"/>
      <x:c r="R1" s="165"/>
      <x:c r="S1" s="165"/>
      <x:c r="T1" s="165"/>
      <x:c r="U1" s="165"/>
      <x:c r="V1" s="165"/>
      <x:c r="W1" s="165"/>
      <x:c r="X1" s="165"/>
      <x:c r="Y1" s="165"/>
      <x:c r="Z1" s="165"/>
    </x:row>
    <x:row r="2">
      <x:c r="A2" s="225"/>
      <x:c r="B2" s="225"/>
      <x:c r="C2" s="225"/>
      <x:c r="D2" s="225"/>
      <x:c r="E2" s="225"/>
      <x:c r="F2" s="225"/>
      <x:c r="G2" s="225"/>
      <x:c r="H2" s="225"/>
      <x:c r="I2" s="225"/>
      <x:c r="J2" s="225"/>
    </x:row>
    <x:row r="4">
      <x:c r="A4" s="218" t="str">
        <x:v>Rank</x:v>
      </x:c>
      <x:c r="B4" s="218" t="str">
        <x:v>Player</x:v>
      </x:c>
      <x:c r="C4" s="218" t="str">
        <x:v>MP</x:v>
      </x:c>
      <x:c r="D4" s="218" t="str">
        <x:v>W</x:v>
      </x:c>
      <x:c r="E4" s="218" t="str">
        <x:v>L</x:v>
      </x:c>
      <x:c r="F4" s="218" t="str">
        <x:v>Raw Win %</x:v>
      </x:c>
      <x:c r="G4" s="218" t="str">
        <x:v>FLPR Rating</x:v>
      </x:c>
      <x:c r="H4" s="218" t="str">
        <x:v>Tier</x:v>
      </x:c>
      <x:c r="I4" s="218" t="str">
        <x:v>Handicap</x:v>
      </x:c>
      <x:c r="J4" s="218" t="str">
        <x:v>Status</x:v>
      </x:c>
      <x:c r="L4" s="218" t="str">
        <x:v>KPI</x:v>
      </x:c>
      <x:c r="M4" s="218" t="str">
        <x:v>Value</x:v>
      </x:c>
    </x:row>
    <x:row r="5">
      <x:c r="A5" t="n">
        <x:f>'Official Ranking v2'!A6</x:f>
        <x:v>1</x:v>
      </x:c>
      <x:c r="B5" t="str">
        <x:f>'Official Ranking v2'!B6</x:f>
        <x:v>Sandy</x:v>
      </x:c>
      <x:c r="C5" t="n">
        <x:f>'Official Ranking v2'!C6</x:f>
        <x:v>13</x:v>
      </x:c>
      <x:c r="D5" t="n">
        <x:f>'Official Ranking v2'!D6</x:f>
        <x:v>11</x:v>
      </x:c>
      <x:c r="E5" t="n">
        <x:f>'Official Ranking v2'!E6</x:f>
        <x:v>2</x:v>
      </x:c>
      <x:c r="F5" s="160" t="n">
        <x:f>'Official Ranking v2'!F6</x:f>
        <x:v>0.8461538461538461</x:v>
      </x:c>
      <x:c r="G5" s="226" t="n">
        <x:f>'Official Handicap v2'!D6</x:f>
        <x:v>70.51306635024372</x:v>
      </x:c>
      <x:c r="H5" t="str">
        <x:f>'Official Handicap v2'!E6</x:f>
        <x:v>A</x:v>
      </x:c>
      <x:c r="I5" t="n">
        <x:f>'Official Handicap v2'!F6</x:f>
        <x:v>3</x:v>
      </x:c>
      <x:c r="J5" t="str">
        <x:f>'Official Handicap v2'!I6</x:f>
        <x:v>Established</x:v>
      </x:c>
      <x:c r="L5" s="220" t="str">
        <x:v>Players</x:v>
      </x:c>
      <x:c r="M5" t="n">
        <x:f>COUNTA('Official Ranking v2'!B6:B205)</x:f>
        <x:v>20</x:v>
      </x:c>
    </x:row>
    <x:row r="6">
      <x:c r="A6" t="n">
        <x:f>'Official Ranking v2'!A7</x:f>
        <x:v>2</x:v>
      </x:c>
      <x:c r="B6" t="str">
        <x:f>'Official Ranking v2'!B7</x:f>
        <x:v>Thohir</x:v>
      </x:c>
      <x:c r="C6" t="n">
        <x:f>'Official Ranking v2'!C7</x:f>
        <x:v>4</x:v>
      </x:c>
      <x:c r="D6" t="n">
        <x:f>'Official Ranking v2'!D7</x:f>
        <x:v>4</x:v>
      </x:c>
      <x:c r="E6" t="n">
        <x:f>'Official Ranking v2'!E7</x:f>
        <x:v>0</x:v>
      </x:c>
      <x:c r="F6" s="160" t="n">
        <x:f>'Official Ranking v2'!F7</x:f>
        <x:v>1</x:v>
      </x:c>
      <x:c r="G6" s="226" t="n">
        <x:f>'Official Handicap v2'!D7</x:f>
        <x:v>64.66887046003484</x:v>
      </x:c>
      <x:c r="H6" t="str">
        <x:f>'Official Handicap v2'!E7</x:f>
        <x:v>B</x:v>
      </x:c>
      <x:c r="I6" t="n">
        <x:f>'Official Handicap v2'!F7</x:f>
        <x:v>1</x:v>
      </x:c>
      <x:c r="J6" t="str">
        <x:f>'Official Handicap v2'!I7</x:f>
        <x:v>Provisional</x:v>
      </x:c>
      <x:c r="L6" s="220" t="str">
        <x:v>Valid Matches</x:v>
      </x:c>
      <x:c r="M6" t="n">
        <x:f>ROUND(SUM('Official Ranking v2'!C6:C205)/4,0)</x:f>
        <x:v>57</x:v>
      </x:c>
    </x:row>
    <x:row r="7">
      <x:c r="A7" t="n">
        <x:f>'Official Ranking v2'!A8</x:f>
        <x:v>3</x:v>
      </x:c>
      <x:c r="B7" t="str">
        <x:f>'Official Ranking v2'!B8</x:f>
        <x:v>Austin</x:v>
      </x:c>
      <x:c r="C7" t="n">
        <x:f>'Official Ranking v2'!C8</x:f>
        <x:v>14</x:v>
      </x:c>
      <x:c r="D7" t="n">
        <x:f>'Official Ranking v2'!D8</x:f>
        <x:v>9</x:v>
      </x:c>
      <x:c r="E7" t="n">
        <x:f>'Official Ranking v2'!E8</x:f>
        <x:v>5</x:v>
      </x:c>
      <x:c r="F7" s="160" t="n">
        <x:f>'Official Ranking v2'!F8</x:f>
        <x:v>0.6428571428571429</x:v>
      </x:c>
      <x:c r="G7" s="226" t="n">
        <x:f>'Official Handicap v2'!D8</x:f>
        <x:v>59.40079845232992</x:v>
      </x:c>
      <x:c r="H7" t="str">
        <x:f>'Official Handicap v2'!E8</x:f>
        <x:v>B</x:v>
      </x:c>
      <x:c r="I7" t="n">
        <x:f>'Official Handicap v2'!F8</x:f>
        <x:v>0</x:v>
      </x:c>
      <x:c r="J7" t="str">
        <x:f>'Official Handicap v2'!I8</x:f>
        <x:v>Established</x:v>
      </x:c>
      <x:c r="L7" s="220" t="str">
        <x:v>Leader</x:v>
      </x:c>
      <x:c r="M7" t="str">
        <x:f>INDEX('Official Ranking v2'!B6:B205,MATCH(MAX('Official Ranking v2'!S6:S205),'Official Ranking v2'!S6:S205,0))</x:f>
        <x:v>Sandy</x:v>
      </x:c>
    </x:row>
    <x:row r="8">
      <x:c r="A8" t="n">
        <x:f>'Official Ranking v2'!A9</x:f>
        <x:v>4</x:v>
      </x:c>
      <x:c r="B8" t="str">
        <x:f>'Official Ranking v2'!B9</x:f>
        <x:v>Rey</x:v>
      </x:c>
      <x:c r="C8" t="n">
        <x:f>'Official Ranking v2'!C9</x:f>
        <x:v>7</x:v>
      </x:c>
      <x:c r="D8" t="n">
        <x:f>'Official Ranking v2'!D9</x:f>
        <x:v>5</x:v>
      </x:c>
      <x:c r="E8" t="n">
        <x:f>'Official Ranking v2'!E9</x:f>
        <x:v>2</x:v>
      </x:c>
      <x:c r="F8" s="160" t="n">
        <x:f>'Official Ranking v2'!F9</x:f>
        <x:v>0.7142857142857143</x:v>
      </x:c>
      <x:c r="G8" s="226" t="n">
        <x:f>'Official Handicap v2'!D9</x:f>
        <x:v>59.36910718873768</x:v>
      </x:c>
      <x:c r="H8" t="str">
        <x:f>'Official Handicap v2'!E9</x:f>
        <x:v>B</x:v>
      </x:c>
      <x:c r="I8" t="n">
        <x:f>'Official Handicap v2'!F9</x:f>
        <x:v>0</x:v>
      </x:c>
      <x:c r="J8" t="str">
        <x:f>'Official Handicap v2'!I9</x:f>
        <x:v>Developing</x:v>
      </x:c>
      <x:c r="L8" s="220" t="str">
        <x:v>Top Rating</x:v>
      </x:c>
      <x:c r="M8" s="226" t="n">
        <x:f>MAX('Official Ranking v2'!S6:S205)</x:f>
        <x:v>70.51306635024372</x:v>
      </x:c>
    </x:row>
    <x:row r="9">
      <x:c r="A9" t="n">
        <x:f>'Official Ranking v2'!A10</x:f>
        <x:v>5</x:v>
      </x:c>
      <x:c r="B9" t="str">
        <x:f>'Official Ranking v2'!B10</x:f>
        <x:v>Ronald</x:v>
      </x:c>
      <x:c r="C9" t="n">
        <x:f>'Official Ranking v2'!C10</x:f>
        <x:v>18</x:v>
      </x:c>
      <x:c r="D9" t="n">
        <x:f>'Official Ranking v2'!D10</x:f>
        <x:v>12</x:v>
      </x:c>
      <x:c r="E9" t="n">
        <x:f>'Official Ranking v2'!E10</x:f>
        <x:v>6</x:v>
      </x:c>
      <x:c r="F9" s="160" t="n">
        <x:f>'Official Ranking v2'!F10</x:f>
        <x:v>0.6666666666666666</x:v>
      </x:c>
      <x:c r="G9" s="226" t="n">
        <x:f>'Official Handicap v2'!D10</x:f>
        <x:v>58.39066504604191</x:v>
      </x:c>
      <x:c r="H9" t="str">
        <x:f>'Official Handicap v2'!E10</x:f>
        <x:v>B</x:v>
      </x:c>
      <x:c r="I9" t="n">
        <x:f>'Official Handicap v2'!F10</x:f>
        <x:v>0</x:v>
      </x:c>
      <x:c r="J9" t="str">
        <x:f>'Official Handicap v2'!I10</x:f>
        <x:v>Established</x:v>
      </x:c>
      <x:c r="L9" s="220" t="str">
        <x:v>Average Rating</x:v>
      </x:c>
      <x:c r="M9" s="226" t="n">
        <x:f>AVERAGE('Official Ranking v2'!S6:S205)</x:f>
        <x:v>47.73166941645191</x:v>
      </x:c>
    </x:row>
    <x:row r="10">
      <x:c r="A10" t="n">
        <x:f>'Official Ranking v2'!A11</x:f>
        <x:v>6</x:v>
      </x:c>
      <x:c r="B10" t="str">
        <x:f>'Official Ranking v2'!B11</x:f>
        <x:v>Ricky</x:v>
      </x:c>
      <x:c r="C10" t="n">
        <x:f>'Official Ranking v2'!C11</x:f>
        <x:v>26</x:v>
      </x:c>
      <x:c r="D10" t="n">
        <x:f>'Official Ranking v2'!D11</x:f>
        <x:v>16</x:v>
      </x:c>
      <x:c r="E10" t="n">
        <x:f>'Official Ranking v2'!E11</x:f>
        <x:v>10</x:v>
      </x:c>
      <x:c r="F10" s="160" t="n">
        <x:f>'Official Ranking v2'!F11</x:f>
        <x:v>0.6153846153846154</x:v>
      </x:c>
      <x:c r="G10" s="226" t="n">
        <x:f>'Official Handicap v2'!D11</x:f>
        <x:v>54.08585475906235</x:v>
      </x:c>
      <x:c r="H10" t="str">
        <x:f>'Official Handicap v2'!E11</x:f>
        <x:v>C</x:v>
      </x:c>
      <x:c r="I10" t="n">
        <x:f>'Official Handicap v2'!F11</x:f>
        <x:v>-1</x:v>
      </x:c>
      <x:c r="J10" t="str">
        <x:f>'Official Handicap v2'!I11</x:f>
        <x:v>Established</x:v>
      </x:c>
      <x:c r="L10" s="220" t="str">
        <x:v>Established Players</x:v>
      </x:c>
      <x:c r="M10" t="n">
        <x:f>COUNTIF('Official Ranking v2'!V6:V205,"Established")</x:f>
        <x:v>9</x:v>
      </x:c>
    </x:row>
    <x:row r="11">
      <x:c r="A11" t="n">
        <x:f>'Official Ranking v2'!A12</x:f>
        <x:v>7</x:v>
      </x:c>
      <x:c r="B11" t="str">
        <x:f>'Official Ranking v2'!B12</x:f>
        <x:v>Jonathan</x:v>
      </x:c>
      <x:c r="C11" t="n">
        <x:f>'Official Ranking v2'!C12</x:f>
        <x:v>6</x:v>
      </x:c>
      <x:c r="D11" t="n">
        <x:f>'Official Ranking v2'!D12</x:f>
        <x:v>4</x:v>
      </x:c>
      <x:c r="E11" t="n">
        <x:f>'Official Ranking v2'!E12</x:f>
        <x:v>2</x:v>
      </x:c>
      <x:c r="F11" s="160" t="n">
        <x:f>'Official Ranking v2'!F12</x:f>
        <x:v>0.6666666666666666</x:v>
      </x:c>
      <x:c r="G11" s="226" t="n">
        <x:f>'Official Handicap v2'!D12</x:f>
        <x:v>51.86227380674279</x:v>
      </x:c>
      <x:c r="H11" t="str">
        <x:f>'Official Handicap v2'!E12</x:f>
        <x:v>C</x:v>
      </x:c>
      <x:c r="I11" t="n">
        <x:f>'Official Handicap v2'!F12</x:f>
        <x:v>-1</x:v>
      </x:c>
      <x:c r="J11" t="str">
        <x:f>'Official Handicap v2'!I12</x:f>
        <x:v>Developing</x:v>
      </x:c>
    </x:row>
    <x:row r="12">
      <x:c r="A12" t="n">
        <x:f>'Official Ranking v2'!A13</x:f>
        <x:v>8</x:v>
      </x:c>
      <x:c r="B12" t="str">
        <x:f>'Official Ranking v2'!B13</x:f>
        <x:v>Kennard</x:v>
      </x:c>
      <x:c r="C12" t="n">
        <x:f>'Official Ranking v2'!C13</x:f>
        <x:v>13</x:v>
      </x:c>
      <x:c r="D12" t="n">
        <x:f>'Official Ranking v2'!D13</x:f>
        <x:v>9</x:v>
      </x:c>
      <x:c r="E12" t="n">
        <x:f>'Official Ranking v2'!E13</x:f>
        <x:v>4</x:v>
      </x:c>
      <x:c r="F12" s="160" t="n">
        <x:f>'Official Ranking v2'!F13</x:f>
        <x:v>0.6923076923076923</x:v>
      </x:c>
      <x:c r="G12" s="226" t="n">
        <x:f>'Official Handicap v2'!D13</x:f>
        <x:v>50.28911547688009</x:v>
      </x:c>
      <x:c r="H12" t="str">
        <x:f>'Official Handicap v2'!E13</x:f>
        <x:v>C</x:v>
      </x:c>
      <x:c r="I12" t="n">
        <x:f>'Official Handicap v2'!F13</x:f>
        <x:v>-1</x:v>
      </x:c>
      <x:c r="J12" t="str">
        <x:f>'Official Handicap v2'!I13</x:f>
        <x:v>Established</x:v>
      </x:c>
    </x:row>
    <x:row r="13">
      <x:c r="A13" t="n">
        <x:f>'Official Ranking v2'!A14</x:f>
        <x:v>9</x:v>
      </x:c>
      <x:c r="B13" t="str">
        <x:f>'Official Ranking v2'!B14</x:f>
        <x:v>Rizky</x:v>
      </x:c>
      <x:c r="C13" t="n">
        <x:f>'Official Ranking v2'!C14</x:f>
        <x:v>6</x:v>
      </x:c>
      <x:c r="D13" t="n">
        <x:f>'Official Ranking v2'!D14</x:f>
        <x:v>4</x:v>
      </x:c>
      <x:c r="E13" t="n">
        <x:f>'Official Ranking v2'!E14</x:f>
        <x:v>2</x:v>
      </x:c>
      <x:c r="F13" s="160" t="n">
        <x:f>'Official Ranking v2'!F14</x:f>
        <x:v>0.6666666666666666</x:v>
      </x:c>
      <x:c r="G13" s="226" t="n">
        <x:f>'Official Handicap v2'!D14</x:f>
        <x:v>49.19458587929172</x:v>
      </x:c>
      <x:c r="H13" t="str">
        <x:f>'Official Handicap v2'!E14</x:f>
        <x:v>C</x:v>
      </x:c>
      <x:c r="I13" t="n">
        <x:f>'Official Handicap v2'!F14</x:f>
        <x:v>-2</x:v>
      </x:c>
      <x:c r="J13" t="str">
        <x:f>'Official Handicap v2'!I14</x:f>
        <x:v>Developing</x:v>
      </x:c>
      <x:c r="L13" s="218" t="str">
        <x:v>Handicap</x:v>
      </x:c>
      <x:c r="M13" s="218" t="str">
        <x:v>Players</x:v>
      </x:c>
      <x:c r="O13" s="218" t="str">
        <x:v>Tier</x:v>
      </x:c>
      <x:c r="P13" s="218" t="str">
        <x:v>Players</x:v>
      </x:c>
    </x:row>
    <x:row r="14">
      <x:c r="A14" t="n">
        <x:f>'Official Ranking v2'!A15</x:f>
        <x:v>10</x:v>
      </x:c>
      <x:c r="B14" t="str">
        <x:f>'Official Ranking v2'!B15</x:f>
        <x:v>Edy SP</x:v>
      </x:c>
      <x:c r="C14" t="n">
        <x:f>'Official Ranking v2'!C15</x:f>
        <x:v>30</x:v>
      </x:c>
      <x:c r="D14" t="n">
        <x:f>'Official Ranking v2'!D15</x:f>
        <x:v>14</x:v>
      </x:c>
      <x:c r="E14" t="n">
        <x:f>'Official Ranking v2'!E15</x:f>
        <x:v>16</x:v>
      </x:c>
      <x:c r="F14" s="160" t="n">
        <x:f>'Official Ranking v2'!F15</x:f>
        <x:v>0.4666666666666667</x:v>
      </x:c>
      <x:c r="G14" s="226" t="n">
        <x:f>'Official Handicap v2'!D15</x:f>
        <x:v>45.89574377725399</x:v>
      </x:c>
      <x:c r="H14" t="str">
        <x:f>'Official Handicap v2'!E15</x:f>
        <x:v>C</x:v>
      </x:c>
      <x:c r="I14" t="n">
        <x:f>'Official Handicap v2'!F15</x:f>
        <x:v>-2</x:v>
      </x:c>
      <x:c r="J14" t="str">
        <x:f>'Official Handicap v2'!I15</x:f>
        <x:v>Established</x:v>
      </x:c>
      <x:c r="L14" t="n">
        <x:v>-4</x:v>
      </x:c>
      <x:c r="M14" t="n">
        <x:v>5</x:v>
      </x:c>
      <x:c r="O14" t="str">
        <x:v>A</x:v>
      </x:c>
      <x:c r="P14" t="n">
        <x:v>1</x:v>
      </x:c>
    </x:row>
    <x:row r="15">
      <x:c r="A15" t="n">
        <x:f>'Official Ranking v2'!A16</x:f>
        <x:v>11</x:v>
      </x:c>
      <x:c r="B15" t="str">
        <x:f>'Official Ranking v2'!B16</x:f>
        <x:v>Michael</x:v>
      </x:c>
      <x:c r="C15" t="n">
        <x:f>'Official Ranking v2'!C16</x:f>
        <x:v>13</x:v>
      </x:c>
      <x:c r="D15" t="n">
        <x:f>'Official Ranking v2'!D16</x:f>
        <x:v>6</x:v>
      </x:c>
      <x:c r="E15" t="n">
        <x:f>'Official Ranking v2'!E16</x:f>
        <x:v>7</x:v>
      </x:c>
      <x:c r="F15" s="160" t="n">
        <x:f>'Official Ranking v2'!F16</x:f>
        <x:v>0.4615384615384616</x:v>
      </x:c>
      <x:c r="G15" s="226" t="n">
        <x:f>'Official Handicap v2'!D16</x:f>
        <x:v>45.67313478777373</x:v>
      </x:c>
      <x:c r="H15" t="str">
        <x:f>'Official Handicap v2'!E16</x:f>
        <x:v>C</x:v>
      </x:c>
      <x:c r="I15" t="n">
        <x:f>'Official Handicap v2'!F16</x:f>
        <x:v>-2</x:v>
      </x:c>
      <x:c r="J15" t="str">
        <x:f>'Official Handicap v2'!I16</x:f>
        <x:v>Established</x:v>
      </x:c>
      <x:c r="L15" t="n">
        <x:v>-3</x:v>
      </x:c>
      <x:c r="M15" t="n">
        <x:v>3</x:v>
      </x:c>
      <x:c r="O15" t="str">
        <x:v>B</x:v>
      </x:c>
      <x:c r="P15" t="n">
        <x:v>4</x:v>
      </x:c>
    </x:row>
    <x:row r="16">
      <x:c r="A16" t="n">
        <x:f>'Official Ranking v2'!A17</x:f>
        <x:v>12</x:v>
      </x:c>
      <x:c r="B16" t="str">
        <x:f>'Official Ranking v2'!B17</x:f>
        <x:v>Nicholas</x:v>
      </x:c>
      <x:c r="C16" t="n">
        <x:f>'Official Ranking v2'!C17</x:f>
        <x:v>7</x:v>
      </x:c>
      <x:c r="D16" t="n">
        <x:f>'Official Ranking v2'!D17</x:f>
        <x:v>3</x:v>
      </x:c>
      <x:c r="E16" t="n">
        <x:f>'Official Ranking v2'!E17</x:f>
        <x:v>4</x:v>
      </x:c>
      <x:c r="F16" s="160" t="n">
        <x:f>'Official Ranking v2'!F17</x:f>
        <x:v>0.4285714285714285</x:v>
      </x:c>
      <x:c r="G16" s="226" t="n">
        <x:f>'Official Handicap v2'!D17</x:f>
        <x:v>45.28271303058267</x:v>
      </x:c>
      <x:c r="H16" t="str">
        <x:f>'Official Handicap v2'!E17</x:f>
        <x:v>C</x:v>
      </x:c>
      <x:c r="I16" t="n">
        <x:f>'Official Handicap v2'!F17</x:f>
        <x:v>-2</x:v>
      </x:c>
      <x:c r="J16" t="str">
        <x:f>'Official Handicap v2'!I17</x:f>
        <x:v>Developing</x:v>
      </x:c>
      <x:c r="L16" t="n">
        <x:v>-2</x:v>
      </x:c>
      <x:c r="M16" t="n">
        <x:v>4</x:v>
      </x:c>
      <x:c r="O16" t="str">
        <x:v>C</x:v>
      </x:c>
      <x:c r="P16" t="n">
        <x:v>7</x:v>
      </x:c>
    </x:row>
    <x:row r="17">
      <x:c r="A17" t="n">
        <x:f>'Official Ranking v2'!A18</x:f>
        <x:v>13</x:v>
      </x:c>
      <x:c r="B17" t="str">
        <x:f>'Official Ranking v2'!B18</x:f>
        <x:v>David</x:v>
      </x:c>
      <x:c r="C17" t="n">
        <x:f>'Official Ranking v2'!C18</x:f>
        <x:v>12</x:v>
      </x:c>
      <x:c r="D17" t="n">
        <x:f>'Official Ranking v2'!D18</x:f>
        <x:v>5</x:v>
      </x:c>
      <x:c r="E17" t="n">
        <x:f>'Official Ranking v2'!E18</x:f>
        <x:v>7</x:v>
      </x:c>
      <x:c r="F17" s="160" t="n">
        <x:f>'Official Ranking v2'!F18</x:f>
        <x:v>0.4166666666666667</x:v>
      </x:c>
      <x:c r="G17" s="226" t="n">
        <x:f>'Official Handicap v2'!D18</x:f>
        <x:v>43.36193577193154</x:v>
      </x:c>
      <x:c r="H17" t="str">
        <x:f>'Official Handicap v2'!E18</x:f>
        <x:v>D</x:v>
      </x:c>
      <x:c r="I17" t="n">
        <x:f>'Official Handicap v2'!F18</x:f>
        <x:v>-3</x:v>
      </x:c>
      <x:c r="J17" t="str">
        <x:f>'Official Handicap v2'!I18</x:f>
        <x:v>Established</x:v>
      </x:c>
      <x:c r="L17" t="n">
        <x:v>-1</x:v>
      </x:c>
      <x:c r="M17" t="n">
        <x:v>3</x:v>
      </x:c>
      <x:c r="O17" t="str">
        <x:v>D</x:v>
      </x:c>
      <x:c r="P17" t="n">
        <x:v>8</x:v>
      </x:c>
    </x:row>
    <x:row r="18">
      <x:c r="A18" t="n">
        <x:f>'Official Ranking v2'!A19</x:f>
        <x:v>14</x:v>
      </x:c>
      <x:c r="B18" t="str">
        <x:f>'Official Ranking v2'!B19</x:f>
        <x:v>Donny</x:v>
      </x:c>
      <x:c r="C18" t="n">
        <x:f>'Official Ranking v2'!C19</x:f>
        <x:v>11</x:v>
      </x:c>
      <x:c r="D18" t="n">
        <x:f>'Official Ranking v2'!D19</x:f>
        <x:v>4</x:v>
      </x:c>
      <x:c r="E18" t="n">
        <x:f>'Official Ranking v2'!E19</x:f>
        <x:v>7</x:v>
      </x:c>
      <x:c r="F18" s="160" t="n">
        <x:f>'Official Ranking v2'!F19</x:f>
        <x:v>0.3636363636363636</x:v>
      </x:c>
      <x:c r="G18" s="226" t="n">
        <x:f>'Official Handicap v2'!D19</x:f>
        <x:v>42.67589693029047</x:v>
      </x:c>
      <x:c r="H18" t="str">
        <x:f>'Official Handicap v2'!E19</x:f>
        <x:v>D</x:v>
      </x:c>
      <x:c r="I18" t="n">
        <x:f>'Official Handicap v2'!F19</x:f>
        <x:v>-3</x:v>
      </x:c>
      <x:c r="J18" t="str">
        <x:f>'Official Handicap v2'!I19</x:f>
        <x:v>Developing</x:v>
      </x:c>
      <x:c r="L18" t="n">
        <x:v>0</x:v>
      </x:c>
      <x:c r="M18" t="n">
        <x:v>3</x:v>
      </x:c>
      <x:c r="O18" t="str">
        <x:v>Elite</x:v>
      </x:c>
      <x:c r="P18" t="n">
        <x:v>0</x:v>
      </x:c>
    </x:row>
    <x:row r="19">
      <x:c r="A19" t="n">
        <x:f>'Official Ranking v2'!A20</x:f>
        <x:v>15</x:v>
      </x:c>
      <x:c r="B19" t="str">
        <x:f>'Official Ranking v2'!B20</x:f>
        <x:v>Reza</x:v>
      </x:c>
      <x:c r="C19" t="n">
        <x:f>'Official Ranking v2'!C20</x:f>
        <x:v>6</x:v>
      </x:c>
      <x:c r="D19" t="n">
        <x:f>'Official Ranking v2'!D20</x:f>
        <x:v>2</x:v>
      </x:c>
      <x:c r="E19" t="n">
        <x:f>'Official Ranking v2'!E20</x:f>
        <x:v>4</x:v>
      </x:c>
      <x:c r="F19" s="160" t="n">
        <x:f>'Official Ranking v2'!F20</x:f>
        <x:v>0.3333333333333333</x:v>
      </x:c>
      <x:c r="G19" s="226" t="n">
        <x:f>'Official Handicap v2'!D20</x:f>
        <x:v>40.35591292370327</x:v>
      </x:c>
      <x:c r="H19" t="str">
        <x:f>'Official Handicap v2'!E20</x:f>
        <x:v>D</x:v>
      </x:c>
      <x:c r="I19" t="n">
        <x:f>'Official Handicap v2'!F20</x:f>
        <x:v>-3</x:v>
      </x:c>
      <x:c r="J19" t="str">
        <x:f>'Official Handicap v2'!I20</x:f>
        <x:v>Developing</x:v>
      </x:c>
      <x:c r="L19" t="n">
        <x:v>1</x:v>
      </x:c>
      <x:c r="M19" t="n">
        <x:v>1</x:v>
      </x:c>
    </x:row>
    <x:row r="20">
      <x:c r="A20" t="n">
        <x:f>'Official Ranking v2'!A21</x:f>
        <x:v>16</x:v>
      </x:c>
      <x:c r="B20" t="str">
        <x:f>'Official Ranking v2'!B21</x:f>
        <x:v>Nico</x:v>
      </x:c>
      <x:c r="C20" t="n">
        <x:f>'Official Ranking v2'!C21</x:f>
        <x:v>6</x:v>
      </x:c>
      <x:c r="D20" t="n">
        <x:f>'Official Ranking v2'!D21</x:f>
        <x:v>2</x:v>
      </x:c>
      <x:c r="E20" t="n">
        <x:f>'Official Ranking v2'!E21</x:f>
        <x:v>4</x:v>
      </x:c>
      <x:c r="F20" s="160" t="n">
        <x:f>'Official Ranking v2'!F21</x:f>
        <x:v>0.3333333333333333</x:v>
      </x:c>
      <x:c r="G20" s="226" t="n">
        <x:f>'Official Handicap v2'!D21</x:f>
        <x:v>37.95817920836509</x:v>
      </x:c>
      <x:c r="H20" t="str">
        <x:f>'Official Handicap v2'!E21</x:f>
        <x:v>D</x:v>
      </x:c>
      <x:c r="I20" t="n">
        <x:f>'Official Handicap v2'!F21</x:f>
        <x:v>-4</x:v>
      </x:c>
      <x:c r="J20" t="str">
        <x:f>'Official Handicap v2'!I21</x:f>
        <x:v>Developing</x:v>
      </x:c>
      <x:c r="L20" t="n">
        <x:v>3</x:v>
      </x:c>
      <x:c r="M20" t="n">
        <x:v>1</x:v>
      </x:c>
    </x:row>
    <x:row r="21">
      <x:c r="A21" t="n">
        <x:f>'Official Ranking v2'!A22</x:f>
        <x:v>17</x:v>
      </x:c>
      <x:c r="B21" t="str">
        <x:f>'Official Ranking v2'!B22</x:f>
        <x:v>Alwin</x:v>
      </x:c>
      <x:c r="C21" t="n">
        <x:f>'Official Ranking v2'!C22</x:f>
        <x:v>6</x:v>
      </x:c>
      <x:c r="D21" t="n">
        <x:f>'Official Ranking v2'!D22</x:f>
        <x:v>1</x:v>
      </x:c>
      <x:c r="E21" t="n">
        <x:f>'Official Ranking v2'!E22</x:f>
        <x:v>5</x:v>
      </x:c>
      <x:c r="F21" s="160" t="n">
        <x:f>'Official Ranking v2'!F22</x:f>
        <x:v>0.1666666666666667</x:v>
      </x:c>
      <x:c r="G21" s="226" t="n">
        <x:f>'Official Handicap v2'!D22</x:f>
        <x:v>35.87914127200738</x:v>
      </x:c>
      <x:c r="H21" t="str">
        <x:f>'Official Handicap v2'!E22</x:f>
        <x:v>D</x:v>
      </x:c>
      <x:c r="I21" t="n">
        <x:f>'Official Handicap v2'!F22</x:f>
        <x:v>-4</x:v>
      </x:c>
      <x:c r="J21" t="str">
        <x:f>'Official Handicap v2'!I22</x:f>
        <x:v>Developing</x:v>
      </x:c>
    </x:row>
    <x:row r="22">
      <x:c r="A22" t="n">
        <x:f>'Official Ranking v2'!A23</x:f>
        <x:v>18</x:v>
      </x:c>
      <x:c r="B22" t="str">
        <x:f>'Official Ranking v2'!B23</x:f>
        <x:v>Hansen</x:v>
      </x:c>
      <x:c r="C22" t="n">
        <x:f>'Official Ranking v2'!C23</x:f>
        <x:v>6</x:v>
      </x:c>
      <x:c r="D22" t="n">
        <x:f>'Official Ranking v2'!D23</x:f>
        <x:v>0</x:v>
      </x:c>
      <x:c r="E22" t="n">
        <x:f>'Official Ranking v2'!E23</x:f>
        <x:v>6</x:v>
      </x:c>
      <x:c r="F22" s="160" t="n">
        <x:f>'Official Ranking v2'!F23</x:f>
        <x:v>0</x:v>
      </x:c>
      <x:c r="G22" s="226" t="n">
        <x:f>'Official Handicap v2'!D23</x:f>
        <x:v>34.74019645757599</x:v>
      </x:c>
      <x:c r="H22" t="str">
        <x:f>'Official Handicap v2'!E23</x:f>
        <x:v>D</x:v>
      </x:c>
      <x:c r="I22" t="n">
        <x:f>'Official Handicap v2'!F23</x:f>
        <x:v>-4</x:v>
      </x:c>
      <x:c r="J22" t="str">
        <x:f>'Official Handicap v2'!I23</x:f>
        <x:v>Developing</x:v>
      </x:c>
    </x:row>
    <x:row r="23">
      <x:c r="A23" t="n">
        <x:f>'Official Ranking v2'!A24</x:f>
        <x:v>19</x:v>
      </x:c>
      <x:c r="B23" t="str">
        <x:f>'Official Ranking v2'!B24</x:f>
        <x:v>Welly</x:v>
      </x:c>
      <x:c r="C23" t="n">
        <x:f>'Official Ranking v2'!C24</x:f>
        <x:v>10</x:v>
      </x:c>
      <x:c r="D23" t="n">
        <x:f>'Official Ranking v2'!D24</x:f>
        <x:v>2</x:v>
      </x:c>
      <x:c r="E23" t="n">
        <x:f>'Official Ranking v2'!E24</x:f>
        <x:v>8</x:v>
      </x:c>
      <x:c r="F23" s="160" t="n">
        <x:f>'Official Ranking v2'!F24</x:f>
        <x:v>0.2</x:v>
      </x:c>
      <x:c r="G23" s="226" t="n">
        <x:f>'Official Handicap v2'!D24</x:f>
        <x:v>33.61965263543392</x:v>
      </x:c>
      <x:c r="H23" t="str">
        <x:f>'Official Handicap v2'!E24</x:f>
        <x:v>D</x:v>
      </x:c>
      <x:c r="I23" t="n">
        <x:f>'Official Handicap v2'!F24</x:f>
        <x:v>-4</x:v>
      </x:c>
      <x:c r="J23" t="str">
        <x:f>'Official Handicap v2'!I24</x:f>
        <x:v>Developing</x:v>
      </x:c>
    </x:row>
    <x:row r="24">
      <x:c r="A24" t="n">
        <x:f>'Official Ranking v2'!A25</x:f>
        <x:v>20</x:v>
      </x:c>
      <x:c r="B24" t="str">
        <x:f>'Official Ranking v2'!B25</x:f>
        <x:v>Alice</x:v>
      </x:c>
      <x:c r="C24" t="n">
        <x:f>'Official Ranking v2'!C25</x:f>
        <x:v>14</x:v>
      </x:c>
      <x:c r="D24" t="n">
        <x:f>'Official Ranking v2'!D25</x:f>
        <x:v>1</x:v>
      </x:c>
      <x:c r="E24" t="n">
        <x:f>'Official Ranking v2'!E25</x:f>
        <x:v>13</x:v>
      </x:c>
      <x:c r="F24" s="160" t="n">
        <x:f>'Official Ranking v2'!F25</x:f>
        <x:v>0.07142857142857142</x:v>
      </x:c>
      <x:c r="G24" s="226" t="n">
        <x:f>'Official Handicap v2'!D25</x:f>
        <x:v>31.41654411475529</x:v>
      </x:c>
      <x:c r="H24" t="str">
        <x:f>'Official Handicap v2'!E25</x:f>
        <x:v>D</x:v>
      </x:c>
      <x:c r="I24" t="n">
        <x:f>'Official Handicap v2'!F25</x:f>
        <x:v>-4</x:v>
      </x:c>
      <x:c r="J24" t="str">
        <x:f>'Official Handicap v2'!I25</x:f>
        <x:v>Established</x:v>
      </x:c>
    </x:row>
  </x:sheetData>
  <x:mergeCells>
    <x:mergeCell ref="A1:J2"/>
  </x:mergeCells>
  <x:conditionalFormatting sqref="G5:G24">
    <x:cfRule type="dataBar" priority="1">
      <x:dataBar>
        <x:cfvo type="min"/>
        <x:cfvo type="max"/>
        <x:color rgb="FF1F4E78"/>
      </x:dataBar>
      <x:extLst>
        <x:ext xmlns:x14="http://schemas.microsoft.com/office/spreadsheetml/2009/9/main" uri="{B025F937-C7B1-47D3-B67F-A62EFF666E3E}">
          <x14:id>{8583FFC3-8502-624B-C6FE-7B1E2FFDD6BA}</x14:id>
        </x:ext>
      </x:extLst>
    </x:cfRule>
  </x:conditionalFormatting>
  <x:conditionalFormatting sqref="I5:I24">
    <x:cfRule type="colorScale" priority="2">
      <x:colorScale>
        <x:cfvo type="min"/>
        <x:cfvo type="percentile" val="50"/>
        <x:cfvo type="max"/>
        <x:color rgb="FFF4CCCC"/>
        <x:color rgb="FFFFF2CC"/>
        <x:color rgb="FFD9EAD3"/>
      </x:colorScale>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583FFC3-8502-624B-C6FE-7B1E2FFDD6BA}">
            <x14:dataBar gradient="1">
              <x14:cfvo type="min"/>
              <x14:cfvo type="max"/>
              <x14:fillColor rgb="FF1F4E78"/>
            </x14:dataBar>
          </x14:cfRule>
          <xm:sqref>G5:G24</xm:sqref>
        </x14:conditionalFormatting>
      </x14:conditionalFormattings>
    </x:ext>
  </x:extLst>
</x:worksheet>
</file>

<file path=xl/worksheets/sheet34.xml><?xml version="1.0" encoding="utf-8"?>
<x:worksheet xmlns:x="http://schemas.openxmlformats.org/spreadsheetml/2006/main">
  <x:sheetFormatPr defaultRowHeight="15"/>
  <x:cols>
    <x:col min="1" max="1" width="7.380000114440918" hidden="0" customWidth="1"/>
    <x:col min="2" max="2" width="6.630000114440918" hidden="0" customWidth="1"/>
    <x:col min="3" max="3" width="30" hidden="0" customWidth="1"/>
    <x:col min="4" max="4" width="17.5" hidden="0" customWidth="1"/>
    <x:col min="5" max="5" width="8.630000114440918" hidden="0" customWidth="1"/>
    <x:col min="6" max="6" width="42" hidden="0" customWidth="1"/>
  </x:cols>
  <x:sheetData>
    <x:row r="1">
      <x:c r="A1" s="231" t="str">
        <x:v>Figure ID</x:v>
      </x:c>
      <x:c r="B1" s="231" t="str">
        <x:v>Chapter</x:v>
      </x:c>
      <x:c r="C1" s="231" t="str">
        <x:v>Figure Title</x:v>
      </x:c>
      <x:c r="D1" s="231" t="str">
        <x:v>Source Range</x:v>
      </x:c>
      <x:c r="E1" s="231" t="str">
        <x:v>Status</x:v>
      </x:c>
      <x:c r="F1" s="231" t="str">
        <x:v>Caption</x:v>
      </x:c>
      <x:c r="G1" s="165"/>
      <x:c r="H1" s="165"/>
      <x:c r="I1" s="165"/>
      <x:c r="J1" s="165"/>
      <x:c r="K1" s="165"/>
      <x:c r="L1" s="165"/>
      <x:c r="M1" s="165"/>
      <x:c r="N1" s="165"/>
      <x:c r="O1" s="165"/>
      <x:c r="P1" s="165"/>
      <x:c r="Q1" s="165"/>
      <x:c r="R1" s="165"/>
      <x:c r="S1" s="165"/>
      <x:c r="T1" s="165"/>
      <x:c r="U1" s="165"/>
      <x:c r="V1" s="165"/>
      <x:c r="W1" s="165"/>
      <x:c r="X1" s="165"/>
      <x:c r="Y1" s="165"/>
      <x:c r="Z1" s="165"/>
    </x:row>
    <x:row r="2">
      <x:c r="A2" t="str">
        <x:v>Fig 1.1</x:v>
      </x:c>
      <x:c r="B2" t="n">
        <x:v>1</x:v>
      </x:c>
      <x:c r="C2" t="str">
        <x:v>Top 10 FLPR Ratings</x:v>
      </x:c>
      <x:c r="D2" t="str">
        <x:v>Chapter Data!A4:G14</x:v>
      </x:c>
      <x:c r="E2" s="222" t="str">
        <x:v>Generated</x:v>
      </x:c>
      <x:c r="F2" t="str">
        <x:v>Top ten players by official FLPR rating.</x:v>
      </x:c>
    </x:row>
    <x:row r="3">
      <x:c r="A3" t="str">
        <x:v>Fig 4.1</x:v>
      </x:c>
      <x:c r="B3" t="n">
        <x:v>4</x:v>
      </x:c>
      <x:c r="C3" t="str">
        <x:v>Official Ranking — Top 10</x:v>
      </x:c>
      <x:c r="D3" t="str">
        <x:v>Chapter Data!A4:G14</x:v>
      </x:c>
      <x:c r="E3" s="222" t="str">
        <x:v>Generated</x:v>
      </x:c>
      <x:c r="F3" t="str">
        <x:v>Official FLPR ranking leaders.</x:v>
      </x:c>
    </x:row>
    <x:row r="4">
      <x:c r="A4" t="str">
        <x:v>Fig 5.1</x:v>
      </x:c>
      <x:c r="B4" t="n">
        <x:v>5</x:v>
      </x:c>
      <x:c r="C4" t="str">
        <x:v>Handicap Distribution</x:v>
      </x:c>
      <x:c r="D4" t="str">
        <x:v>Chapter Data!L13:M20</x:v>
      </x:c>
      <x:c r="E4" s="222" t="str">
        <x:v>Generated</x:v>
      </x:c>
      <x:c r="F4" t="str">
        <x:v>Distribution of official balancing handicaps.</x:v>
      </x:c>
    </x:row>
    <x:row r="5">
      <x:c r="A5" t="str">
        <x:v>Fig 5.2</x:v>
      </x:c>
      <x:c r="B5" t="n">
        <x:v>5</x:v>
      </x:c>
      <x:c r="C5" t="str">
        <x:v>Rating vs Handicap</x:v>
      </x:c>
      <x:c r="D5" t="str">
        <x:v>Chapter Data!G4:I24</x:v>
      </x:c>
      <x:c r="E5" s="222" t="str">
        <x:v>Generated</x:v>
      </x:c>
      <x:c r="F5" t="str">
        <x:v>Relationship between FLPR rating and official handicap.</x:v>
      </x:c>
    </x:row>
    <x:row r="6">
      <x:c r="A6" t="str">
        <x:v>Fig 6.1</x:v>
      </x:c>
      <x:c r="B6" t="n">
        <x:v>6</x:v>
      </x:c>
      <x:c r="C6" t="str">
        <x:v>Matches Played by Player</x:v>
      </x:c>
      <x:c r="D6" t="str">
        <x:v>Chapter Data!B4:C24</x:v>
      </x:c>
      <x:c r="E6" s="222" t="str">
        <x:v>Generated</x:v>
      </x:c>
      <x:c r="F6" t="str">
        <x:v>Sample size and player reliability context.</x:v>
      </x:c>
    </x:row>
    <x:row r="7">
      <x:c r="A7" t="str">
        <x:v>Fig 10.1</x:v>
      </x:c>
      <x:c r="B7" t="n">
        <x:v>10</x:v>
      </x:c>
      <x:c r="C7" t="str">
        <x:v>Tier Distribution</x:v>
      </x:c>
      <x:c r="D7" t="str">
        <x:v>Chapter Data!O13:P18</x:v>
      </x:c>
      <x:c r="E7" s="222" t="str">
        <x:v>Generated</x:v>
      </x:c>
      <x:c r="F7" t="str">
        <x:v>Distribution of players across official tiers.</x:v>
      </x:c>
    </x:row>
    <x:row r="8">
      <x:c r="A8" t="str">
        <x:v>Fig 7.1</x:v>
      </x:c>
      <x:c r="B8" t="n">
        <x:v>7</x:v>
      </x:c>
      <x:c r="C8" t="str">
        <x:v>Top 10 FLPR Ratings</x:v>
      </x:c>
      <x:c r="D8" t="str">
        <x:v>Tournament Statistics!E4:H14</x:v>
      </x:c>
      <x:c r="E8" t="str">
        <x:v>Generated</x:v>
      </x:c>
      <x:c r="F8" t="str">
        <x:v>Top ten official ratings in the current tournament volume.</x:v>
      </x:c>
    </x:row>
    <x:row r="9">
      <x:c r="A9" t="str">
        <x:v>Fig 7.2</x:v>
      </x:c>
      <x:c r="B9" t="n">
        <x:v>7</x:v>
      </x:c>
      <x:c r="C9" t="str">
        <x:v>Matches Played by Player</x:v>
      </x:c>
      <x:c r="D9" t="str">
        <x:v>Tournament Statistics!A17:B37</x:v>
      </x:c>
      <x:c r="E9" t="str">
        <x:v>Generated</x:v>
      </x:c>
      <x:c r="F9" t="str">
        <x:v>Participation and sample-size comparison by player.</x:v>
      </x:c>
    </x:row>
    <x:row r="10">
      <x:c r="A10" t="str">
        <x:v>Fig 8.1</x:v>
      </x:c>
      <x:c r="B10" t="n">
        <x:v>8</x:v>
      </x:c>
      <x:c r="C10" t="str">
        <x:v>Awards Metric Leaders</x:v>
      </x:c>
      <x:c r="D10" t="str">
        <x:v>Awards!A4:D15</x:v>
      </x:c>
      <x:c r="E10" t="str">
        <x:v>Generated</x:v>
      </x:c>
      <x:c r="F10" t="str">
        <x:v>Winning metric value for each official FLPR award.</x:v>
      </x:c>
    </x:row>
    <x:row r="11">
      <x:c r="A11" t="str">
        <x:v>Fig 9.1</x:v>
      </x:c>
      <x:c r="B11" t="n">
        <x:v>9</x:v>
      </x:c>
      <x:c r="C11" t="str">
        <x:v>Recent Form Leaders</x:v>
      </x:c>
      <x:c r="D11" t="str">
        <x:v>Official Ranking v2!B5:P15</x:v>
      </x:c>
      <x:c r="E11" t="str">
        <x:v>Generated</x:v>
      </x:c>
      <x:c r="F11" t="str">
        <x:v>Recent-form comparison among ranking leaders.</x:v>
      </x:c>
    </x:row>
    <x:row r="12">
      <x:c r="A12" t="str">
        <x:v>Fig 9.2</x:v>
      </x:c>
      <x:c r="B12" t="n">
        <x:v>9</x:v>
      </x:c>
      <x:c r="C12" t="str">
        <x:v>Consistency and Clutch</x:v>
      </x:c>
      <x:c r="D12" t="str">
        <x:v>Official Ranking v2!B5:N15</x:v>
      </x:c>
      <x:c r="E12" t="str">
        <x:v>Generated</x:v>
      </x:c>
      <x:c r="F12" t="str">
        <x:v>Comparison of consistency and clutch scores.</x:v>
      </x:c>
    </x:row>
    <x:row r="13">
      <x:c r="A13" t="str">
        <x:v>Fig 9.3</x:v>
      </x:c>
      <x:c r="B13" t="n">
        <x:v>9</x:v>
      </x:c>
      <x:c r="C13" t="str">
        <x:v>Strength of Schedule vs Rating</x:v>
      </x:c>
      <x:c r="D13" t="str">
        <x:v>Official Ranking v2!L5:S25</x:v>
      </x:c>
      <x:c r="E13" t="str">
        <x:v>Generated</x:v>
      </x:c>
      <x:c r="F13" t="str">
        <x:v>Relationship between schedule strength and official rating.</x:v>
      </x:c>
    </x:row>
  </x:sheetData>
  <x:pageMargins left="0.7" right="0.7" top="0.75" bottom="0.75" header="0.3" footer="0.3"/>
</x:worksheet>
</file>

<file path=xl/worksheets/sheet35.xml><?xml version="1.0" encoding="utf-8"?>
<x:worksheet xmlns:x="http://schemas.openxmlformats.org/spreadsheetml/2006/main">
  <x:sheetFormatPr defaultRowHeight="15"/>
  <x:sheetData>
    <x:row r="1">
      <x:c r="A1" s="225" t="str">
        <x:v>FLPR REPORT FIGURES — VOLUME 1</x:v>
      </x:c>
      <x:c r="B1" s="225"/>
      <x:c r="C1" s="225"/>
      <x:c r="D1" s="225"/>
      <x:c r="E1" s="225"/>
      <x:c r="F1" s="225"/>
      <x:c r="G1" s="225"/>
      <x:c r="H1" s="225"/>
      <x:c r="I1" s="225"/>
      <x:c r="J1" s="225"/>
      <x:c r="K1" s="225"/>
      <x:c r="L1" s="225"/>
      <x:c r="M1" s="225"/>
      <x:c r="N1" s="225"/>
    </x:row>
    <x:row r="2">
      <x:c r="A2" s="225"/>
      <x:c r="B2" s="225"/>
      <x:c r="C2" s="225"/>
      <x:c r="D2" s="225"/>
      <x:c r="E2" s="225"/>
      <x:c r="F2" s="225"/>
      <x:c r="G2" s="225"/>
      <x:c r="H2" s="225"/>
      <x:c r="I2" s="225"/>
      <x:c r="J2" s="225"/>
      <x:c r="K2" s="225"/>
      <x:c r="L2" s="225"/>
      <x:c r="M2" s="225"/>
      <x:c r="N2" s="225"/>
    </x:row>
  </x:sheetData>
  <x:mergeCells>
    <x:mergeCell ref="A1:N2"/>
  </x:mergeCells>
  <x:pageMargins left="0.7" right="0.7" top="0.75" bottom="0.75" header="0.3" footer="0.3"/>
  <x:drawing xmlns:r="http://schemas.openxmlformats.org/officeDocument/2006/relationships" r:id="R2855706b2c6e4957"/>
</x:worksheet>
</file>

<file path=xl/worksheets/sheet36.xml><?xml version="1.0" encoding="utf-8"?>
<x:worksheet xmlns:x="http://schemas.openxmlformats.org/spreadsheetml/2006/main">
  <x:sheetFormatPr defaultRowHeight="15"/>
  <x:cols>
    <x:col min="1" max="1" width="18.1299991607666" hidden="0" customWidth="1"/>
    <x:col min="2" max="2" width="7.5" hidden="0" customWidth="1"/>
    <x:col min="3" max="3" width="7.880000114440918" hidden="0" customWidth="1"/>
    <x:col min="4" max="4" width="5.25" hidden="0" customWidth="1"/>
  </x:cols>
  <x:sheetData>
    <x:row r="1">
      <x:c r="A1" s="231" t="str">
        <x:v>QA Check</x:v>
      </x:c>
      <x:c r="B1" s="231" t="str">
        <x:v>Expected</x:v>
      </x:c>
      <x:c r="C1" s="231" t="str">
        <x:v>Observed</x:v>
      </x:c>
      <x:c r="D1" s="231" t="str">
        <x:v>Result</x:v>
      </x:c>
      <x:c r="E1" s="165"/>
      <x:c r="F1" s="165"/>
      <x:c r="G1" s="165"/>
      <x:c r="H1" s="165"/>
      <x:c r="I1" s="165"/>
      <x:c r="J1" s="165"/>
      <x:c r="K1" s="165"/>
      <x:c r="L1" s="165"/>
      <x:c r="M1" s="165"/>
      <x:c r="N1" s="165"/>
      <x:c r="O1" s="165"/>
      <x:c r="P1" s="165"/>
      <x:c r="Q1" s="165"/>
      <x:c r="R1" s="165"/>
      <x:c r="S1" s="165"/>
      <x:c r="T1" s="165"/>
      <x:c r="U1" s="165"/>
      <x:c r="V1" s="165"/>
      <x:c r="W1" s="165"/>
      <x:c r="X1" s="165"/>
      <x:c r="Y1" s="165"/>
      <x:c r="Z1" s="165"/>
    </x:row>
    <x:row r="2">
      <x:c r="A2" t="str">
        <x:v>Player count</x:v>
      </x:c>
      <x:c r="B2" t="n">
        <x:v>20</x:v>
      </x:c>
      <x:c r="C2" t="n">
        <x:v>20</x:v>
      </x:c>
      <x:c r="D2" s="222" t="str">
        <x:v>PASS</x:v>
      </x:c>
    </x:row>
    <x:row r="3">
      <x:c r="A3" t="str">
        <x:v>Valid match count</x:v>
      </x:c>
      <x:c r="B3" t="n">
        <x:v>57</x:v>
      </x:c>
      <x:c r="C3" t="n">
        <x:v>57</x:v>
      </x:c>
      <x:c r="D3" s="222" t="str">
        <x:v>PASS</x:v>
      </x:c>
    </x:row>
    <x:row r="4">
      <x:c r="A4" t="str">
        <x:v>Ranking rows</x:v>
      </x:c>
      <x:c r="B4" t="n">
        <x:v>20</x:v>
      </x:c>
      <x:c r="C4" t="n">
        <x:v>20</x:v>
      </x:c>
      <x:c r="D4" s="222" t="str">
        <x:v>PASS</x:v>
      </x:c>
    </x:row>
    <x:row r="5">
      <x:c r="A5" t="str">
        <x:v>Handicap rows</x:v>
      </x:c>
      <x:c r="B5" t="n">
        <x:v>20</x:v>
      </x:c>
      <x:c r="C5" t="n">
        <x:v>20</x:v>
      </x:c>
      <x:c r="D5" s="222" t="str">
        <x:v>PASS</x:v>
      </x:c>
    </x:row>
    <x:row r="6">
      <x:c r="A6" t="str">
        <x:v>Player registry names</x:v>
      </x:c>
      <x:c r="B6" t="n">
        <x:v>20</x:v>
      </x:c>
      <x:c r="C6" t="n">
        <x:v>20</x:v>
      </x:c>
      <x:c r="D6" s="222" t="str">
        <x:v>PASS</x:v>
      </x:c>
    </x:row>
    <x:row r="7">
      <x:c r="A7" t="str">
        <x:v>Generated figures</x:v>
      </x:c>
      <x:c r="B7" t="n">
        <x:v>6</x:v>
      </x:c>
      <x:c r="C7" t="n">
        <x:v>6</x:v>
      </x:c>
      <x:c r="D7" s="222" t="str">
        <x:v>PASS</x:v>
      </x:c>
    </x:row>
    <x:row r="8">
      <x:c r="A8" t="str">
        <x:v>Chapter map rows</x:v>
      </x:c>
      <x:c r="B8" t="n">
        <x:v>12</x:v>
      </x:c>
      <x:c r="C8" t="n">
        <x:v>12</x:v>
      </x:c>
      <x:c r="D8" s="222" t="str">
        <x:v>PASS</x:v>
      </x:c>
    </x:row>
    <x:row r="9">
      <x:c r="A9" t="str">
        <x:v>Report generation layer</x:v>
      </x:c>
      <x:c r="B9" t="str">
        <x:v>Present</x:v>
      </x:c>
      <x:c r="C9" t="str">
        <x:v>Present</x:v>
      </x:c>
      <x:c r="D9" s="222" t="str">
        <x:v>PASS</x:v>
      </x:c>
    </x:row>
    <x:row r="10">
      <x:c r="A10" t="str">
        <x:v>Tournament Statistics sheet</x:v>
      </x:c>
      <x:c r="B10" t="str">
        <x:v>Present</x:v>
      </x:c>
      <x:c r="C10" t="str">
        <x:v>Present</x:v>
      </x:c>
      <x:c r="D10" t="str">
        <x:v>PASS</x:v>
      </x:c>
    </x:row>
    <x:row r="11">
      <x:c r="A11" t="str">
        <x:v>Awards sheet</x:v>
      </x:c>
      <x:c r="B11" t="str">
        <x:v>Present</x:v>
      </x:c>
      <x:c r="C11" t="str">
        <x:v>Present</x:v>
      </x:c>
      <x:c r="D11" t="str">
        <x:v>PASS</x:v>
      </x:c>
    </x:row>
    <x:row r="12">
      <x:c r="A12" t="str">
        <x:v>Executive Summary sheet</x:v>
      </x:c>
      <x:c r="B12" t="str">
        <x:v>Present</x:v>
      </x:c>
      <x:c r="C12" t="str">
        <x:v>Present</x:v>
      </x:c>
      <x:c r="D12" t="str">
        <x:v>PASS</x:v>
      </x:c>
    </x:row>
    <x:row r="13">
      <x:c r="A13" t="str">
        <x:v>Phase B figures</x:v>
      </x:c>
      <x:c r="B13" t="n">
        <x:v>12</x:v>
      </x:c>
      <x:c r="C13" t="n">
        <x:v>12</x:v>
      </x:c>
      <x:c r="D13" t="str">
        <x:v>PASS</x:v>
      </x:c>
    </x:row>
    <x:row r="14">
      <x:c r="A14" t="str">
        <x:v>Phase B partial chapters</x:v>
      </x:c>
      <x:c r="B14" t="n">
        <x:v>0</x:v>
      </x:c>
      <x:c r="C14" t="n">
        <x:v>0</x:v>
      </x:c>
      <x:c r="D14" t="str">
        <x:v>PASS</x:v>
      </x:c>
    </x:row>
    <x:row r="15">
      <x:c r="A15" t="str">
        <x:v>Formula errors</x:v>
      </x:c>
      <x:c r="B15" t="n">
        <x:v>0</x:v>
      </x:c>
      <x:c r="C15" t="n">
        <x:v>0</x:v>
      </x:c>
      <x:c r="D15" t="str">
        <x:v>PASS</x:v>
      </x:c>
    </x:row>
    <x:row r="16">
      <x:c r="A16" t="str">
        <x:v>PHASE B STATUS</x:v>
      </x:c>
      <x:c r="B16" t="str">
        <x:v>Complete</x:v>
      </x:c>
      <x:c r="C16" t="str">
        <x:v>Complete</x:v>
      </x:c>
      <x:c r="D16" t="str">
        <x:v>PASS</x:v>
      </x:c>
    </x:row>
    <x:row r="17">
      <x:c r="A17" t="str">
        <x:v>Phase C import control</x:v>
      </x:c>
      <x:c r="B17" t="str">
        <x:v>Present</x:v>
      </x:c>
      <x:c r="C17" t="str">
        <x:v>Present</x:v>
      </x:c>
      <x:c r="D17" t="str">
        <x:v>PASS</x:v>
      </x:c>
    </x:row>
    <x:row r="18">
      <x:c r="A18" t="str">
        <x:v>Player report index</x:v>
      </x:c>
      <x:c r="B18" t="str">
        <x:v>Present</x:v>
      </x:c>
      <x:c r="C18" t="str">
        <x:v>Present</x:v>
      </x:c>
      <x:c r="D18" t="str">
        <x:v>PASS</x:v>
      </x:c>
    </x:row>
    <x:row r="19">
      <x:c r="A19" t="str">
        <x:v>Web export dataset</x:v>
      </x:c>
      <x:c r="B19" t="str">
        <x:v>Present</x:v>
      </x:c>
      <x:c r="C19" t="str">
        <x:v>Present</x:v>
      </x:c>
      <x:c r="D19" t="str">
        <x:v>PASS</x:v>
      </x:c>
    </x:row>
    <x:row r="20">
      <x:c r="A20" t="str">
        <x:v>Publication dashboard</x:v>
      </x:c>
      <x:c r="B20" t="str">
        <x:v>Present</x:v>
      </x:c>
      <x:c r="C20" t="str">
        <x:v>Present</x:v>
      </x:c>
      <x:c r="D20" t="str">
        <x:v>PASS</x:v>
      </x:c>
    </x:row>
    <x:row r="21">
      <x:c r="A21" t="str">
        <x:v>Release checklist</x:v>
      </x:c>
      <x:c r="B21" t="str">
        <x:v>Present</x:v>
      </x:c>
      <x:c r="C21" t="str">
        <x:v>Present</x:v>
      </x:c>
      <x:c r="D21" t="str">
        <x:v>PASS</x:v>
      </x:c>
    </x:row>
    <x:row r="22">
      <x:c r="A22" t="str">
        <x:v>PHASE C STATUS</x:v>
      </x:c>
      <x:c r="B22" t="str">
        <x:v>Complete</x:v>
      </x:c>
      <x:c r="C22" t="str">
        <x:v>Complete</x:v>
      </x:c>
      <x:c r="D22" t="str">
        <x:v>PASS</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2" hidden="0" customWidth="1"/>
    <x:col min="2" max="2" width="18" hidden="0" customWidth="1"/>
    <x:col min="4" max="4" width="14" hidden="0" customWidth="1"/>
    <x:col min="5" max="5" width="14" hidden="0" customWidth="1"/>
    <x:col min="6" max="6" width="14" hidden="0" customWidth="1"/>
    <x:col min="7" max="7" width="14" hidden="0" customWidth="1"/>
    <x:col min="8" max="8" width="14" hidden="0" customWidth="1"/>
  </x:cols>
  <x:sheetData>
    <x:row r="1">
      <x:c r="A1" s="260" t="str">
        <x:v>FLPR INDIVIDUAL PLAYER REPORT</x:v>
      </x:c>
      <x:c r="B1" s="260"/>
      <x:c r="C1" s="260"/>
      <x:c r="D1" s="260"/>
      <x:c r="E1" s="260"/>
      <x:c r="F1" s="260"/>
      <x:c r="G1" s="260"/>
      <x:c r="H1" s="260"/>
    </x:row>
    <x:row r="2">
      <x:c r="A2" s="261" t="str">
        <x:v>Every Point Matters | Auto-updated from Official Ranking v2</x:v>
      </x:c>
      <x:c r="B2" s="261"/>
      <x:c r="C2" s="261"/>
      <x:c r="D2" s="261"/>
      <x:c r="E2" s="261"/>
      <x:c r="F2" s="261"/>
      <x:c r="G2" s="261"/>
      <x:c r="H2" s="261"/>
    </x:row>
    <x:row r="3">
      <x:c r="A3" s="262"/>
      <x:c r="B3" s="262"/>
      <x:c r="C3" s="262"/>
      <x:c r="D3" s="262"/>
      <x:c r="E3" s="262"/>
      <x:c r="F3" s="262"/>
      <x:c r="G3" s="262"/>
      <x:c r="H3" s="262"/>
    </x:row>
    <x:row r="4">
      <x:c r="A4" s="263" t="str">
        <x:v>Player Selector</x:v>
      </x:c>
      <x:c r="B4" s="262" t="str">
        <x:v>Edy SP</x:v>
      </x:c>
      <x:c r="C4" s="262"/>
      <x:c r="D4" s="264" t="str">
        <x:v>Player Summary</x:v>
      </x:c>
      <x:c r="E4" s="264"/>
      <x:c r="F4" s="264"/>
      <x:c r="G4" s="264"/>
      <x:c r="H4" s="264"/>
    </x:row>
    <x:row r="5">
      <x:c r="A5" s="262"/>
      <x:c r="B5" s="262"/>
      <x:c r="C5" s="262"/>
      <x:c r="D5" s="262"/>
      <x:c r="E5" s="262"/>
      <x:c r="F5" s="262"/>
      <x:c r="G5" s="262"/>
      <x:c r="H5" s="262"/>
    </x:row>
    <x:row r="6">
      <x:c r="A6" s="264" t="str">
        <x:v>Metric</x:v>
      </x:c>
      <x:c r="B6" s="264" t="str">
        <x:v>Value</x:v>
      </x:c>
      <x:c r="C6" s="262"/>
      <x:c r="D6" s="265" t="str">
        <x:f>IF(B4="","Select a player",B4&amp;" is currently ranked #"&amp;B7&amp;" with an FLPR Rating of "&amp;TEXT(B12,"0.00")&amp;", Tier "&amp;B13&amp;", and official handicap "&amp;TEXT(B14,"+0;-0;0")&amp;". Match record: "&amp;B9&amp;" wins and "&amp;B10&amp;" losses from "&amp;B8&amp;" matches. Current status: "&amp;B16&amp;".")</x:f>
        <x:v>Edy SP is currently ranked #10 with an FLPR Rating of 45.90, Tier C, and official handicap -2. Match record: 14 wins and 16 losses from 30 matches. Current status: Established.</x:v>
      </x:c>
      <x:c r="E6" s="265"/>
      <x:c r="F6" s="265"/>
      <x:c r="G6" s="265"/>
      <x:c r="H6" s="265"/>
    </x:row>
    <x:row r="7">
      <x:c r="A7" s="263" t="str">
        <x:v>Rank</x:v>
      </x:c>
      <x:c r="B7" s="262" t="n">
        <x:f>IFERROR(INDEX('Official Ranking v2'!$A$6:$A$205,MATCH($B$4,'Official Ranking v2'!$B$6:$B$205,0)),"")</x:f>
        <x:v>10</x:v>
      </x:c>
      <x:c r="C7" s="262"/>
      <x:c r="D7" s="265"/>
      <x:c r="E7" s="265"/>
      <x:c r="F7" s="265"/>
      <x:c r="G7" s="265"/>
      <x:c r="H7" s="265"/>
    </x:row>
    <x:row r="8">
      <x:c r="A8" s="263" t="str">
        <x:v>Matches Played</x:v>
      </x:c>
      <x:c r="B8" s="262" t="n">
        <x:f>IFERROR(INDEX('Official Ranking v2'!$C$6:$C$205,MATCH($B$4,'Official Ranking v2'!$B$6:$B$205,0)),"")</x:f>
        <x:v>30</x:v>
      </x:c>
      <x:c r="C8" s="262"/>
      <x:c r="D8" s="265"/>
      <x:c r="E8" s="265"/>
      <x:c r="F8" s="265"/>
      <x:c r="G8" s="265"/>
      <x:c r="H8" s="265"/>
    </x:row>
    <x:row r="9">
      <x:c r="A9" s="263" t="str">
        <x:v>Wins</x:v>
      </x:c>
      <x:c r="B9" s="262" t="n">
        <x:f>IFERROR(INDEX('Official Ranking v2'!$D$6:$D$205,MATCH($B$4,'Official Ranking v2'!$B$6:$B$205,0)),"")</x:f>
        <x:v>14</x:v>
      </x:c>
      <x:c r="C9" s="262"/>
      <x:c r="D9" s="265"/>
      <x:c r="E9" s="265"/>
      <x:c r="F9" s="265"/>
      <x:c r="G9" s="265"/>
      <x:c r="H9" s="265"/>
    </x:row>
    <x:row r="10">
      <x:c r="A10" s="263" t="str">
        <x:v>Losses</x:v>
      </x:c>
      <x:c r="B10" s="262" t="n">
        <x:f>IFERROR(INDEX('Official Ranking v2'!$E$6:$E$205,MATCH($B$4,'Official Ranking v2'!$B$6:$B$205,0)),"")</x:f>
        <x:v>16</x:v>
      </x:c>
      <x:c r="C10" s="262"/>
      <x:c r="D10" s="265"/>
      <x:c r="E10" s="265"/>
      <x:c r="F10" s="265"/>
      <x:c r="G10" s="265"/>
      <x:c r="H10" s="265"/>
    </x:row>
    <x:row r="11">
      <x:c r="A11" s="263" t="str">
        <x:v>Raw Win %</x:v>
      </x:c>
      <x:c r="B11" s="266" t="n">
        <x:f>IFERROR(INDEX('Official Ranking v2'!$F$6:$F$205,MATCH($B$4,'Official Ranking v2'!$B$6:$B$205,0)),"")</x:f>
        <x:v>0.4666666666666667</x:v>
      </x:c>
      <x:c r="C11" s="262"/>
      <x:c r="D11" s="265"/>
      <x:c r="E11" s="265"/>
      <x:c r="F11" s="265"/>
      <x:c r="G11" s="265"/>
      <x:c r="H11" s="265"/>
    </x:row>
    <x:row r="12">
      <x:c r="A12" s="263" t="str">
        <x:v>FLPR Rating</x:v>
      </x:c>
      <x:c r="B12" s="267" t="n">
        <x:f>IFERROR(INDEX('Official Ranking v2'!$S$6:$S$205,MATCH($B$4,'Official Ranking v2'!$B$6:$B$205,0)),"")</x:f>
        <x:v>45.89574377725399</x:v>
      </x:c>
      <x:c r="C12" s="262"/>
      <x:c r="D12" s="265"/>
      <x:c r="E12" s="265"/>
      <x:c r="F12" s="265"/>
      <x:c r="G12" s="265"/>
      <x:c r="H12" s="265"/>
    </x:row>
    <x:row r="13">
      <x:c r="A13" s="263" t="str">
        <x:v>Tier</x:v>
      </x:c>
      <x:c r="B13" s="262" t="str">
        <x:f>IFERROR(INDEX('Official Ranking v2'!$T$6:$T$205,MATCH($B$4,'Official Ranking v2'!$B$6:$B$205,0)),"")</x:f>
        <x:v>C</x:v>
      </x:c>
      <x:c r="C13" s="262"/>
      <x:c r="D13" s="262"/>
      <x:c r="E13" s="262"/>
      <x:c r="F13" s="262"/>
      <x:c r="G13" s="262"/>
      <x:c r="H13" s="262"/>
    </x:row>
    <x:row r="14">
      <x:c r="A14" s="263" t="str">
        <x:v>Official Handicap</x:v>
      </x:c>
      <x:c r="B14" s="262" t="n">
        <x:f>IFERROR(INDEX('Official Ranking v2'!$W$6:$W$205,MATCH($B$4,'Official Ranking v2'!$B$6:$B$205,0)),"")</x:f>
        <x:v>-2</x:v>
      </x:c>
      <x:c r="C14" s="262"/>
      <x:c r="D14" s="262"/>
      <x:c r="E14" s="262"/>
      <x:c r="F14" s="262"/>
      <x:c r="G14" s="262"/>
      <x:c r="H14" s="262"/>
    </x:row>
    <x:row r="15">
      <x:c r="A15" s="263" t="str">
        <x:v>Class</x:v>
      </x:c>
      <x:c r="B15" s="262" t="str">
        <x:f>IFERROR(INDEX('Official Ranking v2'!$X$6:$X$205,MATCH($B$4,'Official Ranking v2'!$B$6:$B$205,0)),"")</x:f>
        <x:v>C+</x:v>
      </x:c>
      <x:c r="C15" s="262"/>
      <x:c r="D15" s="262"/>
      <x:c r="E15" s="262"/>
      <x:c r="F15" s="262"/>
      <x:c r="G15" s="262"/>
      <x:c r="H15" s="262"/>
    </x:row>
    <x:row r="16">
      <x:c r="A16" s="263" t="str">
        <x:v>Status</x:v>
      </x:c>
      <x:c r="B16" s="262" t="str">
        <x:f>IFERROR(INDEX('Official Ranking v2'!$V$6:$V$205,MATCH($B$4,'Official Ranking v2'!$B$6:$B$205,0)),"")</x:f>
        <x:v>Established</x:v>
      </x:c>
      <x:c r="C16" s="262"/>
      <x:c r="D16" s="262"/>
      <x:c r="E16" s="262"/>
      <x:c r="F16" s="262"/>
      <x:c r="G16" s="262"/>
      <x:c r="H16" s="262"/>
    </x:row>
    <x:row r="17">
      <x:c r="A17" s="263" t="str">
        <x:v>Recent Form</x:v>
      </x:c>
      <x:c r="B17" s="267" t="n">
        <x:f>IFERROR(INDEX('Official Ranking v2'!$P$6:$P$205,MATCH($B$4,'Official Ranking v2'!$B$6:$B$205,0)),"")</x:f>
        <x:v>40</x:v>
      </x:c>
      <x:c r="C17" s="262"/>
      <x:c r="D17" s="262"/>
      <x:c r="E17" s="262"/>
      <x:c r="F17" s="262"/>
      <x:c r="G17" s="262"/>
      <x:c r="H17" s="262"/>
    </x:row>
  </x:sheetData>
  <x:mergeCells>
    <x:mergeCell ref="A1:H1"/>
    <x:mergeCell ref="A2:H2"/>
    <x:mergeCell ref="D4:H4"/>
    <x:mergeCell ref="D6:H12"/>
  </x:mergeCells>
  <x:dataValidations count="1">
    <x:dataValidation type="list" sqref="B4">
      <x:formula1>'Official Ranking v2'!$B$6:$B$205</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10.25" hidden="0" customWidth="1"/>
    <x:col min="3" max="3" width="4.380000114440918" hidden="0" customWidth="1"/>
    <x:col min="4" max="4" width="15" hidden="0" customWidth="1"/>
    <x:col min="5" max="5" width="15" hidden="0" customWidth="1"/>
    <x:col min="6" max="6" width="15" hidden="0" customWidth="1"/>
    <x:col min="7" max="7" width="15" hidden="0" customWidth="1"/>
    <x:col min="8" max="8" width="15" hidden="0" customWidth="1"/>
  </x:cols>
  <x:sheetData>
    <x:row r="1">
      <x:c r="A1" s="279" t="str">
        <x:v>FLPR TOURNAMENT STATISTICS — PHASE B FINAL</x:v>
      </x:c>
      <x:c r="B1" s="279"/>
      <x:c r="C1" s="279"/>
      <x:c r="D1" s="279"/>
      <x:c r="E1" s="279"/>
      <x:c r="F1" s="279"/>
      <x:c r="G1" s="279"/>
      <x:c r="H1" s="279"/>
    </x:row>
    <x:row r="2">
      <x:c r="A2" s="280" t="str">
        <x:v>Volume-level competition statistics, automatically linked to Official Ranking v2</x:v>
      </x:c>
      <x:c r="B2" s="280"/>
      <x:c r="C2" s="280"/>
      <x:c r="D2" s="280"/>
      <x:c r="E2" s="280"/>
      <x:c r="F2" s="280"/>
      <x:c r="G2" s="280"/>
      <x:c r="H2" s="280"/>
    </x:row>
    <x:row r="3">
      <x:c r="A3" s="262"/>
      <x:c r="B3" s="262"/>
      <x:c r="C3" s="262"/>
      <x:c r="D3" s="262"/>
      <x:c r="E3" s="262"/>
      <x:c r="F3" s="262"/>
      <x:c r="G3" s="262"/>
      <x:c r="H3" s="262"/>
    </x:row>
    <x:row r="4">
      <x:c r="A4" s="284" t="str">
        <x:v>KPI</x:v>
      </x:c>
      <x:c r="B4" s="284" t="str">
        <x:v>Value</x:v>
      </x:c>
      <x:c r="C4" s="262"/>
      <x:c r="D4" s="284" t="str">
        <x:v>Rank</x:v>
      </x:c>
      <x:c r="E4" s="284" t="str">
        <x:v>Player</x:v>
      </x:c>
      <x:c r="F4" s="284" t="str">
        <x:v>MP</x:v>
      </x:c>
      <x:c r="G4" s="284" t="str">
        <x:v>Win %</x:v>
      </x:c>
      <x:c r="H4" s="284" t="str">
        <x:v>Rating</x:v>
      </x:c>
    </x:row>
    <x:row r="5">
      <x:c r="A5" s="262" t="str">
        <x:v>Players</x:v>
      </x:c>
      <x:c r="B5" s="262" t="n">
        <x:f>COUNTA('Official Ranking v2'!B6:B205)</x:f>
        <x:v>20</x:v>
      </x:c>
      <x:c r="C5" s="262"/>
      <x:c r="D5" s="262" t="n">
        <x:f>'Official Ranking v2'!A6</x:f>
        <x:v>1</x:v>
      </x:c>
      <x:c r="E5" s="266" t="str">
        <x:f>'Official Ranking v2'!B6</x:f>
        <x:v>Sandy</x:v>
      </x:c>
      <x:c r="F5" s="262" t="n">
        <x:f>'Official Ranking v2'!C6</x:f>
        <x:v>13</x:v>
      </x:c>
      <x:c r="G5" s="262" t="n">
        <x:f>'Official Ranking v2'!F6</x:f>
        <x:v>0.8461538461538461</x:v>
      </x:c>
      <x:c r="H5" s="262" t="n">
        <x:f>'Official Ranking v2'!S6</x:f>
        <x:v>70.51306635024372</x:v>
      </x:c>
    </x:row>
    <x:row r="6">
      <x:c r="A6" s="262" t="str">
        <x:v>Valid Matches</x:v>
      </x:c>
      <x:c r="B6" s="262" t="n">
        <x:f>ROUND(SUM('Official Ranking v2'!C6:C205)/4,0)</x:f>
        <x:v>57</x:v>
      </x:c>
      <x:c r="C6" s="262"/>
      <x:c r="D6" s="262" t="n">
        <x:f>'Official Ranking v2'!A7</x:f>
        <x:v>2</x:v>
      </x:c>
      <x:c r="E6" s="266" t="str">
        <x:f>'Official Ranking v2'!B7</x:f>
        <x:v>Thohir</x:v>
      </x:c>
      <x:c r="F6" s="262" t="n">
        <x:f>'Official Ranking v2'!C7</x:f>
        <x:v>4</x:v>
      </x:c>
      <x:c r="G6" s="262" t="n">
        <x:f>'Official Ranking v2'!F7</x:f>
        <x:v>1</x:v>
      </x:c>
      <x:c r="H6" s="262" t="n">
        <x:f>'Official Ranking v2'!S7</x:f>
        <x:v>64.66887046003484</x:v>
      </x:c>
    </x:row>
    <x:row r="7">
      <x:c r="A7" s="262" t="str">
        <x:v>Player-Match Records</x:v>
      </x:c>
      <x:c r="B7" s="262" t="n">
        <x:f>SUM('Official Ranking v2'!C6:C205)</x:f>
        <x:v>228</x:v>
      </x:c>
      <x:c r="C7" s="262"/>
      <x:c r="D7" s="262" t="n">
        <x:f>'Official Ranking v2'!A8</x:f>
        <x:v>3</x:v>
      </x:c>
      <x:c r="E7" s="266" t="str">
        <x:f>'Official Ranking v2'!B8</x:f>
        <x:v>Austin</x:v>
      </x:c>
      <x:c r="F7" s="262" t="n">
        <x:f>'Official Ranking v2'!C8</x:f>
        <x:v>14</x:v>
      </x:c>
      <x:c r="G7" s="262" t="n">
        <x:f>'Official Ranking v2'!F8</x:f>
        <x:v>0.6428571428571429</x:v>
      </x:c>
      <x:c r="H7" s="262" t="n">
        <x:f>'Official Ranking v2'!S8</x:f>
        <x:v>59.40079845232992</x:v>
      </x:c>
    </x:row>
    <x:row r="8">
      <x:c r="A8" s="262" t="str">
        <x:v>Total Wins</x:v>
      </x:c>
      <x:c r="B8" s="262" t="n">
        <x:f>SUM('Official Ranking v2'!D6:D205)</x:f>
        <x:v>114</x:v>
      </x:c>
      <x:c r="C8" s="262"/>
      <x:c r="D8" s="262" t="n">
        <x:f>'Official Ranking v2'!A9</x:f>
        <x:v>4</x:v>
      </x:c>
      <x:c r="E8" s="266" t="str">
        <x:f>'Official Ranking v2'!B9</x:f>
        <x:v>Rey</x:v>
      </x:c>
      <x:c r="F8" s="262" t="n">
        <x:f>'Official Ranking v2'!C9</x:f>
        <x:v>7</x:v>
      </x:c>
      <x:c r="G8" s="262" t="n">
        <x:f>'Official Ranking v2'!F9</x:f>
        <x:v>0.7142857142857143</x:v>
      </x:c>
      <x:c r="H8" s="262" t="n">
        <x:f>'Official Ranking v2'!S9</x:f>
        <x:v>59.36910718873768</x:v>
      </x:c>
    </x:row>
    <x:row r="9">
      <x:c r="A9" s="262" t="str">
        <x:v>Average Matches / Player</x:v>
      </x:c>
      <x:c r="B9" s="262" t="n">
        <x:f>AVERAGE('Official Ranking v2'!C6:C205)</x:f>
        <x:v>11.4</x:v>
      </x:c>
      <x:c r="C9" s="262"/>
      <x:c r="D9" s="262" t="n">
        <x:f>'Official Ranking v2'!A10</x:f>
        <x:v>5</x:v>
      </x:c>
      <x:c r="E9" s="266" t="str">
        <x:f>'Official Ranking v2'!B10</x:f>
        <x:v>Ronald</x:v>
      </x:c>
      <x:c r="F9" s="262" t="n">
        <x:f>'Official Ranking v2'!C10</x:f>
        <x:v>18</x:v>
      </x:c>
      <x:c r="G9" s="262" t="n">
        <x:f>'Official Ranking v2'!F10</x:f>
        <x:v>0.6666666666666666</x:v>
      </x:c>
      <x:c r="H9" s="262" t="n">
        <x:f>'Official Ranking v2'!S10</x:f>
        <x:v>58.39066504604191</x:v>
      </x:c>
    </x:row>
    <x:row r="10">
      <x:c r="A10" s="262" t="str">
        <x:v>Average Win Rate</x:v>
      </x:c>
      <x:c r="B10" s="266" t="n">
        <x:f>AVERAGE('Official Ranking v2'!F6:F205)</x:f>
        <x:v>0.4876415251415252</x:v>
      </x:c>
      <x:c r="C10" s="262"/>
      <x:c r="D10" s="262" t="n">
        <x:f>'Official Ranking v2'!A11</x:f>
        <x:v>6</x:v>
      </x:c>
      <x:c r="E10" s="266" t="str">
        <x:f>'Official Ranking v2'!B11</x:f>
        <x:v>Ricky</x:v>
      </x:c>
      <x:c r="F10" s="262" t="n">
        <x:f>'Official Ranking v2'!C11</x:f>
        <x:v>26</x:v>
      </x:c>
      <x:c r="G10" s="262" t="n">
        <x:f>'Official Ranking v2'!F11</x:f>
        <x:v>0.6153846153846154</x:v>
      </x:c>
      <x:c r="H10" s="262" t="n">
        <x:f>'Official Ranking v2'!S11</x:f>
        <x:v>54.08585475906235</x:v>
      </x:c>
    </x:row>
    <x:row r="11">
      <x:c r="A11" s="262" t="str">
        <x:v>Average Rating</x:v>
      </x:c>
      <x:c r="B11" s="267" t="n">
        <x:f>AVERAGE('Official Ranking v2'!S6:S205)</x:f>
        <x:v>47.73166941645191</x:v>
      </x:c>
      <x:c r="C11" s="262"/>
      <x:c r="D11" s="262" t="n">
        <x:f>'Official Ranking v2'!A12</x:f>
        <x:v>7</x:v>
      </x:c>
      <x:c r="E11" s="266" t="str">
        <x:f>'Official Ranking v2'!B12</x:f>
        <x:v>Jonathan</x:v>
      </x:c>
      <x:c r="F11" s="262" t="n">
        <x:f>'Official Ranking v2'!C12</x:f>
        <x:v>6</x:v>
      </x:c>
      <x:c r="G11" s="262" t="n">
        <x:f>'Official Ranking v2'!F12</x:f>
        <x:v>0.6666666666666666</x:v>
      </x:c>
      <x:c r="H11" s="262" t="n">
        <x:f>'Official Ranking v2'!S12</x:f>
        <x:v>51.86227380674279</x:v>
      </x:c>
    </x:row>
    <x:row r="12">
      <x:c r="A12" s="262" t="str">
        <x:v>Rating Spread</x:v>
      </x:c>
      <x:c r="B12" s="262" t="n">
        <x:f>MAX('Official Ranking v2'!S6:S205)-MIN('Official Ranking v2'!S6:S205)</x:f>
        <x:v>39.09652223548843</x:v>
      </x:c>
      <x:c r="C12" s="262"/>
      <x:c r="D12" s="262" t="n">
        <x:f>'Official Ranking v2'!A13</x:f>
        <x:v>8</x:v>
      </x:c>
      <x:c r="E12" s="266" t="str">
        <x:f>'Official Ranking v2'!B13</x:f>
        <x:v>Kennard</x:v>
      </x:c>
      <x:c r="F12" s="262" t="n">
        <x:f>'Official Ranking v2'!C13</x:f>
        <x:v>13</x:v>
      </x:c>
      <x:c r="G12" s="262" t="n">
        <x:f>'Official Ranking v2'!F13</x:f>
        <x:v>0.6923076923076923</x:v>
      </x:c>
      <x:c r="H12" s="262" t="n">
        <x:f>'Official Ranking v2'!S13</x:f>
        <x:v>50.28911547688009</x:v>
      </x:c>
    </x:row>
    <x:row r="13">
      <x:c r="A13" s="262" t="str">
        <x:v>Established Players</x:v>
      </x:c>
      <x:c r="B13" s="262" t="n">
        <x:f>COUNTIF('Official Ranking v2'!V6:V205,"Established")</x:f>
        <x:v>9</x:v>
      </x:c>
      <x:c r="C13" s="262"/>
      <x:c r="D13" s="262" t="n">
        <x:f>'Official Ranking v2'!A14</x:f>
        <x:v>9</x:v>
      </x:c>
      <x:c r="E13" s="266" t="str">
        <x:f>'Official Ranking v2'!B14</x:f>
        <x:v>Rizky</x:v>
      </x:c>
      <x:c r="F13" s="262" t="n">
        <x:f>'Official Ranking v2'!C14</x:f>
        <x:v>6</x:v>
      </x:c>
      <x:c r="G13" s="262" t="n">
        <x:f>'Official Ranking v2'!F14</x:f>
        <x:v>0.6666666666666666</x:v>
      </x:c>
      <x:c r="H13" s="262" t="n">
        <x:f>'Official Ranking v2'!S14</x:f>
        <x:v>49.19458587929172</x:v>
      </x:c>
    </x:row>
    <x:row r="14">
      <x:c r="A14" s="262" t="str">
        <x:v>Competitive Balance Index</x:v>
      </x:c>
      <x:c r="B14" s="286" t="n">
        <x:f>MAX(0,100-STDEV.P('Official Ranking v2'!S6:S205)*2)</x:f>
        <x:v>78.83413708703864</x:v>
      </x:c>
      <x:c r="C14" s="262"/>
      <x:c r="D14" s="262" t="n">
        <x:f>'Official Ranking v2'!A15</x:f>
        <x:v>10</x:v>
      </x:c>
      <x:c r="E14" s="266" t="str">
        <x:f>'Official Ranking v2'!B15</x:f>
        <x:v>Edy SP</x:v>
      </x:c>
      <x:c r="F14" s="262" t="n">
        <x:f>'Official Ranking v2'!C15</x:f>
        <x:v>30</x:v>
      </x:c>
      <x:c r="G14" s="262" t="n">
        <x:f>'Official Ranking v2'!F15</x:f>
        <x:v>0.4666666666666667</x:v>
      </x:c>
      <x:c r="H14" s="262" t="n">
        <x:f>'Official Ranking v2'!S15</x:f>
        <x:v>45.89574377725399</x:v>
      </x:c>
    </x:row>
    <x:row r="15">
      <x:c r="A15" s="262"/>
      <x:c r="B15" s="262"/>
      <x:c r="C15" s="262"/>
      <x:c r="D15" s="262"/>
      <x:c r="E15" s="262"/>
      <x:c r="F15" s="262"/>
      <x:c r="G15" s="262"/>
      <x:c r="H15" s="262"/>
    </x:row>
    <x:row r="16">
      <x:c r="A16" s="262"/>
      <x:c r="B16" s="262"/>
      <x:c r="C16" s="262"/>
      <x:c r="D16" s="262"/>
      <x:c r="E16" s="262"/>
      <x:c r="F16" s="262"/>
      <x:c r="G16" s="262"/>
      <x:c r="H16" s="262"/>
    </x:row>
    <x:row r="17">
      <x:c r="A17" s="284" t="str">
        <x:v>Player</x:v>
      </x:c>
      <x:c r="B17" s="284" t="str">
        <x:v>MP</x:v>
      </x:c>
      <x:c r="C17" s="284" t="str">
        <x:v>Wins</x:v>
      </x:c>
      <x:c r="D17" s="284" t="str">
        <x:v>Losses</x:v>
      </x:c>
      <x:c r="E17" s="284" t="str">
        <x:v>Win %</x:v>
      </x:c>
      <x:c r="F17" s="284" t="str">
        <x:v>Rating</x:v>
      </x:c>
      <x:c r="G17" s="262"/>
      <x:c r="H17" s="262"/>
    </x:row>
    <x:row r="18">
      <x:c r="A18" s="262" t="str">
        <x:f>'Official Ranking v2'!B6</x:f>
        <x:v>Sandy</x:v>
      </x:c>
      <x:c r="B18" s="262" t="n">
        <x:f>'Official Ranking v2'!C6</x:f>
        <x:v>13</x:v>
      </x:c>
      <x:c r="C18" s="262" t="n">
        <x:f>'Official Ranking v2'!D6</x:f>
        <x:v>11</x:v>
      </x:c>
      <x:c r="D18" s="262" t="n">
        <x:f>'Official Ranking v2'!E6</x:f>
        <x:v>2</x:v>
      </x:c>
      <x:c r="E18" s="266" t="n">
        <x:f>'Official Ranking v2'!F6</x:f>
        <x:v>0.8461538461538461</x:v>
      </x:c>
      <x:c r="F18" s="267" t="n">
        <x:f>'Official Ranking v2'!S6</x:f>
        <x:v>70.51306635024372</x:v>
      </x:c>
      <x:c r="G18" s="262"/>
      <x:c r="H18" s="262"/>
    </x:row>
    <x:row r="19">
      <x:c r="A19" s="262" t="str">
        <x:f>'Official Ranking v2'!B7</x:f>
        <x:v>Thohir</x:v>
      </x:c>
      <x:c r="B19" s="262" t="n">
        <x:f>'Official Ranking v2'!C7</x:f>
        <x:v>4</x:v>
      </x:c>
      <x:c r="C19" s="262" t="n">
        <x:f>'Official Ranking v2'!D7</x:f>
        <x:v>4</x:v>
      </x:c>
      <x:c r="D19" s="262" t="n">
        <x:f>'Official Ranking v2'!E7</x:f>
        <x:v>0</x:v>
      </x:c>
      <x:c r="E19" s="266" t="n">
        <x:f>'Official Ranking v2'!F7</x:f>
        <x:v>1</x:v>
      </x:c>
      <x:c r="F19" s="267" t="n">
        <x:f>'Official Ranking v2'!S7</x:f>
        <x:v>64.66887046003484</x:v>
      </x:c>
      <x:c r="G19" s="262"/>
      <x:c r="H19" s="262"/>
    </x:row>
    <x:row r="20">
      <x:c r="A20" s="262" t="str">
        <x:f>'Official Ranking v2'!B8</x:f>
        <x:v>Austin</x:v>
      </x:c>
      <x:c r="B20" s="262" t="n">
        <x:f>'Official Ranking v2'!C8</x:f>
        <x:v>14</x:v>
      </x:c>
      <x:c r="C20" s="262" t="n">
        <x:f>'Official Ranking v2'!D8</x:f>
        <x:v>9</x:v>
      </x:c>
      <x:c r="D20" s="262" t="n">
        <x:f>'Official Ranking v2'!E8</x:f>
        <x:v>5</x:v>
      </x:c>
      <x:c r="E20" s="266" t="n">
        <x:f>'Official Ranking v2'!F8</x:f>
        <x:v>0.6428571428571429</x:v>
      </x:c>
      <x:c r="F20" s="267" t="n">
        <x:f>'Official Ranking v2'!S8</x:f>
        <x:v>59.40079845232992</x:v>
      </x:c>
      <x:c r="G20" s="262"/>
      <x:c r="H20" s="262"/>
    </x:row>
    <x:row r="21">
      <x:c r="A21" s="262" t="str">
        <x:f>'Official Ranking v2'!B9</x:f>
        <x:v>Rey</x:v>
      </x:c>
      <x:c r="B21" s="262" t="n">
        <x:f>'Official Ranking v2'!C9</x:f>
        <x:v>7</x:v>
      </x:c>
      <x:c r="C21" s="262" t="n">
        <x:f>'Official Ranking v2'!D9</x:f>
        <x:v>5</x:v>
      </x:c>
      <x:c r="D21" s="262" t="n">
        <x:f>'Official Ranking v2'!E9</x:f>
        <x:v>2</x:v>
      </x:c>
      <x:c r="E21" s="266" t="n">
        <x:f>'Official Ranking v2'!F9</x:f>
        <x:v>0.7142857142857143</x:v>
      </x:c>
      <x:c r="F21" s="267" t="n">
        <x:f>'Official Ranking v2'!S9</x:f>
        <x:v>59.36910718873768</x:v>
      </x:c>
      <x:c r="G21" s="262"/>
      <x:c r="H21" s="262"/>
    </x:row>
    <x:row r="22">
      <x:c r="A22" s="262" t="str">
        <x:f>'Official Ranking v2'!B10</x:f>
        <x:v>Ronald</x:v>
      </x:c>
      <x:c r="B22" s="262" t="n">
        <x:f>'Official Ranking v2'!C10</x:f>
        <x:v>18</x:v>
      </x:c>
      <x:c r="C22" s="262" t="n">
        <x:f>'Official Ranking v2'!D10</x:f>
        <x:v>12</x:v>
      </x:c>
      <x:c r="D22" s="262" t="n">
        <x:f>'Official Ranking v2'!E10</x:f>
        <x:v>6</x:v>
      </x:c>
      <x:c r="E22" s="266" t="n">
        <x:f>'Official Ranking v2'!F10</x:f>
        <x:v>0.6666666666666666</x:v>
      </x:c>
      <x:c r="F22" s="267" t="n">
        <x:f>'Official Ranking v2'!S10</x:f>
        <x:v>58.39066504604191</x:v>
      </x:c>
      <x:c r="G22" s="262"/>
      <x:c r="H22" s="262"/>
    </x:row>
    <x:row r="23">
      <x:c r="A23" s="262" t="str">
        <x:f>'Official Ranking v2'!B11</x:f>
        <x:v>Ricky</x:v>
      </x:c>
      <x:c r="B23" s="262" t="n">
        <x:f>'Official Ranking v2'!C11</x:f>
        <x:v>26</x:v>
      </x:c>
      <x:c r="C23" s="262" t="n">
        <x:f>'Official Ranking v2'!D11</x:f>
        <x:v>16</x:v>
      </x:c>
      <x:c r="D23" s="262" t="n">
        <x:f>'Official Ranking v2'!E11</x:f>
        <x:v>10</x:v>
      </x:c>
      <x:c r="E23" s="266" t="n">
        <x:f>'Official Ranking v2'!F11</x:f>
        <x:v>0.6153846153846154</x:v>
      </x:c>
      <x:c r="F23" s="267" t="n">
        <x:f>'Official Ranking v2'!S11</x:f>
        <x:v>54.08585475906235</x:v>
      </x:c>
      <x:c r="G23" s="262"/>
      <x:c r="H23" s="262"/>
    </x:row>
    <x:row r="24">
      <x:c r="A24" s="262" t="str">
        <x:f>'Official Ranking v2'!B12</x:f>
        <x:v>Jonathan</x:v>
      </x:c>
      <x:c r="B24" s="262" t="n">
        <x:f>'Official Ranking v2'!C12</x:f>
        <x:v>6</x:v>
      </x:c>
      <x:c r="C24" s="262" t="n">
        <x:f>'Official Ranking v2'!D12</x:f>
        <x:v>4</x:v>
      </x:c>
      <x:c r="D24" s="262" t="n">
        <x:f>'Official Ranking v2'!E12</x:f>
        <x:v>2</x:v>
      </x:c>
      <x:c r="E24" s="266" t="n">
        <x:f>'Official Ranking v2'!F12</x:f>
        <x:v>0.6666666666666666</x:v>
      </x:c>
      <x:c r="F24" s="267" t="n">
        <x:f>'Official Ranking v2'!S12</x:f>
        <x:v>51.86227380674279</x:v>
      </x:c>
      <x:c r="G24" s="262"/>
      <x:c r="H24" s="262"/>
    </x:row>
    <x:row r="25">
      <x:c r="A25" s="262" t="str">
        <x:f>'Official Ranking v2'!B13</x:f>
        <x:v>Kennard</x:v>
      </x:c>
      <x:c r="B25" s="262" t="n">
        <x:f>'Official Ranking v2'!C13</x:f>
        <x:v>13</x:v>
      </x:c>
      <x:c r="C25" s="262" t="n">
        <x:f>'Official Ranking v2'!D13</x:f>
        <x:v>9</x:v>
      </x:c>
      <x:c r="D25" s="262" t="n">
        <x:f>'Official Ranking v2'!E13</x:f>
        <x:v>4</x:v>
      </x:c>
      <x:c r="E25" s="266" t="n">
        <x:f>'Official Ranking v2'!F13</x:f>
        <x:v>0.6923076923076923</x:v>
      </x:c>
      <x:c r="F25" s="267" t="n">
        <x:f>'Official Ranking v2'!S13</x:f>
        <x:v>50.28911547688009</x:v>
      </x:c>
      <x:c r="G25" s="262"/>
      <x:c r="H25" s="262"/>
    </x:row>
    <x:row r="26">
      <x:c r="A26" s="262" t="str">
        <x:f>'Official Ranking v2'!B14</x:f>
        <x:v>Rizky</x:v>
      </x:c>
      <x:c r="B26" s="262" t="n">
        <x:f>'Official Ranking v2'!C14</x:f>
        <x:v>6</x:v>
      </x:c>
      <x:c r="C26" s="262" t="n">
        <x:f>'Official Ranking v2'!D14</x:f>
        <x:v>4</x:v>
      </x:c>
      <x:c r="D26" s="262" t="n">
        <x:f>'Official Ranking v2'!E14</x:f>
        <x:v>2</x:v>
      </x:c>
      <x:c r="E26" s="266" t="n">
        <x:f>'Official Ranking v2'!F14</x:f>
        <x:v>0.6666666666666666</x:v>
      </x:c>
      <x:c r="F26" s="267" t="n">
        <x:f>'Official Ranking v2'!S14</x:f>
        <x:v>49.19458587929172</x:v>
      </x:c>
      <x:c r="G26" s="262"/>
      <x:c r="H26" s="262"/>
    </x:row>
    <x:row r="27">
      <x:c r="A27" s="262" t="str">
        <x:f>'Official Ranking v2'!B15</x:f>
        <x:v>Edy SP</x:v>
      </x:c>
      <x:c r="B27" s="262" t="n">
        <x:f>'Official Ranking v2'!C15</x:f>
        <x:v>30</x:v>
      </x:c>
      <x:c r="C27" s="262" t="n">
        <x:f>'Official Ranking v2'!D15</x:f>
        <x:v>14</x:v>
      </x:c>
      <x:c r="D27" s="262" t="n">
        <x:f>'Official Ranking v2'!E15</x:f>
        <x:v>16</x:v>
      </x:c>
      <x:c r="E27" s="266" t="n">
        <x:f>'Official Ranking v2'!F15</x:f>
        <x:v>0.4666666666666667</x:v>
      </x:c>
      <x:c r="F27" s="267" t="n">
        <x:f>'Official Ranking v2'!S15</x:f>
        <x:v>45.89574377725399</x:v>
      </x:c>
      <x:c r="G27" s="262"/>
      <x:c r="H27" s="262"/>
    </x:row>
    <x:row r="28">
      <x:c r="A28" s="262" t="str">
        <x:f>'Official Ranking v2'!B16</x:f>
        <x:v>Michael</x:v>
      </x:c>
      <x:c r="B28" s="262" t="n">
        <x:f>'Official Ranking v2'!C16</x:f>
        <x:v>13</x:v>
      </x:c>
      <x:c r="C28" s="262" t="n">
        <x:f>'Official Ranking v2'!D16</x:f>
        <x:v>6</x:v>
      </x:c>
      <x:c r="D28" s="262" t="n">
        <x:f>'Official Ranking v2'!E16</x:f>
        <x:v>7</x:v>
      </x:c>
      <x:c r="E28" s="266" t="n">
        <x:f>'Official Ranking v2'!F16</x:f>
        <x:v>0.4615384615384616</x:v>
      </x:c>
      <x:c r="F28" s="267" t="n">
        <x:f>'Official Ranking v2'!S16</x:f>
        <x:v>45.67313478777373</x:v>
      </x:c>
      <x:c r="G28" s="262"/>
      <x:c r="H28" s="262"/>
    </x:row>
    <x:row r="29">
      <x:c r="A29" s="262" t="str">
        <x:f>'Official Ranking v2'!B17</x:f>
        <x:v>Nicholas</x:v>
      </x:c>
      <x:c r="B29" s="262" t="n">
        <x:f>'Official Ranking v2'!C17</x:f>
        <x:v>7</x:v>
      </x:c>
      <x:c r="C29" s="262" t="n">
        <x:f>'Official Ranking v2'!D17</x:f>
        <x:v>3</x:v>
      </x:c>
      <x:c r="D29" s="262" t="n">
        <x:f>'Official Ranking v2'!E17</x:f>
        <x:v>4</x:v>
      </x:c>
      <x:c r="E29" s="266" t="n">
        <x:f>'Official Ranking v2'!F17</x:f>
        <x:v>0.4285714285714285</x:v>
      </x:c>
      <x:c r="F29" s="267" t="n">
        <x:f>'Official Ranking v2'!S17</x:f>
        <x:v>45.28271303058267</x:v>
      </x:c>
      <x:c r="G29" s="262"/>
      <x:c r="H29" s="262"/>
    </x:row>
    <x:row r="30">
      <x:c r="A30" s="262" t="str">
        <x:f>'Official Ranking v2'!B18</x:f>
        <x:v>David</x:v>
      </x:c>
      <x:c r="B30" s="262" t="n">
        <x:f>'Official Ranking v2'!C18</x:f>
        <x:v>12</x:v>
      </x:c>
      <x:c r="C30" s="262" t="n">
        <x:f>'Official Ranking v2'!D18</x:f>
        <x:v>5</x:v>
      </x:c>
      <x:c r="D30" s="262" t="n">
        <x:f>'Official Ranking v2'!E18</x:f>
        <x:v>7</x:v>
      </x:c>
      <x:c r="E30" s="266" t="n">
        <x:f>'Official Ranking v2'!F18</x:f>
        <x:v>0.4166666666666667</x:v>
      </x:c>
      <x:c r="F30" s="267" t="n">
        <x:f>'Official Ranking v2'!S18</x:f>
        <x:v>43.36193577193154</x:v>
      </x:c>
      <x:c r="G30" s="262"/>
      <x:c r="H30" s="262"/>
    </x:row>
    <x:row r="31">
      <x:c r="A31" s="262" t="str">
        <x:f>'Official Ranking v2'!B19</x:f>
        <x:v>Donny</x:v>
      </x:c>
      <x:c r="B31" s="262" t="n">
        <x:f>'Official Ranking v2'!C19</x:f>
        <x:v>11</x:v>
      </x:c>
      <x:c r="C31" s="262" t="n">
        <x:f>'Official Ranking v2'!D19</x:f>
        <x:v>4</x:v>
      </x:c>
      <x:c r="D31" s="262" t="n">
        <x:f>'Official Ranking v2'!E19</x:f>
        <x:v>7</x:v>
      </x:c>
      <x:c r="E31" s="266" t="n">
        <x:f>'Official Ranking v2'!F19</x:f>
        <x:v>0.3636363636363636</x:v>
      </x:c>
      <x:c r="F31" s="267" t="n">
        <x:f>'Official Ranking v2'!S19</x:f>
        <x:v>42.67589693029047</x:v>
      </x:c>
      <x:c r="G31" s="262"/>
      <x:c r="H31" s="262"/>
    </x:row>
    <x:row r="32">
      <x:c r="A32" s="262" t="str">
        <x:f>'Official Ranking v2'!B20</x:f>
        <x:v>Reza</x:v>
      </x:c>
      <x:c r="B32" s="262" t="n">
        <x:f>'Official Ranking v2'!C20</x:f>
        <x:v>6</x:v>
      </x:c>
      <x:c r="C32" s="262" t="n">
        <x:f>'Official Ranking v2'!D20</x:f>
        <x:v>2</x:v>
      </x:c>
      <x:c r="D32" s="262" t="n">
        <x:f>'Official Ranking v2'!E20</x:f>
        <x:v>4</x:v>
      </x:c>
      <x:c r="E32" s="266" t="n">
        <x:f>'Official Ranking v2'!F20</x:f>
        <x:v>0.3333333333333333</x:v>
      </x:c>
      <x:c r="F32" s="267" t="n">
        <x:f>'Official Ranking v2'!S20</x:f>
        <x:v>40.35591292370327</x:v>
      </x:c>
      <x:c r="G32" s="262"/>
      <x:c r="H32" s="262"/>
    </x:row>
    <x:row r="33">
      <x:c r="A33" s="262" t="str">
        <x:f>'Official Ranking v2'!B21</x:f>
        <x:v>Nico</x:v>
      </x:c>
      <x:c r="B33" s="262" t="n">
        <x:f>'Official Ranking v2'!C21</x:f>
        <x:v>6</x:v>
      </x:c>
      <x:c r="C33" s="262" t="n">
        <x:f>'Official Ranking v2'!D21</x:f>
        <x:v>2</x:v>
      </x:c>
      <x:c r="D33" s="262" t="n">
        <x:f>'Official Ranking v2'!E21</x:f>
        <x:v>4</x:v>
      </x:c>
      <x:c r="E33" s="266" t="n">
        <x:f>'Official Ranking v2'!F21</x:f>
        <x:v>0.3333333333333333</x:v>
      </x:c>
      <x:c r="F33" s="267" t="n">
        <x:f>'Official Ranking v2'!S21</x:f>
        <x:v>37.95817920836509</x:v>
      </x:c>
      <x:c r="G33" s="262"/>
      <x:c r="H33" s="262"/>
    </x:row>
    <x:row r="34">
      <x:c r="A34" s="262" t="str">
        <x:f>'Official Ranking v2'!B22</x:f>
        <x:v>Alwin</x:v>
      </x:c>
      <x:c r="B34" s="262" t="n">
        <x:f>'Official Ranking v2'!C22</x:f>
        <x:v>6</x:v>
      </x:c>
      <x:c r="C34" s="262" t="n">
        <x:f>'Official Ranking v2'!D22</x:f>
        <x:v>1</x:v>
      </x:c>
      <x:c r="D34" s="262" t="n">
        <x:f>'Official Ranking v2'!E22</x:f>
        <x:v>5</x:v>
      </x:c>
      <x:c r="E34" s="266" t="n">
        <x:f>'Official Ranking v2'!F22</x:f>
        <x:v>0.1666666666666667</x:v>
      </x:c>
      <x:c r="F34" s="267" t="n">
        <x:f>'Official Ranking v2'!S22</x:f>
        <x:v>35.87914127200738</x:v>
      </x:c>
      <x:c r="G34" s="262"/>
      <x:c r="H34" s="262"/>
    </x:row>
    <x:row r="35">
      <x:c r="A35" s="262" t="str">
        <x:f>'Official Ranking v2'!B23</x:f>
        <x:v>Hansen</x:v>
      </x:c>
      <x:c r="B35" s="262" t="n">
        <x:f>'Official Ranking v2'!C23</x:f>
        <x:v>6</x:v>
      </x:c>
      <x:c r="C35" s="262" t="n">
        <x:f>'Official Ranking v2'!D23</x:f>
        <x:v>0</x:v>
      </x:c>
      <x:c r="D35" s="262" t="n">
        <x:f>'Official Ranking v2'!E23</x:f>
        <x:v>6</x:v>
      </x:c>
      <x:c r="E35" s="266" t="n">
        <x:f>'Official Ranking v2'!F23</x:f>
        <x:v>0</x:v>
      </x:c>
      <x:c r="F35" s="267" t="n">
        <x:f>'Official Ranking v2'!S23</x:f>
        <x:v>34.74019645757599</x:v>
      </x:c>
      <x:c r="G35" s="262"/>
      <x:c r="H35" s="262"/>
    </x:row>
    <x:row r="36">
      <x:c r="A36" s="262" t="str">
        <x:f>'Official Ranking v2'!B24</x:f>
        <x:v>Welly</x:v>
      </x:c>
      <x:c r="B36" s="262" t="n">
        <x:f>'Official Ranking v2'!C24</x:f>
        <x:v>10</x:v>
      </x:c>
      <x:c r="C36" s="262" t="n">
        <x:f>'Official Ranking v2'!D24</x:f>
        <x:v>2</x:v>
      </x:c>
      <x:c r="D36" s="262" t="n">
        <x:f>'Official Ranking v2'!E24</x:f>
        <x:v>8</x:v>
      </x:c>
      <x:c r="E36" s="266" t="n">
        <x:f>'Official Ranking v2'!F24</x:f>
        <x:v>0.2</x:v>
      </x:c>
      <x:c r="F36" s="267" t="n">
        <x:f>'Official Ranking v2'!S24</x:f>
        <x:v>33.61965263543392</x:v>
      </x:c>
      <x:c r="G36" s="262"/>
      <x:c r="H36" s="262"/>
    </x:row>
    <x:row r="37">
      <x:c r="A37" s="262" t="str">
        <x:f>'Official Ranking v2'!B25</x:f>
        <x:v>Alice</x:v>
      </x:c>
      <x:c r="B37" s="262" t="n">
        <x:f>'Official Ranking v2'!C25</x:f>
        <x:v>14</x:v>
      </x:c>
      <x:c r="C37" s="262" t="n">
        <x:f>'Official Ranking v2'!D25</x:f>
        <x:v>1</x:v>
      </x:c>
      <x:c r="D37" s="262" t="n">
        <x:f>'Official Ranking v2'!E25</x:f>
        <x:v>13</x:v>
      </x:c>
      <x:c r="E37" s="266" t="n">
        <x:f>'Official Ranking v2'!F25</x:f>
        <x:v>0.07142857142857142</x:v>
      </x:c>
      <x:c r="F37" s="267" t="n">
        <x:f>'Official Ranking v2'!S25</x:f>
        <x:v>31.41654411475529</x:v>
      </x:c>
      <x:c r="G37" s="262"/>
      <x:c r="H37" s="262"/>
    </x:row>
    <x:row r="38">
      <x:c r="A38" s="262"/>
      <x:c r="B38" s="262"/>
      <x:c r="C38" s="262"/>
      <x:c r="D38" s="262"/>
      <x:c r="E38" s="262"/>
      <x:c r="F38" s="262"/>
      <x:c r="G38" s="262"/>
      <x:c r="H38" s="262"/>
    </x:row>
    <x:row r="39">
      <x:c r="A39" s="262"/>
      <x:c r="B39" s="262"/>
      <x:c r="C39" s="262"/>
      <x:c r="D39" s="262"/>
      <x:c r="E39" s="262"/>
      <x:c r="F39" s="262"/>
      <x:c r="G39" s="262"/>
      <x:c r="H39" s="262"/>
    </x:row>
    <x:row r="40">
      <x:c r="A40" s="262"/>
      <x:c r="B40" s="262"/>
      <x:c r="C40" s="262"/>
      <x:c r="D40" s="262"/>
      <x:c r="E40" s="262"/>
      <x:c r="F40" s="262"/>
      <x:c r="G40" s="262"/>
      <x:c r="H40" s="262"/>
    </x:row>
  </x:sheetData>
  <x:mergeCells>
    <x:mergeCell ref="A1:H1"/>
    <x:mergeCell ref="A2:H2"/>
  </x:mergeCells>
  <x:pageMargins left="0.7" right="0.7" top="0.75" bottom="0.75" header="0.3" footer="0.3"/>
</x:worksheet>
</file>

<file path=xl/worksheets/sheet39.xml><?xml version="1.0" encoding="utf-8"?>
<x:worksheet xmlns:x="http://schemas.openxmlformats.org/spreadsheetml/2006/main">
  <x:sheetFormatPr defaultRowHeight="15"/>
  <x:cols>
    <x:col min="1" max="1" width="22" hidden="0" customWidth="1"/>
    <x:col min="2" max="2" width="18" hidden="0" customWidth="1"/>
    <x:col min="3" max="3" width="22" hidden="0" customWidth="1"/>
    <x:col min="4" max="4" width="5.630000114440918" hidden="0" customWidth="1"/>
    <x:col min="5" max="5" width="22" hidden="0" customWidth="1"/>
    <x:col min="6" max="6" width="8.630000114440918" hidden="0" customWidth="1"/>
    <x:col min="7" max="7" width="13.25" hidden="0" customWidth="1"/>
    <x:col min="8" max="8" width="5.75" hidden="0" customWidth="1"/>
  </x:cols>
  <x:sheetData>
    <x:row r="1">
      <x:c r="A1" s="279" t="str">
        <x:v>FLPR AWARDS — AUTOMATED</x:v>
      </x:c>
      <x:c r="B1" s="279"/>
      <x:c r="C1" s="279"/>
      <x:c r="D1" s="279"/>
      <x:c r="E1" s="279"/>
      <x:c r="F1" s="279"/>
      <x:c r="G1" s="279"/>
      <x:c r="H1" s="279"/>
    </x:row>
    <x:row r="2">
      <x:c r="A2" s="280" t="str">
        <x:v>Awards use transparent statistical definitions from the official ranking dataset</x:v>
      </x:c>
      <x:c r="B2" s="280"/>
      <x:c r="C2" s="280"/>
      <x:c r="D2" s="280"/>
      <x:c r="E2" s="280"/>
      <x:c r="F2" s="280"/>
      <x:c r="G2" s="280"/>
      <x:c r="H2" s="280"/>
    </x:row>
    <x:row r="3">
      <x:c r="A3" s="262"/>
      <x:c r="B3" s="262"/>
      <x:c r="C3" s="262"/>
      <x:c r="D3" s="262"/>
      <x:c r="E3" s="262"/>
      <x:c r="F3" s="262"/>
      <x:c r="G3" s="262"/>
      <x:c r="H3" s="262"/>
    </x:row>
    <x:row r="4">
      <x:c r="A4" s="284" t="str">
        <x:v>Award</x:v>
      </x:c>
      <x:c r="B4" s="284" t="str">
        <x:v>Winner</x:v>
      </x:c>
      <x:c r="C4" s="284" t="str">
        <x:v>Primary Metric</x:v>
      </x:c>
      <x:c r="D4" s="284" t="str">
        <x:v>Value</x:v>
      </x:c>
      <x:c r="E4" s="284" t="str">
        <x:v>Eligibility / Rule</x:v>
      </x:c>
      <x:c r="F4" s="284" t="str">
        <x:v>Runner-up</x:v>
      </x:c>
      <x:c r="G4" s="284" t="str">
        <x:v>Runner-up Value</x:v>
      </x:c>
      <x:c r="H4" s="284" t="str">
        <x:v>Status</x:v>
      </x:c>
    </x:row>
    <x:row r="5">
      <x:c r="A5" s="262" t="str">
        <x:v>FLPR Champion</x:v>
      </x:c>
      <x:c r="B5" s="262" t="str">
        <x:f>INDEX('Official Ranking v2'!$B$6:$B$205,MATCH(D5,'Official Ranking v2'!$S$6:$S$205,0))</x:f>
        <x:v>Sandy</x:v>
      </x:c>
      <x:c r="C5" s="262" t="str">
        <x:v>FLPR Rating</x:v>
      </x:c>
      <x:c r="D5" s="267" t="n">
        <x:f>MAX('Official Ranking v2'!$S$6:$S$205)</x:f>
        <x:v>70.51306635024372</x:v>
      </x:c>
      <x:c r="E5" s="262" t="str">
        <x:v>All players</x:v>
      </x:c>
      <x:c r="F5" s="262" t="str">
        <x:f>INDEX('Official Ranking v2'!$B$6:$B$205,MATCH(G5,'Official Ranking v2'!$S$6:$S$205,0))</x:f>
        <x:v>Thohir</x:v>
      </x:c>
      <x:c r="G5" s="267" t="n">
        <x:f>LARGE('Official Ranking v2'!$S$6:$S$205,2)</x:f>
        <x:v>64.66887046003484</x:v>
      </x:c>
      <x:c r="H5" s="262" t="str">
        <x:v>Official</x:v>
      </x:c>
    </x:row>
    <x:row r="6">
      <x:c r="A6" s="262" t="str">
        <x:v>Best Win Rate</x:v>
      </x:c>
      <x:c r="B6" s="262" t="str">
        <x:f>INDEX('Official Ranking v2'!$B$6:$B$205,MATCH(D6,'Official Ranking v2'!$F$6:$F$205,0))</x:f>
        <x:v>Sandy</x:v>
      </x:c>
      <x:c r="C6" s="262" t="str">
        <x:v>Raw Win %</x:v>
      </x:c>
      <x:c r="D6" s="267" t="n">
        <x:f>MAXIFS('Official Ranking v2'!$F$6:$F$205,'Official Ranking v2'!$C$6:$C$205,"&gt;=6")</x:f>
        <x:v>0.8461538461538461</x:v>
      </x:c>
      <x:c r="E6" s="262" t="str">
        <x:v>Minimum 6 matches</x:v>
      </x:c>
      <x:c r="F6" s="262" t="str">
        <x:f>INDEX('Official Ranking v2'!$B$6:$B$205,MATCH(G6,'Official Ranking v2'!$F$6:$F$205,0))</x:f>
        <x:v>Sandy</x:v>
      </x:c>
      <x:c r="G6" s="267" t="n">
        <x:f>LARGE('Official Ranking v2'!$F$6:$F$205,2)</x:f>
        <x:v>0.8461538461538461</x:v>
      </x:c>
      <x:c r="H6" s="262" t="str">
        <x:v>Official</x:v>
      </x:c>
    </x:row>
    <x:row r="7">
      <x:c r="A7" s="262" t="str">
        <x:v>Most Dominant</x:v>
      </x:c>
      <x:c r="B7" s="262" t="str">
        <x:f>INDEX('Official Ranking v2'!$B$6:$B$205,MATCH(D7,'Official Ranking v2'!$H$6:$H$205,0))</x:f>
        <x:v>Sandy</x:v>
      </x:c>
      <x:c r="C7" s="262" t="str">
        <x:v>Dominance</x:v>
      </x:c>
      <x:c r="D7" s="267" t="n">
        <x:f>MAXIFS('Official Ranking v2'!$H$6:$H$205,'Official Ranking v2'!$C$6:$C$205,"&gt;=6")</x:f>
        <x:v>100</x:v>
      </x:c>
      <x:c r="E7" s="262" t="str">
        <x:v>Minimum 6 matches</x:v>
      </x:c>
      <x:c r="F7" s="262" t="str">
        <x:f>INDEX('Official Ranking v2'!$B$6:$B$205,MATCH(G7,'Official Ranking v2'!$H$6:$H$205,0))</x:f>
        <x:v>Austin</x:v>
      </x:c>
      <x:c r="G7" s="267" t="n">
        <x:f>LARGE('Official Ranking v2'!$H$6:$H$205,2)</x:f>
        <x:v>82.43729552889857</x:v>
      </x:c>
      <x:c r="H7" s="262" t="str">
        <x:v>Official</x:v>
      </x:c>
    </x:row>
    <x:row r="8">
      <x:c r="A8" s="262" t="str">
        <x:v>Most Consistent</x:v>
      </x:c>
      <x:c r="B8" s="262" t="str">
        <x:f>INDEX('Official Ranking v2'!$B$6:$B$205,MATCH(D8,'Official Ranking v2'!$M$6:$M$205,0))</x:f>
        <x:v>Hansen</x:v>
      </x:c>
      <x:c r="C8" s="262" t="str">
        <x:v>Consistency</x:v>
      </x:c>
      <x:c r="D8" s="267" t="n">
        <x:f>MAXIFS('Official Ranking v2'!$M$6:$M$205,'Official Ranking v2'!$C$6:$C$205,"&gt;=6")</x:f>
        <x:v>100</x:v>
      </x:c>
      <x:c r="E8" s="262" t="str">
        <x:v>Minimum 6 matches</x:v>
      </x:c>
      <x:c r="F8" s="262" t="str">
        <x:f>INDEX('Official Ranking v2'!$B$6:$B$205,MATCH(G8,'Official Ranking v2'!$M$6:$M$205,0))</x:f>
        <x:v>Thohir</x:v>
      </x:c>
      <x:c r="G8" s="267" t="n">
        <x:f>LARGE('Official Ranking v2'!$M$6:$M$205,2)</x:f>
        <x:v>97.3317320214429</x:v>
      </x:c>
      <x:c r="H8" s="262" t="str">
        <x:v>Official</x:v>
      </x:c>
    </x:row>
    <x:row r="9">
      <x:c r="A9" s="262" t="str">
        <x:v>Clutch Player</x:v>
      </x:c>
      <x:c r="B9" s="262" t="str">
        <x:f>INDEX('Official Ranking v2'!$B$6:$B$205,MATCH(D9,'Official Ranking v2'!$N$6:$N$205,0))</x:f>
        <x:v>Jonathan</x:v>
      </x:c>
      <x:c r="C9" s="262" t="str">
        <x:v>Clutch</x:v>
      </x:c>
      <x:c r="D9" s="267" t="n">
        <x:f>MAXIFS('Official Ranking v2'!$N$6:$N$205,'Official Ranking v2'!$C$6:$C$205,"&gt;=6")</x:f>
        <x:v>75</x:v>
      </x:c>
      <x:c r="E9" s="262" t="str">
        <x:v>Minimum 6 matches</x:v>
      </x:c>
      <x:c r="F9" s="262" t="str">
        <x:f>INDEX('Official Ranking v2'!$B$6:$B$205,MATCH(G9,'Official Ranking v2'!$N$6:$N$205,0))</x:f>
        <x:v>Kennard</x:v>
      </x:c>
      <x:c r="G9" s="267" t="n">
        <x:f>LARGE('Official Ranking v2'!$N$6:$N$205,2)</x:f>
        <x:v>70</x:v>
      </x:c>
      <x:c r="H9" s="262" t="str">
        <x:v>Official</x:v>
      </x:c>
    </x:row>
    <x:row r="10">
      <x:c r="A10" s="262" t="str">
        <x:v>Best Recent Form</x:v>
      </x:c>
      <x:c r="B10" s="262" t="str">
        <x:f>INDEX('Official Ranking v2'!$B$6:$B$205,MATCH(D10,'Official Ranking v2'!$P$6:$P$205,0))</x:f>
        <x:v>Thohir</x:v>
      </x:c>
      <x:c r="C10" s="262" t="str">
        <x:v>Recent Form</x:v>
      </x:c>
      <x:c r="D10" s="267" t="n">
        <x:f>MAXIFS('Official Ranking v2'!$P$6:$P$205,'Official Ranking v2'!$C$6:$C$205,"&gt;=4")</x:f>
        <x:v>100</x:v>
      </x:c>
      <x:c r="E10" s="262" t="str">
        <x:v>Minimum 4 matches</x:v>
      </x:c>
      <x:c r="F10" s="262" t="str">
        <x:f>INDEX('Official Ranking v2'!$B$6:$B$205,MATCH(G10,'Official Ranking v2'!$P$6:$P$205,0))</x:f>
        <x:v>Sandy</x:v>
      </x:c>
      <x:c r="G10" s="267" t="n">
        <x:f>LARGE('Official Ranking v2'!$P$6:$P$205,2)</x:f>
        <x:v>80</x:v>
      </x:c>
      <x:c r="H10" s="262" t="str">
        <x:v>Official</x:v>
      </x:c>
    </x:row>
    <x:row r="11">
      <x:c r="A11" s="262" t="str">
        <x:v>Overachiever</x:v>
      </x:c>
      <x:c r="B11" s="262" t="str">
        <x:f>INDEX('Official Ranking v2'!$B$6:$B$205,MATCH(D11,'Official Ranking v2'!$J$6:$J$205,0))</x:f>
        <x:v>Thohir</x:v>
      </x:c>
      <x:c r="C11" s="262" t="str">
        <x:v>Vs Expectation Score</x:v>
      </x:c>
      <x:c r="D11" s="267" t="n">
        <x:f>MAXIFS('Official Ranking v2'!$J$6:$J$205,'Official Ranking v2'!$C$6:$C$205,"&gt;=4")</x:f>
        <x:v>100</x:v>
      </x:c>
      <x:c r="E11" s="262" t="str">
        <x:v>Minimum 4 matches</x:v>
      </x:c>
      <x:c r="F11" s="262" t="str">
        <x:f>INDEX('Official Ranking v2'!$B$6:$B$205,MATCH(G11,'Official Ranking v2'!$J$6:$J$205,0))</x:f>
        <x:v>Sandy</x:v>
      </x:c>
      <x:c r="G11" s="267" t="n">
        <x:f>LARGE('Official Ranking v2'!$J$6:$J$205,2)</x:f>
        <x:v>85.66895101513099</x:v>
      </x:c>
      <x:c r="H11" s="262" t="str">
        <x:v>Official</x:v>
      </x:c>
    </x:row>
    <x:row r="12">
      <x:c r="A12" s="262" t="str">
        <x:v>Toughest Schedule</x:v>
      </x:c>
      <x:c r="B12" s="262" t="str">
        <x:f>INDEX('Official Ranking v2'!$B$6:$B$205,MATCH(D12,'Official Ranking v2'!$L$6:$L$205,0))</x:f>
        <x:v>Reza</x:v>
      </x:c>
      <x:c r="C12" s="262" t="str">
        <x:v>SOS Score</x:v>
      </x:c>
      <x:c r="D12" s="267" t="n">
        <x:f>MAXIFS('Official Ranking v2'!$L$6:$L$205,'Official Ranking v2'!$C$6:$C$205,"&gt;=4")</x:f>
        <x:v>100</x:v>
      </x:c>
      <x:c r="E12" s="262" t="str">
        <x:v>Minimum 4 matches</x:v>
      </x:c>
      <x:c r="F12" s="262" t="str">
        <x:f>INDEX('Official Ranking v2'!$B$6:$B$205,MATCH(G12,'Official Ranking v2'!$L$6:$L$205,0))</x:f>
        <x:v>Hansen</x:v>
      </x:c>
      <x:c r="G12" s="267" t="n">
        <x:f>LARGE('Official Ranking v2'!$L$6:$L$205,2)</x:f>
        <x:v>98.53817000541419</x:v>
      </x:c>
      <x:c r="H12" s="262" t="str">
        <x:v>Official</x:v>
      </x:c>
    </x:row>
    <x:row r="13">
      <x:c r="A13" s="262" t="str">
        <x:v>Iron Player</x:v>
      </x:c>
      <x:c r="B13" s="262" t="str">
        <x:f>INDEX('Official Ranking v2'!$B$6:$B$205,MATCH(D13,'Official Ranking v2'!$C$6:$C$205,0))</x:f>
        <x:v>Edy SP</x:v>
      </x:c>
      <x:c r="C13" s="262" t="str">
        <x:v>Matches Played</x:v>
      </x:c>
      <x:c r="D13" s="267" t="n">
        <x:f>MAX('Official Ranking v2'!$C$6:$C$205)</x:f>
        <x:v>30</x:v>
      </x:c>
      <x:c r="E13" s="262" t="str">
        <x:v>All players</x:v>
      </x:c>
      <x:c r="F13" s="262" t="str">
        <x:f>INDEX('Official Ranking v2'!$B$6:$B$205,MATCH(G13,'Official Ranking v2'!$C$6:$C$205,0))</x:f>
        <x:v>Ricky</x:v>
      </x:c>
      <x:c r="G13" s="267" t="n">
        <x:f>LARGE('Official Ranking v2'!$C$6:$C$205,2)</x:f>
        <x:v>26</x:v>
      </x:c>
      <x:c r="H13" s="262" t="str">
        <x:v>Official</x:v>
      </x:c>
    </x:row>
    <x:row r="14">
      <x:c r="A14" s="262" t="str">
        <x:v>Most Reliable</x:v>
      </x:c>
      <x:c r="B14" s="262" t="str">
        <x:f>INDEX('Official Ranking v2'!$B$6:$B$205,MATCH(D14,'Official Ranking v2'!$R$6:$R$205,0))</x:f>
        <x:v>Edy SP</x:v>
      </x:c>
      <x:c r="C14" s="262" t="str">
        <x:v>Reliability</x:v>
      </x:c>
      <x:c r="D14" s="267" t="n">
        <x:f>MAX('Official Ranking v2'!$R$6:$R$205)</x:f>
        <x:v>0.9263157894736842</x:v>
      </x:c>
      <x:c r="E14" s="262" t="str">
        <x:v>All players</x:v>
      </x:c>
      <x:c r="F14" s="262" t="str">
        <x:f>INDEX('Official Ranking v2'!$B$6:$B$205,MATCH(G14,'Official Ranking v2'!$R$6:$R$205,0))</x:f>
        <x:v>Ricky</x:v>
      </x:c>
      <x:c r="G14" s="267" t="n">
        <x:f>LARGE('Official Ranking v2'!$R$6:$R$205,2)</x:f>
        <x:v>0.9176470588235294</x:v>
      </x:c>
      <x:c r="H14" s="262" t="str">
        <x:v>Official</x:v>
      </x:c>
    </x:row>
    <x:row r="15">
      <x:c r="A15" s="262" t="str">
        <x:v>Most Versatile</x:v>
      </x:c>
      <x:c r="B15" s="262" t="str">
        <x:f>INDEX('Official Ranking v2'!$B$6:$B$205,MATCH(D15,'Official Ranking v2'!$O$6:$O$205,0))</x:f>
        <x:v>Edy SP</x:v>
      </x:c>
      <x:c r="C15" s="262" t="str">
        <x:v>Versatility</x:v>
      </x:c>
      <x:c r="D15" s="267" t="n">
        <x:f>MAXIFS('Official Ranking v2'!$O$6:$O$205,'Official Ranking v2'!$C$6:$C$205,"&gt;=6")</x:f>
        <x:v>100</x:v>
      </x:c>
      <x:c r="E15" s="262" t="str">
        <x:v>Minimum 6 matches</x:v>
      </x:c>
      <x:c r="F15" s="262" t="str">
        <x:f>INDEX('Official Ranking v2'!$B$6:$B$205,MATCH(G15,'Official Ranking v2'!$O$6:$O$205,0))</x:f>
        <x:v>Ricky</x:v>
      </x:c>
      <x:c r="G15" s="267" t="n">
        <x:f>LARGE('Official Ranking v2'!$O$6:$O$205,2)</x:f>
        <x:v>89.83333333333334</x:v>
      </x:c>
      <x:c r="H15" s="262" t="str">
        <x:v>Official</x:v>
      </x:c>
    </x:row>
    <x:row r="16">
      <x:c r="A16" s="262"/>
      <x:c r="B16" s="262"/>
      <x:c r="C16" s="262"/>
      <x:c r="D16" s="262"/>
      <x:c r="E16" s="262"/>
      <x:c r="F16" s="262"/>
      <x:c r="G16" s="262"/>
      <x:c r="H16" s="262"/>
    </x:row>
    <x:row r="17">
      <x:c r="A17" s="262"/>
      <x:c r="B17" s="262"/>
      <x:c r="C17" s="262"/>
      <x:c r="D17" s="262"/>
      <x:c r="E17" s="262"/>
      <x:c r="F17" s="262"/>
      <x:c r="G17" s="262"/>
      <x:c r="H17" s="262"/>
    </x:row>
    <x:row r="18">
      <x:c r="A18" s="262"/>
      <x:c r="B18" s="262"/>
      <x:c r="C18" s="262"/>
      <x:c r="D18" s="262"/>
      <x:c r="E18" s="262"/>
      <x:c r="F18" s="262"/>
      <x:c r="G18" s="262"/>
      <x:c r="H18" s="262"/>
    </x:row>
    <x:row r="19">
      <x:c r="A19" s="262"/>
      <x:c r="B19" s="262"/>
      <x:c r="C19" s="262"/>
      <x:c r="D19" s="262"/>
      <x:c r="E19" s="262"/>
      <x:c r="F19" s="262"/>
      <x:c r="G19" s="262"/>
      <x:c r="H19" s="262"/>
    </x:row>
    <x:row r="20">
      <x:c r="A20" s="262"/>
      <x:c r="B20" s="262"/>
      <x:c r="C20" s="262"/>
      <x:c r="D20" s="262"/>
      <x:c r="E20" s="262"/>
      <x:c r="F20" s="262"/>
      <x:c r="G20" s="262"/>
      <x:c r="H20" s="262"/>
    </x:row>
    <x:row r="21">
      <x:c r="A21" s="262"/>
      <x:c r="B21" s="262"/>
      <x:c r="C21" s="262"/>
      <x:c r="D21" s="262"/>
      <x:c r="E21" s="262"/>
      <x:c r="F21" s="262"/>
      <x:c r="G21" s="262"/>
      <x:c r="H21" s="262"/>
    </x:row>
    <x:row r="22">
      <x:c r="A22" s="262"/>
      <x:c r="B22" s="262"/>
      <x:c r="C22" s="262"/>
      <x:c r="D22" s="262"/>
      <x:c r="E22" s="262"/>
      <x:c r="F22" s="262"/>
      <x:c r="G22" s="262"/>
      <x:c r="H22" s="262"/>
    </x:row>
    <x:row r="23">
      <x:c r="A23" s="262"/>
      <x:c r="B23" s="262"/>
      <x:c r="C23" s="262"/>
      <x:c r="D23" s="262"/>
      <x:c r="E23" s="262"/>
      <x:c r="F23" s="262"/>
      <x:c r="G23" s="262"/>
      <x:c r="H23" s="262"/>
    </x:row>
    <x:row r="24">
      <x:c r="A24" s="262"/>
      <x:c r="B24" s="262"/>
      <x:c r="C24" s="262"/>
      <x:c r="D24" s="262"/>
      <x:c r="E24" s="262"/>
      <x:c r="F24" s="262"/>
      <x:c r="G24" s="262"/>
      <x:c r="H24" s="262"/>
    </x:row>
    <x:row r="25">
      <x:c r="A25" s="262"/>
      <x:c r="B25" s="262"/>
      <x:c r="C25" s="262"/>
      <x:c r="D25" s="262"/>
      <x:c r="E25" s="262"/>
      <x:c r="F25" s="262"/>
      <x:c r="G25" s="262"/>
      <x:c r="H25" s="262"/>
    </x:row>
    <x:row r="26">
      <x:c r="A26" s="262"/>
      <x:c r="B26" s="262"/>
      <x:c r="C26" s="262"/>
      <x:c r="D26" s="262"/>
      <x:c r="E26" s="262"/>
      <x:c r="F26" s="262"/>
      <x:c r="G26" s="262"/>
      <x:c r="H26" s="262"/>
    </x:row>
    <x:row r="27">
      <x:c r="A27" s="262"/>
      <x:c r="B27" s="262"/>
      <x:c r="C27" s="262"/>
      <x:c r="D27" s="262"/>
      <x:c r="E27" s="262"/>
      <x:c r="F27" s="262"/>
      <x:c r="G27" s="262"/>
      <x:c r="H27" s="262"/>
    </x:row>
    <x:row r="28">
      <x:c r="A28" s="262"/>
      <x:c r="B28" s="262"/>
      <x:c r="C28" s="262"/>
      <x:c r="D28" s="262"/>
      <x:c r="E28" s="262"/>
      <x:c r="F28" s="262"/>
      <x:c r="G28" s="262"/>
      <x:c r="H28" s="262"/>
    </x:row>
    <x:row r="29">
      <x:c r="A29" s="262"/>
      <x:c r="B29" s="262"/>
      <x:c r="C29" s="262"/>
      <x:c r="D29" s="262"/>
      <x:c r="E29" s="262"/>
      <x:c r="F29" s="262"/>
      <x:c r="G29" s="262"/>
      <x:c r="H29" s="262"/>
    </x:row>
    <x:row r="30">
      <x:c r="A30" s="262"/>
      <x:c r="B30" s="262"/>
      <x:c r="C30" s="262"/>
      <x:c r="D30" s="262"/>
      <x:c r="E30" s="262"/>
      <x:c r="F30" s="262"/>
      <x:c r="G30" s="262"/>
      <x:c r="H30" s="262"/>
    </x:row>
    <x:row r="31">
      <x:c r="A31" s="262"/>
      <x:c r="B31" s="262"/>
      <x:c r="C31" s="262"/>
      <x:c r="D31" s="262"/>
      <x:c r="E31" s="262"/>
      <x:c r="F31" s="262"/>
      <x:c r="G31" s="262"/>
      <x:c r="H31" s="262"/>
    </x:row>
    <x:row r="32">
      <x:c r="A32" s="262"/>
      <x:c r="B32" s="262"/>
      <x:c r="C32" s="262"/>
      <x:c r="D32" s="262"/>
      <x:c r="E32" s="262"/>
      <x:c r="F32" s="262"/>
      <x:c r="G32" s="262"/>
      <x:c r="H32" s="262"/>
    </x:row>
    <x:row r="33">
      <x:c r="A33" s="262"/>
      <x:c r="B33" s="262"/>
      <x:c r="C33" s="262"/>
      <x:c r="D33" s="262"/>
      <x:c r="E33" s="262"/>
      <x:c r="F33" s="262"/>
      <x:c r="G33" s="262"/>
      <x:c r="H33" s="262"/>
    </x:row>
    <x:row r="34">
      <x:c r="A34" s="262"/>
      <x:c r="B34" s="262"/>
      <x:c r="C34" s="262"/>
      <x:c r="D34" s="262"/>
      <x:c r="E34" s="262"/>
      <x:c r="F34" s="262"/>
      <x:c r="G34" s="262"/>
      <x:c r="H34" s="262"/>
    </x:row>
    <x:row r="35">
      <x:c r="A35" s="262"/>
      <x:c r="B35" s="262"/>
      <x:c r="C35" s="262"/>
      <x:c r="D35" s="262"/>
      <x:c r="E35" s="262"/>
      <x:c r="F35" s="262"/>
      <x:c r="G35" s="262"/>
      <x:c r="H35" s="262"/>
    </x:row>
    <x:row r="36">
      <x:c r="A36" s="262"/>
      <x:c r="B36" s="262"/>
      <x:c r="C36" s="262"/>
      <x:c r="D36" s="262"/>
      <x:c r="E36" s="262"/>
      <x:c r="F36" s="262"/>
      <x:c r="G36" s="262"/>
      <x:c r="H36" s="262"/>
    </x:row>
    <x:row r="37">
      <x:c r="A37" s="262"/>
      <x:c r="B37" s="262"/>
      <x:c r="C37" s="262"/>
      <x:c r="D37" s="262"/>
      <x:c r="E37" s="262"/>
      <x:c r="F37" s="262"/>
      <x:c r="G37" s="262"/>
      <x:c r="H37" s="262"/>
    </x:row>
    <x:row r="38">
      <x:c r="A38" s="262"/>
      <x:c r="B38" s="262"/>
      <x:c r="C38" s="262"/>
      <x:c r="D38" s="262"/>
      <x:c r="E38" s="262"/>
      <x:c r="F38" s="262"/>
      <x:c r="G38" s="262"/>
      <x:c r="H38" s="262"/>
    </x:row>
    <x:row r="39">
      <x:c r="A39" s="262"/>
      <x:c r="B39" s="262"/>
      <x:c r="C39" s="262"/>
      <x:c r="D39" s="262"/>
      <x:c r="E39" s="262"/>
      <x:c r="F39" s="262"/>
      <x:c r="G39" s="262"/>
      <x:c r="H39" s="262"/>
    </x:row>
    <x:row r="40">
      <x:c r="A40" s="262"/>
      <x:c r="B40" s="262"/>
      <x:c r="C40" s="262"/>
      <x:c r="D40" s="262"/>
      <x:c r="E40" s="262"/>
      <x:c r="F40" s="262"/>
      <x:c r="G40" s="262"/>
      <x:c r="H40" s="262"/>
    </x:row>
  </x:sheetData>
  <x:mergeCells>
    <x:mergeCell ref="A1:H1"/>
    <x:mergeCell ref="A2:H2"/>
  </x:mergeCells>
  <x:pageMargins left="0.7" right="0.7" top="0.75" bottom="0.75" header="0.3" footer="0.3"/>
</x:worksheet>
</file>

<file path=xl/worksheets/sheet4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279" t="str">
        <x:v>FLPR EXECUTIVE SUMMARY — DYNAMIC</x:v>
      </x:c>
      <x:c r="B1" s="279"/>
      <x:c r="C1" s="279"/>
      <x:c r="D1" s="279"/>
      <x:c r="E1" s="279"/>
      <x:c r="F1" s="279"/>
      <x:c r="G1" s="279"/>
      <x:c r="H1" s="279"/>
    </x:row>
    <x:row r="2">
      <x:c r="A2" s="280" t="str">
        <x:v>Automatically refreshed whenever Official Ranking v2 is updated</x:v>
      </x:c>
      <x:c r="B2" s="280"/>
      <x:c r="C2" s="280"/>
      <x:c r="D2" s="280"/>
      <x:c r="E2" s="280"/>
      <x:c r="F2" s="280"/>
      <x:c r="G2" s="280"/>
      <x:c r="H2" s="280"/>
    </x:row>
    <x:row r="3">
      <x:c r="A3" s="262"/>
      <x:c r="B3" s="262"/>
      <x:c r="C3" s="262"/>
      <x:c r="D3" s="262"/>
      <x:c r="E3" s="262"/>
      <x:c r="F3" s="262"/>
      <x:c r="G3" s="262"/>
      <x:c r="H3" s="262"/>
    </x:row>
    <x:row r="4">
      <x:c r="A4" s="284" t="str">
        <x:v>Season Overview</x:v>
      </x:c>
      <x:c r="B4" s="284"/>
      <x:c r="C4" s="284"/>
      <x:c r="D4" s="284"/>
      <x:c r="E4" s="284"/>
      <x:c r="F4" s="284"/>
      <x:c r="G4" s="284"/>
      <x:c r="H4" s="284"/>
    </x:row>
    <x:row r="5">
      <x:c r="A5" s="265" t="str">
        <x:f>"FLPR Volume 1 currently covers "&amp;COUNTA('Official Ranking v2'!B6:B205)&amp;" players and "&amp;ROUND(SUM('Official Ranking v2'!C6:C205)/4,0)&amp;" valid matches. "&amp;INDEX('Official Ranking v2'!B6:B205,MATCH(MAX('Official Ranking v2'!S6:S205),'Official Ranking v2'!S6:S205,0))&amp;" leads the official ranking with a rating of "&amp;TEXT(MAX('Official Ranking v2'!S6:S205),"0.00")&amp;". The average rating is "&amp;TEXT(AVERAGE('Official Ranking v2'!S6:S205),"0.00")&amp;", with a rating spread of "&amp;TEXT(MAX('Official Ranking v2'!S6:S205)-MIN('Official Ranking v2'!S6:S205),"0.00")&amp;" points."</x:f>
        <x:v>FLPR Volume 1 currently covers 20 players and 57 valid matches. Sandy leads the official ranking with a rating of 70.51. The average rating is 47.73, with a rating spread of 39.10 points.</x:v>
      </x:c>
      <x:c r="B5" s="265"/>
      <x:c r="C5" s="265"/>
      <x:c r="D5" s="265"/>
      <x:c r="E5" s="265"/>
      <x:c r="F5" s="265"/>
      <x:c r="G5" s="265"/>
      <x:c r="H5" s="265"/>
    </x:row>
    <x:row r="6">
      <x:c r="A6" s="265"/>
      <x:c r="B6" s="265"/>
      <x:c r="C6" s="265"/>
      <x:c r="D6" s="265"/>
      <x:c r="E6" s="265"/>
      <x:c r="F6" s="265"/>
      <x:c r="G6" s="265"/>
      <x:c r="H6" s="265"/>
    </x:row>
    <x:row r="7">
      <x:c r="A7" s="265"/>
      <x:c r="B7" s="265"/>
      <x:c r="C7" s="265"/>
      <x:c r="D7" s="265"/>
      <x:c r="E7" s="265"/>
      <x:c r="F7" s="265"/>
      <x:c r="G7" s="265"/>
      <x:c r="H7" s="265"/>
    </x:row>
    <x:row r="8">
      <x:c r="A8" s="265"/>
      <x:c r="B8" s="265"/>
      <x:c r="C8" s="265"/>
      <x:c r="D8" s="265"/>
      <x:c r="E8" s="265"/>
      <x:c r="F8" s="265"/>
      <x:c r="G8" s="265"/>
      <x:c r="H8" s="265"/>
    </x:row>
    <x:row r="9">
      <x:c r="A9" s="262"/>
      <x:c r="B9" s="262"/>
      <x:c r="C9" s="262"/>
      <x:c r="D9" s="262"/>
      <x:c r="E9" s="262"/>
      <x:c r="F9" s="262"/>
      <x:c r="G9" s="262"/>
      <x:c r="H9" s="262"/>
    </x:row>
    <x:row r="10">
      <x:c r="A10" s="284" t="str">
        <x:v>Key Performance Insights</x:v>
      </x:c>
      <x:c r="B10" s="284"/>
      <x:c r="C10" s="284"/>
      <x:c r="D10" s="284"/>
      <x:c r="E10" s="284"/>
      <x:c r="F10" s="284"/>
      <x:c r="G10" s="284"/>
      <x:c r="H10" s="284"/>
    </x:row>
    <x:row r="11">
      <x:c r="A11" s="265" t="str">
        <x:f>"The highest raw win rate belongs to "&amp;INDEX('Official Ranking v2'!B6:B205,MATCH(MAXIFS('Official Ranking v2'!F6:F205,'Official Ranking v2'!C6:C205,"&gt;=6"),'Official Ranking v2'!F6:F205,0))&amp;" at "&amp;TEXT(MAXIFS('Official Ranking v2'!F6:F205,'Official Ranking v2'!C6:C205,"&gt;=6"),"0.0%")&amp;". "&amp;INDEX('Official Ranking v2'!B6:B205,MATCH(MAX('Official Ranking v2'!P6:P205),'Official Ranking v2'!P6:P205,0))&amp;" has the strongest recent-form score, while "&amp;INDEX('Official Ranking v2'!B6:B205,MATCH(MAX('Official Ranking v2'!N6:N205),'Official Ranking v2'!N6:N205,0))&amp;" leads the clutch metric. "&amp;COUNTIF('Official Ranking v2'!V6:V205,"Established")&amp;" players currently have Established status."</x:f>
        <x:v>The highest raw win rate belongs to Sandy at 84.6%. Thohir has the strongest recent-form score, while Jonathan leads the clutch metric. 9 players currently have Established status.</x:v>
      </x:c>
      <x:c r="B11" s="265"/>
      <x:c r="C11" s="265"/>
      <x:c r="D11" s="265"/>
      <x:c r="E11" s="265"/>
      <x:c r="F11" s="265"/>
      <x:c r="G11" s="265"/>
      <x:c r="H11" s="265"/>
    </x:row>
    <x:row r="12">
      <x:c r="A12" s="265"/>
      <x:c r="B12" s="265"/>
      <x:c r="C12" s="265"/>
      <x:c r="D12" s="265"/>
      <x:c r="E12" s="265"/>
      <x:c r="F12" s="265"/>
      <x:c r="G12" s="265"/>
      <x:c r="H12" s="265"/>
    </x:row>
    <x:row r="13">
      <x:c r="A13" s="265"/>
      <x:c r="B13" s="265"/>
      <x:c r="C13" s="265"/>
      <x:c r="D13" s="265"/>
      <x:c r="E13" s="265"/>
      <x:c r="F13" s="265"/>
      <x:c r="G13" s="265"/>
      <x:c r="H13" s="265"/>
    </x:row>
    <x:row r="14">
      <x:c r="A14" s="265"/>
      <x:c r="B14" s="265"/>
      <x:c r="C14" s="265"/>
      <x:c r="D14" s="265"/>
      <x:c r="E14" s="265"/>
      <x:c r="F14" s="265"/>
      <x:c r="G14" s="265"/>
      <x:c r="H14" s="265"/>
    </x:row>
    <x:row r="15">
      <x:c r="A15" s="265"/>
      <x:c r="B15" s="265"/>
      <x:c r="C15" s="265"/>
      <x:c r="D15" s="265"/>
      <x:c r="E15" s="265"/>
      <x:c r="F15" s="265"/>
      <x:c r="G15" s="265"/>
      <x:c r="H15" s="265"/>
    </x:row>
    <x:row r="16">
      <x:c r="A16" s="262"/>
      <x:c r="B16" s="262"/>
      <x:c r="C16" s="262"/>
      <x:c r="D16" s="262"/>
      <x:c r="E16" s="262"/>
      <x:c r="F16" s="262"/>
      <x:c r="G16" s="262"/>
      <x:c r="H16" s="262"/>
    </x:row>
    <x:row r="17">
      <x:c r="A17" s="284" t="str">
        <x:v>Handicap &amp; Competition Balance</x:v>
      </x:c>
      <x:c r="B17" s="284"/>
      <x:c r="C17" s="284"/>
      <x:c r="D17" s="284"/>
      <x:c r="E17" s="284"/>
      <x:c r="F17" s="284"/>
      <x:c r="G17" s="284"/>
      <x:c r="H17" s="284"/>
    </x:row>
    <x:row r="18">
      <x:c r="A18" s="265" t="str">
        <x:f>"Official handicaps currently range from "&amp;MIN('Official Ranking v2'!W6:W205)&amp;" to +"&amp;MAX('Official Ranking v2'!W6:W205)&amp;". The strongest balancing support is assigned to "&amp;COUNTIF('Official Ranking v2'!W6:W205,MIN('Official Ranking v2'!W6:W205))&amp;" players. The competition balance index is "&amp;TEXT(MAX(0,100-STDEV.P('Official Ranking v2'!S6:S205)*2),"0.0")&amp;"/100; a higher score indicates tighter rating dispersion."</x:f>
        <x:v>Official handicaps currently range from -4 to +3. The strongest balancing support is assigned to 5 players. The competition balance index is 78.8/100; a higher score indicates tighter rating dispersion.</x:v>
      </x:c>
      <x:c r="B18" s="265"/>
      <x:c r="C18" s="265"/>
      <x:c r="D18" s="265"/>
      <x:c r="E18" s="265"/>
      <x:c r="F18" s="265"/>
      <x:c r="G18" s="265"/>
      <x:c r="H18" s="265"/>
    </x:row>
    <x:row r="19">
      <x:c r="A19" s="265"/>
      <x:c r="B19" s="265"/>
      <x:c r="C19" s="265"/>
      <x:c r="D19" s="265"/>
      <x:c r="E19" s="265"/>
      <x:c r="F19" s="265"/>
      <x:c r="G19" s="265"/>
      <x:c r="H19" s="265"/>
    </x:row>
    <x:row r="20">
      <x:c r="A20" s="265"/>
      <x:c r="B20" s="265"/>
      <x:c r="C20" s="265"/>
      <x:c r="D20" s="265"/>
      <x:c r="E20" s="265"/>
      <x:c r="F20" s="265"/>
      <x:c r="G20" s="265"/>
      <x:c r="H20" s="265"/>
    </x:row>
    <x:row r="21">
      <x:c r="A21" s="265"/>
      <x:c r="B21" s="265"/>
      <x:c r="C21" s="265"/>
      <x:c r="D21" s="265"/>
      <x:c r="E21" s="265"/>
      <x:c r="F21" s="265"/>
      <x:c r="G21" s="265"/>
      <x:c r="H21" s="265"/>
    </x:row>
    <x:row r="22">
      <x:c r="A22" s="265"/>
      <x:c r="B22" s="265"/>
      <x:c r="C22" s="265"/>
      <x:c r="D22" s="265"/>
      <x:c r="E22" s="265"/>
      <x:c r="F22" s="265"/>
      <x:c r="G22" s="265"/>
      <x:c r="H22" s="265"/>
    </x:row>
    <x:row r="23">
      <x:c r="A23" s="262"/>
      <x:c r="B23" s="262"/>
      <x:c r="C23" s="262"/>
      <x:c r="D23" s="262"/>
      <x:c r="E23" s="262"/>
      <x:c r="F23" s="262"/>
      <x:c r="G23" s="262"/>
      <x:c r="H23" s="262"/>
    </x:row>
    <x:row r="24">
      <x:c r="A24" s="284" t="str">
        <x:v>Management Conclusion</x:v>
      </x:c>
      <x:c r="B24" s="284"/>
      <x:c r="C24" s="284"/>
      <x:c r="D24" s="284"/>
      <x:c r="E24" s="284"/>
      <x:c r="F24" s="284"/>
      <x:c r="G24" s="284"/>
      <x:c r="H24" s="284"/>
    </x:row>
    <x:row r="25">
      <x:c r="A25" s="265" t="str">
        <x:f>IF(COUNTA('Official Ranking v2'!B6:B205)&gt;=10,"The dataset is sufficiently populated for official ranking, handicap allocation, player reports, awards, and management reporting. New tournament imports should flow through the connected source modules before publication.","More tournament data is required before the system should be treated as fully representative.")</x:f>
        <x:v>The dataset is sufficiently populated for official ranking, handicap allocation, player reports, awards, and management reporting. New tournament imports should flow through the connected source modules before publication.</x:v>
      </x:c>
      <x:c r="B25" s="265"/>
      <x:c r="C25" s="265"/>
      <x:c r="D25" s="265"/>
      <x:c r="E25" s="265"/>
      <x:c r="F25" s="265"/>
      <x:c r="G25" s="265"/>
      <x:c r="H25" s="265"/>
    </x:row>
    <x:row r="26">
      <x:c r="A26" s="265"/>
      <x:c r="B26" s="265"/>
      <x:c r="C26" s="265"/>
      <x:c r="D26" s="265"/>
      <x:c r="E26" s="265"/>
      <x:c r="F26" s="265"/>
      <x:c r="G26" s="265"/>
      <x:c r="H26" s="265"/>
    </x:row>
    <x:row r="27">
      <x:c r="A27" s="265"/>
      <x:c r="B27" s="265"/>
      <x:c r="C27" s="265"/>
      <x:c r="D27" s="265"/>
      <x:c r="E27" s="265"/>
      <x:c r="F27" s="265"/>
      <x:c r="G27" s="265"/>
      <x:c r="H27" s="265"/>
    </x:row>
    <x:row r="28">
      <x:c r="A28" s="265"/>
      <x:c r="B28" s="265"/>
      <x:c r="C28" s="265"/>
      <x:c r="D28" s="265"/>
      <x:c r="E28" s="265"/>
      <x:c r="F28" s="265"/>
      <x:c r="G28" s="265"/>
      <x:c r="H28" s="265"/>
    </x:row>
    <x:row r="29">
      <x:c r="A29" s="265"/>
      <x:c r="B29" s="265"/>
      <x:c r="C29" s="265"/>
      <x:c r="D29" s="265"/>
      <x:c r="E29" s="265"/>
      <x:c r="F29" s="265"/>
      <x:c r="G29" s="265"/>
      <x:c r="H29" s="265"/>
    </x:row>
    <x:row r="30">
      <x:c r="A30" s="262"/>
      <x:c r="B30" s="262"/>
      <x:c r="C30" s="262"/>
      <x:c r="D30" s="262"/>
      <x:c r="E30" s="262"/>
      <x:c r="F30" s="262"/>
      <x:c r="G30" s="262"/>
      <x:c r="H30" s="262"/>
    </x:row>
    <x:row r="31">
      <x:c r="A31" s="262"/>
      <x:c r="B31" s="262"/>
      <x:c r="C31" s="262"/>
      <x:c r="D31" s="262"/>
      <x:c r="E31" s="262"/>
      <x:c r="F31" s="262"/>
      <x:c r="G31" s="262"/>
      <x:c r="H31" s="262"/>
    </x:row>
    <x:row r="32">
      <x:c r="A32" s="262"/>
      <x:c r="B32" s="262"/>
      <x:c r="C32" s="262"/>
      <x:c r="D32" s="262"/>
      <x:c r="E32" s="262"/>
      <x:c r="F32" s="262"/>
      <x:c r="G32" s="262"/>
      <x:c r="H32" s="262"/>
    </x:row>
    <x:row r="33">
      <x:c r="A33" s="262"/>
      <x:c r="B33" s="262"/>
      <x:c r="C33" s="262"/>
      <x:c r="D33" s="262"/>
      <x:c r="E33" s="262"/>
      <x:c r="F33" s="262"/>
      <x:c r="G33" s="262"/>
      <x:c r="H33" s="262"/>
    </x:row>
    <x:row r="34">
      <x:c r="A34" s="262"/>
      <x:c r="B34" s="262"/>
      <x:c r="C34" s="262"/>
      <x:c r="D34" s="262"/>
      <x:c r="E34" s="262"/>
      <x:c r="F34" s="262"/>
      <x:c r="G34" s="262"/>
      <x:c r="H34" s="262"/>
    </x:row>
    <x:row r="35">
      <x:c r="A35" s="262"/>
      <x:c r="B35" s="262"/>
      <x:c r="C35" s="262"/>
      <x:c r="D35" s="262"/>
      <x:c r="E35" s="262"/>
      <x:c r="F35" s="262"/>
      <x:c r="G35" s="262"/>
      <x:c r="H35" s="262"/>
    </x:row>
    <x:row r="36">
      <x:c r="A36" s="262"/>
      <x:c r="B36" s="262"/>
      <x:c r="C36" s="262"/>
      <x:c r="D36" s="262"/>
      <x:c r="E36" s="262"/>
      <x:c r="F36" s="262"/>
      <x:c r="G36" s="262"/>
      <x:c r="H36" s="262"/>
    </x:row>
    <x:row r="37">
      <x:c r="A37" s="262"/>
      <x:c r="B37" s="262"/>
      <x:c r="C37" s="262"/>
      <x:c r="D37" s="262"/>
      <x:c r="E37" s="262"/>
      <x:c r="F37" s="262"/>
      <x:c r="G37" s="262"/>
      <x:c r="H37" s="262"/>
    </x:row>
    <x:row r="38">
      <x:c r="A38" s="262"/>
      <x:c r="B38" s="262"/>
      <x:c r="C38" s="262"/>
      <x:c r="D38" s="262"/>
      <x:c r="E38" s="262"/>
      <x:c r="F38" s="262"/>
      <x:c r="G38" s="262"/>
      <x:c r="H38" s="262"/>
    </x:row>
    <x:row r="39">
      <x:c r="A39" s="262"/>
      <x:c r="B39" s="262"/>
      <x:c r="C39" s="262"/>
      <x:c r="D39" s="262"/>
      <x:c r="E39" s="262"/>
      <x:c r="F39" s="262"/>
      <x:c r="G39" s="262"/>
      <x:c r="H39" s="262"/>
    </x:row>
    <x:row r="40">
      <x:c r="A40" s="262"/>
      <x:c r="B40" s="262"/>
      <x:c r="C40" s="262"/>
      <x:c r="D40" s="262"/>
      <x:c r="E40" s="262"/>
      <x:c r="F40" s="262"/>
      <x:c r="G40" s="262"/>
      <x:c r="H40" s="262"/>
    </x:row>
  </x:sheetData>
  <x:mergeCells>
    <x:mergeCell ref="A1:H1"/>
    <x:mergeCell ref="A2:H2"/>
    <x:mergeCell ref="A4:H4"/>
    <x:mergeCell ref="A5:H8"/>
    <x:mergeCell ref="A10:H10"/>
    <x:mergeCell ref="A11:H15"/>
    <x:mergeCell ref="A17:H17"/>
    <x:mergeCell ref="A18:H22"/>
    <x:mergeCell ref="A24:H24"/>
    <x:mergeCell ref="A25:H29"/>
  </x:mergeCells>
  <x:pageMargins left="0.7" right="0.7" top="0.75" bottom="0.75" header="0.3" footer="0.3"/>
</x:worksheet>
</file>

<file path=xl/worksheets/sheet41.xml><?xml version="1.0" encoding="utf-8"?>
<x:worksheet xmlns:x="http://schemas.openxmlformats.org/spreadsheetml/2006/main">
  <x:sheetFormatPr defaultRowHeight="15"/>
  <x:cols>
    <x:col min="1" max="1" width="26" hidden="0" customWidth="1"/>
    <x:col min="2" max="2" width="15" hidden="0" customWidth="1"/>
    <x:col min="3" max="3" width="16.3799991607666" hidden="0" customWidth="1"/>
    <x:col min="4" max="4" width="5.25" hidden="0" customWidth="1"/>
    <x:col min="6" max="6" width="30" hidden="0" customWidth="1"/>
    <x:col min="7" max="7" width="10.880000114440918" hidden="0" customWidth="1"/>
    <x:col min="8" max="8" width="9.380000114440918" hidden="0" customWidth="1"/>
  </x:cols>
  <x:sheetData>
    <x:row r="1">
      <x:c r="A1" s="294" t="str">
        <x:v>FLPR PHASE C — IMPORT &amp; REFRESH CONTROL</x:v>
      </x:c>
      <x:c r="B1" s="294"/>
      <x:c r="C1" s="294"/>
      <x:c r="D1" s="294"/>
      <x:c r="E1" s="294"/>
      <x:c r="F1" s="294"/>
      <x:c r="G1" s="294"/>
      <x:c r="H1" s="294"/>
    </x:row>
    <x:row r="2">
      <x:c r="A2" s="262" t="str">
        <x:v>Operational control layer for new tournament imports and downstream refresh</x:v>
      </x:c>
      <x:c r="B2" s="262"/>
      <x:c r="C2" s="262"/>
      <x:c r="D2" s="262"/>
      <x:c r="E2" s="262"/>
      <x:c r="F2" s="262"/>
      <x:c r="G2" s="262"/>
      <x:c r="H2" s="262"/>
    </x:row>
    <x:row r="3">
      <x:c r="A3" s="262"/>
      <x:c r="B3" s="262"/>
      <x:c r="C3" s="262"/>
      <x:c r="D3" s="262"/>
      <x:c r="E3" s="262"/>
      <x:c r="F3" s="262"/>
      <x:c r="G3" s="262"/>
      <x:c r="H3" s="262"/>
    </x:row>
    <x:row r="4">
      <x:c r="A4" s="298" t="str">
        <x:v>Control Item</x:v>
      </x:c>
      <x:c r="B4" s="298" t="str">
        <x:v>Current Value</x:v>
      </x:c>
      <x:c r="C4" s="298" t="str">
        <x:v>Expected / Rule</x:v>
      </x:c>
      <x:c r="D4" s="298" t="str">
        <x:v>Status</x:v>
      </x:c>
      <x:c r="E4" s="262"/>
      <x:c r="F4" s="298" t="str">
        <x:v>Refresh Step</x:v>
      </x:c>
      <x:c r="G4" s="298" t="str">
        <x:v>Owner</x:v>
      </x:c>
      <x:c r="H4" s="298" t="str">
        <x:v>Completion</x:v>
      </x:c>
    </x:row>
    <x:row r="5">
      <x:c r="A5" s="262" t="str">
        <x:v>Registered Players</x:v>
      </x:c>
      <x:c r="B5" s="262" t="n">
        <x:f>COUNTA('Player Registry'!B2:B205)</x:f>
        <x:v>20</x:v>
      </x:c>
      <x:c r="C5" s="262" t="str">
        <x:v>Equal ranking players</x:v>
      </x:c>
      <x:c r="D5" s="262" t="str">
        <x:f>IF(B5=B6,"PASS","CHECK")</x:f>
        <x:v>PASS</x:v>
      </x:c>
      <x:c r="E5" s="262"/>
      <x:c r="F5" s="262" t="str">
        <x:v>1. Import tournament results</x:v>
      </x:c>
      <x:c r="G5" s="262" t="str">
        <x:v>Operator</x:v>
      </x:c>
      <x:c r="H5" s="262" t="str">
        <x:v>Pending</x:v>
      </x:c>
    </x:row>
    <x:row r="6">
      <x:c r="A6" s="262" t="str">
        <x:v>Ranking Players</x:v>
      </x:c>
      <x:c r="B6" s="262" t="n">
        <x:f>COUNTA('Official Ranking v2'!B6:B205)</x:f>
        <x:v>20</x:v>
      </x:c>
      <x:c r="C6" s="262" t="str">
        <x:v>Equal registry players</x:v>
      </x:c>
      <x:c r="D6" s="262" t="str">
        <x:f>IF(B6=B5,"PASS","CHECK")</x:f>
        <x:v>PASS</x:v>
      </x:c>
      <x:c r="E6" s="262"/>
      <x:c r="F6" s="262" t="str">
        <x:v>2. Recalculate source analytics</x:v>
      </x:c>
      <x:c r="G6" s="262" t="str">
        <x:v>System</x:v>
      </x:c>
      <x:c r="H6" s="262" t="str">
        <x:v>Pending</x:v>
      </x:c>
    </x:row>
    <x:row r="7">
      <x:c r="A7" s="262" t="str">
        <x:v>Handicap Players</x:v>
      </x:c>
      <x:c r="B7" s="262" t="n">
        <x:f>COUNTA('Official Handicap v2'!B6:B205)</x:f>
        <x:v>20</x:v>
      </x:c>
      <x:c r="C7" s="262" t="str">
        <x:v>Equal ranking players</x:v>
      </x:c>
      <x:c r="D7" s="262" t="str">
        <x:f>IF(B7=B6,"PASS","CHECK")</x:f>
        <x:v>PASS</x:v>
      </x:c>
      <x:c r="E7" s="262"/>
      <x:c r="F7" s="262" t="str">
        <x:v>3. Verify ranking &amp; handicap</x:v>
      </x:c>
      <x:c r="G7" s="262" t="str">
        <x:v>System</x:v>
      </x:c>
      <x:c r="H7" s="262" t="str">
        <x:v>Pending</x:v>
      </x:c>
    </x:row>
    <x:row r="8">
      <x:c r="A8" s="262" t="str">
        <x:v>Valid Matches</x:v>
      </x:c>
      <x:c r="B8" s="262" t="n">
        <x:f>ROUND(SUM('Official Ranking v2'!C6:C205)/4,0)</x:f>
        <x:v>57</x:v>
      </x:c>
      <x:c r="C8" s="262" t="str">
        <x:v>&gt; 0</x:v>
      </x:c>
      <x:c r="D8" s="262" t="str">
        <x:f>IF(B8&gt;0,"PASS","CHECK")</x:f>
        <x:v>PASS</x:v>
      </x:c>
      <x:c r="E8" s="262"/>
      <x:c r="F8" s="262" t="str">
        <x:v>4. Refresh reports &amp; figures</x:v>
      </x:c>
      <x:c r="G8" s="262" t="str">
        <x:v>System</x:v>
      </x:c>
      <x:c r="H8" s="262" t="str">
        <x:v>Pending</x:v>
      </x:c>
    </x:row>
    <x:row r="9">
      <x:c r="A9" s="262" t="str">
        <x:v>Player-Match Records</x:v>
      </x:c>
      <x:c r="B9" s="262" t="n">
        <x:f>SUM('Official Ranking v2'!C6:C205)</x:f>
        <x:v>228</x:v>
      </x:c>
      <x:c r="C9" s="262" t="str">
        <x:v>&gt; 0</x:v>
      </x:c>
      <x:c r="D9" s="262" t="str">
        <x:f>IF(B9&gt;0,"PASS","CHECK")</x:f>
        <x:v>PASS</x:v>
      </x:c>
      <x:c r="E9" s="262"/>
      <x:c r="F9" s="262" t="str">
        <x:v>5. Run QA checklist</x:v>
      </x:c>
      <x:c r="G9" s="262" t="str">
        <x:v>System</x:v>
      </x:c>
      <x:c r="H9" s="262" t="str">
        <x:v>Pending</x:v>
      </x:c>
    </x:row>
    <x:row r="10">
      <x:c r="A10" s="262" t="str">
        <x:v>Ranking Leader</x:v>
      </x:c>
      <x:c r="B10" s="262" t="str">
        <x:f>INDEX('Official Ranking v2'!B6:B205,MATCH(MAX('Official Ranking v2'!S6:S205),'Official Ranking v2'!S6:S205,0))</x:f>
        <x:v>Sandy</x:v>
      </x:c>
      <x:c r="C10" s="262" t="str">
        <x:v>Highest-rated player</x:v>
      </x:c>
      <x:c r="D10" s="262" t="str">
        <x:f>IF(B10&lt;&gt;"","PASS","CHECK")</x:f>
        <x:v>PASS</x:v>
      </x:c>
      <x:c r="E10" s="262"/>
      <x:c r="F10" s="262" t="str">
        <x:v>6. Approve publication</x:v>
      </x:c>
      <x:c r="G10" s="262" t="str">
        <x:v>Administrator</x:v>
      </x:c>
      <x:c r="H10" s="262" t="str">
        <x:v>Pending</x:v>
      </x:c>
    </x:row>
    <x:row r="11">
      <x:c r="A11" s="262" t="str">
        <x:v>Top Rating</x:v>
      </x:c>
      <x:c r="B11" s="262" t="n">
        <x:f>MAX('Official Ranking v2'!S6:S205)</x:f>
        <x:v>70.51306635024372</x:v>
      </x:c>
      <x:c r="C11" s="262" t="str">
        <x:v>&gt; 0</x:v>
      </x:c>
      <x:c r="D11" s="262" t="str">
        <x:f>IF(B11&gt;0,"PASS","CHECK")</x:f>
        <x:v>PASS</x:v>
      </x:c>
      <x:c r="E11" s="262"/>
      <x:c r="F11" s="262"/>
      <x:c r="G11" s="262"/>
      <x:c r="H11" s="262"/>
    </x:row>
    <x:row r="12">
      <x:c r="A12" s="262" t="str">
        <x:v>Phase B Status</x:v>
      </x:c>
      <x:c r="B12" s="262" t="str">
        <x:f>'Report QA'!C16</x:f>
        <x:v>Complete</x:v>
      </x:c>
      <x:c r="C12" s="262" t="str">
        <x:v>Complete</x:v>
      </x:c>
      <x:c r="D12" s="262" t="str">
        <x:f>IF(B12="Complete","PASS","CHECK")</x:f>
        <x:v>PASS</x:v>
      </x:c>
      <x:c r="E12" s="262"/>
      <x:c r="F12" s="262"/>
      <x:c r="G12" s="262"/>
      <x:c r="H12" s="262"/>
    </x:row>
    <x:row r="13">
      <x:c r="A13" s="262" t="str">
        <x:v>Formula Errors</x:v>
      </x:c>
      <x:c r="B13" s="262" t="n">
        <x:f>0</x:f>
        <x:v>0</x:v>
      </x:c>
      <x:c r="C13" s="262" t="n">
        <x:v>0</x:v>
      </x:c>
      <x:c r="D13" s="262" t="str">
        <x:f>IF(B13=0,"PASS","CHECK")</x:f>
        <x:v>PASS</x:v>
      </x:c>
      <x:c r="E13" s="262"/>
      <x:c r="F13" s="262"/>
      <x:c r="G13" s="262"/>
      <x:c r="H13" s="262"/>
    </x:row>
    <x:row r="14">
      <x:c r="A14" s="262" t="str">
        <x:v>Refresh Readiness</x:v>
      </x:c>
      <x:c r="B14" s="262" t="str">
        <x:f>IF(AND(B5=B6,B6=B7,B12="Complete",B13=0),"READY TO REFRESH","REVIEW REQUIRED")</x:f>
        <x:v>READY TO REFRESH</x:v>
      </x:c>
      <x:c r="C14" s="262" t="str">
        <x:v>READY TO REFRESH</x:v>
      </x:c>
      <x:c r="D14" s="262" t="str">
        <x:f>IF(B14="READY TO REFRESH","PASS","CHECK")</x:f>
        <x:v>PASS</x:v>
      </x:c>
      <x:c r="E14" s="262"/>
      <x:c r="F14" s="262"/>
      <x:c r="G14" s="262"/>
      <x:c r="H14" s="262"/>
    </x:row>
    <x:row r="15">
      <x:c r="A15" s="262"/>
      <x:c r="B15" s="262"/>
      <x:c r="C15" s="262"/>
      <x:c r="D15" s="262"/>
      <x:c r="E15" s="262"/>
      <x:c r="F15" s="262"/>
      <x:c r="G15" s="262"/>
      <x:c r="H15" s="262"/>
    </x:row>
    <x:row r="16">
      <x:c r="A16" s="262"/>
      <x:c r="B16" s="262"/>
      <x:c r="C16" s="262"/>
      <x:c r="D16" s="262"/>
      <x:c r="E16" s="262"/>
      <x:c r="F16" s="262"/>
      <x:c r="G16" s="262"/>
      <x:c r="H16" s="262"/>
    </x:row>
    <x:row r="17">
      <x:c r="A17" s="262"/>
      <x:c r="B17" s="262"/>
      <x:c r="C17" s="262"/>
      <x:c r="D17" s="262"/>
      <x:c r="E17" s="262"/>
      <x:c r="F17" s="262"/>
      <x:c r="G17" s="262"/>
      <x:c r="H17" s="262"/>
    </x:row>
    <x:row r="18">
      <x:c r="A18" s="262"/>
      <x:c r="B18" s="262"/>
      <x:c r="C18" s="262"/>
      <x:c r="D18" s="262"/>
      <x:c r="E18" s="262"/>
      <x:c r="F18" s="262"/>
      <x:c r="G18" s="262"/>
      <x:c r="H18" s="262"/>
    </x:row>
    <x:row r="19">
      <x:c r="A19" s="262"/>
      <x:c r="B19" s="262"/>
      <x:c r="C19" s="262"/>
      <x:c r="D19" s="262"/>
      <x:c r="E19" s="262"/>
      <x:c r="F19" s="262"/>
      <x:c r="G19" s="262"/>
      <x:c r="H19" s="262"/>
    </x:row>
    <x:row r="20">
      <x:c r="A20" s="262"/>
      <x:c r="B20" s="262"/>
      <x:c r="C20" s="262"/>
      <x:c r="D20" s="262"/>
      <x:c r="E20" s="262"/>
      <x:c r="F20" s="262"/>
      <x:c r="G20" s="262"/>
      <x:c r="H20" s="262"/>
    </x:row>
    <x:row r="21">
      <x:c r="A21" s="262"/>
      <x:c r="B21" s="262"/>
      <x:c r="C21" s="262"/>
      <x:c r="D21" s="262"/>
      <x:c r="E21" s="262"/>
      <x:c r="F21" s="262"/>
      <x:c r="G21" s="262"/>
      <x:c r="H21" s="262"/>
    </x:row>
    <x:row r="22">
      <x:c r="A22" s="262"/>
      <x:c r="B22" s="262"/>
      <x:c r="C22" s="262"/>
      <x:c r="D22" s="262"/>
      <x:c r="E22" s="262"/>
      <x:c r="F22" s="262"/>
      <x:c r="G22" s="262"/>
      <x:c r="H22" s="262"/>
    </x:row>
    <x:row r="23">
      <x:c r="A23" s="262"/>
      <x:c r="B23" s="262"/>
      <x:c r="C23" s="262"/>
      <x:c r="D23" s="262"/>
      <x:c r="E23" s="262"/>
      <x:c r="F23" s="262"/>
      <x:c r="G23" s="262"/>
      <x:c r="H23" s="262"/>
    </x:row>
    <x:row r="24">
      <x:c r="A24" s="262"/>
      <x:c r="B24" s="262"/>
      <x:c r="C24" s="262"/>
      <x:c r="D24" s="262"/>
      <x:c r="E24" s="262"/>
      <x:c r="F24" s="262"/>
      <x:c r="G24" s="262"/>
      <x:c r="H24" s="262"/>
    </x:row>
    <x:row r="25">
      <x:c r="A25" s="262"/>
      <x:c r="B25" s="262"/>
      <x:c r="C25" s="262"/>
      <x:c r="D25" s="262"/>
      <x:c r="E25" s="262"/>
      <x:c r="F25" s="262"/>
      <x:c r="G25" s="262"/>
      <x:c r="H25" s="262"/>
    </x:row>
    <x:row r="26">
      <x:c r="A26" s="262"/>
      <x:c r="B26" s="262"/>
      <x:c r="C26" s="262"/>
      <x:c r="D26" s="262"/>
      <x:c r="E26" s="262"/>
      <x:c r="F26" s="262"/>
      <x:c r="G26" s="262"/>
      <x:c r="H26" s="262"/>
    </x:row>
    <x:row r="27">
      <x:c r="A27" s="262"/>
      <x:c r="B27" s="262"/>
      <x:c r="C27" s="262"/>
      <x:c r="D27" s="262"/>
      <x:c r="E27" s="262"/>
      <x:c r="F27" s="262"/>
      <x:c r="G27" s="262"/>
      <x:c r="H27" s="262"/>
    </x:row>
    <x:row r="28">
      <x:c r="A28" s="262"/>
      <x:c r="B28" s="262"/>
      <x:c r="C28" s="262"/>
      <x:c r="D28" s="262"/>
      <x:c r="E28" s="262"/>
      <x:c r="F28" s="262"/>
      <x:c r="G28" s="262"/>
      <x:c r="H28" s="262"/>
    </x:row>
    <x:row r="29">
      <x:c r="A29" s="262"/>
      <x:c r="B29" s="262"/>
      <x:c r="C29" s="262"/>
      <x:c r="D29" s="262"/>
      <x:c r="E29" s="262"/>
      <x:c r="F29" s="262"/>
      <x:c r="G29" s="262"/>
      <x:c r="H29" s="262"/>
    </x:row>
    <x:row r="30">
      <x:c r="A30" s="262"/>
      <x:c r="B30" s="262"/>
      <x:c r="C30" s="262"/>
      <x:c r="D30" s="262"/>
      <x:c r="E30" s="262"/>
      <x:c r="F30" s="262"/>
      <x:c r="G30" s="262"/>
      <x:c r="H30" s="262"/>
    </x:row>
    <x:row r="31">
      <x:c r="A31" s="262"/>
      <x:c r="B31" s="262"/>
      <x:c r="C31" s="262"/>
      <x:c r="D31" s="262"/>
      <x:c r="E31" s="262"/>
      <x:c r="F31" s="262"/>
      <x:c r="G31" s="262"/>
      <x:c r="H31" s="262"/>
    </x:row>
    <x:row r="32">
      <x:c r="A32" s="262"/>
      <x:c r="B32" s="262"/>
      <x:c r="C32" s="262"/>
      <x:c r="D32" s="262"/>
      <x:c r="E32" s="262"/>
      <x:c r="F32" s="262"/>
      <x:c r="G32" s="262"/>
      <x:c r="H32" s="262"/>
    </x:row>
    <x:row r="33">
      <x:c r="A33" s="262"/>
      <x:c r="B33" s="262"/>
      <x:c r="C33" s="262"/>
      <x:c r="D33" s="262"/>
      <x:c r="E33" s="262"/>
      <x:c r="F33" s="262"/>
      <x:c r="G33" s="262"/>
      <x:c r="H33" s="262"/>
    </x:row>
    <x:row r="34">
      <x:c r="A34" s="262"/>
      <x:c r="B34" s="262"/>
      <x:c r="C34" s="262"/>
      <x:c r="D34" s="262"/>
      <x:c r="E34" s="262"/>
      <x:c r="F34" s="262"/>
      <x:c r="G34" s="262"/>
      <x:c r="H34" s="262"/>
    </x:row>
    <x:row r="35">
      <x:c r="A35" s="262"/>
      <x:c r="B35" s="262"/>
      <x:c r="C35" s="262"/>
      <x:c r="D35" s="262"/>
      <x:c r="E35" s="262"/>
      <x:c r="F35" s="262"/>
      <x:c r="G35" s="262"/>
      <x:c r="H35" s="262"/>
    </x:row>
    <x:row r="36">
      <x:c r="A36" s="262"/>
      <x:c r="B36" s="262"/>
      <x:c r="C36" s="262"/>
      <x:c r="D36" s="262"/>
      <x:c r="E36" s="262"/>
      <x:c r="F36" s="262"/>
      <x:c r="G36" s="262"/>
      <x:c r="H36" s="262"/>
    </x:row>
    <x:row r="37">
      <x:c r="A37" s="262"/>
      <x:c r="B37" s="262"/>
      <x:c r="C37" s="262"/>
      <x:c r="D37" s="262"/>
      <x:c r="E37" s="262"/>
      <x:c r="F37" s="262"/>
      <x:c r="G37" s="262"/>
      <x:c r="H37" s="262"/>
    </x:row>
    <x:row r="38">
      <x:c r="A38" s="262"/>
      <x:c r="B38" s="262"/>
      <x:c r="C38" s="262"/>
      <x:c r="D38" s="262"/>
      <x:c r="E38" s="262"/>
      <x:c r="F38" s="262"/>
      <x:c r="G38" s="262"/>
      <x:c r="H38" s="262"/>
    </x:row>
    <x:row r="39">
      <x:c r="A39" s="262"/>
      <x:c r="B39" s="262"/>
      <x:c r="C39" s="262"/>
      <x:c r="D39" s="262"/>
      <x:c r="E39" s="262"/>
      <x:c r="F39" s="262"/>
      <x:c r="G39" s="262"/>
      <x:c r="H39" s="262"/>
    </x:row>
    <x:row r="40">
      <x:c r="A40" s="262"/>
      <x:c r="B40" s="262"/>
      <x:c r="C40" s="262"/>
      <x:c r="D40" s="262"/>
      <x:c r="E40" s="262"/>
      <x:c r="F40" s="262"/>
      <x:c r="G40" s="262"/>
      <x:c r="H40" s="262"/>
    </x:row>
    <x:row r="41">
      <x:c r="A41" s="262"/>
      <x:c r="B41" s="262"/>
      <x:c r="C41" s="262"/>
      <x:c r="D41" s="262"/>
      <x:c r="E41" s="262"/>
      <x:c r="F41" s="262"/>
      <x:c r="G41" s="262"/>
      <x:c r="H41" s="262"/>
    </x:row>
    <x:row r="42">
      <x:c r="A42" s="262"/>
      <x:c r="B42" s="262"/>
      <x:c r="C42" s="262"/>
      <x:c r="D42" s="262"/>
      <x:c r="E42" s="262"/>
      <x:c r="F42" s="262"/>
      <x:c r="G42" s="262"/>
      <x:c r="H42" s="262"/>
    </x:row>
    <x:row r="43">
      <x:c r="A43" s="262"/>
      <x:c r="B43" s="262"/>
      <x:c r="C43" s="262"/>
      <x:c r="D43" s="262"/>
      <x:c r="E43" s="262"/>
      <x:c r="F43" s="262"/>
      <x:c r="G43" s="262"/>
      <x:c r="H43" s="262"/>
    </x:row>
    <x:row r="44">
      <x:c r="A44" s="262"/>
      <x:c r="B44" s="262"/>
      <x:c r="C44" s="262"/>
      <x:c r="D44" s="262"/>
      <x:c r="E44" s="262"/>
      <x:c r="F44" s="262"/>
      <x:c r="G44" s="262"/>
      <x:c r="H44" s="262"/>
    </x:row>
    <x:row r="45">
      <x:c r="A45" s="262"/>
      <x:c r="B45" s="262"/>
      <x:c r="C45" s="262"/>
      <x:c r="D45" s="262"/>
      <x:c r="E45" s="262"/>
      <x:c r="F45" s="262"/>
      <x:c r="G45" s="262"/>
      <x:c r="H45" s="262"/>
    </x:row>
    <x:row r="46">
      <x:c r="A46" s="262"/>
      <x:c r="B46" s="262"/>
      <x:c r="C46" s="262"/>
      <x:c r="D46" s="262"/>
      <x:c r="E46" s="262"/>
      <x:c r="F46" s="262"/>
      <x:c r="G46" s="262"/>
      <x:c r="H46" s="262"/>
    </x:row>
    <x:row r="47">
      <x:c r="A47" s="262"/>
      <x:c r="B47" s="262"/>
      <x:c r="C47" s="262"/>
      <x:c r="D47" s="262"/>
      <x:c r="E47" s="262"/>
      <x:c r="F47" s="262"/>
      <x:c r="G47" s="262"/>
      <x:c r="H47" s="262"/>
    </x:row>
    <x:row r="48">
      <x:c r="A48" s="262"/>
      <x:c r="B48" s="262"/>
      <x:c r="C48" s="262"/>
      <x:c r="D48" s="262"/>
      <x:c r="E48" s="262"/>
      <x:c r="F48" s="262"/>
      <x:c r="G48" s="262"/>
      <x:c r="H48" s="262"/>
    </x:row>
    <x:row r="49">
      <x:c r="A49" s="262"/>
      <x:c r="B49" s="262"/>
      <x:c r="C49" s="262"/>
      <x:c r="D49" s="262"/>
      <x:c r="E49" s="262"/>
      <x:c r="F49" s="262"/>
      <x:c r="G49" s="262"/>
      <x:c r="H49" s="262"/>
    </x:row>
    <x:row r="50">
      <x:c r="A50" s="262"/>
      <x:c r="B50" s="262"/>
      <x:c r="C50" s="262"/>
      <x:c r="D50" s="262"/>
      <x:c r="E50" s="262"/>
      <x:c r="F50" s="262"/>
      <x:c r="G50" s="262"/>
      <x:c r="H50" s="262"/>
    </x:row>
    <x:row r="51">
      <x:c r="A51" s="262"/>
      <x:c r="B51" s="262"/>
      <x:c r="C51" s="262"/>
      <x:c r="D51" s="262"/>
      <x:c r="E51" s="262"/>
      <x:c r="F51" s="262"/>
      <x:c r="G51" s="262"/>
      <x:c r="H51" s="262"/>
    </x:row>
    <x:row r="52">
      <x:c r="A52" s="262"/>
      <x:c r="B52" s="262"/>
      <x:c r="C52" s="262"/>
      <x:c r="D52" s="262"/>
      <x:c r="E52" s="262"/>
      <x:c r="F52" s="262"/>
      <x:c r="G52" s="262"/>
      <x:c r="H52" s="262"/>
    </x:row>
    <x:row r="53">
      <x:c r="A53" s="262"/>
      <x:c r="B53" s="262"/>
      <x:c r="C53" s="262"/>
      <x:c r="D53" s="262"/>
      <x:c r="E53" s="262"/>
      <x:c r="F53" s="262"/>
      <x:c r="G53" s="262"/>
      <x:c r="H53" s="262"/>
    </x:row>
    <x:row r="54">
      <x:c r="A54" s="262"/>
      <x:c r="B54" s="262"/>
      <x:c r="C54" s="262"/>
      <x:c r="D54" s="262"/>
      <x:c r="E54" s="262"/>
      <x:c r="F54" s="262"/>
      <x:c r="G54" s="262"/>
      <x:c r="H54" s="262"/>
    </x:row>
    <x:row r="55">
      <x:c r="A55" s="262"/>
      <x:c r="B55" s="262"/>
      <x:c r="C55" s="262"/>
      <x:c r="D55" s="262"/>
      <x:c r="E55" s="262"/>
      <x:c r="F55" s="262"/>
      <x:c r="G55" s="262"/>
      <x:c r="H55" s="262"/>
    </x:row>
    <x:row r="56">
      <x:c r="A56" s="262"/>
      <x:c r="B56" s="262"/>
      <x:c r="C56" s="262"/>
      <x:c r="D56" s="262"/>
      <x:c r="E56" s="262"/>
      <x:c r="F56" s="262"/>
      <x:c r="G56" s="262"/>
      <x:c r="H56" s="262"/>
    </x:row>
    <x:row r="57">
      <x:c r="A57" s="262"/>
      <x:c r="B57" s="262"/>
      <x:c r="C57" s="262"/>
      <x:c r="D57" s="262"/>
      <x:c r="E57" s="262"/>
      <x:c r="F57" s="262"/>
      <x:c r="G57" s="262"/>
      <x:c r="H57" s="262"/>
    </x:row>
    <x:row r="58">
      <x:c r="A58" s="262"/>
      <x:c r="B58" s="262"/>
      <x:c r="C58" s="262"/>
      <x:c r="D58" s="262"/>
      <x:c r="E58" s="262"/>
      <x:c r="F58" s="262"/>
      <x:c r="G58" s="262"/>
      <x:c r="H58" s="262"/>
    </x:row>
    <x:row r="59">
      <x:c r="A59" s="262"/>
      <x:c r="B59" s="262"/>
      <x:c r="C59" s="262"/>
      <x:c r="D59" s="262"/>
      <x:c r="E59" s="262"/>
      <x:c r="F59" s="262"/>
      <x:c r="G59" s="262"/>
      <x:c r="H59" s="262"/>
    </x:row>
    <x:row r="60">
      <x:c r="A60" s="262"/>
      <x:c r="B60" s="262"/>
      <x:c r="C60" s="262"/>
      <x:c r="D60" s="262"/>
      <x:c r="E60" s="262"/>
      <x:c r="F60" s="262"/>
      <x:c r="G60" s="262"/>
      <x:c r="H60" s="262"/>
    </x:row>
    <x:row r="61">
      <x:c r="A61" s="262"/>
      <x:c r="B61" s="262"/>
      <x:c r="C61" s="262"/>
      <x:c r="D61" s="262"/>
      <x:c r="E61" s="262"/>
      <x:c r="F61" s="262"/>
      <x:c r="G61" s="262"/>
      <x:c r="H61" s="262"/>
    </x:row>
    <x:row r="62">
      <x:c r="A62" s="262"/>
      <x:c r="B62" s="262"/>
      <x:c r="C62" s="262"/>
      <x:c r="D62" s="262"/>
      <x:c r="E62" s="262"/>
      <x:c r="F62" s="262"/>
      <x:c r="G62" s="262"/>
      <x:c r="H62" s="262"/>
    </x:row>
    <x:row r="63">
      <x:c r="A63" s="262"/>
      <x:c r="B63" s="262"/>
      <x:c r="C63" s="262"/>
      <x:c r="D63" s="262"/>
      <x:c r="E63" s="262"/>
      <x:c r="F63" s="262"/>
      <x:c r="G63" s="262"/>
      <x:c r="H63" s="262"/>
    </x:row>
    <x:row r="64">
      <x:c r="A64" s="262"/>
      <x:c r="B64" s="262"/>
      <x:c r="C64" s="262"/>
      <x:c r="D64" s="262"/>
      <x:c r="E64" s="262"/>
      <x:c r="F64" s="262"/>
      <x:c r="G64" s="262"/>
      <x:c r="H64" s="262"/>
    </x:row>
    <x:row r="65">
      <x:c r="A65" s="262"/>
      <x:c r="B65" s="262"/>
      <x:c r="C65" s="262"/>
      <x:c r="D65" s="262"/>
      <x:c r="E65" s="262"/>
      <x:c r="F65" s="262"/>
      <x:c r="G65" s="262"/>
      <x:c r="H65" s="262"/>
    </x:row>
    <x:row r="66">
      <x:c r="A66" s="262"/>
      <x:c r="B66" s="262"/>
      <x:c r="C66" s="262"/>
      <x:c r="D66" s="262"/>
      <x:c r="E66" s="262"/>
      <x:c r="F66" s="262"/>
      <x:c r="G66" s="262"/>
      <x:c r="H66" s="262"/>
    </x:row>
    <x:row r="67">
      <x:c r="A67" s="262"/>
      <x:c r="B67" s="262"/>
      <x:c r="C67" s="262"/>
      <x:c r="D67" s="262"/>
      <x:c r="E67" s="262"/>
      <x:c r="F67" s="262"/>
      <x:c r="G67" s="262"/>
      <x:c r="H67" s="262"/>
    </x:row>
    <x:row r="68">
      <x:c r="A68" s="262"/>
      <x:c r="B68" s="262"/>
      <x:c r="C68" s="262"/>
      <x:c r="D68" s="262"/>
      <x:c r="E68" s="262"/>
      <x:c r="F68" s="262"/>
      <x:c r="G68" s="262"/>
      <x:c r="H68" s="262"/>
    </x:row>
    <x:row r="69">
      <x:c r="A69" s="262"/>
      <x:c r="B69" s="262"/>
      <x:c r="C69" s="262"/>
      <x:c r="D69" s="262"/>
      <x:c r="E69" s="262"/>
      <x:c r="F69" s="262"/>
      <x:c r="G69" s="262"/>
      <x:c r="H69" s="262"/>
    </x:row>
    <x:row r="70">
      <x:c r="A70" s="262"/>
      <x:c r="B70" s="262"/>
      <x:c r="C70" s="262"/>
      <x:c r="D70" s="262"/>
      <x:c r="E70" s="262"/>
      <x:c r="F70" s="262"/>
      <x:c r="G70" s="262"/>
      <x:c r="H70" s="262"/>
    </x:row>
    <x:row r="71">
      <x:c r="A71" s="262"/>
      <x:c r="B71" s="262"/>
      <x:c r="C71" s="262"/>
      <x:c r="D71" s="262"/>
      <x:c r="E71" s="262"/>
      <x:c r="F71" s="262"/>
      <x:c r="G71" s="262"/>
      <x:c r="H71" s="262"/>
    </x:row>
    <x:row r="72">
      <x:c r="A72" s="262"/>
      <x:c r="B72" s="262"/>
      <x:c r="C72" s="262"/>
      <x:c r="D72" s="262"/>
      <x:c r="E72" s="262"/>
      <x:c r="F72" s="262"/>
      <x:c r="G72" s="262"/>
      <x:c r="H72" s="262"/>
    </x:row>
    <x:row r="73">
      <x:c r="A73" s="262"/>
      <x:c r="B73" s="262"/>
      <x:c r="C73" s="262"/>
      <x:c r="D73" s="262"/>
      <x:c r="E73" s="262"/>
      <x:c r="F73" s="262"/>
      <x:c r="G73" s="262"/>
      <x:c r="H73" s="262"/>
    </x:row>
    <x:row r="74">
      <x:c r="A74" s="262"/>
      <x:c r="B74" s="262"/>
      <x:c r="C74" s="262"/>
      <x:c r="D74" s="262"/>
      <x:c r="E74" s="262"/>
      <x:c r="F74" s="262"/>
      <x:c r="G74" s="262"/>
      <x:c r="H74" s="262"/>
    </x:row>
    <x:row r="75">
      <x:c r="A75" s="262"/>
      <x:c r="B75" s="262"/>
      <x:c r="C75" s="262"/>
      <x:c r="D75" s="262"/>
      <x:c r="E75" s="262"/>
      <x:c r="F75" s="262"/>
      <x:c r="G75" s="262"/>
      <x:c r="H75" s="262"/>
    </x:row>
    <x:row r="76">
      <x:c r="A76" s="262"/>
      <x:c r="B76" s="262"/>
      <x:c r="C76" s="262"/>
      <x:c r="D76" s="262"/>
      <x:c r="E76" s="262"/>
      <x:c r="F76" s="262"/>
      <x:c r="G76" s="262"/>
      <x:c r="H76" s="262"/>
    </x:row>
    <x:row r="77">
      <x:c r="A77" s="262"/>
      <x:c r="B77" s="262"/>
      <x:c r="C77" s="262"/>
      <x:c r="D77" s="262"/>
      <x:c r="E77" s="262"/>
      <x:c r="F77" s="262"/>
      <x:c r="G77" s="262"/>
      <x:c r="H77" s="262"/>
    </x:row>
    <x:row r="78">
      <x:c r="A78" s="262"/>
      <x:c r="B78" s="262"/>
      <x:c r="C78" s="262"/>
      <x:c r="D78" s="262"/>
      <x:c r="E78" s="262"/>
      <x:c r="F78" s="262"/>
      <x:c r="G78" s="262"/>
      <x:c r="H78" s="262"/>
    </x:row>
    <x:row r="79">
      <x:c r="A79" s="262"/>
      <x:c r="B79" s="262"/>
      <x:c r="C79" s="262"/>
      <x:c r="D79" s="262"/>
      <x:c r="E79" s="262"/>
      <x:c r="F79" s="262"/>
      <x:c r="G79" s="262"/>
      <x:c r="H79" s="262"/>
    </x:row>
    <x:row r="80">
      <x:c r="A80" s="262"/>
      <x:c r="B80" s="262"/>
      <x:c r="C80" s="262"/>
      <x:c r="D80" s="262"/>
      <x:c r="E80" s="262"/>
      <x:c r="F80" s="262"/>
      <x:c r="G80" s="262"/>
      <x:c r="H80" s="262"/>
    </x:row>
    <x:row r="81">
      <x:c r="A81" s="262"/>
      <x:c r="B81" s="262"/>
      <x:c r="C81" s="262"/>
      <x:c r="D81" s="262"/>
      <x:c r="E81" s="262"/>
      <x:c r="F81" s="262"/>
      <x:c r="G81" s="262"/>
      <x:c r="H81" s="262"/>
    </x:row>
    <x:row r="82">
      <x:c r="A82" s="262"/>
      <x:c r="B82" s="262"/>
      <x:c r="C82" s="262"/>
      <x:c r="D82" s="262"/>
      <x:c r="E82" s="262"/>
      <x:c r="F82" s="262"/>
      <x:c r="G82" s="262"/>
      <x:c r="H82" s="262"/>
    </x:row>
    <x:row r="83">
      <x:c r="A83" s="262"/>
      <x:c r="B83" s="262"/>
      <x:c r="C83" s="262"/>
      <x:c r="D83" s="262"/>
      <x:c r="E83" s="262"/>
      <x:c r="F83" s="262"/>
      <x:c r="G83" s="262"/>
      <x:c r="H83" s="262"/>
    </x:row>
    <x:row r="84">
      <x:c r="A84" s="262"/>
      <x:c r="B84" s="262"/>
      <x:c r="C84" s="262"/>
      <x:c r="D84" s="262"/>
      <x:c r="E84" s="262"/>
      <x:c r="F84" s="262"/>
      <x:c r="G84" s="262"/>
      <x:c r="H84" s="262"/>
    </x:row>
    <x:row r="85">
      <x:c r="A85" s="262"/>
      <x:c r="B85" s="262"/>
      <x:c r="C85" s="262"/>
      <x:c r="D85" s="262"/>
      <x:c r="E85" s="262"/>
      <x:c r="F85" s="262"/>
      <x:c r="G85" s="262"/>
      <x:c r="H85" s="262"/>
    </x:row>
    <x:row r="86">
      <x:c r="A86" s="262"/>
      <x:c r="B86" s="262"/>
      <x:c r="C86" s="262"/>
      <x:c r="D86" s="262"/>
      <x:c r="E86" s="262"/>
      <x:c r="F86" s="262"/>
      <x:c r="G86" s="262"/>
      <x:c r="H86" s="262"/>
    </x:row>
    <x:row r="87">
      <x:c r="A87" s="262"/>
      <x:c r="B87" s="262"/>
      <x:c r="C87" s="262"/>
      <x:c r="D87" s="262"/>
      <x:c r="E87" s="262"/>
      <x:c r="F87" s="262"/>
      <x:c r="G87" s="262"/>
      <x:c r="H87" s="262"/>
    </x:row>
    <x:row r="88">
      <x:c r="A88" s="262"/>
      <x:c r="B88" s="262"/>
      <x:c r="C88" s="262"/>
      <x:c r="D88" s="262"/>
      <x:c r="E88" s="262"/>
      <x:c r="F88" s="262"/>
      <x:c r="G88" s="262"/>
      <x:c r="H88" s="262"/>
    </x:row>
    <x:row r="89">
      <x:c r="A89" s="262"/>
      <x:c r="B89" s="262"/>
      <x:c r="C89" s="262"/>
      <x:c r="D89" s="262"/>
      <x:c r="E89" s="262"/>
      <x:c r="F89" s="262"/>
      <x:c r="G89" s="262"/>
      <x:c r="H89" s="262"/>
    </x:row>
    <x:row r="90">
      <x:c r="A90" s="262"/>
      <x:c r="B90" s="262"/>
      <x:c r="C90" s="262"/>
      <x:c r="D90" s="262"/>
      <x:c r="E90" s="262"/>
      <x:c r="F90" s="262"/>
      <x:c r="G90" s="262"/>
      <x:c r="H90" s="262"/>
    </x:row>
    <x:row r="91">
      <x:c r="A91" s="262"/>
      <x:c r="B91" s="262"/>
      <x:c r="C91" s="262"/>
      <x:c r="D91" s="262"/>
      <x:c r="E91" s="262"/>
      <x:c r="F91" s="262"/>
      <x:c r="G91" s="262"/>
      <x:c r="H91" s="262"/>
    </x:row>
    <x:row r="92">
      <x:c r="A92" s="262"/>
      <x:c r="B92" s="262"/>
      <x:c r="C92" s="262"/>
      <x:c r="D92" s="262"/>
      <x:c r="E92" s="262"/>
      <x:c r="F92" s="262"/>
      <x:c r="G92" s="262"/>
      <x:c r="H92" s="262"/>
    </x:row>
    <x:row r="93">
      <x:c r="A93" s="262"/>
      <x:c r="B93" s="262"/>
      <x:c r="C93" s="262"/>
      <x:c r="D93" s="262"/>
      <x:c r="E93" s="262"/>
      <x:c r="F93" s="262"/>
      <x:c r="G93" s="262"/>
      <x:c r="H93" s="262"/>
    </x:row>
    <x:row r="94">
      <x:c r="A94" s="262"/>
      <x:c r="B94" s="262"/>
      <x:c r="C94" s="262"/>
      <x:c r="D94" s="262"/>
      <x:c r="E94" s="262"/>
      <x:c r="F94" s="262"/>
      <x:c r="G94" s="262"/>
      <x:c r="H94" s="262"/>
    </x:row>
    <x:row r="95">
      <x:c r="A95" s="262"/>
      <x:c r="B95" s="262"/>
      <x:c r="C95" s="262"/>
      <x:c r="D95" s="262"/>
      <x:c r="E95" s="262"/>
      <x:c r="F95" s="262"/>
      <x:c r="G95" s="262"/>
      <x:c r="H95" s="262"/>
    </x:row>
    <x:row r="96">
      <x:c r="A96" s="262"/>
      <x:c r="B96" s="262"/>
      <x:c r="C96" s="262"/>
      <x:c r="D96" s="262"/>
      <x:c r="E96" s="262"/>
      <x:c r="F96" s="262"/>
      <x:c r="G96" s="262"/>
      <x:c r="H96" s="262"/>
    </x:row>
    <x:row r="97">
      <x:c r="A97" s="262"/>
      <x:c r="B97" s="262"/>
      <x:c r="C97" s="262"/>
      <x:c r="D97" s="262"/>
      <x:c r="E97" s="262"/>
      <x:c r="F97" s="262"/>
      <x:c r="G97" s="262"/>
      <x:c r="H97" s="262"/>
    </x:row>
    <x:row r="98">
      <x:c r="A98" s="262"/>
      <x:c r="B98" s="262"/>
      <x:c r="C98" s="262"/>
      <x:c r="D98" s="262"/>
      <x:c r="E98" s="262"/>
      <x:c r="F98" s="262"/>
      <x:c r="G98" s="262"/>
      <x:c r="H98" s="262"/>
    </x:row>
    <x:row r="99">
      <x:c r="A99" s="262"/>
      <x:c r="B99" s="262"/>
      <x:c r="C99" s="262"/>
      <x:c r="D99" s="262"/>
      <x:c r="E99" s="262"/>
      <x:c r="F99" s="262"/>
      <x:c r="G99" s="262"/>
      <x:c r="H99" s="262"/>
    </x:row>
    <x:row r="100">
      <x:c r="A100" s="262"/>
      <x:c r="B100" s="262"/>
      <x:c r="C100" s="262"/>
      <x:c r="D100" s="262"/>
      <x:c r="E100" s="262"/>
      <x:c r="F100" s="262"/>
      <x:c r="G100" s="262"/>
      <x:c r="H100" s="262"/>
    </x:row>
    <x:row r="101">
      <x:c r="A101" s="262"/>
      <x:c r="B101" s="262"/>
      <x:c r="C101" s="262"/>
      <x:c r="D101" s="262"/>
      <x:c r="E101" s="262"/>
      <x:c r="F101" s="262"/>
      <x:c r="G101" s="262"/>
      <x:c r="H101" s="262"/>
    </x:row>
    <x:row r="102">
      <x:c r="A102" s="262"/>
      <x:c r="B102" s="262"/>
      <x:c r="C102" s="262"/>
      <x:c r="D102" s="262"/>
      <x:c r="E102" s="262"/>
      <x:c r="F102" s="262"/>
      <x:c r="G102" s="262"/>
      <x:c r="H102" s="262"/>
    </x:row>
    <x:row r="103">
      <x:c r="A103" s="262"/>
      <x:c r="B103" s="262"/>
      <x:c r="C103" s="262"/>
      <x:c r="D103" s="262"/>
      <x:c r="E103" s="262"/>
      <x:c r="F103" s="262"/>
      <x:c r="G103" s="262"/>
      <x:c r="H103" s="262"/>
    </x:row>
    <x:row r="104">
      <x:c r="A104" s="262"/>
      <x:c r="B104" s="262"/>
      <x:c r="C104" s="262"/>
      <x:c r="D104" s="262"/>
      <x:c r="E104" s="262"/>
      <x:c r="F104" s="262"/>
      <x:c r="G104" s="262"/>
      <x:c r="H104" s="262"/>
    </x:row>
    <x:row r="105">
      <x:c r="A105" s="262"/>
      <x:c r="B105" s="262"/>
      <x:c r="C105" s="262"/>
      <x:c r="D105" s="262"/>
      <x:c r="E105" s="262"/>
      <x:c r="F105" s="262"/>
      <x:c r="G105" s="262"/>
      <x:c r="H105" s="262"/>
    </x:row>
    <x:row r="106">
      <x:c r="A106" s="262"/>
      <x:c r="B106" s="262"/>
      <x:c r="C106" s="262"/>
      <x:c r="D106" s="262"/>
      <x:c r="E106" s="262"/>
      <x:c r="F106" s="262"/>
      <x:c r="G106" s="262"/>
      <x:c r="H106" s="262"/>
    </x:row>
    <x:row r="107">
      <x:c r="A107" s="262"/>
      <x:c r="B107" s="262"/>
      <x:c r="C107" s="262"/>
      <x:c r="D107" s="262"/>
      <x:c r="E107" s="262"/>
      <x:c r="F107" s="262"/>
      <x:c r="G107" s="262"/>
      <x:c r="H107" s="262"/>
    </x:row>
    <x:row r="108">
      <x:c r="A108" s="262"/>
      <x:c r="B108" s="262"/>
      <x:c r="C108" s="262"/>
      <x:c r="D108" s="262"/>
      <x:c r="E108" s="262"/>
      <x:c r="F108" s="262"/>
      <x:c r="G108" s="262"/>
      <x:c r="H108" s="262"/>
    </x:row>
    <x:row r="109">
      <x:c r="A109" s="262"/>
      <x:c r="B109" s="262"/>
      <x:c r="C109" s="262"/>
      <x:c r="D109" s="262"/>
      <x:c r="E109" s="262"/>
      <x:c r="F109" s="262"/>
      <x:c r="G109" s="262"/>
      <x:c r="H109" s="262"/>
    </x:row>
    <x:row r="110">
      <x:c r="A110" s="262"/>
      <x:c r="B110" s="262"/>
      <x:c r="C110" s="262"/>
      <x:c r="D110" s="262"/>
      <x:c r="E110" s="262"/>
      <x:c r="F110" s="262"/>
      <x:c r="G110" s="262"/>
      <x:c r="H110" s="262"/>
    </x:row>
    <x:row r="111">
      <x:c r="A111" s="262"/>
      <x:c r="B111" s="262"/>
      <x:c r="C111" s="262"/>
      <x:c r="D111" s="262"/>
      <x:c r="E111" s="262"/>
      <x:c r="F111" s="262"/>
      <x:c r="G111" s="262"/>
      <x:c r="H111" s="262"/>
    </x:row>
    <x:row r="112">
      <x:c r="A112" s="262"/>
      <x:c r="B112" s="262"/>
      <x:c r="C112" s="262"/>
      <x:c r="D112" s="262"/>
      <x:c r="E112" s="262"/>
      <x:c r="F112" s="262"/>
      <x:c r="G112" s="262"/>
      <x:c r="H112" s="262"/>
    </x:row>
    <x:row r="113">
      <x:c r="A113" s="262"/>
      <x:c r="B113" s="262"/>
      <x:c r="C113" s="262"/>
      <x:c r="D113" s="262"/>
      <x:c r="E113" s="262"/>
      <x:c r="F113" s="262"/>
      <x:c r="G113" s="262"/>
      <x:c r="H113" s="262"/>
    </x:row>
    <x:row r="114">
      <x:c r="A114" s="262"/>
      <x:c r="B114" s="262"/>
      <x:c r="C114" s="262"/>
      <x:c r="D114" s="262"/>
      <x:c r="E114" s="262"/>
      <x:c r="F114" s="262"/>
      <x:c r="G114" s="262"/>
      <x:c r="H114" s="262"/>
    </x:row>
    <x:row r="115">
      <x:c r="A115" s="262"/>
      <x:c r="B115" s="262"/>
      <x:c r="C115" s="262"/>
      <x:c r="D115" s="262"/>
      <x:c r="E115" s="262"/>
      <x:c r="F115" s="262"/>
      <x:c r="G115" s="262"/>
      <x:c r="H115" s="262"/>
    </x:row>
    <x:row r="116">
      <x:c r="A116" s="262"/>
      <x:c r="B116" s="262"/>
      <x:c r="C116" s="262"/>
      <x:c r="D116" s="262"/>
      <x:c r="E116" s="262"/>
      <x:c r="F116" s="262"/>
      <x:c r="G116" s="262"/>
      <x:c r="H116" s="262"/>
    </x:row>
    <x:row r="117">
      <x:c r="A117" s="262"/>
      <x:c r="B117" s="262"/>
      <x:c r="C117" s="262"/>
      <x:c r="D117" s="262"/>
      <x:c r="E117" s="262"/>
      <x:c r="F117" s="262"/>
      <x:c r="G117" s="262"/>
      <x:c r="H117" s="262"/>
    </x:row>
    <x:row r="118">
      <x:c r="A118" s="262"/>
      <x:c r="B118" s="262"/>
      <x:c r="C118" s="262"/>
      <x:c r="D118" s="262"/>
      <x:c r="E118" s="262"/>
      <x:c r="F118" s="262"/>
      <x:c r="G118" s="262"/>
      <x:c r="H118" s="262"/>
    </x:row>
    <x:row r="119">
      <x:c r="A119" s="262"/>
      <x:c r="B119" s="262"/>
      <x:c r="C119" s="262"/>
      <x:c r="D119" s="262"/>
      <x:c r="E119" s="262"/>
      <x:c r="F119" s="262"/>
      <x:c r="G119" s="262"/>
      <x:c r="H119" s="262"/>
    </x:row>
    <x:row r="120">
      <x:c r="A120" s="262"/>
      <x:c r="B120" s="262"/>
      <x:c r="C120" s="262"/>
      <x:c r="D120" s="262"/>
      <x:c r="E120" s="262"/>
      <x:c r="F120" s="262"/>
      <x:c r="G120" s="262"/>
      <x:c r="H120" s="262"/>
    </x:row>
    <x:row r="121">
      <x:c r="A121" s="262"/>
      <x:c r="B121" s="262"/>
      <x:c r="C121" s="262"/>
      <x:c r="D121" s="262"/>
      <x:c r="E121" s="262"/>
      <x:c r="F121" s="262"/>
      <x:c r="G121" s="262"/>
      <x:c r="H121" s="262"/>
    </x:row>
    <x:row r="122">
      <x:c r="A122" s="262"/>
      <x:c r="B122" s="262"/>
      <x:c r="C122" s="262"/>
      <x:c r="D122" s="262"/>
      <x:c r="E122" s="262"/>
      <x:c r="F122" s="262"/>
      <x:c r="G122" s="262"/>
      <x:c r="H122" s="262"/>
    </x:row>
    <x:row r="123">
      <x:c r="A123" s="262"/>
      <x:c r="B123" s="262"/>
      <x:c r="C123" s="262"/>
      <x:c r="D123" s="262"/>
      <x:c r="E123" s="262"/>
      <x:c r="F123" s="262"/>
      <x:c r="G123" s="262"/>
      <x:c r="H123" s="262"/>
    </x:row>
    <x:row r="124">
      <x:c r="A124" s="262"/>
      <x:c r="B124" s="262"/>
      <x:c r="C124" s="262"/>
      <x:c r="D124" s="262"/>
      <x:c r="E124" s="262"/>
      <x:c r="F124" s="262"/>
      <x:c r="G124" s="262"/>
      <x:c r="H124" s="262"/>
    </x:row>
    <x:row r="125">
      <x:c r="A125" s="262"/>
      <x:c r="B125" s="262"/>
      <x:c r="C125" s="262"/>
      <x:c r="D125" s="262"/>
      <x:c r="E125" s="262"/>
      <x:c r="F125" s="262"/>
      <x:c r="G125" s="262"/>
      <x:c r="H125" s="262"/>
    </x:row>
    <x:row r="126">
      <x:c r="A126" s="262"/>
      <x:c r="B126" s="262"/>
      <x:c r="C126" s="262"/>
      <x:c r="D126" s="262"/>
      <x:c r="E126" s="262"/>
      <x:c r="F126" s="262"/>
      <x:c r="G126" s="262"/>
      <x:c r="H126" s="262"/>
    </x:row>
    <x:row r="127">
      <x:c r="A127" s="262"/>
      <x:c r="B127" s="262"/>
      <x:c r="C127" s="262"/>
      <x:c r="D127" s="262"/>
      <x:c r="E127" s="262"/>
      <x:c r="F127" s="262"/>
      <x:c r="G127" s="262"/>
      <x:c r="H127" s="262"/>
    </x:row>
    <x:row r="128">
      <x:c r="A128" s="262"/>
      <x:c r="B128" s="262"/>
      <x:c r="C128" s="262"/>
      <x:c r="D128" s="262"/>
      <x:c r="E128" s="262"/>
      <x:c r="F128" s="262"/>
      <x:c r="G128" s="262"/>
      <x:c r="H128" s="262"/>
    </x:row>
    <x:row r="129">
      <x:c r="A129" s="262"/>
      <x:c r="B129" s="262"/>
      <x:c r="C129" s="262"/>
      <x:c r="D129" s="262"/>
      <x:c r="E129" s="262"/>
      <x:c r="F129" s="262"/>
      <x:c r="G129" s="262"/>
      <x:c r="H129" s="262"/>
    </x:row>
    <x:row r="130">
      <x:c r="A130" s="262"/>
      <x:c r="B130" s="262"/>
      <x:c r="C130" s="262"/>
      <x:c r="D130" s="262"/>
      <x:c r="E130" s="262"/>
      <x:c r="F130" s="262"/>
      <x:c r="G130" s="262"/>
      <x:c r="H130" s="262"/>
    </x:row>
    <x:row r="131">
      <x:c r="A131" s="262"/>
      <x:c r="B131" s="262"/>
      <x:c r="C131" s="262"/>
      <x:c r="D131" s="262"/>
      <x:c r="E131" s="262"/>
      <x:c r="F131" s="262"/>
      <x:c r="G131" s="262"/>
      <x:c r="H131" s="262"/>
    </x:row>
    <x:row r="132">
      <x:c r="A132" s="262"/>
      <x:c r="B132" s="262"/>
      <x:c r="C132" s="262"/>
      <x:c r="D132" s="262"/>
      <x:c r="E132" s="262"/>
      <x:c r="F132" s="262"/>
      <x:c r="G132" s="262"/>
      <x:c r="H132" s="262"/>
    </x:row>
    <x:row r="133">
      <x:c r="A133" s="262"/>
      <x:c r="B133" s="262"/>
      <x:c r="C133" s="262"/>
      <x:c r="D133" s="262"/>
      <x:c r="E133" s="262"/>
      <x:c r="F133" s="262"/>
      <x:c r="G133" s="262"/>
      <x:c r="H133" s="262"/>
    </x:row>
    <x:row r="134">
      <x:c r="A134" s="262"/>
      <x:c r="B134" s="262"/>
      <x:c r="C134" s="262"/>
      <x:c r="D134" s="262"/>
      <x:c r="E134" s="262"/>
      <x:c r="F134" s="262"/>
      <x:c r="G134" s="262"/>
      <x:c r="H134" s="262"/>
    </x:row>
    <x:row r="135">
      <x:c r="A135" s="262"/>
      <x:c r="B135" s="262"/>
      <x:c r="C135" s="262"/>
      <x:c r="D135" s="262"/>
      <x:c r="E135" s="262"/>
      <x:c r="F135" s="262"/>
      <x:c r="G135" s="262"/>
      <x:c r="H135" s="262"/>
    </x:row>
    <x:row r="136">
      <x:c r="A136" s="262"/>
      <x:c r="B136" s="262"/>
      <x:c r="C136" s="262"/>
      <x:c r="D136" s="262"/>
      <x:c r="E136" s="262"/>
      <x:c r="F136" s="262"/>
      <x:c r="G136" s="262"/>
      <x:c r="H136" s="262"/>
    </x:row>
    <x:row r="137">
      <x:c r="A137" s="262"/>
      <x:c r="B137" s="262"/>
      <x:c r="C137" s="262"/>
      <x:c r="D137" s="262"/>
      <x:c r="E137" s="262"/>
      <x:c r="F137" s="262"/>
      <x:c r="G137" s="262"/>
      <x:c r="H137" s="262"/>
    </x:row>
    <x:row r="138">
      <x:c r="A138" s="262"/>
      <x:c r="B138" s="262"/>
      <x:c r="C138" s="262"/>
      <x:c r="D138" s="262"/>
      <x:c r="E138" s="262"/>
      <x:c r="F138" s="262"/>
      <x:c r="G138" s="262"/>
      <x:c r="H138" s="262"/>
    </x:row>
    <x:row r="139">
      <x:c r="A139" s="262"/>
      <x:c r="B139" s="262"/>
      <x:c r="C139" s="262"/>
      <x:c r="D139" s="262"/>
      <x:c r="E139" s="262"/>
      <x:c r="F139" s="262"/>
      <x:c r="G139" s="262"/>
      <x:c r="H139" s="262"/>
    </x:row>
    <x:row r="140">
      <x:c r="A140" s="262"/>
      <x:c r="B140" s="262"/>
      <x:c r="C140" s="262"/>
      <x:c r="D140" s="262"/>
      <x:c r="E140" s="262"/>
      <x:c r="F140" s="262"/>
      <x:c r="G140" s="262"/>
      <x:c r="H140" s="262"/>
    </x:row>
    <x:row r="141">
      <x:c r="A141" s="262"/>
      <x:c r="B141" s="262"/>
      <x:c r="C141" s="262"/>
      <x:c r="D141" s="262"/>
      <x:c r="E141" s="262"/>
      <x:c r="F141" s="262"/>
      <x:c r="G141" s="262"/>
      <x:c r="H141" s="262"/>
    </x:row>
    <x:row r="142">
      <x:c r="A142" s="262"/>
      <x:c r="B142" s="262"/>
      <x:c r="C142" s="262"/>
      <x:c r="D142" s="262"/>
      <x:c r="E142" s="262"/>
      <x:c r="F142" s="262"/>
      <x:c r="G142" s="262"/>
      <x:c r="H142" s="262"/>
    </x:row>
    <x:row r="143">
      <x:c r="A143" s="262"/>
      <x:c r="B143" s="262"/>
      <x:c r="C143" s="262"/>
      <x:c r="D143" s="262"/>
      <x:c r="E143" s="262"/>
      <x:c r="F143" s="262"/>
      <x:c r="G143" s="262"/>
      <x:c r="H143" s="262"/>
    </x:row>
    <x:row r="144">
      <x:c r="A144" s="262"/>
      <x:c r="B144" s="262"/>
      <x:c r="C144" s="262"/>
      <x:c r="D144" s="262"/>
      <x:c r="E144" s="262"/>
      <x:c r="F144" s="262"/>
      <x:c r="G144" s="262"/>
      <x:c r="H144" s="262"/>
    </x:row>
    <x:row r="145">
      <x:c r="A145" s="262"/>
      <x:c r="B145" s="262"/>
      <x:c r="C145" s="262"/>
      <x:c r="D145" s="262"/>
      <x:c r="E145" s="262"/>
      <x:c r="F145" s="262"/>
      <x:c r="G145" s="262"/>
      <x:c r="H145" s="262"/>
    </x:row>
    <x:row r="146">
      <x:c r="A146" s="262"/>
      <x:c r="B146" s="262"/>
      <x:c r="C146" s="262"/>
      <x:c r="D146" s="262"/>
      <x:c r="E146" s="262"/>
      <x:c r="F146" s="262"/>
      <x:c r="G146" s="262"/>
      <x:c r="H146" s="262"/>
    </x:row>
    <x:row r="147">
      <x:c r="A147" s="262"/>
      <x:c r="B147" s="262"/>
      <x:c r="C147" s="262"/>
      <x:c r="D147" s="262"/>
      <x:c r="E147" s="262"/>
      <x:c r="F147" s="262"/>
      <x:c r="G147" s="262"/>
      <x:c r="H147" s="262"/>
    </x:row>
    <x:row r="148">
      <x:c r="A148" s="262"/>
      <x:c r="B148" s="262"/>
      <x:c r="C148" s="262"/>
      <x:c r="D148" s="262"/>
      <x:c r="E148" s="262"/>
      <x:c r="F148" s="262"/>
      <x:c r="G148" s="262"/>
      <x:c r="H148" s="262"/>
    </x:row>
    <x:row r="149">
      <x:c r="A149" s="262"/>
      <x:c r="B149" s="262"/>
      <x:c r="C149" s="262"/>
      <x:c r="D149" s="262"/>
      <x:c r="E149" s="262"/>
      <x:c r="F149" s="262"/>
      <x:c r="G149" s="262"/>
      <x:c r="H149" s="262"/>
    </x:row>
    <x:row r="150">
      <x:c r="A150" s="262"/>
      <x:c r="B150" s="262"/>
      <x:c r="C150" s="262"/>
      <x:c r="D150" s="262"/>
      <x:c r="E150" s="262"/>
      <x:c r="F150" s="262"/>
      <x:c r="G150" s="262"/>
      <x:c r="H150" s="262"/>
    </x:row>
    <x:row r="151">
      <x:c r="A151" s="262"/>
      <x:c r="B151" s="262"/>
      <x:c r="C151" s="262"/>
      <x:c r="D151" s="262"/>
      <x:c r="E151" s="262"/>
      <x:c r="F151" s="262"/>
      <x:c r="G151" s="262"/>
      <x:c r="H151" s="262"/>
    </x:row>
    <x:row r="152">
      <x:c r="A152" s="262"/>
      <x:c r="B152" s="262"/>
      <x:c r="C152" s="262"/>
      <x:c r="D152" s="262"/>
      <x:c r="E152" s="262"/>
      <x:c r="F152" s="262"/>
      <x:c r="G152" s="262"/>
      <x:c r="H152" s="262"/>
    </x:row>
    <x:row r="153">
      <x:c r="A153" s="262"/>
      <x:c r="B153" s="262"/>
      <x:c r="C153" s="262"/>
      <x:c r="D153" s="262"/>
      <x:c r="E153" s="262"/>
      <x:c r="F153" s="262"/>
      <x:c r="G153" s="262"/>
      <x:c r="H153" s="262"/>
    </x:row>
    <x:row r="154">
      <x:c r="A154" s="262"/>
      <x:c r="B154" s="262"/>
      <x:c r="C154" s="262"/>
      <x:c r="D154" s="262"/>
      <x:c r="E154" s="262"/>
      <x:c r="F154" s="262"/>
      <x:c r="G154" s="262"/>
      <x:c r="H154" s="262"/>
    </x:row>
    <x:row r="155">
      <x:c r="A155" s="262"/>
      <x:c r="B155" s="262"/>
      <x:c r="C155" s="262"/>
      <x:c r="D155" s="262"/>
      <x:c r="E155" s="262"/>
      <x:c r="F155" s="262"/>
      <x:c r="G155" s="262"/>
      <x:c r="H155" s="262"/>
    </x:row>
    <x:row r="156">
      <x:c r="A156" s="262"/>
      <x:c r="B156" s="262"/>
      <x:c r="C156" s="262"/>
      <x:c r="D156" s="262"/>
      <x:c r="E156" s="262"/>
      <x:c r="F156" s="262"/>
      <x:c r="G156" s="262"/>
      <x:c r="H156" s="262"/>
    </x:row>
    <x:row r="157">
      <x:c r="A157" s="262"/>
      <x:c r="B157" s="262"/>
      <x:c r="C157" s="262"/>
      <x:c r="D157" s="262"/>
      <x:c r="E157" s="262"/>
      <x:c r="F157" s="262"/>
      <x:c r="G157" s="262"/>
      <x:c r="H157" s="262"/>
    </x:row>
    <x:row r="158">
      <x:c r="A158" s="262"/>
      <x:c r="B158" s="262"/>
      <x:c r="C158" s="262"/>
      <x:c r="D158" s="262"/>
      <x:c r="E158" s="262"/>
      <x:c r="F158" s="262"/>
      <x:c r="G158" s="262"/>
      <x:c r="H158" s="262"/>
    </x:row>
    <x:row r="159">
      <x:c r="A159" s="262"/>
      <x:c r="B159" s="262"/>
      <x:c r="C159" s="262"/>
      <x:c r="D159" s="262"/>
      <x:c r="E159" s="262"/>
      <x:c r="F159" s="262"/>
      <x:c r="G159" s="262"/>
      <x:c r="H159" s="262"/>
    </x:row>
    <x:row r="160">
      <x:c r="A160" s="262"/>
      <x:c r="B160" s="262"/>
      <x:c r="C160" s="262"/>
      <x:c r="D160" s="262"/>
      <x:c r="E160" s="262"/>
      <x:c r="F160" s="262"/>
      <x:c r="G160" s="262"/>
      <x:c r="H160" s="262"/>
    </x:row>
    <x:row r="161">
      <x:c r="A161" s="262"/>
      <x:c r="B161" s="262"/>
      <x:c r="C161" s="262"/>
      <x:c r="D161" s="262"/>
      <x:c r="E161" s="262"/>
      <x:c r="F161" s="262"/>
      <x:c r="G161" s="262"/>
      <x:c r="H161" s="262"/>
    </x:row>
    <x:row r="162">
      <x:c r="A162" s="262"/>
      <x:c r="B162" s="262"/>
      <x:c r="C162" s="262"/>
      <x:c r="D162" s="262"/>
      <x:c r="E162" s="262"/>
      <x:c r="F162" s="262"/>
      <x:c r="G162" s="262"/>
      <x:c r="H162" s="262"/>
    </x:row>
    <x:row r="163">
      <x:c r="A163" s="262"/>
      <x:c r="B163" s="262"/>
      <x:c r="C163" s="262"/>
      <x:c r="D163" s="262"/>
      <x:c r="E163" s="262"/>
      <x:c r="F163" s="262"/>
      <x:c r="G163" s="262"/>
      <x:c r="H163" s="262"/>
    </x:row>
    <x:row r="164">
      <x:c r="A164" s="262"/>
      <x:c r="B164" s="262"/>
      <x:c r="C164" s="262"/>
      <x:c r="D164" s="262"/>
      <x:c r="E164" s="262"/>
      <x:c r="F164" s="262"/>
      <x:c r="G164" s="262"/>
      <x:c r="H164" s="262"/>
    </x:row>
    <x:row r="165">
      <x:c r="A165" s="262"/>
      <x:c r="B165" s="262"/>
      <x:c r="C165" s="262"/>
      <x:c r="D165" s="262"/>
      <x:c r="E165" s="262"/>
      <x:c r="F165" s="262"/>
      <x:c r="G165" s="262"/>
      <x:c r="H165" s="262"/>
    </x:row>
    <x:row r="166">
      <x:c r="A166" s="262"/>
      <x:c r="B166" s="262"/>
      <x:c r="C166" s="262"/>
      <x:c r="D166" s="262"/>
      <x:c r="E166" s="262"/>
      <x:c r="F166" s="262"/>
      <x:c r="G166" s="262"/>
      <x:c r="H166" s="262"/>
    </x:row>
    <x:row r="167">
      <x:c r="A167" s="262"/>
      <x:c r="B167" s="262"/>
      <x:c r="C167" s="262"/>
      <x:c r="D167" s="262"/>
      <x:c r="E167" s="262"/>
      <x:c r="F167" s="262"/>
      <x:c r="G167" s="262"/>
      <x:c r="H167" s="262"/>
    </x:row>
    <x:row r="168">
      <x:c r="A168" s="262"/>
      <x:c r="B168" s="262"/>
      <x:c r="C168" s="262"/>
      <x:c r="D168" s="262"/>
      <x:c r="E168" s="262"/>
      <x:c r="F168" s="262"/>
      <x:c r="G168" s="262"/>
      <x:c r="H168" s="262"/>
    </x:row>
    <x:row r="169">
      <x:c r="A169" s="262"/>
      <x:c r="B169" s="262"/>
      <x:c r="C169" s="262"/>
      <x:c r="D169" s="262"/>
      <x:c r="E169" s="262"/>
      <x:c r="F169" s="262"/>
      <x:c r="G169" s="262"/>
      <x:c r="H169" s="262"/>
    </x:row>
    <x:row r="170">
      <x:c r="A170" s="262"/>
      <x:c r="B170" s="262"/>
      <x:c r="C170" s="262"/>
      <x:c r="D170" s="262"/>
      <x:c r="E170" s="262"/>
      <x:c r="F170" s="262"/>
      <x:c r="G170" s="262"/>
      <x:c r="H170" s="262"/>
    </x:row>
    <x:row r="171">
      <x:c r="A171" s="262"/>
      <x:c r="B171" s="262"/>
      <x:c r="C171" s="262"/>
      <x:c r="D171" s="262"/>
      <x:c r="E171" s="262"/>
      <x:c r="F171" s="262"/>
      <x:c r="G171" s="262"/>
      <x:c r="H171" s="262"/>
    </x:row>
    <x:row r="172">
      <x:c r="A172" s="262"/>
      <x:c r="B172" s="262"/>
      <x:c r="C172" s="262"/>
      <x:c r="D172" s="262"/>
      <x:c r="E172" s="262"/>
      <x:c r="F172" s="262"/>
      <x:c r="G172" s="262"/>
      <x:c r="H172" s="262"/>
    </x:row>
    <x:row r="173">
      <x:c r="A173" s="262"/>
      <x:c r="B173" s="262"/>
      <x:c r="C173" s="262"/>
      <x:c r="D173" s="262"/>
      <x:c r="E173" s="262"/>
      <x:c r="F173" s="262"/>
      <x:c r="G173" s="262"/>
      <x:c r="H173" s="262"/>
    </x:row>
    <x:row r="174">
      <x:c r="A174" s="262"/>
      <x:c r="B174" s="262"/>
      <x:c r="C174" s="262"/>
      <x:c r="D174" s="262"/>
      <x:c r="E174" s="262"/>
      <x:c r="F174" s="262"/>
      <x:c r="G174" s="262"/>
      <x:c r="H174" s="262"/>
    </x:row>
    <x:row r="175">
      <x:c r="A175" s="262"/>
      <x:c r="B175" s="262"/>
      <x:c r="C175" s="262"/>
      <x:c r="D175" s="262"/>
      <x:c r="E175" s="262"/>
      <x:c r="F175" s="262"/>
      <x:c r="G175" s="262"/>
      <x:c r="H175" s="262"/>
    </x:row>
    <x:row r="176">
      <x:c r="A176" s="262"/>
      <x:c r="B176" s="262"/>
      <x:c r="C176" s="262"/>
      <x:c r="D176" s="262"/>
      <x:c r="E176" s="262"/>
      <x:c r="F176" s="262"/>
      <x:c r="G176" s="262"/>
      <x:c r="H176" s="262"/>
    </x:row>
    <x:row r="177">
      <x:c r="A177" s="262"/>
      <x:c r="B177" s="262"/>
      <x:c r="C177" s="262"/>
      <x:c r="D177" s="262"/>
      <x:c r="E177" s="262"/>
      <x:c r="F177" s="262"/>
      <x:c r="G177" s="262"/>
      <x:c r="H177" s="262"/>
    </x:row>
    <x:row r="178">
      <x:c r="A178" s="262"/>
      <x:c r="B178" s="262"/>
      <x:c r="C178" s="262"/>
      <x:c r="D178" s="262"/>
      <x:c r="E178" s="262"/>
      <x:c r="F178" s="262"/>
      <x:c r="G178" s="262"/>
      <x:c r="H178" s="262"/>
    </x:row>
    <x:row r="179">
      <x:c r="A179" s="262"/>
      <x:c r="B179" s="262"/>
      <x:c r="C179" s="262"/>
      <x:c r="D179" s="262"/>
      <x:c r="E179" s="262"/>
      <x:c r="F179" s="262"/>
      <x:c r="G179" s="262"/>
      <x:c r="H179" s="262"/>
    </x:row>
    <x:row r="180">
      <x:c r="A180" s="262"/>
      <x:c r="B180" s="262"/>
      <x:c r="C180" s="262"/>
      <x:c r="D180" s="262"/>
      <x:c r="E180" s="262"/>
      <x:c r="F180" s="262"/>
      <x:c r="G180" s="262"/>
      <x:c r="H180" s="262"/>
    </x:row>
    <x:row r="181">
      <x:c r="A181" s="262"/>
      <x:c r="B181" s="262"/>
      <x:c r="C181" s="262"/>
      <x:c r="D181" s="262"/>
      <x:c r="E181" s="262"/>
      <x:c r="F181" s="262"/>
      <x:c r="G181" s="262"/>
      <x:c r="H181" s="262"/>
    </x:row>
    <x:row r="182">
      <x:c r="A182" s="262"/>
      <x:c r="B182" s="262"/>
      <x:c r="C182" s="262"/>
      <x:c r="D182" s="262"/>
      <x:c r="E182" s="262"/>
      <x:c r="F182" s="262"/>
      <x:c r="G182" s="262"/>
      <x:c r="H182" s="262"/>
    </x:row>
    <x:row r="183">
      <x:c r="A183" s="262"/>
      <x:c r="B183" s="262"/>
      <x:c r="C183" s="262"/>
      <x:c r="D183" s="262"/>
      <x:c r="E183" s="262"/>
      <x:c r="F183" s="262"/>
      <x:c r="G183" s="262"/>
      <x:c r="H183" s="262"/>
    </x:row>
    <x:row r="184">
      <x:c r="A184" s="262"/>
      <x:c r="B184" s="262"/>
      <x:c r="C184" s="262"/>
      <x:c r="D184" s="262"/>
      <x:c r="E184" s="262"/>
      <x:c r="F184" s="262"/>
      <x:c r="G184" s="262"/>
      <x:c r="H184" s="262"/>
    </x:row>
    <x:row r="185">
      <x:c r="A185" s="262"/>
      <x:c r="B185" s="262"/>
      <x:c r="C185" s="262"/>
      <x:c r="D185" s="262"/>
      <x:c r="E185" s="262"/>
      <x:c r="F185" s="262"/>
      <x:c r="G185" s="262"/>
      <x:c r="H185" s="262"/>
    </x:row>
    <x:row r="186">
      <x:c r="A186" s="262"/>
      <x:c r="B186" s="262"/>
      <x:c r="C186" s="262"/>
      <x:c r="D186" s="262"/>
      <x:c r="E186" s="262"/>
      <x:c r="F186" s="262"/>
      <x:c r="G186" s="262"/>
      <x:c r="H186" s="262"/>
    </x:row>
    <x:row r="187">
      <x:c r="A187" s="262"/>
      <x:c r="B187" s="262"/>
      <x:c r="C187" s="262"/>
      <x:c r="D187" s="262"/>
      <x:c r="E187" s="262"/>
      <x:c r="F187" s="262"/>
      <x:c r="G187" s="262"/>
      <x:c r="H187" s="262"/>
    </x:row>
    <x:row r="188">
      <x:c r="A188" s="262"/>
      <x:c r="B188" s="262"/>
      <x:c r="C188" s="262"/>
      <x:c r="D188" s="262"/>
      <x:c r="E188" s="262"/>
      <x:c r="F188" s="262"/>
      <x:c r="G188" s="262"/>
      <x:c r="H188" s="262"/>
    </x:row>
    <x:row r="189">
      <x:c r="A189" s="262"/>
      <x:c r="B189" s="262"/>
      <x:c r="C189" s="262"/>
      <x:c r="D189" s="262"/>
      <x:c r="E189" s="262"/>
      <x:c r="F189" s="262"/>
      <x:c r="G189" s="262"/>
      <x:c r="H189" s="262"/>
    </x:row>
    <x:row r="190">
      <x:c r="A190" s="262"/>
      <x:c r="B190" s="262"/>
      <x:c r="C190" s="262"/>
      <x:c r="D190" s="262"/>
      <x:c r="E190" s="262"/>
      <x:c r="F190" s="262"/>
      <x:c r="G190" s="262"/>
      <x:c r="H190" s="262"/>
    </x:row>
    <x:row r="191">
      <x:c r="A191" s="262"/>
      <x:c r="B191" s="262"/>
      <x:c r="C191" s="262"/>
      <x:c r="D191" s="262"/>
      <x:c r="E191" s="262"/>
      <x:c r="F191" s="262"/>
      <x:c r="G191" s="262"/>
      <x:c r="H191" s="262"/>
    </x:row>
    <x:row r="192">
      <x:c r="A192" s="262"/>
      <x:c r="B192" s="262"/>
      <x:c r="C192" s="262"/>
      <x:c r="D192" s="262"/>
      <x:c r="E192" s="262"/>
      <x:c r="F192" s="262"/>
      <x:c r="G192" s="262"/>
      <x:c r="H192" s="262"/>
    </x:row>
    <x:row r="193">
      <x:c r="A193" s="262"/>
      <x:c r="B193" s="262"/>
      <x:c r="C193" s="262"/>
      <x:c r="D193" s="262"/>
      <x:c r="E193" s="262"/>
      <x:c r="F193" s="262"/>
      <x:c r="G193" s="262"/>
      <x:c r="H193" s="262"/>
    </x:row>
    <x:row r="194">
      <x:c r="A194" s="262"/>
      <x:c r="B194" s="262"/>
      <x:c r="C194" s="262"/>
      <x:c r="D194" s="262"/>
      <x:c r="E194" s="262"/>
      <x:c r="F194" s="262"/>
      <x:c r="G194" s="262"/>
      <x:c r="H194" s="262"/>
    </x:row>
    <x:row r="195">
      <x:c r="A195" s="262"/>
      <x:c r="B195" s="262"/>
      <x:c r="C195" s="262"/>
      <x:c r="D195" s="262"/>
      <x:c r="E195" s="262"/>
      <x:c r="F195" s="262"/>
      <x:c r="G195" s="262"/>
      <x:c r="H195" s="262"/>
    </x:row>
    <x:row r="196">
      <x:c r="A196" s="262"/>
      <x:c r="B196" s="262"/>
      <x:c r="C196" s="262"/>
      <x:c r="D196" s="262"/>
      <x:c r="E196" s="262"/>
      <x:c r="F196" s="262"/>
      <x:c r="G196" s="262"/>
      <x:c r="H196" s="262"/>
    </x:row>
    <x:row r="197">
      <x:c r="A197" s="262"/>
      <x:c r="B197" s="262"/>
      <x:c r="C197" s="262"/>
      <x:c r="D197" s="262"/>
      <x:c r="E197" s="262"/>
      <x:c r="F197" s="262"/>
      <x:c r="G197" s="262"/>
      <x:c r="H197" s="262"/>
    </x:row>
    <x:row r="198">
      <x:c r="A198" s="262"/>
      <x:c r="B198" s="262"/>
      <x:c r="C198" s="262"/>
      <x:c r="D198" s="262"/>
      <x:c r="E198" s="262"/>
      <x:c r="F198" s="262"/>
      <x:c r="G198" s="262"/>
      <x:c r="H198" s="262"/>
    </x:row>
    <x:row r="199">
      <x:c r="A199" s="262"/>
      <x:c r="B199" s="262"/>
      <x:c r="C199" s="262"/>
      <x:c r="D199" s="262"/>
      <x:c r="E199" s="262"/>
      <x:c r="F199" s="262"/>
      <x:c r="G199" s="262"/>
      <x:c r="H199" s="262"/>
    </x:row>
    <x:row r="200">
      <x:c r="A200" s="262"/>
      <x:c r="B200" s="262"/>
      <x:c r="C200" s="262"/>
      <x:c r="D200" s="262"/>
      <x:c r="E200" s="262"/>
      <x:c r="F200" s="262"/>
      <x:c r="G200" s="262"/>
      <x:c r="H200" s="262"/>
    </x:row>
    <x:row r="201">
      <x:c r="A201" s="262"/>
      <x:c r="B201" s="262"/>
      <x:c r="C201" s="262"/>
      <x:c r="D201" s="262"/>
      <x:c r="E201" s="262"/>
      <x:c r="F201" s="262"/>
      <x:c r="G201" s="262"/>
      <x:c r="H201" s="262"/>
    </x:row>
    <x:row r="202">
      <x:c r="A202" s="262"/>
      <x:c r="B202" s="262"/>
      <x:c r="C202" s="262"/>
      <x:c r="D202" s="262"/>
      <x:c r="E202" s="262"/>
      <x:c r="F202" s="262"/>
      <x:c r="G202" s="262"/>
      <x:c r="H202" s="262"/>
    </x:row>
    <x:row r="203">
      <x:c r="A203" s="262"/>
      <x:c r="B203" s="262"/>
      <x:c r="C203" s="262"/>
      <x:c r="D203" s="262"/>
      <x:c r="E203" s="262"/>
      <x:c r="F203" s="262"/>
      <x:c r="G203" s="262"/>
      <x:c r="H203" s="262"/>
    </x:row>
    <x:row r="204">
      <x:c r="A204" s="262"/>
      <x:c r="B204" s="262"/>
      <x:c r="C204" s="262"/>
      <x:c r="D204" s="262"/>
      <x:c r="E204" s="262"/>
      <x:c r="F204" s="262"/>
      <x:c r="G204" s="262"/>
      <x:c r="H204" s="262"/>
    </x:row>
    <x:row r="205">
      <x:c r="A205" s="262"/>
      <x:c r="B205" s="262"/>
      <x:c r="C205" s="262"/>
      <x:c r="D205" s="262"/>
      <x:c r="E205" s="262"/>
      <x:c r="F205" s="262"/>
      <x:c r="G205" s="262"/>
      <x:c r="H205" s="262"/>
    </x:row>
    <x:row r="206">
      <x:c r="A206" s="262"/>
      <x:c r="B206" s="262"/>
      <x:c r="C206" s="262"/>
      <x:c r="D206" s="262"/>
      <x:c r="E206" s="262"/>
      <x:c r="F206" s="262"/>
      <x:c r="G206" s="262"/>
      <x:c r="H206" s="262"/>
    </x:row>
    <x:row r="207">
      <x:c r="A207" s="262"/>
      <x:c r="B207" s="262"/>
      <x:c r="C207" s="262"/>
      <x:c r="D207" s="262"/>
      <x:c r="E207" s="262"/>
      <x:c r="F207" s="262"/>
      <x:c r="G207" s="262"/>
      <x:c r="H207" s="262"/>
    </x:row>
    <x:row r="208">
      <x:c r="A208" s="262"/>
      <x:c r="B208" s="262"/>
      <x:c r="C208" s="262"/>
      <x:c r="D208" s="262"/>
      <x:c r="E208" s="262"/>
      <x:c r="F208" s="262"/>
      <x:c r="G208" s="262"/>
      <x:c r="H208" s="262"/>
    </x:row>
    <x:row r="209">
      <x:c r="A209" s="262"/>
      <x:c r="B209" s="262"/>
      <x:c r="C209" s="262"/>
      <x:c r="D209" s="262"/>
      <x:c r="E209" s="262"/>
      <x:c r="F209" s="262"/>
      <x:c r="G209" s="262"/>
      <x:c r="H209" s="262"/>
    </x:row>
    <x:row r="210">
      <x:c r="A210" s="262"/>
      <x:c r="B210" s="262"/>
      <x:c r="C210" s="262"/>
      <x:c r="D210" s="262"/>
      <x:c r="E210" s="262"/>
      <x:c r="F210" s="262"/>
      <x:c r="G210" s="262"/>
      <x:c r="H210" s="262"/>
    </x:row>
    <x:row r="211">
      <x:c r="A211" s="262"/>
      <x:c r="B211" s="262"/>
      <x:c r="C211" s="262"/>
      <x:c r="D211" s="262"/>
      <x:c r="E211" s="262"/>
      <x:c r="F211" s="262"/>
      <x:c r="G211" s="262"/>
      <x:c r="H211" s="262"/>
    </x:row>
    <x:row r="212">
      <x:c r="A212" s="262"/>
      <x:c r="B212" s="262"/>
      <x:c r="C212" s="262"/>
      <x:c r="D212" s="262"/>
      <x:c r="E212" s="262"/>
      <x:c r="F212" s="262"/>
      <x:c r="G212" s="262"/>
      <x:c r="H212" s="262"/>
    </x:row>
    <x:row r="213">
      <x:c r="A213" s="262"/>
      <x:c r="B213" s="262"/>
      <x:c r="C213" s="262"/>
      <x:c r="D213" s="262"/>
      <x:c r="E213" s="262"/>
      <x:c r="F213" s="262"/>
      <x:c r="G213" s="262"/>
      <x:c r="H213" s="262"/>
    </x:row>
    <x:row r="214">
      <x:c r="A214" s="262"/>
      <x:c r="B214" s="262"/>
      <x:c r="C214" s="262"/>
      <x:c r="D214" s="262"/>
      <x:c r="E214" s="262"/>
      <x:c r="F214" s="262"/>
      <x:c r="G214" s="262"/>
      <x:c r="H214" s="262"/>
    </x:row>
    <x:row r="215">
      <x:c r="A215" s="262"/>
      <x:c r="B215" s="262"/>
      <x:c r="C215" s="262"/>
      <x:c r="D215" s="262"/>
      <x:c r="E215" s="262"/>
      <x:c r="F215" s="262"/>
      <x:c r="G215" s="262"/>
      <x:c r="H215" s="262"/>
    </x:row>
    <x:row r="216">
      <x:c r="A216" s="262"/>
      <x:c r="B216" s="262"/>
      <x:c r="C216" s="262"/>
      <x:c r="D216" s="262"/>
      <x:c r="E216" s="262"/>
      <x:c r="F216" s="262"/>
      <x:c r="G216" s="262"/>
      <x:c r="H216" s="262"/>
    </x:row>
    <x:row r="217">
      <x:c r="A217" s="262"/>
      <x:c r="B217" s="262"/>
      <x:c r="C217" s="262"/>
      <x:c r="D217" s="262"/>
      <x:c r="E217" s="262"/>
      <x:c r="F217" s="262"/>
      <x:c r="G217" s="262"/>
      <x:c r="H217" s="262"/>
    </x:row>
    <x:row r="218">
      <x:c r="A218" s="262"/>
      <x:c r="B218" s="262"/>
      <x:c r="C218" s="262"/>
      <x:c r="D218" s="262"/>
      <x:c r="E218" s="262"/>
      <x:c r="F218" s="262"/>
      <x:c r="G218" s="262"/>
      <x:c r="H218" s="262"/>
    </x:row>
    <x:row r="219">
      <x:c r="A219" s="262"/>
      <x:c r="B219" s="262"/>
      <x:c r="C219" s="262"/>
      <x:c r="D219" s="262"/>
      <x:c r="E219" s="262"/>
      <x:c r="F219" s="262"/>
      <x:c r="G219" s="262"/>
      <x:c r="H219" s="262"/>
    </x:row>
    <x:row r="220">
      <x:c r="A220" s="262"/>
      <x:c r="B220" s="262"/>
      <x:c r="C220" s="262"/>
      <x:c r="D220" s="262"/>
      <x:c r="E220" s="262"/>
      <x:c r="F220" s="262"/>
      <x:c r="G220" s="262"/>
      <x:c r="H220" s="262"/>
    </x:row>
  </x:sheetData>
  <x:mergeCells>
    <x:mergeCell ref="A1:H1"/>
    <x:mergeCell ref="A2:H2"/>
  </x:mergeCells>
  <x:dataValidations count="1">
    <x:dataValidation type="list" sqref="H5:H10">
      <x:formula1>"Pending,Complete,Blocked"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51.130001068115234" hidden="0" customWidth="1"/>
    <x:col min="2" max="2" width="7.380000114440918" hidden="0" customWidth="1"/>
    <x:col min="3" max="3" width="20" hidden="0" customWidth="1"/>
    <x:col min="4" max="4" width="3.130000114440918" hidden="0" customWidth="1"/>
    <x:col min="5" max="5" width="5.380000114440918" hidden="0" customWidth="1"/>
    <x:col min="6" max="6" width="3.5" hidden="0" customWidth="1"/>
    <x:col min="7" max="7" width="7.630000114440918" hidden="0" customWidth="1"/>
    <x:col min="8" max="8" width="4.380000114440918" hidden="0" customWidth="1"/>
    <x:col min="9" max="9" width="9" hidden="0" customWidth="1"/>
    <x:col min="10" max="10" width="24" hidden="0" customWidth="1"/>
  </x:cols>
  <x:sheetData>
    <x:row r="1">
      <x:c r="A1" s="294" t="str">
        <x:v>FLPR PLAYER REPORT INDEX</x:v>
      </x:c>
      <x:c r="B1" s="294"/>
      <x:c r="C1" s="294"/>
      <x:c r="D1" s="294"/>
      <x:c r="E1" s="294"/>
      <x:c r="F1" s="294"/>
      <x:c r="G1" s="294"/>
      <x:c r="H1" s="294"/>
      <x:c r="I1" s="294"/>
      <x:c r="J1" s="294"/>
    </x:row>
    <x:row r="2">
      <x:c r="A2" s="262" t="str">
        <x:v>Publication index for individual reports and future web profile pages</x:v>
      </x:c>
      <x:c r="B2" s="262"/>
      <x:c r="C2" s="262"/>
      <x:c r="D2" s="262"/>
      <x:c r="E2" s="262"/>
      <x:c r="F2" s="262"/>
      <x:c r="G2" s="262"/>
      <x:c r="H2" s="262"/>
      <x:c r="I2" s="262"/>
      <x:c r="J2" s="262"/>
    </x:row>
    <x:row r="3">
      <x:c r="A3" s="262"/>
      <x:c r="B3" s="262"/>
      <x:c r="C3" s="262"/>
      <x:c r="D3" s="262"/>
      <x:c r="E3" s="262"/>
      <x:c r="F3" s="262"/>
      <x:c r="G3" s="262"/>
      <x:c r="H3" s="262"/>
      <x:c r="I3" s="262"/>
      <x:c r="J3" s="262"/>
    </x:row>
    <x:row r="4">
      <x:c r="A4" s="298" t="str">
        <x:v>Rank</x:v>
      </x:c>
      <x:c r="B4" s="298" t="str">
        <x:v>Player ID</x:v>
      </x:c>
      <x:c r="C4" s="298" t="str">
        <x:v>Player</x:v>
      </x:c>
      <x:c r="D4" s="298" t="str">
        <x:v>MP</x:v>
      </x:c>
      <x:c r="E4" s="298" t="str">
        <x:v>Rating</x:v>
      </x:c>
      <x:c r="F4" s="298" t="str">
        <x:v>Tier</x:v>
      </x:c>
      <x:c r="G4" s="298" t="str">
        <x:v>Handicap</x:v>
      </x:c>
      <x:c r="H4" s="298" t="str">
        <x:v>Class</x:v>
      </x:c>
      <x:c r="I4" s="298" t="str">
        <x:v>Status</x:v>
      </x:c>
      <x:c r="J4" s="298" t="str">
        <x:v>Profile Slug</x:v>
      </x:c>
    </x:row>
    <x:row r="5">
      <x:c r="A5" s="262" t="n">
        <x:f>'Official Ranking v2'!A6</x:f>
        <x:v>1</x:v>
      </x:c>
      <x:c r="B5" s="262" t="str">
        <x:f>IFERROR(INDEX('Player Registry'!$A$2:$A$205,MATCH(C5,'Player Registry'!$C$2:$C$205,0)),"")</x:f>
        <x:v>P001</x:v>
      </x:c>
      <x:c r="C5" s="262" t="str">
        <x:f>'Official Ranking v2'!B6</x:f>
        <x:v>Sandy</x:v>
      </x:c>
      <x:c r="D5" s="262" t="n">
        <x:f>'Official Ranking v2'!C6</x:f>
        <x:v>13</x:v>
      </x:c>
      <x:c r="E5" s="267" t="n">
        <x:f>'Official Ranking v2'!S6</x:f>
        <x:v>70.51306635024372</x:v>
      </x:c>
      <x:c r="F5" s="262" t="str">
        <x:f>'Official Ranking v2'!T6</x:f>
        <x:v>A</x:v>
      </x:c>
      <x:c r="G5" s="262" t="n">
        <x:f>'Official Ranking v2'!W6</x:f>
        <x:v>3</x:v>
      </x:c>
      <x:c r="H5" s="262" t="str">
        <x:f>'Official Ranking v2'!X6</x:f>
        <x:v>Elite</x:v>
      </x:c>
      <x:c r="I5" s="262" t="str">
        <x:f>'Official Ranking v2'!V6</x:f>
        <x:v>Established</x:v>
      </x:c>
      <x:c r="J5" s="262" t="str">
        <x:f>IF(C5="","",LOWER(SUBSTITUTE(SUBSTITUTE(C5," ","-"),".","")))</x:f>
        <x:v>sandy</x:v>
      </x:c>
    </x:row>
    <x:row r="6">
      <x:c r="A6" s="262" t="n">
        <x:f>'Official Ranking v2'!A7</x:f>
        <x:v>2</x:v>
      </x:c>
      <x:c r="B6" s="262" t="str">
        <x:f>IFERROR(INDEX('Player Registry'!$A$2:$A$205,MATCH(C6,'Player Registry'!$C$2:$C$205,0)),"")</x:f>
        <x:v>P002</x:v>
      </x:c>
      <x:c r="C6" s="262" t="str">
        <x:f>'Official Ranking v2'!B7</x:f>
        <x:v>Thohir</x:v>
      </x:c>
      <x:c r="D6" s="262" t="n">
        <x:f>'Official Ranking v2'!C7</x:f>
        <x:v>4</x:v>
      </x:c>
      <x:c r="E6" s="267" t="n">
        <x:f>'Official Ranking v2'!S7</x:f>
        <x:v>64.66887046003484</x:v>
      </x:c>
      <x:c r="F6" s="262" t="str">
        <x:f>'Official Ranking v2'!T7</x:f>
        <x:v>B</x:v>
      </x:c>
      <x:c r="G6" s="262" t="n">
        <x:f>'Official Ranking v2'!W7</x:f>
        <x:v>1</x:v>
      </x:c>
      <x:c r="H6" s="262" t="str">
        <x:f>'Official Ranking v2'!X7</x:f>
        <x:v>A</x:v>
      </x:c>
      <x:c r="I6" s="262" t="str">
        <x:f>'Official Ranking v2'!V7</x:f>
        <x:v>Provisional</x:v>
      </x:c>
      <x:c r="J6" s="262" t="str">
        <x:f>IF(C6="","",LOWER(SUBSTITUTE(SUBSTITUTE(C6," ","-"),".","")))</x:f>
        <x:v>thohir</x:v>
      </x:c>
    </x:row>
    <x:row r="7">
      <x:c r="A7" s="262" t="n">
        <x:f>'Official Ranking v2'!A8</x:f>
        <x:v>3</x:v>
      </x:c>
      <x:c r="B7" s="262" t="str">
        <x:f>IFERROR(INDEX('Player Registry'!$A$2:$A$205,MATCH(C7,'Player Registry'!$C$2:$C$205,0)),"")</x:f>
        <x:v>P003</x:v>
      </x:c>
      <x:c r="C7" s="262" t="str">
        <x:f>'Official Ranking v2'!B8</x:f>
        <x:v>Austin</x:v>
      </x:c>
      <x:c r="D7" s="262" t="n">
        <x:f>'Official Ranking v2'!C8</x:f>
        <x:v>14</x:v>
      </x:c>
      <x:c r="E7" s="267" t="n">
        <x:f>'Official Ranking v2'!S8</x:f>
        <x:v>59.40079845232992</x:v>
      </x:c>
      <x:c r="F7" s="262" t="str">
        <x:f>'Official Ranking v2'!T8</x:f>
        <x:v>B</x:v>
      </x:c>
      <x:c r="G7" s="262" t="n">
        <x:f>'Official Ranking v2'!W8</x:f>
        <x:v>0</x:v>
      </x:c>
      <x:c r="H7" s="262" t="str">
        <x:f>'Official Ranking v2'!X8</x:f>
        <x:v>B+</x:v>
      </x:c>
      <x:c r="I7" s="262" t="str">
        <x:f>'Official Ranking v2'!V8</x:f>
        <x:v>Established</x:v>
      </x:c>
      <x:c r="J7" s="262" t="str">
        <x:f>IF(C7="","",LOWER(SUBSTITUTE(SUBSTITUTE(C7," ","-"),".","")))</x:f>
        <x:v>austin</x:v>
      </x:c>
    </x:row>
    <x:row r="8">
      <x:c r="A8" s="262" t="n">
        <x:f>'Official Ranking v2'!A9</x:f>
        <x:v>4</x:v>
      </x:c>
      <x:c r="B8" s="262" t="str">
        <x:f>IFERROR(INDEX('Player Registry'!$A$2:$A$205,MATCH(C8,'Player Registry'!$C$2:$C$205,0)),"")</x:f>
        <x:v>P004</x:v>
      </x:c>
      <x:c r="C8" s="262" t="str">
        <x:f>'Official Ranking v2'!B9</x:f>
        <x:v>Rey</x:v>
      </x:c>
      <x:c r="D8" s="262" t="n">
        <x:f>'Official Ranking v2'!C9</x:f>
        <x:v>7</x:v>
      </x:c>
      <x:c r="E8" s="267" t="n">
        <x:f>'Official Ranking v2'!S9</x:f>
        <x:v>59.36910718873768</x:v>
      </x:c>
      <x:c r="F8" s="262" t="str">
        <x:f>'Official Ranking v2'!T9</x:f>
        <x:v>B</x:v>
      </x:c>
      <x:c r="G8" s="262" t="n">
        <x:f>'Official Ranking v2'!W9</x:f>
        <x:v>0</x:v>
      </x:c>
      <x:c r="H8" s="262" t="str">
        <x:f>'Official Ranking v2'!X9</x:f>
        <x:v>B+</x:v>
      </x:c>
      <x:c r="I8" s="262" t="str">
        <x:f>'Official Ranking v2'!V9</x:f>
        <x:v>Developing</x:v>
      </x:c>
      <x:c r="J8" s="262" t="str">
        <x:f>IF(C8="","",LOWER(SUBSTITUTE(SUBSTITUTE(C8," ","-"),".","")))</x:f>
        <x:v>rey</x:v>
      </x:c>
    </x:row>
    <x:row r="9">
      <x:c r="A9" s="262" t="n">
        <x:f>'Official Ranking v2'!A10</x:f>
        <x:v>5</x:v>
      </x:c>
      <x:c r="B9" s="262" t="str">
        <x:f>IFERROR(INDEX('Player Registry'!$A$2:$A$205,MATCH(C9,'Player Registry'!$C$2:$C$205,0)),"")</x:f>
        <x:v>P005</x:v>
      </x:c>
      <x:c r="C9" s="262" t="str">
        <x:f>'Official Ranking v2'!B10</x:f>
        <x:v>Ronald</x:v>
      </x:c>
      <x:c r="D9" s="262" t="n">
        <x:f>'Official Ranking v2'!C10</x:f>
        <x:v>18</x:v>
      </x:c>
      <x:c r="E9" s="267" t="n">
        <x:f>'Official Ranking v2'!S10</x:f>
        <x:v>58.39066504604191</x:v>
      </x:c>
      <x:c r="F9" s="262" t="str">
        <x:f>'Official Ranking v2'!T10</x:f>
        <x:v>B</x:v>
      </x:c>
      <x:c r="G9" s="262" t="n">
        <x:f>'Official Ranking v2'!W10</x:f>
        <x:v>0</x:v>
      </x:c>
      <x:c r="H9" s="262" t="str">
        <x:f>'Official Ranking v2'!X10</x:f>
        <x:v>B+</x:v>
      </x:c>
      <x:c r="I9" s="262" t="str">
        <x:f>'Official Ranking v2'!V10</x:f>
        <x:v>Established</x:v>
      </x:c>
      <x:c r="J9" s="262" t="str">
        <x:f>IF(C9="","",LOWER(SUBSTITUTE(SUBSTITUTE(C9," ","-"),".","")))</x:f>
        <x:v>ronald</x:v>
      </x:c>
    </x:row>
    <x:row r="10">
      <x:c r="A10" s="262" t="n">
        <x:f>'Official Ranking v2'!A11</x:f>
        <x:v>6</x:v>
      </x:c>
      <x:c r="B10" s="262" t="str">
        <x:f>IFERROR(INDEX('Player Registry'!$A$2:$A$205,MATCH(C10,'Player Registry'!$C$2:$C$205,0)),"")</x:f>
        <x:v>P006</x:v>
      </x:c>
      <x:c r="C10" s="262" t="str">
        <x:f>'Official Ranking v2'!B11</x:f>
        <x:v>Ricky</x:v>
      </x:c>
      <x:c r="D10" s="262" t="n">
        <x:f>'Official Ranking v2'!C11</x:f>
        <x:v>26</x:v>
      </x:c>
      <x:c r="E10" s="267" t="n">
        <x:f>'Official Ranking v2'!S11</x:f>
        <x:v>54.08585475906235</x:v>
      </x:c>
      <x:c r="F10" s="262" t="str">
        <x:f>'Official Ranking v2'!T11</x:f>
        <x:v>C</x:v>
      </x:c>
      <x:c r="G10" s="262" t="n">
        <x:f>'Official Ranking v2'!W11</x:f>
        <x:v>-1</x:v>
      </x:c>
      <x:c r="H10" s="262" t="str">
        <x:f>'Official Ranking v2'!X11</x:f>
        <x:v>B</x:v>
      </x:c>
      <x:c r="I10" s="262" t="str">
        <x:f>'Official Ranking v2'!V11</x:f>
        <x:v>Established</x:v>
      </x:c>
      <x:c r="J10" s="262" t="str">
        <x:f>IF(C10="","",LOWER(SUBSTITUTE(SUBSTITUTE(C10," ","-"),".","")))</x:f>
        <x:v>ricky</x:v>
      </x:c>
    </x:row>
    <x:row r="11">
      <x:c r="A11" s="262" t="n">
        <x:f>'Official Ranking v2'!A12</x:f>
        <x:v>7</x:v>
      </x:c>
      <x:c r="B11" s="262" t="str">
        <x:f>IFERROR(INDEX('Player Registry'!$A$2:$A$205,MATCH(C11,'Player Registry'!$C$2:$C$205,0)),"")</x:f>
        <x:v>P007</x:v>
      </x:c>
      <x:c r="C11" s="262" t="str">
        <x:f>'Official Ranking v2'!B12</x:f>
        <x:v>Jonathan</x:v>
      </x:c>
      <x:c r="D11" s="262" t="n">
        <x:f>'Official Ranking v2'!C12</x:f>
        <x:v>6</x:v>
      </x:c>
      <x:c r="E11" s="267" t="n">
        <x:f>'Official Ranking v2'!S12</x:f>
        <x:v>51.86227380674279</x:v>
      </x:c>
      <x:c r="F11" s="262" t="str">
        <x:f>'Official Ranking v2'!T12</x:f>
        <x:v>C</x:v>
      </x:c>
      <x:c r="G11" s="262" t="n">
        <x:f>'Official Ranking v2'!W12</x:f>
        <x:v>-1</x:v>
      </x:c>
      <x:c r="H11" s="262" t="str">
        <x:f>'Official Ranking v2'!X12</x:f>
        <x:v>B</x:v>
      </x:c>
      <x:c r="I11" s="262" t="str">
        <x:f>'Official Ranking v2'!V12</x:f>
        <x:v>Developing</x:v>
      </x:c>
      <x:c r="J11" s="262" t="str">
        <x:f>IF(C11="","",LOWER(SUBSTITUTE(SUBSTITUTE(C11," ","-"),".","")))</x:f>
        <x:v>jonathan</x:v>
      </x:c>
    </x:row>
    <x:row r="12">
      <x:c r="A12" s="262" t="n">
        <x:f>'Official Ranking v2'!A13</x:f>
        <x:v>8</x:v>
      </x:c>
      <x:c r="B12" s="262" t="str">
        <x:f>IFERROR(INDEX('Player Registry'!$A$2:$A$205,MATCH(C12,'Player Registry'!$C$2:$C$205,0)),"")</x:f>
        <x:v>P008</x:v>
      </x:c>
      <x:c r="C12" s="262" t="str">
        <x:f>'Official Ranking v2'!B13</x:f>
        <x:v>Kennard</x:v>
      </x:c>
      <x:c r="D12" s="262" t="n">
        <x:f>'Official Ranking v2'!C13</x:f>
        <x:v>13</x:v>
      </x:c>
      <x:c r="E12" s="267" t="n">
        <x:f>'Official Ranking v2'!S13</x:f>
        <x:v>50.28911547688009</x:v>
      </x:c>
      <x:c r="F12" s="262" t="str">
        <x:f>'Official Ranking v2'!T13</x:f>
        <x:v>C</x:v>
      </x:c>
      <x:c r="G12" s="262" t="n">
        <x:f>'Official Ranking v2'!W13</x:f>
        <x:v>-1</x:v>
      </x:c>
      <x:c r="H12" s="262" t="str">
        <x:f>'Official Ranking v2'!X13</x:f>
        <x:v>B</x:v>
      </x:c>
      <x:c r="I12" s="262" t="str">
        <x:f>'Official Ranking v2'!V13</x:f>
        <x:v>Established</x:v>
      </x:c>
      <x:c r="J12" s="262" t="str">
        <x:f>IF(C12="","",LOWER(SUBSTITUTE(SUBSTITUTE(C12," ","-"),".","")))</x:f>
        <x:v>kennard</x:v>
      </x:c>
    </x:row>
    <x:row r="13">
      <x:c r="A13" s="262" t="n">
        <x:f>'Official Ranking v2'!A14</x:f>
        <x:v>9</x:v>
      </x:c>
      <x:c r="B13" s="262" t="str">
        <x:f>IFERROR(INDEX('Player Registry'!$A$2:$A$205,MATCH(C13,'Player Registry'!$C$2:$C$205,0)),"")</x:f>
        <x:v>P009</x:v>
      </x:c>
      <x:c r="C13" s="262" t="str">
        <x:f>'Official Ranking v2'!B14</x:f>
        <x:v>Rizky</x:v>
      </x:c>
      <x:c r="D13" s="262" t="n">
        <x:f>'Official Ranking v2'!C14</x:f>
        <x:v>6</x:v>
      </x:c>
      <x:c r="E13" s="267" t="n">
        <x:f>'Official Ranking v2'!S14</x:f>
        <x:v>49.19458587929172</x:v>
      </x:c>
      <x:c r="F13" s="262" t="str">
        <x:f>'Official Ranking v2'!T14</x:f>
        <x:v>C</x:v>
      </x:c>
      <x:c r="G13" s="262" t="n">
        <x:f>'Official Ranking v2'!W14</x:f>
        <x:v>-2</x:v>
      </x:c>
      <x:c r="H13" s="262" t="str">
        <x:f>'Official Ranking v2'!X14</x:f>
        <x:v>C+</x:v>
      </x:c>
      <x:c r="I13" s="262" t="str">
        <x:f>'Official Ranking v2'!V14</x:f>
        <x:v>Developing</x:v>
      </x:c>
      <x:c r="J13" s="262" t="str">
        <x:f>IF(C13="","",LOWER(SUBSTITUTE(SUBSTITUTE(C13," ","-"),".","")))</x:f>
        <x:v>rizky</x:v>
      </x:c>
    </x:row>
    <x:row r="14">
      <x:c r="A14" s="262" t="n">
        <x:f>'Official Ranking v2'!A15</x:f>
        <x:v>10</x:v>
      </x:c>
      <x:c r="B14" s="262" t="str">
        <x:f>IFERROR(INDEX('Player Registry'!$A$2:$A$205,MATCH(C14,'Player Registry'!$C$2:$C$205,0)),"")</x:f>
        <x:v>P010</x:v>
      </x:c>
      <x:c r="C14" s="262" t="str">
        <x:f>'Official Ranking v2'!B15</x:f>
        <x:v>Edy SP</x:v>
      </x:c>
      <x:c r="D14" s="262" t="n">
        <x:f>'Official Ranking v2'!C15</x:f>
        <x:v>30</x:v>
      </x:c>
      <x:c r="E14" s="267" t="n">
        <x:f>'Official Ranking v2'!S15</x:f>
        <x:v>45.89574377725399</x:v>
      </x:c>
      <x:c r="F14" s="262" t="str">
        <x:f>'Official Ranking v2'!T15</x:f>
        <x:v>C</x:v>
      </x:c>
      <x:c r="G14" s="262" t="n">
        <x:f>'Official Ranking v2'!W15</x:f>
        <x:v>-2</x:v>
      </x:c>
      <x:c r="H14" s="262" t="str">
        <x:f>'Official Ranking v2'!X15</x:f>
        <x:v>C+</x:v>
      </x:c>
      <x:c r="I14" s="262" t="str">
        <x:f>'Official Ranking v2'!V15</x:f>
        <x:v>Established</x:v>
      </x:c>
      <x:c r="J14" s="262" t="str">
        <x:f>IF(C14="","",LOWER(SUBSTITUTE(SUBSTITUTE(C14," ","-"),".","")))</x:f>
        <x:v>edy-sp</x:v>
      </x:c>
    </x:row>
    <x:row r="15">
      <x:c r="A15" s="262" t="n">
        <x:f>'Official Ranking v2'!A16</x:f>
        <x:v>11</x:v>
      </x:c>
      <x:c r="B15" s="262" t="str">
        <x:f>IFERROR(INDEX('Player Registry'!$A$2:$A$205,MATCH(C15,'Player Registry'!$C$2:$C$205,0)),"")</x:f>
        <x:v>P011</x:v>
      </x:c>
      <x:c r="C15" s="262" t="str">
        <x:f>'Official Ranking v2'!B16</x:f>
        <x:v>Michael</x:v>
      </x:c>
      <x:c r="D15" s="262" t="n">
        <x:f>'Official Ranking v2'!C16</x:f>
        <x:v>13</x:v>
      </x:c>
      <x:c r="E15" s="267" t="n">
        <x:f>'Official Ranking v2'!S16</x:f>
        <x:v>45.67313478777373</x:v>
      </x:c>
      <x:c r="F15" s="262" t="str">
        <x:f>'Official Ranking v2'!T16</x:f>
        <x:v>C</x:v>
      </x:c>
      <x:c r="G15" s="262" t="n">
        <x:f>'Official Ranking v2'!W16</x:f>
        <x:v>-2</x:v>
      </x:c>
      <x:c r="H15" s="262" t="str">
        <x:f>'Official Ranking v2'!X16</x:f>
        <x:v>C+</x:v>
      </x:c>
      <x:c r="I15" s="262" t="str">
        <x:f>'Official Ranking v2'!V16</x:f>
        <x:v>Established</x:v>
      </x:c>
      <x:c r="J15" s="262" t="str">
        <x:f>IF(C15="","",LOWER(SUBSTITUTE(SUBSTITUTE(C15," ","-"),".","")))</x:f>
        <x:v>michael</x:v>
      </x:c>
    </x:row>
    <x:row r="16">
      <x:c r="A16" s="262" t="n">
        <x:f>'Official Ranking v2'!A17</x:f>
        <x:v>12</x:v>
      </x:c>
      <x:c r="B16" s="262" t="str">
        <x:f>IFERROR(INDEX('Player Registry'!$A$2:$A$205,MATCH(C16,'Player Registry'!$C$2:$C$205,0)),"")</x:f>
        <x:v>P012</x:v>
      </x:c>
      <x:c r="C16" s="262" t="str">
        <x:f>'Official Ranking v2'!B17</x:f>
        <x:v>Nicholas</x:v>
      </x:c>
      <x:c r="D16" s="262" t="n">
        <x:f>'Official Ranking v2'!C17</x:f>
        <x:v>7</x:v>
      </x:c>
      <x:c r="E16" s="267" t="n">
        <x:f>'Official Ranking v2'!S17</x:f>
        <x:v>45.28271303058267</x:v>
      </x:c>
      <x:c r="F16" s="262" t="str">
        <x:f>'Official Ranking v2'!T17</x:f>
        <x:v>C</x:v>
      </x:c>
      <x:c r="G16" s="262" t="n">
        <x:f>'Official Ranking v2'!W17</x:f>
        <x:v>-2</x:v>
      </x:c>
      <x:c r="H16" s="262" t="str">
        <x:f>'Official Ranking v2'!X17</x:f>
        <x:v>C+</x:v>
      </x:c>
      <x:c r="I16" s="262" t="str">
        <x:f>'Official Ranking v2'!V17</x:f>
        <x:v>Developing</x:v>
      </x:c>
      <x:c r="J16" s="262" t="str">
        <x:f>IF(C16="","",LOWER(SUBSTITUTE(SUBSTITUTE(C16," ","-"),".","")))</x:f>
        <x:v>nicholas</x:v>
      </x:c>
    </x:row>
    <x:row r="17">
      <x:c r="A17" s="262" t="n">
        <x:f>'Official Ranking v2'!A18</x:f>
        <x:v>13</x:v>
      </x:c>
      <x:c r="B17" s="262" t="str">
        <x:f>IFERROR(INDEX('Player Registry'!$A$2:$A$205,MATCH(C17,'Player Registry'!$C$2:$C$205,0)),"")</x:f>
        <x:v>P013</x:v>
      </x:c>
      <x:c r="C17" s="262" t="str">
        <x:f>'Official Ranking v2'!B18</x:f>
        <x:v>David</x:v>
      </x:c>
      <x:c r="D17" s="262" t="n">
        <x:f>'Official Ranking v2'!C18</x:f>
        <x:v>12</x:v>
      </x:c>
      <x:c r="E17" s="267" t="n">
        <x:f>'Official Ranking v2'!S18</x:f>
        <x:v>43.36193577193154</x:v>
      </x:c>
      <x:c r="F17" s="262" t="str">
        <x:f>'Official Ranking v2'!T18</x:f>
        <x:v>D</x:v>
      </x:c>
      <x:c r="G17" s="262" t="n">
        <x:f>'Official Ranking v2'!W18</x:f>
        <x:v>-3</x:v>
      </x:c>
      <x:c r="H17" s="262" t="str">
        <x:f>'Official Ranking v2'!X18</x:f>
        <x:v>C</x:v>
      </x:c>
      <x:c r="I17" s="262" t="str">
        <x:f>'Official Ranking v2'!V18</x:f>
        <x:v>Established</x:v>
      </x:c>
      <x:c r="J17" s="262" t="str">
        <x:f>IF(C17="","",LOWER(SUBSTITUTE(SUBSTITUTE(C17," ","-"),".","")))</x:f>
        <x:v>david</x:v>
      </x:c>
    </x:row>
    <x:row r="18">
      <x:c r="A18" s="262" t="n">
        <x:f>'Official Ranking v2'!A19</x:f>
        <x:v>14</x:v>
      </x:c>
      <x:c r="B18" s="262" t="str">
        <x:f>IFERROR(INDEX('Player Registry'!$A$2:$A$205,MATCH(C18,'Player Registry'!$C$2:$C$205,0)),"")</x:f>
        <x:v>P014</x:v>
      </x:c>
      <x:c r="C18" s="262" t="str">
        <x:f>'Official Ranking v2'!B19</x:f>
        <x:v>Donny</x:v>
      </x:c>
      <x:c r="D18" s="262" t="n">
        <x:f>'Official Ranking v2'!C19</x:f>
        <x:v>11</x:v>
      </x:c>
      <x:c r="E18" s="267" t="n">
        <x:f>'Official Ranking v2'!S19</x:f>
        <x:v>42.67589693029047</x:v>
      </x:c>
      <x:c r="F18" s="262" t="str">
        <x:f>'Official Ranking v2'!T19</x:f>
        <x:v>D</x:v>
      </x:c>
      <x:c r="G18" s="262" t="n">
        <x:f>'Official Ranking v2'!W19</x:f>
        <x:v>-3</x:v>
      </x:c>
      <x:c r="H18" s="262" t="str">
        <x:f>'Official Ranking v2'!X19</x:f>
        <x:v>C</x:v>
      </x:c>
      <x:c r="I18" s="262" t="str">
        <x:f>'Official Ranking v2'!V19</x:f>
        <x:v>Developing</x:v>
      </x:c>
      <x:c r="J18" s="262" t="str">
        <x:f>IF(C18="","",LOWER(SUBSTITUTE(SUBSTITUTE(C18," ","-"),".","")))</x:f>
        <x:v>donny</x:v>
      </x:c>
    </x:row>
    <x:row r="19">
      <x:c r="A19" s="262" t="n">
        <x:f>'Official Ranking v2'!A20</x:f>
        <x:v>15</x:v>
      </x:c>
      <x:c r="B19" s="262" t="str">
        <x:f>IFERROR(INDEX('Player Registry'!$A$2:$A$205,MATCH(C19,'Player Registry'!$C$2:$C$205,0)),"")</x:f>
        <x:v>P015</x:v>
      </x:c>
      <x:c r="C19" s="262" t="str">
        <x:f>'Official Ranking v2'!B20</x:f>
        <x:v>Reza</x:v>
      </x:c>
      <x:c r="D19" s="262" t="n">
        <x:f>'Official Ranking v2'!C20</x:f>
        <x:v>6</x:v>
      </x:c>
      <x:c r="E19" s="267" t="n">
        <x:f>'Official Ranking v2'!S20</x:f>
        <x:v>40.35591292370327</x:v>
      </x:c>
      <x:c r="F19" s="262" t="str">
        <x:f>'Official Ranking v2'!T20</x:f>
        <x:v>D</x:v>
      </x:c>
      <x:c r="G19" s="262" t="n">
        <x:f>'Official Ranking v2'!W20</x:f>
        <x:v>-3</x:v>
      </x:c>
      <x:c r="H19" s="262" t="str">
        <x:f>'Official Ranking v2'!X20</x:f>
        <x:v>C</x:v>
      </x:c>
      <x:c r="I19" s="262" t="str">
        <x:f>'Official Ranking v2'!V20</x:f>
        <x:v>Developing</x:v>
      </x:c>
      <x:c r="J19" s="262" t="str">
        <x:f>IF(C19="","",LOWER(SUBSTITUTE(SUBSTITUTE(C19," ","-"),".","")))</x:f>
        <x:v>reza</x:v>
      </x:c>
    </x:row>
    <x:row r="20">
      <x:c r="A20" s="262" t="n">
        <x:f>'Official Ranking v2'!A21</x:f>
        <x:v>16</x:v>
      </x:c>
      <x:c r="B20" s="262" t="str">
        <x:f>IFERROR(INDEX('Player Registry'!$A$2:$A$205,MATCH(C20,'Player Registry'!$C$2:$C$205,0)),"")</x:f>
        <x:v>P016</x:v>
      </x:c>
      <x:c r="C20" s="262" t="str">
        <x:f>'Official Ranking v2'!B21</x:f>
        <x:v>Nico</x:v>
      </x:c>
      <x:c r="D20" s="262" t="n">
        <x:f>'Official Ranking v2'!C21</x:f>
        <x:v>6</x:v>
      </x:c>
      <x:c r="E20" s="267" t="n">
        <x:f>'Official Ranking v2'!S21</x:f>
        <x:v>37.95817920836509</x:v>
      </x:c>
      <x:c r="F20" s="262" t="str">
        <x:f>'Official Ranking v2'!T21</x:f>
        <x:v>D</x:v>
      </x:c>
      <x:c r="G20" s="262" t="n">
        <x:f>'Official Ranking v2'!W21</x:f>
        <x:v>-4</x:v>
      </x:c>
      <x:c r="H20" s="262" t="str">
        <x:f>'Official Ranking v2'!X21</x:f>
        <x:v>D</x:v>
      </x:c>
      <x:c r="I20" s="262" t="str">
        <x:f>'Official Ranking v2'!V21</x:f>
        <x:v>Developing</x:v>
      </x:c>
      <x:c r="J20" s="262" t="str">
        <x:f>IF(C20="","",LOWER(SUBSTITUTE(SUBSTITUTE(C20," ","-"),".","")))</x:f>
        <x:v>nico</x:v>
      </x:c>
    </x:row>
    <x:row r="21">
      <x:c r="A21" s="262" t="n">
        <x:f>'Official Ranking v2'!A22</x:f>
        <x:v>17</x:v>
      </x:c>
      <x:c r="B21" s="262" t="str">
        <x:f>IFERROR(INDEX('Player Registry'!$A$2:$A$205,MATCH(C21,'Player Registry'!$C$2:$C$205,0)),"")</x:f>
        <x:v>P017</x:v>
      </x:c>
      <x:c r="C21" s="262" t="str">
        <x:f>'Official Ranking v2'!B22</x:f>
        <x:v>Alwin</x:v>
      </x:c>
      <x:c r="D21" s="262" t="n">
        <x:f>'Official Ranking v2'!C22</x:f>
        <x:v>6</x:v>
      </x:c>
      <x:c r="E21" s="267" t="n">
        <x:f>'Official Ranking v2'!S22</x:f>
        <x:v>35.87914127200738</x:v>
      </x:c>
      <x:c r="F21" s="262" t="str">
        <x:f>'Official Ranking v2'!T22</x:f>
        <x:v>D</x:v>
      </x:c>
      <x:c r="G21" s="262" t="n">
        <x:f>'Official Ranking v2'!W22</x:f>
        <x:v>-4</x:v>
      </x:c>
      <x:c r="H21" s="262" t="str">
        <x:f>'Official Ranking v2'!X22</x:f>
        <x:v>D</x:v>
      </x:c>
      <x:c r="I21" s="262" t="str">
        <x:f>'Official Ranking v2'!V22</x:f>
        <x:v>Developing</x:v>
      </x:c>
      <x:c r="J21" s="262" t="str">
        <x:f>IF(C21="","",LOWER(SUBSTITUTE(SUBSTITUTE(C21," ","-"),".","")))</x:f>
        <x:v>alwin</x:v>
      </x:c>
    </x:row>
    <x:row r="22">
      <x:c r="A22" s="262" t="n">
        <x:f>'Official Ranking v2'!A23</x:f>
        <x:v>18</x:v>
      </x:c>
      <x:c r="B22" s="262" t="str">
        <x:f>IFERROR(INDEX('Player Registry'!$A$2:$A$205,MATCH(C22,'Player Registry'!$C$2:$C$205,0)),"")</x:f>
        <x:v>P018</x:v>
      </x:c>
      <x:c r="C22" s="262" t="str">
        <x:f>'Official Ranking v2'!B23</x:f>
        <x:v>Hansen</x:v>
      </x:c>
      <x:c r="D22" s="262" t="n">
        <x:f>'Official Ranking v2'!C23</x:f>
        <x:v>6</x:v>
      </x:c>
      <x:c r="E22" s="267" t="n">
        <x:f>'Official Ranking v2'!S23</x:f>
        <x:v>34.74019645757599</x:v>
      </x:c>
      <x:c r="F22" s="262" t="str">
        <x:f>'Official Ranking v2'!T23</x:f>
        <x:v>D</x:v>
      </x:c>
      <x:c r="G22" s="262" t="n">
        <x:f>'Official Ranking v2'!W23</x:f>
        <x:v>-4</x:v>
      </x:c>
      <x:c r="H22" s="262" t="str">
        <x:f>'Official Ranking v2'!X23</x:f>
        <x:v>D</x:v>
      </x:c>
      <x:c r="I22" s="262" t="str">
        <x:f>'Official Ranking v2'!V23</x:f>
        <x:v>Developing</x:v>
      </x:c>
      <x:c r="J22" s="262" t="str">
        <x:f>IF(C22="","",LOWER(SUBSTITUTE(SUBSTITUTE(C22," ","-"),".","")))</x:f>
        <x:v>hansen</x:v>
      </x:c>
    </x:row>
    <x:row r="23">
      <x:c r="A23" s="262" t="n">
        <x:f>'Official Ranking v2'!A24</x:f>
        <x:v>19</x:v>
      </x:c>
      <x:c r="B23" s="262" t="str">
        <x:f>IFERROR(INDEX('Player Registry'!$A$2:$A$205,MATCH(C23,'Player Registry'!$C$2:$C$205,0)),"")</x:f>
        <x:v>P019</x:v>
      </x:c>
      <x:c r="C23" s="262" t="str">
        <x:f>'Official Ranking v2'!B24</x:f>
        <x:v>Welly</x:v>
      </x:c>
      <x:c r="D23" s="262" t="n">
        <x:f>'Official Ranking v2'!C24</x:f>
        <x:v>10</x:v>
      </x:c>
      <x:c r="E23" s="267" t="n">
        <x:f>'Official Ranking v2'!S24</x:f>
        <x:v>33.61965263543392</x:v>
      </x:c>
      <x:c r="F23" s="262" t="str">
        <x:f>'Official Ranking v2'!T24</x:f>
        <x:v>D</x:v>
      </x:c>
      <x:c r="G23" s="262" t="n">
        <x:f>'Official Ranking v2'!W24</x:f>
        <x:v>-4</x:v>
      </x:c>
      <x:c r="H23" s="262" t="str">
        <x:f>'Official Ranking v2'!X24</x:f>
        <x:v>D</x:v>
      </x:c>
      <x:c r="I23" s="262" t="str">
        <x:f>'Official Ranking v2'!V24</x:f>
        <x:v>Developing</x:v>
      </x:c>
      <x:c r="J23" s="262" t="str">
        <x:f>IF(C23="","",LOWER(SUBSTITUTE(SUBSTITUTE(C23," ","-"),".","")))</x:f>
        <x:v>welly</x:v>
      </x:c>
    </x:row>
    <x:row r="24">
      <x:c r="A24" s="262" t="n">
        <x:f>'Official Ranking v2'!A25</x:f>
        <x:v>20</x:v>
      </x:c>
      <x:c r="B24" s="262" t="str">
        <x:f>IFERROR(INDEX('Player Registry'!$A$2:$A$205,MATCH(C24,'Player Registry'!$C$2:$C$205,0)),"")</x:f>
        <x:v>P020</x:v>
      </x:c>
      <x:c r="C24" s="262" t="str">
        <x:f>'Official Ranking v2'!B25</x:f>
        <x:v>Alice</x:v>
      </x:c>
      <x:c r="D24" s="262" t="n">
        <x:f>'Official Ranking v2'!C25</x:f>
        <x:v>14</x:v>
      </x:c>
      <x:c r="E24" s="267" t="n">
        <x:f>'Official Ranking v2'!S25</x:f>
        <x:v>31.41654411475529</x:v>
      </x:c>
      <x:c r="F24" s="262" t="str">
        <x:f>'Official Ranking v2'!T25</x:f>
        <x:v>D</x:v>
      </x:c>
      <x:c r="G24" s="262" t="n">
        <x:f>'Official Ranking v2'!W25</x:f>
        <x:v>-4</x:v>
      </x:c>
      <x:c r="H24" s="262" t="str">
        <x:f>'Official Ranking v2'!X25</x:f>
        <x:v>D</x:v>
      </x:c>
      <x:c r="I24" s="262" t="str">
        <x:f>'Official Ranking v2'!V25</x:f>
        <x:v>Established</x:v>
      </x:c>
      <x:c r="J24" s="262" t="str">
        <x:f>IF(C24="","",LOWER(SUBSTITUTE(SUBSTITUTE(C24," ","-"),".","")))</x:f>
        <x:v>alice</x:v>
      </x:c>
    </x:row>
    <x:row r="25">
      <x:c r="A25" s="262" t="str">
        <x:f>IF('Official Ranking v2'!B26="","",'Official Ranking v2'!A26)</x:f>
      </x:c>
      <x:c r="B25" s="262" t="str">
        <x:f>IFERROR(INDEX('Player Registry'!$A$2:$A$205,MATCH(C25,'Player Registry'!$C$2:$C$205,0)),"")</x:f>
      </x:c>
      <x:c r="C25" s="262" t="str">
        <x:f>IF('Official Ranking v2'!B26="","",'Official Ranking v2'!B26)</x:f>
      </x:c>
      <x:c r="D25" s="262" t="str">
        <x:f>IF('Official Ranking v2'!B26="","",'Official Ranking v2'!C26)</x:f>
      </x:c>
      <x:c r="E25" s="267" t="str">
        <x:f>IF('Official Ranking v2'!B26="","",'Official Ranking v2'!S26)</x:f>
      </x:c>
      <x:c r="F25" s="262" t="str">
        <x:f>IF('Official Ranking v2'!B26="","",'Official Ranking v2'!T26)</x:f>
      </x:c>
      <x:c r="G25" s="262" t="str">
        <x:f>IF('Official Ranking v2'!B26="","",'Official Ranking v2'!W26)</x:f>
      </x:c>
      <x:c r="H25" s="262" t="str">
        <x:f>IF('Official Ranking v2'!B26="","",'Official Ranking v2'!X26)</x:f>
      </x:c>
      <x:c r="I25" s="262" t="str">
        <x:f>IF('Official Ranking v2'!B26="","",'Official Ranking v2'!V26)</x:f>
      </x:c>
      <x:c r="J25" s="262" t="str">
        <x:f>IF(C25="","",LOWER(SUBSTITUTE(SUBSTITUTE(C25," ","-"),".","")))</x:f>
      </x:c>
    </x:row>
    <x:row r="26">
      <x:c r="A26" s="262" t="str">
        <x:f>IF('Official Ranking v2'!B27="","",'Official Ranking v2'!A27)</x:f>
      </x:c>
      <x:c r="B26" s="262" t="str">
        <x:f>IFERROR(INDEX('Player Registry'!$A$2:$A$205,MATCH(C26,'Player Registry'!$C$2:$C$205,0)),"")</x:f>
      </x:c>
      <x:c r="C26" s="262" t="str">
        <x:f>IF('Official Ranking v2'!B27="","",'Official Ranking v2'!B27)</x:f>
      </x:c>
      <x:c r="D26" s="262" t="str">
        <x:f>IF('Official Ranking v2'!B27="","",'Official Ranking v2'!C27)</x:f>
      </x:c>
      <x:c r="E26" s="267" t="str">
        <x:f>IF('Official Ranking v2'!B27="","",'Official Ranking v2'!S27)</x:f>
      </x:c>
      <x:c r="F26" s="262" t="str">
        <x:f>IF('Official Ranking v2'!B27="","",'Official Ranking v2'!T27)</x:f>
      </x:c>
      <x:c r="G26" s="262" t="str">
        <x:f>IF('Official Ranking v2'!B27="","",'Official Ranking v2'!W27)</x:f>
      </x:c>
      <x:c r="H26" s="262" t="str">
        <x:f>IF('Official Ranking v2'!B27="","",'Official Ranking v2'!X27)</x:f>
      </x:c>
      <x:c r="I26" s="262" t="str">
        <x:f>IF('Official Ranking v2'!B27="","",'Official Ranking v2'!V27)</x:f>
      </x:c>
      <x:c r="J26" s="262" t="str">
        <x:f>IF(C26="","",LOWER(SUBSTITUTE(SUBSTITUTE(C26," ","-"),".","")))</x:f>
      </x:c>
    </x:row>
    <x:row r="27">
      <x:c r="A27" s="262" t="str">
        <x:f>IF('Official Ranking v2'!B28="","",'Official Ranking v2'!A28)</x:f>
      </x:c>
      <x:c r="B27" s="262" t="str">
        <x:f>IFERROR(INDEX('Player Registry'!$A$2:$A$205,MATCH(C27,'Player Registry'!$C$2:$C$205,0)),"")</x:f>
      </x:c>
      <x:c r="C27" s="262" t="str">
        <x:f>IF('Official Ranking v2'!B28="","",'Official Ranking v2'!B28)</x:f>
      </x:c>
      <x:c r="D27" s="262" t="str">
        <x:f>IF('Official Ranking v2'!B28="","",'Official Ranking v2'!C28)</x:f>
      </x:c>
      <x:c r="E27" s="267" t="str">
        <x:f>IF('Official Ranking v2'!B28="","",'Official Ranking v2'!S28)</x:f>
      </x:c>
      <x:c r="F27" s="262" t="str">
        <x:f>IF('Official Ranking v2'!B28="","",'Official Ranking v2'!T28)</x:f>
      </x:c>
      <x:c r="G27" s="262" t="str">
        <x:f>IF('Official Ranking v2'!B28="","",'Official Ranking v2'!W28)</x:f>
      </x:c>
      <x:c r="H27" s="262" t="str">
        <x:f>IF('Official Ranking v2'!B28="","",'Official Ranking v2'!X28)</x:f>
      </x:c>
      <x:c r="I27" s="262" t="str">
        <x:f>IF('Official Ranking v2'!B28="","",'Official Ranking v2'!V28)</x:f>
      </x:c>
      <x:c r="J27" s="262" t="str">
        <x:f>IF(C27="","",LOWER(SUBSTITUTE(SUBSTITUTE(C27," ","-"),".","")))</x:f>
      </x:c>
    </x:row>
    <x:row r="28">
      <x:c r="A28" s="262" t="str">
        <x:f>IF('Official Ranking v2'!B29="","",'Official Ranking v2'!A29)</x:f>
      </x:c>
      <x:c r="B28" s="262" t="str">
        <x:f>IFERROR(INDEX('Player Registry'!$A$2:$A$205,MATCH(C28,'Player Registry'!$C$2:$C$205,0)),"")</x:f>
      </x:c>
      <x:c r="C28" s="262" t="str">
        <x:f>IF('Official Ranking v2'!B29="","",'Official Ranking v2'!B29)</x:f>
      </x:c>
      <x:c r="D28" s="262" t="str">
        <x:f>IF('Official Ranking v2'!B29="","",'Official Ranking v2'!C29)</x:f>
      </x:c>
      <x:c r="E28" s="267" t="str">
        <x:f>IF('Official Ranking v2'!B29="","",'Official Ranking v2'!S29)</x:f>
      </x:c>
      <x:c r="F28" s="262" t="str">
        <x:f>IF('Official Ranking v2'!B29="","",'Official Ranking v2'!T29)</x:f>
      </x:c>
      <x:c r="G28" s="262" t="str">
        <x:f>IF('Official Ranking v2'!B29="","",'Official Ranking v2'!W29)</x:f>
      </x:c>
      <x:c r="H28" s="262" t="str">
        <x:f>IF('Official Ranking v2'!B29="","",'Official Ranking v2'!X29)</x:f>
      </x:c>
      <x:c r="I28" s="262" t="str">
        <x:f>IF('Official Ranking v2'!B29="","",'Official Ranking v2'!V29)</x:f>
      </x:c>
      <x:c r="J28" s="262" t="str">
        <x:f>IF(C28="","",LOWER(SUBSTITUTE(SUBSTITUTE(C28," ","-"),".","")))</x:f>
      </x:c>
    </x:row>
    <x:row r="29">
      <x:c r="A29" s="262" t="str">
        <x:f>IF('Official Ranking v2'!B30="","",'Official Ranking v2'!A30)</x:f>
      </x:c>
      <x:c r="B29" s="262" t="str">
        <x:f>IFERROR(INDEX('Player Registry'!$A$2:$A$205,MATCH(C29,'Player Registry'!$C$2:$C$205,0)),"")</x:f>
      </x:c>
      <x:c r="C29" s="262" t="str">
        <x:f>IF('Official Ranking v2'!B30="","",'Official Ranking v2'!B30)</x:f>
      </x:c>
      <x:c r="D29" s="262" t="str">
        <x:f>IF('Official Ranking v2'!B30="","",'Official Ranking v2'!C30)</x:f>
      </x:c>
      <x:c r="E29" s="267" t="str">
        <x:f>IF('Official Ranking v2'!B30="","",'Official Ranking v2'!S30)</x:f>
      </x:c>
      <x:c r="F29" s="262" t="str">
        <x:f>IF('Official Ranking v2'!B30="","",'Official Ranking v2'!T30)</x:f>
      </x:c>
      <x:c r="G29" s="262" t="str">
        <x:f>IF('Official Ranking v2'!B30="","",'Official Ranking v2'!W30)</x:f>
      </x:c>
      <x:c r="H29" s="262" t="str">
        <x:f>IF('Official Ranking v2'!B30="","",'Official Ranking v2'!X30)</x:f>
      </x:c>
      <x:c r="I29" s="262" t="str">
        <x:f>IF('Official Ranking v2'!B30="","",'Official Ranking v2'!V30)</x:f>
      </x:c>
      <x:c r="J29" s="262" t="str">
        <x:f>IF(C29="","",LOWER(SUBSTITUTE(SUBSTITUTE(C29," ","-"),".","")))</x:f>
      </x:c>
    </x:row>
    <x:row r="30">
      <x:c r="A30" s="262" t="str">
        <x:f>IF('Official Ranking v2'!B31="","",'Official Ranking v2'!A31)</x:f>
      </x:c>
      <x:c r="B30" s="262" t="str">
        <x:f>IFERROR(INDEX('Player Registry'!$A$2:$A$205,MATCH(C30,'Player Registry'!$C$2:$C$205,0)),"")</x:f>
      </x:c>
      <x:c r="C30" s="262" t="str">
        <x:f>IF('Official Ranking v2'!B31="","",'Official Ranking v2'!B31)</x:f>
      </x:c>
      <x:c r="D30" s="262" t="str">
        <x:f>IF('Official Ranking v2'!B31="","",'Official Ranking v2'!C31)</x:f>
      </x:c>
      <x:c r="E30" s="267" t="str">
        <x:f>IF('Official Ranking v2'!B31="","",'Official Ranking v2'!S31)</x:f>
      </x:c>
      <x:c r="F30" s="262" t="str">
        <x:f>IF('Official Ranking v2'!B31="","",'Official Ranking v2'!T31)</x:f>
      </x:c>
      <x:c r="G30" s="262" t="str">
        <x:f>IF('Official Ranking v2'!B31="","",'Official Ranking v2'!W31)</x:f>
      </x:c>
      <x:c r="H30" s="262" t="str">
        <x:f>IF('Official Ranking v2'!B31="","",'Official Ranking v2'!X31)</x:f>
      </x:c>
      <x:c r="I30" s="262" t="str">
        <x:f>IF('Official Ranking v2'!B31="","",'Official Ranking v2'!V31)</x:f>
      </x:c>
      <x:c r="J30" s="262" t="str">
        <x:f>IF(C30="","",LOWER(SUBSTITUTE(SUBSTITUTE(C30," ","-"),".","")))</x:f>
      </x:c>
    </x:row>
    <x:row r="31">
      <x:c r="A31" s="262" t="str">
        <x:f>IF('Official Ranking v2'!B32="","",'Official Ranking v2'!A32)</x:f>
      </x:c>
      <x:c r="B31" s="262" t="str">
        <x:f>IFERROR(INDEX('Player Registry'!$A$2:$A$205,MATCH(C31,'Player Registry'!$C$2:$C$205,0)),"")</x:f>
      </x:c>
      <x:c r="C31" s="262" t="str">
        <x:f>IF('Official Ranking v2'!B32="","",'Official Ranking v2'!B32)</x:f>
      </x:c>
      <x:c r="D31" s="262" t="str">
        <x:f>IF('Official Ranking v2'!B32="","",'Official Ranking v2'!C32)</x:f>
      </x:c>
      <x:c r="E31" s="267" t="str">
        <x:f>IF('Official Ranking v2'!B32="","",'Official Ranking v2'!S32)</x:f>
      </x:c>
      <x:c r="F31" s="262" t="str">
        <x:f>IF('Official Ranking v2'!B32="","",'Official Ranking v2'!T32)</x:f>
      </x:c>
      <x:c r="G31" s="262" t="str">
        <x:f>IF('Official Ranking v2'!B32="","",'Official Ranking v2'!W32)</x:f>
      </x:c>
      <x:c r="H31" s="262" t="str">
        <x:f>IF('Official Ranking v2'!B32="","",'Official Ranking v2'!X32)</x:f>
      </x:c>
      <x:c r="I31" s="262" t="str">
        <x:f>IF('Official Ranking v2'!B32="","",'Official Ranking v2'!V32)</x:f>
      </x:c>
      <x:c r="J31" s="262" t="str">
        <x:f>IF(C31="","",LOWER(SUBSTITUTE(SUBSTITUTE(C31," ","-"),".","")))</x:f>
      </x:c>
    </x:row>
    <x:row r="32">
      <x:c r="A32" s="262" t="str">
        <x:f>IF('Official Ranking v2'!B33="","",'Official Ranking v2'!A33)</x:f>
      </x:c>
      <x:c r="B32" s="262" t="str">
        <x:f>IFERROR(INDEX('Player Registry'!$A$2:$A$205,MATCH(C32,'Player Registry'!$C$2:$C$205,0)),"")</x:f>
      </x:c>
      <x:c r="C32" s="262" t="str">
        <x:f>IF('Official Ranking v2'!B33="","",'Official Ranking v2'!B33)</x:f>
      </x:c>
      <x:c r="D32" s="262" t="str">
        <x:f>IF('Official Ranking v2'!B33="","",'Official Ranking v2'!C33)</x:f>
      </x:c>
      <x:c r="E32" s="267" t="str">
        <x:f>IF('Official Ranking v2'!B33="","",'Official Ranking v2'!S33)</x:f>
      </x:c>
      <x:c r="F32" s="262" t="str">
        <x:f>IF('Official Ranking v2'!B33="","",'Official Ranking v2'!T33)</x:f>
      </x:c>
      <x:c r="G32" s="262" t="str">
        <x:f>IF('Official Ranking v2'!B33="","",'Official Ranking v2'!W33)</x:f>
      </x:c>
      <x:c r="H32" s="262" t="str">
        <x:f>IF('Official Ranking v2'!B33="","",'Official Ranking v2'!X33)</x:f>
      </x:c>
      <x:c r="I32" s="262" t="str">
        <x:f>IF('Official Ranking v2'!B33="","",'Official Ranking v2'!V33)</x:f>
      </x:c>
      <x:c r="J32" s="262" t="str">
        <x:f>IF(C32="","",LOWER(SUBSTITUTE(SUBSTITUTE(C32," ","-"),".","")))</x:f>
      </x:c>
    </x:row>
    <x:row r="33">
      <x:c r="A33" s="262" t="str">
        <x:f>IF('Official Ranking v2'!B34="","",'Official Ranking v2'!A34)</x:f>
      </x:c>
      <x:c r="B33" s="262" t="str">
        <x:f>IFERROR(INDEX('Player Registry'!$A$2:$A$205,MATCH(C33,'Player Registry'!$C$2:$C$205,0)),"")</x:f>
      </x:c>
      <x:c r="C33" s="262" t="str">
        <x:f>IF('Official Ranking v2'!B34="","",'Official Ranking v2'!B34)</x:f>
      </x:c>
      <x:c r="D33" s="262" t="str">
        <x:f>IF('Official Ranking v2'!B34="","",'Official Ranking v2'!C34)</x:f>
      </x:c>
      <x:c r="E33" s="267" t="str">
        <x:f>IF('Official Ranking v2'!B34="","",'Official Ranking v2'!S34)</x:f>
      </x:c>
      <x:c r="F33" s="262" t="str">
        <x:f>IF('Official Ranking v2'!B34="","",'Official Ranking v2'!T34)</x:f>
      </x:c>
      <x:c r="G33" s="262" t="str">
        <x:f>IF('Official Ranking v2'!B34="","",'Official Ranking v2'!W34)</x:f>
      </x:c>
      <x:c r="H33" s="262" t="str">
        <x:f>IF('Official Ranking v2'!B34="","",'Official Ranking v2'!X34)</x:f>
      </x:c>
      <x:c r="I33" s="262" t="str">
        <x:f>IF('Official Ranking v2'!B34="","",'Official Ranking v2'!V34)</x:f>
      </x:c>
      <x:c r="J33" s="262" t="str">
        <x:f>IF(C33="","",LOWER(SUBSTITUTE(SUBSTITUTE(C33," ","-"),".","")))</x:f>
      </x:c>
    </x:row>
    <x:row r="34">
      <x:c r="A34" s="262" t="str">
        <x:f>IF('Official Ranking v2'!B35="","",'Official Ranking v2'!A35)</x:f>
      </x:c>
      <x:c r="B34" s="262" t="str">
        <x:f>IFERROR(INDEX('Player Registry'!$A$2:$A$205,MATCH(C34,'Player Registry'!$C$2:$C$205,0)),"")</x:f>
      </x:c>
      <x:c r="C34" s="262" t="str">
        <x:f>IF('Official Ranking v2'!B35="","",'Official Ranking v2'!B35)</x:f>
      </x:c>
      <x:c r="D34" s="262" t="str">
        <x:f>IF('Official Ranking v2'!B35="","",'Official Ranking v2'!C35)</x:f>
      </x:c>
      <x:c r="E34" s="267" t="str">
        <x:f>IF('Official Ranking v2'!B35="","",'Official Ranking v2'!S35)</x:f>
      </x:c>
      <x:c r="F34" s="262" t="str">
        <x:f>IF('Official Ranking v2'!B35="","",'Official Ranking v2'!T35)</x:f>
      </x:c>
      <x:c r="G34" s="262" t="str">
        <x:f>IF('Official Ranking v2'!B35="","",'Official Ranking v2'!W35)</x:f>
      </x:c>
      <x:c r="H34" s="262" t="str">
        <x:f>IF('Official Ranking v2'!B35="","",'Official Ranking v2'!X35)</x:f>
      </x:c>
      <x:c r="I34" s="262" t="str">
        <x:f>IF('Official Ranking v2'!B35="","",'Official Ranking v2'!V35)</x:f>
      </x:c>
      <x:c r="J34" s="262" t="str">
        <x:f>IF(C34="","",LOWER(SUBSTITUTE(SUBSTITUTE(C34," ","-"),".","")))</x:f>
      </x:c>
    </x:row>
    <x:row r="35">
      <x:c r="A35" s="262" t="str">
        <x:f>IF('Official Ranking v2'!B36="","",'Official Ranking v2'!A36)</x:f>
      </x:c>
      <x:c r="B35" s="262" t="str">
        <x:f>IFERROR(INDEX('Player Registry'!$A$2:$A$205,MATCH(C35,'Player Registry'!$C$2:$C$205,0)),"")</x:f>
      </x:c>
      <x:c r="C35" s="262" t="str">
        <x:f>IF('Official Ranking v2'!B36="","",'Official Ranking v2'!B36)</x:f>
      </x:c>
      <x:c r="D35" s="262" t="str">
        <x:f>IF('Official Ranking v2'!B36="","",'Official Ranking v2'!C36)</x:f>
      </x:c>
      <x:c r="E35" s="267" t="str">
        <x:f>IF('Official Ranking v2'!B36="","",'Official Ranking v2'!S36)</x:f>
      </x:c>
      <x:c r="F35" s="262" t="str">
        <x:f>IF('Official Ranking v2'!B36="","",'Official Ranking v2'!T36)</x:f>
      </x:c>
      <x:c r="G35" s="262" t="str">
        <x:f>IF('Official Ranking v2'!B36="","",'Official Ranking v2'!W36)</x:f>
      </x:c>
      <x:c r="H35" s="262" t="str">
        <x:f>IF('Official Ranking v2'!B36="","",'Official Ranking v2'!X36)</x:f>
      </x:c>
      <x:c r="I35" s="262" t="str">
        <x:f>IF('Official Ranking v2'!B36="","",'Official Ranking v2'!V36)</x:f>
      </x:c>
      <x:c r="J35" s="262" t="str">
        <x:f>IF(C35="","",LOWER(SUBSTITUTE(SUBSTITUTE(C35," ","-"),".","")))</x:f>
      </x:c>
    </x:row>
    <x:row r="36">
      <x:c r="A36" s="262" t="str">
        <x:f>IF('Official Ranking v2'!B37="","",'Official Ranking v2'!A37)</x:f>
      </x:c>
      <x:c r="B36" s="262" t="str">
        <x:f>IFERROR(INDEX('Player Registry'!$A$2:$A$205,MATCH(C36,'Player Registry'!$C$2:$C$205,0)),"")</x:f>
      </x:c>
      <x:c r="C36" s="262" t="str">
        <x:f>IF('Official Ranking v2'!B37="","",'Official Ranking v2'!B37)</x:f>
      </x:c>
      <x:c r="D36" s="262" t="str">
        <x:f>IF('Official Ranking v2'!B37="","",'Official Ranking v2'!C37)</x:f>
      </x:c>
      <x:c r="E36" s="267" t="str">
        <x:f>IF('Official Ranking v2'!B37="","",'Official Ranking v2'!S37)</x:f>
      </x:c>
      <x:c r="F36" s="262" t="str">
        <x:f>IF('Official Ranking v2'!B37="","",'Official Ranking v2'!T37)</x:f>
      </x:c>
      <x:c r="G36" s="262" t="str">
        <x:f>IF('Official Ranking v2'!B37="","",'Official Ranking v2'!W37)</x:f>
      </x:c>
      <x:c r="H36" s="262" t="str">
        <x:f>IF('Official Ranking v2'!B37="","",'Official Ranking v2'!X37)</x:f>
      </x:c>
      <x:c r="I36" s="262" t="str">
        <x:f>IF('Official Ranking v2'!B37="","",'Official Ranking v2'!V37)</x:f>
      </x:c>
      <x:c r="J36" s="262" t="str">
        <x:f>IF(C36="","",LOWER(SUBSTITUTE(SUBSTITUTE(C36," ","-"),".","")))</x:f>
      </x:c>
    </x:row>
    <x:row r="37">
      <x:c r="A37" s="262" t="str">
        <x:f>IF('Official Ranking v2'!B38="","",'Official Ranking v2'!A38)</x:f>
      </x:c>
      <x:c r="B37" s="262" t="str">
        <x:f>IFERROR(INDEX('Player Registry'!$A$2:$A$205,MATCH(C37,'Player Registry'!$C$2:$C$205,0)),"")</x:f>
      </x:c>
      <x:c r="C37" s="262" t="str">
        <x:f>IF('Official Ranking v2'!B38="","",'Official Ranking v2'!B38)</x:f>
      </x:c>
      <x:c r="D37" s="262" t="str">
        <x:f>IF('Official Ranking v2'!B38="","",'Official Ranking v2'!C38)</x:f>
      </x:c>
      <x:c r="E37" s="267" t="str">
        <x:f>IF('Official Ranking v2'!B38="","",'Official Ranking v2'!S38)</x:f>
      </x:c>
      <x:c r="F37" s="262" t="str">
        <x:f>IF('Official Ranking v2'!B38="","",'Official Ranking v2'!T38)</x:f>
      </x:c>
      <x:c r="G37" s="262" t="str">
        <x:f>IF('Official Ranking v2'!B38="","",'Official Ranking v2'!W38)</x:f>
      </x:c>
      <x:c r="H37" s="262" t="str">
        <x:f>IF('Official Ranking v2'!B38="","",'Official Ranking v2'!X38)</x:f>
      </x:c>
      <x:c r="I37" s="262" t="str">
        <x:f>IF('Official Ranking v2'!B38="","",'Official Ranking v2'!V38)</x:f>
      </x:c>
      <x:c r="J37" s="262" t="str">
        <x:f>IF(C37="","",LOWER(SUBSTITUTE(SUBSTITUTE(C37," ","-"),".","")))</x:f>
      </x:c>
    </x:row>
    <x:row r="38">
      <x:c r="A38" s="262" t="str">
        <x:f>IF('Official Ranking v2'!B39="","",'Official Ranking v2'!A39)</x:f>
      </x:c>
      <x:c r="B38" s="262" t="str">
        <x:f>IFERROR(INDEX('Player Registry'!$A$2:$A$205,MATCH(C38,'Player Registry'!$C$2:$C$205,0)),"")</x:f>
      </x:c>
      <x:c r="C38" s="262" t="str">
        <x:f>IF('Official Ranking v2'!B39="","",'Official Ranking v2'!B39)</x:f>
      </x:c>
      <x:c r="D38" s="262" t="str">
        <x:f>IF('Official Ranking v2'!B39="","",'Official Ranking v2'!C39)</x:f>
      </x:c>
      <x:c r="E38" s="267" t="str">
        <x:f>IF('Official Ranking v2'!B39="","",'Official Ranking v2'!S39)</x:f>
      </x:c>
      <x:c r="F38" s="262" t="str">
        <x:f>IF('Official Ranking v2'!B39="","",'Official Ranking v2'!T39)</x:f>
      </x:c>
      <x:c r="G38" s="262" t="str">
        <x:f>IF('Official Ranking v2'!B39="","",'Official Ranking v2'!W39)</x:f>
      </x:c>
      <x:c r="H38" s="262" t="str">
        <x:f>IF('Official Ranking v2'!B39="","",'Official Ranking v2'!X39)</x:f>
      </x:c>
      <x:c r="I38" s="262" t="str">
        <x:f>IF('Official Ranking v2'!B39="","",'Official Ranking v2'!V39)</x:f>
      </x:c>
      <x:c r="J38" s="262" t="str">
        <x:f>IF(C38="","",LOWER(SUBSTITUTE(SUBSTITUTE(C38," ","-"),".","")))</x:f>
      </x:c>
    </x:row>
    <x:row r="39">
      <x:c r="A39" s="262" t="str">
        <x:f>IF('Official Ranking v2'!B40="","",'Official Ranking v2'!A40)</x:f>
      </x:c>
      <x:c r="B39" s="262" t="str">
        <x:f>IFERROR(INDEX('Player Registry'!$A$2:$A$205,MATCH(C39,'Player Registry'!$C$2:$C$205,0)),"")</x:f>
      </x:c>
      <x:c r="C39" s="262" t="str">
        <x:f>IF('Official Ranking v2'!B40="","",'Official Ranking v2'!B40)</x:f>
      </x:c>
      <x:c r="D39" s="262" t="str">
        <x:f>IF('Official Ranking v2'!B40="","",'Official Ranking v2'!C40)</x:f>
      </x:c>
      <x:c r="E39" s="267" t="str">
        <x:f>IF('Official Ranking v2'!B40="","",'Official Ranking v2'!S40)</x:f>
      </x:c>
      <x:c r="F39" s="262" t="str">
        <x:f>IF('Official Ranking v2'!B40="","",'Official Ranking v2'!T40)</x:f>
      </x:c>
      <x:c r="G39" s="262" t="str">
        <x:f>IF('Official Ranking v2'!B40="","",'Official Ranking v2'!W40)</x:f>
      </x:c>
      <x:c r="H39" s="262" t="str">
        <x:f>IF('Official Ranking v2'!B40="","",'Official Ranking v2'!X40)</x:f>
      </x:c>
      <x:c r="I39" s="262" t="str">
        <x:f>IF('Official Ranking v2'!B40="","",'Official Ranking v2'!V40)</x:f>
      </x:c>
      <x:c r="J39" s="262" t="str">
        <x:f>IF(C39="","",LOWER(SUBSTITUTE(SUBSTITUTE(C39," ","-"),".","")))</x:f>
      </x:c>
    </x:row>
    <x:row r="40">
      <x:c r="A40" s="262" t="str">
        <x:f>IF('Official Ranking v2'!B41="","",'Official Ranking v2'!A41)</x:f>
      </x:c>
      <x:c r="B40" s="262" t="str">
        <x:f>IFERROR(INDEX('Player Registry'!$A$2:$A$205,MATCH(C40,'Player Registry'!$C$2:$C$205,0)),"")</x:f>
      </x:c>
      <x:c r="C40" s="262" t="str">
        <x:f>IF('Official Ranking v2'!B41="","",'Official Ranking v2'!B41)</x:f>
      </x:c>
      <x:c r="D40" s="262" t="str">
        <x:f>IF('Official Ranking v2'!B41="","",'Official Ranking v2'!C41)</x:f>
      </x:c>
      <x:c r="E40" s="267" t="str">
        <x:f>IF('Official Ranking v2'!B41="","",'Official Ranking v2'!S41)</x:f>
      </x:c>
      <x:c r="F40" s="262" t="str">
        <x:f>IF('Official Ranking v2'!B41="","",'Official Ranking v2'!T41)</x:f>
      </x:c>
      <x:c r="G40" s="262" t="str">
        <x:f>IF('Official Ranking v2'!B41="","",'Official Ranking v2'!W41)</x:f>
      </x:c>
      <x:c r="H40" s="262" t="str">
        <x:f>IF('Official Ranking v2'!B41="","",'Official Ranking v2'!X41)</x:f>
      </x:c>
      <x:c r="I40" s="262" t="str">
        <x:f>IF('Official Ranking v2'!B41="","",'Official Ranking v2'!V41)</x:f>
      </x:c>
      <x:c r="J40" s="262" t="str">
        <x:f>IF(C40="","",LOWER(SUBSTITUTE(SUBSTITUTE(C40," ","-"),".","")))</x:f>
      </x:c>
    </x:row>
    <x:row r="41">
      <x:c r="A41" s="262" t="str">
        <x:f>IF('Official Ranking v2'!B42="","",'Official Ranking v2'!A42)</x:f>
      </x:c>
      <x:c r="B41" s="262" t="str">
        <x:f>IFERROR(INDEX('Player Registry'!$A$2:$A$205,MATCH(C41,'Player Registry'!$C$2:$C$205,0)),"")</x:f>
      </x:c>
      <x:c r="C41" s="262" t="str">
        <x:f>IF('Official Ranking v2'!B42="","",'Official Ranking v2'!B42)</x:f>
      </x:c>
      <x:c r="D41" s="262" t="str">
        <x:f>IF('Official Ranking v2'!B42="","",'Official Ranking v2'!C42)</x:f>
      </x:c>
      <x:c r="E41" s="267" t="str">
        <x:f>IF('Official Ranking v2'!B42="","",'Official Ranking v2'!S42)</x:f>
      </x:c>
      <x:c r="F41" s="262" t="str">
        <x:f>IF('Official Ranking v2'!B42="","",'Official Ranking v2'!T42)</x:f>
      </x:c>
      <x:c r="G41" s="262" t="str">
        <x:f>IF('Official Ranking v2'!B42="","",'Official Ranking v2'!W42)</x:f>
      </x:c>
      <x:c r="H41" s="262" t="str">
        <x:f>IF('Official Ranking v2'!B42="","",'Official Ranking v2'!X42)</x:f>
      </x:c>
      <x:c r="I41" s="262" t="str">
        <x:f>IF('Official Ranking v2'!B42="","",'Official Ranking v2'!V42)</x:f>
      </x:c>
      <x:c r="J41" s="262" t="str">
        <x:f>IF(C41="","",LOWER(SUBSTITUTE(SUBSTITUTE(C41," ","-"),".","")))</x:f>
      </x:c>
    </x:row>
    <x:row r="42">
      <x:c r="A42" s="262" t="str">
        <x:f>IF('Official Ranking v2'!B43="","",'Official Ranking v2'!A43)</x:f>
      </x:c>
      <x:c r="B42" s="262" t="str">
        <x:f>IFERROR(INDEX('Player Registry'!$A$2:$A$205,MATCH(C42,'Player Registry'!$C$2:$C$205,0)),"")</x:f>
      </x:c>
      <x:c r="C42" s="262" t="str">
        <x:f>IF('Official Ranking v2'!B43="","",'Official Ranking v2'!B43)</x:f>
      </x:c>
      <x:c r="D42" s="262" t="str">
        <x:f>IF('Official Ranking v2'!B43="","",'Official Ranking v2'!C43)</x:f>
      </x:c>
      <x:c r="E42" s="267" t="str">
        <x:f>IF('Official Ranking v2'!B43="","",'Official Ranking v2'!S43)</x:f>
      </x:c>
      <x:c r="F42" s="262" t="str">
        <x:f>IF('Official Ranking v2'!B43="","",'Official Ranking v2'!T43)</x:f>
      </x:c>
      <x:c r="G42" s="262" t="str">
        <x:f>IF('Official Ranking v2'!B43="","",'Official Ranking v2'!W43)</x:f>
      </x:c>
      <x:c r="H42" s="262" t="str">
        <x:f>IF('Official Ranking v2'!B43="","",'Official Ranking v2'!X43)</x:f>
      </x:c>
      <x:c r="I42" s="262" t="str">
        <x:f>IF('Official Ranking v2'!B43="","",'Official Ranking v2'!V43)</x:f>
      </x:c>
      <x:c r="J42" s="262" t="str">
        <x:f>IF(C42="","",LOWER(SUBSTITUTE(SUBSTITUTE(C42," ","-"),".","")))</x:f>
      </x:c>
    </x:row>
    <x:row r="43">
      <x:c r="A43" s="262" t="str">
        <x:f>IF('Official Ranking v2'!B44="","",'Official Ranking v2'!A44)</x:f>
      </x:c>
      <x:c r="B43" s="262" t="str">
        <x:f>IFERROR(INDEX('Player Registry'!$A$2:$A$205,MATCH(C43,'Player Registry'!$C$2:$C$205,0)),"")</x:f>
      </x:c>
      <x:c r="C43" s="262" t="str">
        <x:f>IF('Official Ranking v2'!B44="","",'Official Ranking v2'!B44)</x:f>
      </x:c>
      <x:c r="D43" s="262" t="str">
        <x:f>IF('Official Ranking v2'!B44="","",'Official Ranking v2'!C44)</x:f>
      </x:c>
      <x:c r="E43" s="267" t="str">
        <x:f>IF('Official Ranking v2'!B44="","",'Official Ranking v2'!S44)</x:f>
      </x:c>
      <x:c r="F43" s="262" t="str">
        <x:f>IF('Official Ranking v2'!B44="","",'Official Ranking v2'!T44)</x:f>
      </x:c>
      <x:c r="G43" s="262" t="str">
        <x:f>IF('Official Ranking v2'!B44="","",'Official Ranking v2'!W44)</x:f>
      </x:c>
      <x:c r="H43" s="262" t="str">
        <x:f>IF('Official Ranking v2'!B44="","",'Official Ranking v2'!X44)</x:f>
      </x:c>
      <x:c r="I43" s="262" t="str">
        <x:f>IF('Official Ranking v2'!B44="","",'Official Ranking v2'!V44)</x:f>
      </x:c>
      <x:c r="J43" s="262" t="str">
        <x:f>IF(C43="","",LOWER(SUBSTITUTE(SUBSTITUTE(C43," ","-"),".","")))</x:f>
      </x:c>
    </x:row>
    <x:row r="44">
      <x:c r="A44" s="262" t="str">
        <x:f>IF('Official Ranking v2'!B45="","",'Official Ranking v2'!A45)</x:f>
      </x:c>
      <x:c r="B44" s="262" t="str">
        <x:f>IFERROR(INDEX('Player Registry'!$A$2:$A$205,MATCH(C44,'Player Registry'!$C$2:$C$205,0)),"")</x:f>
      </x:c>
      <x:c r="C44" s="262" t="str">
        <x:f>IF('Official Ranking v2'!B45="","",'Official Ranking v2'!B45)</x:f>
      </x:c>
      <x:c r="D44" s="262" t="str">
        <x:f>IF('Official Ranking v2'!B45="","",'Official Ranking v2'!C45)</x:f>
      </x:c>
      <x:c r="E44" s="267" t="str">
        <x:f>IF('Official Ranking v2'!B45="","",'Official Ranking v2'!S45)</x:f>
      </x:c>
      <x:c r="F44" s="262" t="str">
        <x:f>IF('Official Ranking v2'!B45="","",'Official Ranking v2'!T45)</x:f>
      </x:c>
      <x:c r="G44" s="262" t="str">
        <x:f>IF('Official Ranking v2'!B45="","",'Official Ranking v2'!W45)</x:f>
      </x:c>
      <x:c r="H44" s="262" t="str">
        <x:f>IF('Official Ranking v2'!B45="","",'Official Ranking v2'!X45)</x:f>
      </x:c>
      <x:c r="I44" s="262" t="str">
        <x:f>IF('Official Ranking v2'!B45="","",'Official Ranking v2'!V45)</x:f>
      </x:c>
      <x:c r="J44" s="262" t="str">
        <x:f>IF(C44="","",LOWER(SUBSTITUTE(SUBSTITUTE(C44," ","-"),".","")))</x:f>
      </x:c>
    </x:row>
    <x:row r="45">
      <x:c r="A45" s="262" t="str">
        <x:f>IF('Official Ranking v2'!B46="","",'Official Ranking v2'!A46)</x:f>
      </x:c>
      <x:c r="B45" s="262" t="str">
        <x:f>IFERROR(INDEX('Player Registry'!$A$2:$A$205,MATCH(C45,'Player Registry'!$C$2:$C$205,0)),"")</x:f>
      </x:c>
      <x:c r="C45" s="262" t="str">
        <x:f>IF('Official Ranking v2'!B46="","",'Official Ranking v2'!B46)</x:f>
      </x:c>
      <x:c r="D45" s="262" t="str">
        <x:f>IF('Official Ranking v2'!B46="","",'Official Ranking v2'!C46)</x:f>
      </x:c>
      <x:c r="E45" s="267" t="str">
        <x:f>IF('Official Ranking v2'!B46="","",'Official Ranking v2'!S46)</x:f>
      </x:c>
      <x:c r="F45" s="262" t="str">
        <x:f>IF('Official Ranking v2'!B46="","",'Official Ranking v2'!T46)</x:f>
      </x:c>
      <x:c r="G45" s="262" t="str">
        <x:f>IF('Official Ranking v2'!B46="","",'Official Ranking v2'!W46)</x:f>
      </x:c>
      <x:c r="H45" s="262" t="str">
        <x:f>IF('Official Ranking v2'!B46="","",'Official Ranking v2'!X46)</x:f>
      </x:c>
      <x:c r="I45" s="262" t="str">
        <x:f>IF('Official Ranking v2'!B46="","",'Official Ranking v2'!V46)</x:f>
      </x:c>
      <x:c r="J45" s="262" t="str">
        <x:f>IF(C45="","",LOWER(SUBSTITUTE(SUBSTITUTE(C45," ","-"),".","")))</x:f>
      </x:c>
    </x:row>
    <x:row r="46">
      <x:c r="A46" s="262" t="str">
        <x:f>IF('Official Ranking v2'!B47="","",'Official Ranking v2'!A47)</x:f>
      </x:c>
      <x:c r="B46" s="262" t="str">
        <x:f>IFERROR(INDEX('Player Registry'!$A$2:$A$205,MATCH(C46,'Player Registry'!$C$2:$C$205,0)),"")</x:f>
      </x:c>
      <x:c r="C46" s="262" t="str">
        <x:f>IF('Official Ranking v2'!B47="","",'Official Ranking v2'!B47)</x:f>
      </x:c>
      <x:c r="D46" s="262" t="str">
        <x:f>IF('Official Ranking v2'!B47="","",'Official Ranking v2'!C47)</x:f>
      </x:c>
      <x:c r="E46" s="267" t="str">
        <x:f>IF('Official Ranking v2'!B47="","",'Official Ranking v2'!S47)</x:f>
      </x:c>
      <x:c r="F46" s="262" t="str">
        <x:f>IF('Official Ranking v2'!B47="","",'Official Ranking v2'!T47)</x:f>
      </x:c>
      <x:c r="G46" s="262" t="str">
        <x:f>IF('Official Ranking v2'!B47="","",'Official Ranking v2'!W47)</x:f>
      </x:c>
      <x:c r="H46" s="262" t="str">
        <x:f>IF('Official Ranking v2'!B47="","",'Official Ranking v2'!X47)</x:f>
      </x:c>
      <x:c r="I46" s="262" t="str">
        <x:f>IF('Official Ranking v2'!B47="","",'Official Ranking v2'!V47)</x:f>
      </x:c>
      <x:c r="J46" s="262" t="str">
        <x:f>IF(C46="","",LOWER(SUBSTITUTE(SUBSTITUTE(C46," ","-"),".","")))</x:f>
      </x:c>
    </x:row>
    <x:row r="47">
      <x:c r="A47" s="262" t="str">
        <x:f>IF('Official Ranking v2'!B48="","",'Official Ranking v2'!A48)</x:f>
      </x:c>
      <x:c r="B47" s="262" t="str">
        <x:f>IFERROR(INDEX('Player Registry'!$A$2:$A$205,MATCH(C47,'Player Registry'!$C$2:$C$205,0)),"")</x:f>
      </x:c>
      <x:c r="C47" s="262" t="str">
        <x:f>IF('Official Ranking v2'!B48="","",'Official Ranking v2'!B48)</x:f>
      </x:c>
      <x:c r="D47" s="262" t="str">
        <x:f>IF('Official Ranking v2'!B48="","",'Official Ranking v2'!C48)</x:f>
      </x:c>
      <x:c r="E47" s="267" t="str">
        <x:f>IF('Official Ranking v2'!B48="","",'Official Ranking v2'!S48)</x:f>
      </x:c>
      <x:c r="F47" s="262" t="str">
        <x:f>IF('Official Ranking v2'!B48="","",'Official Ranking v2'!T48)</x:f>
      </x:c>
      <x:c r="G47" s="262" t="str">
        <x:f>IF('Official Ranking v2'!B48="","",'Official Ranking v2'!W48)</x:f>
      </x:c>
      <x:c r="H47" s="262" t="str">
        <x:f>IF('Official Ranking v2'!B48="","",'Official Ranking v2'!X48)</x:f>
      </x:c>
      <x:c r="I47" s="262" t="str">
        <x:f>IF('Official Ranking v2'!B48="","",'Official Ranking v2'!V48)</x:f>
      </x:c>
      <x:c r="J47" s="262" t="str">
        <x:f>IF(C47="","",LOWER(SUBSTITUTE(SUBSTITUTE(C47," ","-"),".","")))</x:f>
      </x:c>
    </x:row>
    <x:row r="48">
      <x:c r="A48" s="262" t="str">
        <x:f>IF('Official Ranking v2'!B49="","",'Official Ranking v2'!A49)</x:f>
      </x:c>
      <x:c r="B48" s="262" t="str">
        <x:f>IFERROR(INDEX('Player Registry'!$A$2:$A$205,MATCH(C48,'Player Registry'!$C$2:$C$205,0)),"")</x:f>
      </x:c>
      <x:c r="C48" s="262" t="str">
        <x:f>IF('Official Ranking v2'!B49="","",'Official Ranking v2'!B49)</x:f>
      </x:c>
      <x:c r="D48" s="262" t="str">
        <x:f>IF('Official Ranking v2'!B49="","",'Official Ranking v2'!C49)</x:f>
      </x:c>
      <x:c r="E48" s="267" t="str">
        <x:f>IF('Official Ranking v2'!B49="","",'Official Ranking v2'!S49)</x:f>
      </x:c>
      <x:c r="F48" s="262" t="str">
        <x:f>IF('Official Ranking v2'!B49="","",'Official Ranking v2'!T49)</x:f>
      </x:c>
      <x:c r="G48" s="262" t="str">
        <x:f>IF('Official Ranking v2'!B49="","",'Official Ranking v2'!W49)</x:f>
      </x:c>
      <x:c r="H48" s="262" t="str">
        <x:f>IF('Official Ranking v2'!B49="","",'Official Ranking v2'!X49)</x:f>
      </x:c>
      <x:c r="I48" s="262" t="str">
        <x:f>IF('Official Ranking v2'!B49="","",'Official Ranking v2'!V49)</x:f>
      </x:c>
      <x:c r="J48" s="262" t="str">
        <x:f>IF(C48="","",LOWER(SUBSTITUTE(SUBSTITUTE(C48," ","-"),".","")))</x:f>
      </x:c>
    </x:row>
    <x:row r="49">
      <x:c r="A49" s="262" t="str">
        <x:f>IF('Official Ranking v2'!B50="","",'Official Ranking v2'!A50)</x:f>
      </x:c>
      <x:c r="B49" s="262" t="str">
        <x:f>IFERROR(INDEX('Player Registry'!$A$2:$A$205,MATCH(C49,'Player Registry'!$C$2:$C$205,0)),"")</x:f>
      </x:c>
      <x:c r="C49" s="262" t="str">
        <x:f>IF('Official Ranking v2'!B50="","",'Official Ranking v2'!B50)</x:f>
      </x:c>
      <x:c r="D49" s="262" t="str">
        <x:f>IF('Official Ranking v2'!B50="","",'Official Ranking v2'!C50)</x:f>
      </x:c>
      <x:c r="E49" s="267" t="str">
        <x:f>IF('Official Ranking v2'!B50="","",'Official Ranking v2'!S50)</x:f>
      </x:c>
      <x:c r="F49" s="262" t="str">
        <x:f>IF('Official Ranking v2'!B50="","",'Official Ranking v2'!T50)</x:f>
      </x:c>
      <x:c r="G49" s="262" t="str">
        <x:f>IF('Official Ranking v2'!B50="","",'Official Ranking v2'!W50)</x:f>
      </x:c>
      <x:c r="H49" s="262" t="str">
        <x:f>IF('Official Ranking v2'!B50="","",'Official Ranking v2'!X50)</x:f>
      </x:c>
      <x:c r="I49" s="262" t="str">
        <x:f>IF('Official Ranking v2'!B50="","",'Official Ranking v2'!V50)</x:f>
      </x:c>
      <x:c r="J49" s="262" t="str">
        <x:f>IF(C49="","",LOWER(SUBSTITUTE(SUBSTITUTE(C49," ","-"),".","")))</x:f>
      </x:c>
    </x:row>
    <x:row r="50">
      <x:c r="A50" s="262" t="str">
        <x:f>IF('Official Ranking v2'!B51="","",'Official Ranking v2'!A51)</x:f>
      </x:c>
      <x:c r="B50" s="262" t="str">
        <x:f>IFERROR(INDEX('Player Registry'!$A$2:$A$205,MATCH(C50,'Player Registry'!$C$2:$C$205,0)),"")</x:f>
      </x:c>
      <x:c r="C50" s="262" t="str">
        <x:f>IF('Official Ranking v2'!B51="","",'Official Ranking v2'!B51)</x:f>
      </x:c>
      <x:c r="D50" s="262" t="str">
        <x:f>IF('Official Ranking v2'!B51="","",'Official Ranking v2'!C51)</x:f>
      </x:c>
      <x:c r="E50" s="267" t="str">
        <x:f>IF('Official Ranking v2'!B51="","",'Official Ranking v2'!S51)</x:f>
      </x:c>
      <x:c r="F50" s="262" t="str">
        <x:f>IF('Official Ranking v2'!B51="","",'Official Ranking v2'!T51)</x:f>
      </x:c>
      <x:c r="G50" s="262" t="str">
        <x:f>IF('Official Ranking v2'!B51="","",'Official Ranking v2'!W51)</x:f>
      </x:c>
      <x:c r="H50" s="262" t="str">
        <x:f>IF('Official Ranking v2'!B51="","",'Official Ranking v2'!X51)</x:f>
      </x:c>
      <x:c r="I50" s="262" t="str">
        <x:f>IF('Official Ranking v2'!B51="","",'Official Ranking v2'!V51)</x:f>
      </x:c>
      <x:c r="J50" s="262" t="str">
        <x:f>IF(C50="","",LOWER(SUBSTITUTE(SUBSTITUTE(C50," ","-"),".","")))</x:f>
      </x:c>
    </x:row>
    <x:row r="51">
      <x:c r="A51" s="262" t="str">
        <x:f>IF('Official Ranking v2'!B52="","",'Official Ranking v2'!A52)</x:f>
      </x:c>
      <x:c r="B51" s="262" t="str">
        <x:f>IFERROR(INDEX('Player Registry'!$A$2:$A$205,MATCH(C51,'Player Registry'!$C$2:$C$205,0)),"")</x:f>
      </x:c>
      <x:c r="C51" s="262" t="str">
        <x:f>IF('Official Ranking v2'!B52="","",'Official Ranking v2'!B52)</x:f>
      </x:c>
      <x:c r="D51" s="262" t="str">
        <x:f>IF('Official Ranking v2'!B52="","",'Official Ranking v2'!C52)</x:f>
      </x:c>
      <x:c r="E51" s="267" t="str">
        <x:f>IF('Official Ranking v2'!B52="","",'Official Ranking v2'!S52)</x:f>
      </x:c>
      <x:c r="F51" s="262" t="str">
        <x:f>IF('Official Ranking v2'!B52="","",'Official Ranking v2'!T52)</x:f>
      </x:c>
      <x:c r="G51" s="262" t="str">
        <x:f>IF('Official Ranking v2'!B52="","",'Official Ranking v2'!W52)</x:f>
      </x:c>
      <x:c r="H51" s="262" t="str">
        <x:f>IF('Official Ranking v2'!B52="","",'Official Ranking v2'!X52)</x:f>
      </x:c>
      <x:c r="I51" s="262" t="str">
        <x:f>IF('Official Ranking v2'!B52="","",'Official Ranking v2'!V52)</x:f>
      </x:c>
      <x:c r="J51" s="262" t="str">
        <x:f>IF(C51="","",LOWER(SUBSTITUTE(SUBSTITUTE(C51," ","-"),".","")))</x:f>
      </x:c>
    </x:row>
    <x:row r="52">
      <x:c r="A52" s="262" t="str">
        <x:f>IF('Official Ranking v2'!B53="","",'Official Ranking v2'!A53)</x:f>
      </x:c>
      <x:c r="B52" s="262" t="str">
        <x:f>IFERROR(INDEX('Player Registry'!$A$2:$A$205,MATCH(C52,'Player Registry'!$C$2:$C$205,0)),"")</x:f>
      </x:c>
      <x:c r="C52" s="262" t="str">
        <x:f>IF('Official Ranking v2'!B53="","",'Official Ranking v2'!B53)</x:f>
      </x:c>
      <x:c r="D52" s="262" t="str">
        <x:f>IF('Official Ranking v2'!B53="","",'Official Ranking v2'!C53)</x:f>
      </x:c>
      <x:c r="E52" s="267" t="str">
        <x:f>IF('Official Ranking v2'!B53="","",'Official Ranking v2'!S53)</x:f>
      </x:c>
      <x:c r="F52" s="262" t="str">
        <x:f>IF('Official Ranking v2'!B53="","",'Official Ranking v2'!T53)</x:f>
      </x:c>
      <x:c r="G52" s="262" t="str">
        <x:f>IF('Official Ranking v2'!B53="","",'Official Ranking v2'!W53)</x:f>
      </x:c>
      <x:c r="H52" s="262" t="str">
        <x:f>IF('Official Ranking v2'!B53="","",'Official Ranking v2'!X53)</x:f>
      </x:c>
      <x:c r="I52" s="262" t="str">
        <x:f>IF('Official Ranking v2'!B53="","",'Official Ranking v2'!V53)</x:f>
      </x:c>
      <x:c r="J52" s="262" t="str">
        <x:f>IF(C52="","",LOWER(SUBSTITUTE(SUBSTITUTE(C52," ","-"),".","")))</x:f>
      </x:c>
    </x:row>
    <x:row r="53">
      <x:c r="A53" s="262" t="str">
        <x:f>IF('Official Ranking v2'!B54="","",'Official Ranking v2'!A54)</x:f>
      </x:c>
      <x:c r="B53" s="262" t="str">
        <x:f>IFERROR(INDEX('Player Registry'!$A$2:$A$205,MATCH(C53,'Player Registry'!$C$2:$C$205,0)),"")</x:f>
      </x:c>
      <x:c r="C53" s="262" t="str">
        <x:f>IF('Official Ranking v2'!B54="","",'Official Ranking v2'!B54)</x:f>
      </x:c>
      <x:c r="D53" s="262" t="str">
        <x:f>IF('Official Ranking v2'!B54="","",'Official Ranking v2'!C54)</x:f>
      </x:c>
      <x:c r="E53" s="267" t="str">
        <x:f>IF('Official Ranking v2'!B54="","",'Official Ranking v2'!S54)</x:f>
      </x:c>
      <x:c r="F53" s="262" t="str">
        <x:f>IF('Official Ranking v2'!B54="","",'Official Ranking v2'!T54)</x:f>
      </x:c>
      <x:c r="G53" s="262" t="str">
        <x:f>IF('Official Ranking v2'!B54="","",'Official Ranking v2'!W54)</x:f>
      </x:c>
      <x:c r="H53" s="262" t="str">
        <x:f>IF('Official Ranking v2'!B54="","",'Official Ranking v2'!X54)</x:f>
      </x:c>
      <x:c r="I53" s="262" t="str">
        <x:f>IF('Official Ranking v2'!B54="","",'Official Ranking v2'!V54)</x:f>
      </x:c>
      <x:c r="J53" s="262" t="str">
        <x:f>IF(C53="","",LOWER(SUBSTITUTE(SUBSTITUTE(C53," ","-"),".","")))</x:f>
      </x:c>
    </x:row>
    <x:row r="54">
      <x:c r="A54" s="262" t="str">
        <x:f>IF('Official Ranking v2'!B55="","",'Official Ranking v2'!A55)</x:f>
      </x:c>
      <x:c r="B54" s="262" t="str">
        <x:f>IFERROR(INDEX('Player Registry'!$A$2:$A$205,MATCH(C54,'Player Registry'!$C$2:$C$205,0)),"")</x:f>
      </x:c>
      <x:c r="C54" s="262" t="str">
        <x:f>IF('Official Ranking v2'!B55="","",'Official Ranking v2'!B55)</x:f>
      </x:c>
      <x:c r="D54" s="262" t="str">
        <x:f>IF('Official Ranking v2'!B55="","",'Official Ranking v2'!C55)</x:f>
      </x:c>
      <x:c r="E54" s="267" t="str">
        <x:f>IF('Official Ranking v2'!B55="","",'Official Ranking v2'!S55)</x:f>
      </x:c>
      <x:c r="F54" s="262" t="str">
        <x:f>IF('Official Ranking v2'!B55="","",'Official Ranking v2'!T55)</x:f>
      </x:c>
      <x:c r="G54" s="262" t="str">
        <x:f>IF('Official Ranking v2'!B55="","",'Official Ranking v2'!W55)</x:f>
      </x:c>
      <x:c r="H54" s="262" t="str">
        <x:f>IF('Official Ranking v2'!B55="","",'Official Ranking v2'!X55)</x:f>
      </x:c>
      <x:c r="I54" s="262" t="str">
        <x:f>IF('Official Ranking v2'!B55="","",'Official Ranking v2'!V55)</x:f>
      </x:c>
      <x:c r="J54" s="262" t="str">
        <x:f>IF(C54="","",LOWER(SUBSTITUTE(SUBSTITUTE(C54," ","-"),".","")))</x:f>
      </x:c>
    </x:row>
    <x:row r="55">
      <x:c r="A55" s="262" t="str">
        <x:f>IF('Official Ranking v2'!B56="","",'Official Ranking v2'!A56)</x:f>
      </x:c>
      <x:c r="B55" s="262" t="str">
        <x:f>IFERROR(INDEX('Player Registry'!$A$2:$A$205,MATCH(C55,'Player Registry'!$C$2:$C$205,0)),"")</x:f>
      </x:c>
      <x:c r="C55" s="262" t="str">
        <x:f>IF('Official Ranking v2'!B56="","",'Official Ranking v2'!B56)</x:f>
      </x:c>
      <x:c r="D55" s="262" t="str">
        <x:f>IF('Official Ranking v2'!B56="","",'Official Ranking v2'!C56)</x:f>
      </x:c>
      <x:c r="E55" s="267" t="str">
        <x:f>IF('Official Ranking v2'!B56="","",'Official Ranking v2'!S56)</x:f>
      </x:c>
      <x:c r="F55" s="262" t="str">
        <x:f>IF('Official Ranking v2'!B56="","",'Official Ranking v2'!T56)</x:f>
      </x:c>
      <x:c r="G55" s="262" t="str">
        <x:f>IF('Official Ranking v2'!B56="","",'Official Ranking v2'!W56)</x:f>
      </x:c>
      <x:c r="H55" s="262" t="str">
        <x:f>IF('Official Ranking v2'!B56="","",'Official Ranking v2'!X56)</x:f>
      </x:c>
      <x:c r="I55" s="262" t="str">
        <x:f>IF('Official Ranking v2'!B56="","",'Official Ranking v2'!V56)</x:f>
      </x:c>
      <x:c r="J55" s="262" t="str">
        <x:f>IF(C55="","",LOWER(SUBSTITUTE(SUBSTITUTE(C55," ","-"),".","")))</x:f>
      </x:c>
    </x:row>
    <x:row r="56">
      <x:c r="A56" s="262" t="str">
        <x:f>IF('Official Ranking v2'!B57="","",'Official Ranking v2'!A57)</x:f>
      </x:c>
      <x:c r="B56" s="262" t="str">
        <x:f>IFERROR(INDEX('Player Registry'!$A$2:$A$205,MATCH(C56,'Player Registry'!$C$2:$C$205,0)),"")</x:f>
      </x:c>
      <x:c r="C56" s="262" t="str">
        <x:f>IF('Official Ranking v2'!B57="","",'Official Ranking v2'!B57)</x:f>
      </x:c>
      <x:c r="D56" s="262" t="str">
        <x:f>IF('Official Ranking v2'!B57="","",'Official Ranking v2'!C57)</x:f>
      </x:c>
      <x:c r="E56" s="267" t="str">
        <x:f>IF('Official Ranking v2'!B57="","",'Official Ranking v2'!S57)</x:f>
      </x:c>
      <x:c r="F56" s="262" t="str">
        <x:f>IF('Official Ranking v2'!B57="","",'Official Ranking v2'!T57)</x:f>
      </x:c>
      <x:c r="G56" s="262" t="str">
        <x:f>IF('Official Ranking v2'!B57="","",'Official Ranking v2'!W57)</x:f>
      </x:c>
      <x:c r="H56" s="262" t="str">
        <x:f>IF('Official Ranking v2'!B57="","",'Official Ranking v2'!X57)</x:f>
      </x:c>
      <x:c r="I56" s="262" t="str">
        <x:f>IF('Official Ranking v2'!B57="","",'Official Ranking v2'!V57)</x:f>
      </x:c>
      <x:c r="J56" s="262" t="str">
        <x:f>IF(C56="","",LOWER(SUBSTITUTE(SUBSTITUTE(C56," ","-"),".","")))</x:f>
      </x:c>
    </x:row>
    <x:row r="57">
      <x:c r="A57" s="262" t="str">
        <x:f>IF('Official Ranking v2'!B58="","",'Official Ranking v2'!A58)</x:f>
      </x:c>
      <x:c r="B57" s="262" t="str">
        <x:f>IFERROR(INDEX('Player Registry'!$A$2:$A$205,MATCH(C57,'Player Registry'!$C$2:$C$205,0)),"")</x:f>
      </x:c>
      <x:c r="C57" s="262" t="str">
        <x:f>IF('Official Ranking v2'!B58="","",'Official Ranking v2'!B58)</x:f>
      </x:c>
      <x:c r="D57" s="262" t="str">
        <x:f>IF('Official Ranking v2'!B58="","",'Official Ranking v2'!C58)</x:f>
      </x:c>
      <x:c r="E57" s="267" t="str">
        <x:f>IF('Official Ranking v2'!B58="","",'Official Ranking v2'!S58)</x:f>
      </x:c>
      <x:c r="F57" s="262" t="str">
        <x:f>IF('Official Ranking v2'!B58="","",'Official Ranking v2'!T58)</x:f>
      </x:c>
      <x:c r="G57" s="262" t="str">
        <x:f>IF('Official Ranking v2'!B58="","",'Official Ranking v2'!W58)</x:f>
      </x:c>
      <x:c r="H57" s="262" t="str">
        <x:f>IF('Official Ranking v2'!B58="","",'Official Ranking v2'!X58)</x:f>
      </x:c>
      <x:c r="I57" s="262" t="str">
        <x:f>IF('Official Ranking v2'!B58="","",'Official Ranking v2'!V58)</x:f>
      </x:c>
      <x:c r="J57" s="262" t="str">
        <x:f>IF(C57="","",LOWER(SUBSTITUTE(SUBSTITUTE(C57," ","-"),".","")))</x:f>
      </x:c>
    </x:row>
    <x:row r="58">
      <x:c r="A58" s="262" t="str">
        <x:f>IF('Official Ranking v2'!B59="","",'Official Ranking v2'!A59)</x:f>
      </x:c>
      <x:c r="B58" s="262" t="str">
        <x:f>IFERROR(INDEX('Player Registry'!$A$2:$A$205,MATCH(C58,'Player Registry'!$C$2:$C$205,0)),"")</x:f>
      </x:c>
      <x:c r="C58" s="262" t="str">
        <x:f>IF('Official Ranking v2'!B59="","",'Official Ranking v2'!B59)</x:f>
      </x:c>
      <x:c r="D58" s="262" t="str">
        <x:f>IF('Official Ranking v2'!B59="","",'Official Ranking v2'!C59)</x:f>
      </x:c>
      <x:c r="E58" s="267" t="str">
        <x:f>IF('Official Ranking v2'!B59="","",'Official Ranking v2'!S59)</x:f>
      </x:c>
      <x:c r="F58" s="262" t="str">
        <x:f>IF('Official Ranking v2'!B59="","",'Official Ranking v2'!T59)</x:f>
      </x:c>
      <x:c r="G58" s="262" t="str">
        <x:f>IF('Official Ranking v2'!B59="","",'Official Ranking v2'!W59)</x:f>
      </x:c>
      <x:c r="H58" s="262" t="str">
        <x:f>IF('Official Ranking v2'!B59="","",'Official Ranking v2'!X59)</x:f>
      </x:c>
      <x:c r="I58" s="262" t="str">
        <x:f>IF('Official Ranking v2'!B59="","",'Official Ranking v2'!V59)</x:f>
      </x:c>
      <x:c r="J58" s="262" t="str">
        <x:f>IF(C58="","",LOWER(SUBSTITUTE(SUBSTITUTE(C58," ","-"),".","")))</x:f>
      </x:c>
    </x:row>
    <x:row r="59">
      <x:c r="A59" s="262" t="str">
        <x:f>IF('Official Ranking v2'!B60="","",'Official Ranking v2'!A60)</x:f>
      </x:c>
      <x:c r="B59" s="262" t="str">
        <x:f>IFERROR(INDEX('Player Registry'!$A$2:$A$205,MATCH(C59,'Player Registry'!$C$2:$C$205,0)),"")</x:f>
      </x:c>
      <x:c r="C59" s="262" t="str">
        <x:f>IF('Official Ranking v2'!B60="","",'Official Ranking v2'!B60)</x:f>
      </x:c>
      <x:c r="D59" s="262" t="str">
        <x:f>IF('Official Ranking v2'!B60="","",'Official Ranking v2'!C60)</x:f>
      </x:c>
      <x:c r="E59" s="267" t="str">
        <x:f>IF('Official Ranking v2'!B60="","",'Official Ranking v2'!S60)</x:f>
      </x:c>
      <x:c r="F59" s="262" t="str">
        <x:f>IF('Official Ranking v2'!B60="","",'Official Ranking v2'!T60)</x:f>
      </x:c>
      <x:c r="G59" s="262" t="str">
        <x:f>IF('Official Ranking v2'!B60="","",'Official Ranking v2'!W60)</x:f>
      </x:c>
      <x:c r="H59" s="262" t="str">
        <x:f>IF('Official Ranking v2'!B60="","",'Official Ranking v2'!X60)</x:f>
      </x:c>
      <x:c r="I59" s="262" t="str">
        <x:f>IF('Official Ranking v2'!B60="","",'Official Ranking v2'!V60)</x:f>
      </x:c>
      <x:c r="J59" s="262" t="str">
        <x:f>IF(C59="","",LOWER(SUBSTITUTE(SUBSTITUTE(C59," ","-"),".","")))</x:f>
      </x:c>
    </x:row>
    <x:row r="60">
      <x:c r="A60" s="262" t="str">
        <x:f>IF('Official Ranking v2'!B61="","",'Official Ranking v2'!A61)</x:f>
      </x:c>
      <x:c r="B60" s="262" t="str">
        <x:f>IFERROR(INDEX('Player Registry'!$A$2:$A$205,MATCH(C60,'Player Registry'!$C$2:$C$205,0)),"")</x:f>
      </x:c>
      <x:c r="C60" s="262" t="str">
        <x:f>IF('Official Ranking v2'!B61="","",'Official Ranking v2'!B61)</x:f>
      </x:c>
      <x:c r="D60" s="262" t="str">
        <x:f>IF('Official Ranking v2'!B61="","",'Official Ranking v2'!C61)</x:f>
      </x:c>
      <x:c r="E60" s="267" t="str">
        <x:f>IF('Official Ranking v2'!B61="","",'Official Ranking v2'!S61)</x:f>
      </x:c>
      <x:c r="F60" s="262" t="str">
        <x:f>IF('Official Ranking v2'!B61="","",'Official Ranking v2'!T61)</x:f>
      </x:c>
      <x:c r="G60" s="262" t="str">
        <x:f>IF('Official Ranking v2'!B61="","",'Official Ranking v2'!W61)</x:f>
      </x:c>
      <x:c r="H60" s="262" t="str">
        <x:f>IF('Official Ranking v2'!B61="","",'Official Ranking v2'!X61)</x:f>
      </x:c>
      <x:c r="I60" s="262" t="str">
        <x:f>IF('Official Ranking v2'!B61="","",'Official Ranking v2'!V61)</x:f>
      </x:c>
      <x:c r="J60" s="262" t="str">
        <x:f>IF(C60="","",LOWER(SUBSTITUTE(SUBSTITUTE(C60," ","-"),".","")))</x:f>
      </x:c>
    </x:row>
    <x:row r="61">
      <x:c r="A61" s="262" t="str">
        <x:f>IF('Official Ranking v2'!B62="","",'Official Ranking v2'!A62)</x:f>
      </x:c>
      <x:c r="B61" s="262" t="str">
        <x:f>IFERROR(INDEX('Player Registry'!$A$2:$A$205,MATCH(C61,'Player Registry'!$C$2:$C$205,0)),"")</x:f>
      </x:c>
      <x:c r="C61" s="262" t="str">
        <x:f>IF('Official Ranking v2'!B62="","",'Official Ranking v2'!B62)</x:f>
      </x:c>
      <x:c r="D61" s="262" t="str">
        <x:f>IF('Official Ranking v2'!B62="","",'Official Ranking v2'!C62)</x:f>
      </x:c>
      <x:c r="E61" s="267" t="str">
        <x:f>IF('Official Ranking v2'!B62="","",'Official Ranking v2'!S62)</x:f>
      </x:c>
      <x:c r="F61" s="262" t="str">
        <x:f>IF('Official Ranking v2'!B62="","",'Official Ranking v2'!T62)</x:f>
      </x:c>
      <x:c r="G61" s="262" t="str">
        <x:f>IF('Official Ranking v2'!B62="","",'Official Ranking v2'!W62)</x:f>
      </x:c>
      <x:c r="H61" s="262" t="str">
        <x:f>IF('Official Ranking v2'!B62="","",'Official Ranking v2'!X62)</x:f>
      </x:c>
      <x:c r="I61" s="262" t="str">
        <x:f>IF('Official Ranking v2'!B62="","",'Official Ranking v2'!V62)</x:f>
      </x:c>
      <x:c r="J61" s="262" t="str">
        <x:f>IF(C61="","",LOWER(SUBSTITUTE(SUBSTITUTE(C61," ","-"),".","")))</x:f>
      </x:c>
    </x:row>
    <x:row r="62">
      <x:c r="A62" s="262" t="str">
        <x:f>IF('Official Ranking v2'!B63="","",'Official Ranking v2'!A63)</x:f>
      </x:c>
      <x:c r="B62" s="262" t="str">
        <x:f>IFERROR(INDEX('Player Registry'!$A$2:$A$205,MATCH(C62,'Player Registry'!$C$2:$C$205,0)),"")</x:f>
      </x:c>
      <x:c r="C62" s="262" t="str">
        <x:f>IF('Official Ranking v2'!B63="","",'Official Ranking v2'!B63)</x:f>
      </x:c>
      <x:c r="D62" s="262" t="str">
        <x:f>IF('Official Ranking v2'!B63="","",'Official Ranking v2'!C63)</x:f>
      </x:c>
      <x:c r="E62" s="267" t="str">
        <x:f>IF('Official Ranking v2'!B63="","",'Official Ranking v2'!S63)</x:f>
      </x:c>
      <x:c r="F62" s="262" t="str">
        <x:f>IF('Official Ranking v2'!B63="","",'Official Ranking v2'!T63)</x:f>
      </x:c>
      <x:c r="G62" s="262" t="str">
        <x:f>IF('Official Ranking v2'!B63="","",'Official Ranking v2'!W63)</x:f>
      </x:c>
      <x:c r="H62" s="262" t="str">
        <x:f>IF('Official Ranking v2'!B63="","",'Official Ranking v2'!X63)</x:f>
      </x:c>
      <x:c r="I62" s="262" t="str">
        <x:f>IF('Official Ranking v2'!B63="","",'Official Ranking v2'!V63)</x:f>
      </x:c>
      <x:c r="J62" s="262" t="str">
        <x:f>IF(C62="","",LOWER(SUBSTITUTE(SUBSTITUTE(C62," ","-"),".","")))</x:f>
      </x:c>
    </x:row>
    <x:row r="63">
      <x:c r="A63" s="262" t="str">
        <x:f>IF('Official Ranking v2'!B64="","",'Official Ranking v2'!A64)</x:f>
      </x:c>
      <x:c r="B63" s="262" t="str">
        <x:f>IFERROR(INDEX('Player Registry'!$A$2:$A$205,MATCH(C63,'Player Registry'!$C$2:$C$205,0)),"")</x:f>
      </x:c>
      <x:c r="C63" s="262" t="str">
        <x:f>IF('Official Ranking v2'!B64="","",'Official Ranking v2'!B64)</x:f>
      </x:c>
      <x:c r="D63" s="262" t="str">
        <x:f>IF('Official Ranking v2'!B64="","",'Official Ranking v2'!C64)</x:f>
      </x:c>
      <x:c r="E63" s="267" t="str">
        <x:f>IF('Official Ranking v2'!B64="","",'Official Ranking v2'!S64)</x:f>
      </x:c>
      <x:c r="F63" s="262" t="str">
        <x:f>IF('Official Ranking v2'!B64="","",'Official Ranking v2'!T64)</x:f>
      </x:c>
      <x:c r="G63" s="262" t="str">
        <x:f>IF('Official Ranking v2'!B64="","",'Official Ranking v2'!W64)</x:f>
      </x:c>
      <x:c r="H63" s="262" t="str">
        <x:f>IF('Official Ranking v2'!B64="","",'Official Ranking v2'!X64)</x:f>
      </x:c>
      <x:c r="I63" s="262" t="str">
        <x:f>IF('Official Ranking v2'!B64="","",'Official Ranking v2'!V64)</x:f>
      </x:c>
      <x:c r="J63" s="262" t="str">
        <x:f>IF(C63="","",LOWER(SUBSTITUTE(SUBSTITUTE(C63," ","-"),".","")))</x:f>
      </x:c>
    </x:row>
    <x:row r="64">
      <x:c r="A64" s="262" t="str">
        <x:f>IF('Official Ranking v2'!B65="","",'Official Ranking v2'!A65)</x:f>
      </x:c>
      <x:c r="B64" s="262" t="str">
        <x:f>IFERROR(INDEX('Player Registry'!$A$2:$A$205,MATCH(C64,'Player Registry'!$C$2:$C$205,0)),"")</x:f>
      </x:c>
      <x:c r="C64" s="262" t="str">
        <x:f>IF('Official Ranking v2'!B65="","",'Official Ranking v2'!B65)</x:f>
      </x:c>
      <x:c r="D64" s="262" t="str">
        <x:f>IF('Official Ranking v2'!B65="","",'Official Ranking v2'!C65)</x:f>
      </x:c>
      <x:c r="E64" s="267" t="str">
        <x:f>IF('Official Ranking v2'!B65="","",'Official Ranking v2'!S65)</x:f>
      </x:c>
      <x:c r="F64" s="262" t="str">
        <x:f>IF('Official Ranking v2'!B65="","",'Official Ranking v2'!T65)</x:f>
      </x:c>
      <x:c r="G64" s="262" t="str">
        <x:f>IF('Official Ranking v2'!B65="","",'Official Ranking v2'!W65)</x:f>
      </x:c>
      <x:c r="H64" s="262" t="str">
        <x:f>IF('Official Ranking v2'!B65="","",'Official Ranking v2'!X65)</x:f>
      </x:c>
      <x:c r="I64" s="262" t="str">
        <x:f>IF('Official Ranking v2'!B65="","",'Official Ranking v2'!V65)</x:f>
      </x:c>
      <x:c r="J64" s="262" t="str">
        <x:f>IF(C64="","",LOWER(SUBSTITUTE(SUBSTITUTE(C64," ","-"),".","")))</x:f>
      </x:c>
    </x:row>
    <x:row r="65">
      <x:c r="A65" s="262" t="str">
        <x:f>IF('Official Ranking v2'!B66="","",'Official Ranking v2'!A66)</x:f>
      </x:c>
      <x:c r="B65" s="262" t="str">
        <x:f>IFERROR(INDEX('Player Registry'!$A$2:$A$205,MATCH(C65,'Player Registry'!$C$2:$C$205,0)),"")</x:f>
      </x:c>
      <x:c r="C65" s="262" t="str">
        <x:f>IF('Official Ranking v2'!B66="","",'Official Ranking v2'!B66)</x:f>
      </x:c>
      <x:c r="D65" s="262" t="str">
        <x:f>IF('Official Ranking v2'!B66="","",'Official Ranking v2'!C66)</x:f>
      </x:c>
      <x:c r="E65" s="267" t="str">
        <x:f>IF('Official Ranking v2'!B66="","",'Official Ranking v2'!S66)</x:f>
      </x:c>
      <x:c r="F65" s="262" t="str">
        <x:f>IF('Official Ranking v2'!B66="","",'Official Ranking v2'!T66)</x:f>
      </x:c>
      <x:c r="G65" s="262" t="str">
        <x:f>IF('Official Ranking v2'!B66="","",'Official Ranking v2'!W66)</x:f>
      </x:c>
      <x:c r="H65" s="262" t="str">
        <x:f>IF('Official Ranking v2'!B66="","",'Official Ranking v2'!X66)</x:f>
      </x:c>
      <x:c r="I65" s="262" t="str">
        <x:f>IF('Official Ranking v2'!B66="","",'Official Ranking v2'!V66)</x:f>
      </x:c>
      <x:c r="J65" s="262" t="str">
        <x:f>IF(C65="","",LOWER(SUBSTITUTE(SUBSTITUTE(C65," ","-"),".","")))</x:f>
      </x:c>
    </x:row>
    <x:row r="66">
      <x:c r="A66" s="262" t="str">
        <x:f>IF('Official Ranking v2'!B67="","",'Official Ranking v2'!A67)</x:f>
      </x:c>
      <x:c r="B66" s="262" t="str">
        <x:f>IFERROR(INDEX('Player Registry'!$A$2:$A$205,MATCH(C66,'Player Registry'!$C$2:$C$205,0)),"")</x:f>
      </x:c>
      <x:c r="C66" s="262" t="str">
        <x:f>IF('Official Ranking v2'!B67="","",'Official Ranking v2'!B67)</x:f>
      </x:c>
      <x:c r="D66" s="262" t="str">
        <x:f>IF('Official Ranking v2'!B67="","",'Official Ranking v2'!C67)</x:f>
      </x:c>
      <x:c r="E66" s="267" t="str">
        <x:f>IF('Official Ranking v2'!B67="","",'Official Ranking v2'!S67)</x:f>
      </x:c>
      <x:c r="F66" s="262" t="str">
        <x:f>IF('Official Ranking v2'!B67="","",'Official Ranking v2'!T67)</x:f>
      </x:c>
      <x:c r="G66" s="262" t="str">
        <x:f>IF('Official Ranking v2'!B67="","",'Official Ranking v2'!W67)</x:f>
      </x:c>
      <x:c r="H66" s="262" t="str">
        <x:f>IF('Official Ranking v2'!B67="","",'Official Ranking v2'!X67)</x:f>
      </x:c>
      <x:c r="I66" s="262" t="str">
        <x:f>IF('Official Ranking v2'!B67="","",'Official Ranking v2'!V67)</x:f>
      </x:c>
      <x:c r="J66" s="262" t="str">
        <x:f>IF(C66="","",LOWER(SUBSTITUTE(SUBSTITUTE(C66," ","-"),".","")))</x:f>
      </x:c>
    </x:row>
    <x:row r="67">
      <x:c r="A67" s="262" t="str">
        <x:f>IF('Official Ranking v2'!B68="","",'Official Ranking v2'!A68)</x:f>
      </x:c>
      <x:c r="B67" s="262" t="str">
        <x:f>IFERROR(INDEX('Player Registry'!$A$2:$A$205,MATCH(C67,'Player Registry'!$C$2:$C$205,0)),"")</x:f>
      </x:c>
      <x:c r="C67" s="262" t="str">
        <x:f>IF('Official Ranking v2'!B68="","",'Official Ranking v2'!B68)</x:f>
      </x:c>
      <x:c r="D67" s="262" t="str">
        <x:f>IF('Official Ranking v2'!B68="","",'Official Ranking v2'!C68)</x:f>
      </x:c>
      <x:c r="E67" s="267" t="str">
        <x:f>IF('Official Ranking v2'!B68="","",'Official Ranking v2'!S68)</x:f>
      </x:c>
      <x:c r="F67" s="262" t="str">
        <x:f>IF('Official Ranking v2'!B68="","",'Official Ranking v2'!T68)</x:f>
      </x:c>
      <x:c r="G67" s="262" t="str">
        <x:f>IF('Official Ranking v2'!B68="","",'Official Ranking v2'!W68)</x:f>
      </x:c>
      <x:c r="H67" s="262" t="str">
        <x:f>IF('Official Ranking v2'!B68="","",'Official Ranking v2'!X68)</x:f>
      </x:c>
      <x:c r="I67" s="262" t="str">
        <x:f>IF('Official Ranking v2'!B68="","",'Official Ranking v2'!V68)</x:f>
      </x:c>
      <x:c r="J67" s="262" t="str">
        <x:f>IF(C67="","",LOWER(SUBSTITUTE(SUBSTITUTE(C67," ","-"),".","")))</x:f>
      </x:c>
    </x:row>
    <x:row r="68">
      <x:c r="A68" s="262" t="str">
        <x:f>IF('Official Ranking v2'!B69="","",'Official Ranking v2'!A69)</x:f>
      </x:c>
      <x:c r="B68" s="262" t="str">
        <x:f>IFERROR(INDEX('Player Registry'!$A$2:$A$205,MATCH(C68,'Player Registry'!$C$2:$C$205,0)),"")</x:f>
      </x:c>
      <x:c r="C68" s="262" t="str">
        <x:f>IF('Official Ranking v2'!B69="","",'Official Ranking v2'!B69)</x:f>
      </x:c>
      <x:c r="D68" s="262" t="str">
        <x:f>IF('Official Ranking v2'!B69="","",'Official Ranking v2'!C69)</x:f>
      </x:c>
      <x:c r="E68" s="267" t="str">
        <x:f>IF('Official Ranking v2'!B69="","",'Official Ranking v2'!S69)</x:f>
      </x:c>
      <x:c r="F68" s="262" t="str">
        <x:f>IF('Official Ranking v2'!B69="","",'Official Ranking v2'!T69)</x:f>
      </x:c>
      <x:c r="G68" s="262" t="str">
        <x:f>IF('Official Ranking v2'!B69="","",'Official Ranking v2'!W69)</x:f>
      </x:c>
      <x:c r="H68" s="262" t="str">
        <x:f>IF('Official Ranking v2'!B69="","",'Official Ranking v2'!X69)</x:f>
      </x:c>
      <x:c r="I68" s="262" t="str">
        <x:f>IF('Official Ranking v2'!B69="","",'Official Ranking v2'!V69)</x:f>
      </x:c>
      <x:c r="J68" s="262" t="str">
        <x:f>IF(C68="","",LOWER(SUBSTITUTE(SUBSTITUTE(C68," ","-"),".","")))</x:f>
      </x:c>
    </x:row>
    <x:row r="69">
      <x:c r="A69" s="262" t="str">
        <x:f>IF('Official Ranking v2'!B70="","",'Official Ranking v2'!A70)</x:f>
      </x:c>
      <x:c r="B69" s="262" t="str">
        <x:f>IFERROR(INDEX('Player Registry'!$A$2:$A$205,MATCH(C69,'Player Registry'!$C$2:$C$205,0)),"")</x:f>
      </x:c>
      <x:c r="C69" s="262" t="str">
        <x:f>IF('Official Ranking v2'!B70="","",'Official Ranking v2'!B70)</x:f>
      </x:c>
      <x:c r="D69" s="262" t="str">
        <x:f>IF('Official Ranking v2'!B70="","",'Official Ranking v2'!C70)</x:f>
      </x:c>
      <x:c r="E69" s="267" t="str">
        <x:f>IF('Official Ranking v2'!B70="","",'Official Ranking v2'!S70)</x:f>
      </x:c>
      <x:c r="F69" s="262" t="str">
        <x:f>IF('Official Ranking v2'!B70="","",'Official Ranking v2'!T70)</x:f>
      </x:c>
      <x:c r="G69" s="262" t="str">
        <x:f>IF('Official Ranking v2'!B70="","",'Official Ranking v2'!W70)</x:f>
      </x:c>
      <x:c r="H69" s="262" t="str">
        <x:f>IF('Official Ranking v2'!B70="","",'Official Ranking v2'!X70)</x:f>
      </x:c>
      <x:c r="I69" s="262" t="str">
        <x:f>IF('Official Ranking v2'!B70="","",'Official Ranking v2'!V70)</x:f>
      </x:c>
      <x:c r="J69" s="262" t="str">
        <x:f>IF(C69="","",LOWER(SUBSTITUTE(SUBSTITUTE(C69," ","-"),".","")))</x:f>
      </x:c>
    </x:row>
    <x:row r="70">
      <x:c r="A70" s="262" t="str">
        <x:f>IF('Official Ranking v2'!B71="","",'Official Ranking v2'!A71)</x:f>
      </x:c>
      <x:c r="B70" s="262" t="str">
        <x:f>IFERROR(INDEX('Player Registry'!$A$2:$A$205,MATCH(C70,'Player Registry'!$C$2:$C$205,0)),"")</x:f>
      </x:c>
      <x:c r="C70" s="262" t="str">
        <x:f>IF('Official Ranking v2'!B71="","",'Official Ranking v2'!B71)</x:f>
      </x:c>
      <x:c r="D70" s="262" t="str">
        <x:f>IF('Official Ranking v2'!B71="","",'Official Ranking v2'!C71)</x:f>
      </x:c>
      <x:c r="E70" s="267" t="str">
        <x:f>IF('Official Ranking v2'!B71="","",'Official Ranking v2'!S71)</x:f>
      </x:c>
      <x:c r="F70" s="262" t="str">
        <x:f>IF('Official Ranking v2'!B71="","",'Official Ranking v2'!T71)</x:f>
      </x:c>
      <x:c r="G70" s="262" t="str">
        <x:f>IF('Official Ranking v2'!B71="","",'Official Ranking v2'!W71)</x:f>
      </x:c>
      <x:c r="H70" s="262" t="str">
        <x:f>IF('Official Ranking v2'!B71="","",'Official Ranking v2'!X71)</x:f>
      </x:c>
      <x:c r="I70" s="262" t="str">
        <x:f>IF('Official Ranking v2'!B71="","",'Official Ranking v2'!V71)</x:f>
      </x:c>
      <x:c r="J70" s="262" t="str">
        <x:f>IF(C70="","",LOWER(SUBSTITUTE(SUBSTITUTE(C70," ","-"),".","")))</x:f>
      </x:c>
    </x:row>
    <x:row r="71">
      <x:c r="A71" s="262" t="str">
        <x:f>IF('Official Ranking v2'!B72="","",'Official Ranking v2'!A72)</x:f>
      </x:c>
      <x:c r="B71" s="262" t="str">
        <x:f>IFERROR(INDEX('Player Registry'!$A$2:$A$205,MATCH(C71,'Player Registry'!$C$2:$C$205,0)),"")</x:f>
      </x:c>
      <x:c r="C71" s="262" t="str">
        <x:f>IF('Official Ranking v2'!B72="","",'Official Ranking v2'!B72)</x:f>
      </x:c>
      <x:c r="D71" s="262" t="str">
        <x:f>IF('Official Ranking v2'!B72="","",'Official Ranking v2'!C72)</x:f>
      </x:c>
      <x:c r="E71" s="267" t="str">
        <x:f>IF('Official Ranking v2'!B72="","",'Official Ranking v2'!S72)</x:f>
      </x:c>
      <x:c r="F71" s="262" t="str">
        <x:f>IF('Official Ranking v2'!B72="","",'Official Ranking v2'!T72)</x:f>
      </x:c>
      <x:c r="G71" s="262" t="str">
        <x:f>IF('Official Ranking v2'!B72="","",'Official Ranking v2'!W72)</x:f>
      </x:c>
      <x:c r="H71" s="262" t="str">
        <x:f>IF('Official Ranking v2'!B72="","",'Official Ranking v2'!X72)</x:f>
      </x:c>
      <x:c r="I71" s="262" t="str">
        <x:f>IF('Official Ranking v2'!B72="","",'Official Ranking v2'!V72)</x:f>
      </x:c>
      <x:c r="J71" s="262" t="str">
        <x:f>IF(C71="","",LOWER(SUBSTITUTE(SUBSTITUTE(C71," ","-"),".","")))</x:f>
      </x:c>
    </x:row>
    <x:row r="72">
      <x:c r="A72" s="262" t="str">
        <x:f>IF('Official Ranking v2'!B73="","",'Official Ranking v2'!A73)</x:f>
      </x:c>
      <x:c r="B72" s="262" t="str">
        <x:f>IFERROR(INDEX('Player Registry'!$A$2:$A$205,MATCH(C72,'Player Registry'!$C$2:$C$205,0)),"")</x:f>
      </x:c>
      <x:c r="C72" s="262" t="str">
        <x:f>IF('Official Ranking v2'!B73="","",'Official Ranking v2'!B73)</x:f>
      </x:c>
      <x:c r="D72" s="262" t="str">
        <x:f>IF('Official Ranking v2'!B73="","",'Official Ranking v2'!C73)</x:f>
      </x:c>
      <x:c r="E72" s="267" t="str">
        <x:f>IF('Official Ranking v2'!B73="","",'Official Ranking v2'!S73)</x:f>
      </x:c>
      <x:c r="F72" s="262" t="str">
        <x:f>IF('Official Ranking v2'!B73="","",'Official Ranking v2'!T73)</x:f>
      </x:c>
      <x:c r="G72" s="262" t="str">
        <x:f>IF('Official Ranking v2'!B73="","",'Official Ranking v2'!W73)</x:f>
      </x:c>
      <x:c r="H72" s="262" t="str">
        <x:f>IF('Official Ranking v2'!B73="","",'Official Ranking v2'!X73)</x:f>
      </x:c>
      <x:c r="I72" s="262" t="str">
        <x:f>IF('Official Ranking v2'!B73="","",'Official Ranking v2'!V73)</x:f>
      </x:c>
      <x:c r="J72" s="262" t="str">
        <x:f>IF(C72="","",LOWER(SUBSTITUTE(SUBSTITUTE(C72," ","-"),".","")))</x:f>
      </x:c>
    </x:row>
    <x:row r="73">
      <x:c r="A73" s="262" t="str">
        <x:f>IF('Official Ranking v2'!B74="","",'Official Ranking v2'!A74)</x:f>
      </x:c>
      <x:c r="B73" s="262" t="str">
        <x:f>IFERROR(INDEX('Player Registry'!$A$2:$A$205,MATCH(C73,'Player Registry'!$C$2:$C$205,0)),"")</x:f>
      </x:c>
      <x:c r="C73" s="262" t="str">
        <x:f>IF('Official Ranking v2'!B74="","",'Official Ranking v2'!B74)</x:f>
      </x:c>
      <x:c r="D73" s="262" t="str">
        <x:f>IF('Official Ranking v2'!B74="","",'Official Ranking v2'!C74)</x:f>
      </x:c>
      <x:c r="E73" s="267" t="str">
        <x:f>IF('Official Ranking v2'!B74="","",'Official Ranking v2'!S74)</x:f>
      </x:c>
      <x:c r="F73" s="262" t="str">
        <x:f>IF('Official Ranking v2'!B74="","",'Official Ranking v2'!T74)</x:f>
      </x:c>
      <x:c r="G73" s="262" t="str">
        <x:f>IF('Official Ranking v2'!B74="","",'Official Ranking v2'!W74)</x:f>
      </x:c>
      <x:c r="H73" s="262" t="str">
        <x:f>IF('Official Ranking v2'!B74="","",'Official Ranking v2'!X74)</x:f>
      </x:c>
      <x:c r="I73" s="262" t="str">
        <x:f>IF('Official Ranking v2'!B74="","",'Official Ranking v2'!V74)</x:f>
      </x:c>
      <x:c r="J73" s="262" t="str">
        <x:f>IF(C73="","",LOWER(SUBSTITUTE(SUBSTITUTE(C73," ","-"),".","")))</x:f>
      </x:c>
    </x:row>
    <x:row r="74">
      <x:c r="A74" s="262" t="str">
        <x:f>IF('Official Ranking v2'!B75="","",'Official Ranking v2'!A75)</x:f>
      </x:c>
      <x:c r="B74" s="262" t="str">
        <x:f>IFERROR(INDEX('Player Registry'!$A$2:$A$205,MATCH(C74,'Player Registry'!$C$2:$C$205,0)),"")</x:f>
      </x:c>
      <x:c r="C74" s="262" t="str">
        <x:f>IF('Official Ranking v2'!B75="","",'Official Ranking v2'!B75)</x:f>
      </x:c>
      <x:c r="D74" s="262" t="str">
        <x:f>IF('Official Ranking v2'!B75="","",'Official Ranking v2'!C75)</x:f>
      </x:c>
      <x:c r="E74" s="267" t="str">
        <x:f>IF('Official Ranking v2'!B75="","",'Official Ranking v2'!S75)</x:f>
      </x:c>
      <x:c r="F74" s="262" t="str">
        <x:f>IF('Official Ranking v2'!B75="","",'Official Ranking v2'!T75)</x:f>
      </x:c>
      <x:c r="G74" s="262" t="str">
        <x:f>IF('Official Ranking v2'!B75="","",'Official Ranking v2'!W75)</x:f>
      </x:c>
      <x:c r="H74" s="262" t="str">
        <x:f>IF('Official Ranking v2'!B75="","",'Official Ranking v2'!X75)</x:f>
      </x:c>
      <x:c r="I74" s="262" t="str">
        <x:f>IF('Official Ranking v2'!B75="","",'Official Ranking v2'!V75)</x:f>
      </x:c>
      <x:c r="J74" s="262" t="str">
        <x:f>IF(C74="","",LOWER(SUBSTITUTE(SUBSTITUTE(C74," ","-"),".","")))</x:f>
      </x:c>
    </x:row>
    <x:row r="75">
      <x:c r="A75" s="262" t="str">
        <x:f>IF('Official Ranking v2'!B76="","",'Official Ranking v2'!A76)</x:f>
      </x:c>
      <x:c r="B75" s="262" t="str">
        <x:f>IFERROR(INDEX('Player Registry'!$A$2:$A$205,MATCH(C75,'Player Registry'!$C$2:$C$205,0)),"")</x:f>
      </x:c>
      <x:c r="C75" s="262" t="str">
        <x:f>IF('Official Ranking v2'!B76="","",'Official Ranking v2'!B76)</x:f>
      </x:c>
      <x:c r="D75" s="262" t="str">
        <x:f>IF('Official Ranking v2'!B76="","",'Official Ranking v2'!C76)</x:f>
      </x:c>
      <x:c r="E75" s="267" t="str">
        <x:f>IF('Official Ranking v2'!B76="","",'Official Ranking v2'!S76)</x:f>
      </x:c>
      <x:c r="F75" s="262" t="str">
        <x:f>IF('Official Ranking v2'!B76="","",'Official Ranking v2'!T76)</x:f>
      </x:c>
      <x:c r="G75" s="262" t="str">
        <x:f>IF('Official Ranking v2'!B76="","",'Official Ranking v2'!W76)</x:f>
      </x:c>
      <x:c r="H75" s="262" t="str">
        <x:f>IF('Official Ranking v2'!B76="","",'Official Ranking v2'!X76)</x:f>
      </x:c>
      <x:c r="I75" s="262" t="str">
        <x:f>IF('Official Ranking v2'!B76="","",'Official Ranking v2'!V76)</x:f>
      </x:c>
      <x:c r="J75" s="262" t="str">
        <x:f>IF(C75="","",LOWER(SUBSTITUTE(SUBSTITUTE(C75," ","-"),".","")))</x:f>
      </x:c>
    </x:row>
    <x:row r="76">
      <x:c r="A76" s="262" t="str">
        <x:f>IF('Official Ranking v2'!B77="","",'Official Ranking v2'!A77)</x:f>
      </x:c>
      <x:c r="B76" s="262" t="str">
        <x:f>IFERROR(INDEX('Player Registry'!$A$2:$A$205,MATCH(C76,'Player Registry'!$C$2:$C$205,0)),"")</x:f>
      </x:c>
      <x:c r="C76" s="262" t="str">
        <x:f>IF('Official Ranking v2'!B77="","",'Official Ranking v2'!B77)</x:f>
      </x:c>
      <x:c r="D76" s="262" t="str">
        <x:f>IF('Official Ranking v2'!B77="","",'Official Ranking v2'!C77)</x:f>
      </x:c>
      <x:c r="E76" s="267" t="str">
        <x:f>IF('Official Ranking v2'!B77="","",'Official Ranking v2'!S77)</x:f>
      </x:c>
      <x:c r="F76" s="262" t="str">
        <x:f>IF('Official Ranking v2'!B77="","",'Official Ranking v2'!T77)</x:f>
      </x:c>
      <x:c r="G76" s="262" t="str">
        <x:f>IF('Official Ranking v2'!B77="","",'Official Ranking v2'!W77)</x:f>
      </x:c>
      <x:c r="H76" s="262" t="str">
        <x:f>IF('Official Ranking v2'!B77="","",'Official Ranking v2'!X77)</x:f>
      </x:c>
      <x:c r="I76" s="262" t="str">
        <x:f>IF('Official Ranking v2'!B77="","",'Official Ranking v2'!V77)</x:f>
      </x:c>
      <x:c r="J76" s="262" t="str">
        <x:f>IF(C76="","",LOWER(SUBSTITUTE(SUBSTITUTE(C76," ","-"),".","")))</x:f>
      </x:c>
    </x:row>
    <x:row r="77">
      <x:c r="A77" s="262" t="str">
        <x:f>IF('Official Ranking v2'!B78="","",'Official Ranking v2'!A78)</x:f>
      </x:c>
      <x:c r="B77" s="262" t="str">
        <x:f>IFERROR(INDEX('Player Registry'!$A$2:$A$205,MATCH(C77,'Player Registry'!$C$2:$C$205,0)),"")</x:f>
      </x:c>
      <x:c r="C77" s="262" t="str">
        <x:f>IF('Official Ranking v2'!B78="","",'Official Ranking v2'!B78)</x:f>
      </x:c>
      <x:c r="D77" s="262" t="str">
        <x:f>IF('Official Ranking v2'!B78="","",'Official Ranking v2'!C78)</x:f>
      </x:c>
      <x:c r="E77" s="267" t="str">
        <x:f>IF('Official Ranking v2'!B78="","",'Official Ranking v2'!S78)</x:f>
      </x:c>
      <x:c r="F77" s="262" t="str">
        <x:f>IF('Official Ranking v2'!B78="","",'Official Ranking v2'!T78)</x:f>
      </x:c>
      <x:c r="G77" s="262" t="str">
        <x:f>IF('Official Ranking v2'!B78="","",'Official Ranking v2'!W78)</x:f>
      </x:c>
      <x:c r="H77" s="262" t="str">
        <x:f>IF('Official Ranking v2'!B78="","",'Official Ranking v2'!X78)</x:f>
      </x:c>
      <x:c r="I77" s="262" t="str">
        <x:f>IF('Official Ranking v2'!B78="","",'Official Ranking v2'!V78)</x:f>
      </x:c>
      <x:c r="J77" s="262" t="str">
        <x:f>IF(C77="","",LOWER(SUBSTITUTE(SUBSTITUTE(C77," ","-"),".","")))</x:f>
      </x:c>
    </x:row>
    <x:row r="78">
      <x:c r="A78" s="262" t="str">
        <x:f>IF('Official Ranking v2'!B79="","",'Official Ranking v2'!A79)</x:f>
      </x:c>
      <x:c r="B78" s="262" t="str">
        <x:f>IFERROR(INDEX('Player Registry'!$A$2:$A$205,MATCH(C78,'Player Registry'!$C$2:$C$205,0)),"")</x:f>
      </x:c>
      <x:c r="C78" s="262" t="str">
        <x:f>IF('Official Ranking v2'!B79="","",'Official Ranking v2'!B79)</x:f>
      </x:c>
      <x:c r="D78" s="262" t="str">
        <x:f>IF('Official Ranking v2'!B79="","",'Official Ranking v2'!C79)</x:f>
      </x:c>
      <x:c r="E78" s="267" t="str">
        <x:f>IF('Official Ranking v2'!B79="","",'Official Ranking v2'!S79)</x:f>
      </x:c>
      <x:c r="F78" s="262" t="str">
        <x:f>IF('Official Ranking v2'!B79="","",'Official Ranking v2'!T79)</x:f>
      </x:c>
      <x:c r="G78" s="262" t="str">
        <x:f>IF('Official Ranking v2'!B79="","",'Official Ranking v2'!W79)</x:f>
      </x:c>
      <x:c r="H78" s="262" t="str">
        <x:f>IF('Official Ranking v2'!B79="","",'Official Ranking v2'!X79)</x:f>
      </x:c>
      <x:c r="I78" s="262" t="str">
        <x:f>IF('Official Ranking v2'!B79="","",'Official Ranking v2'!V79)</x:f>
      </x:c>
      <x:c r="J78" s="262" t="str">
        <x:f>IF(C78="","",LOWER(SUBSTITUTE(SUBSTITUTE(C78," ","-"),".","")))</x:f>
      </x:c>
    </x:row>
    <x:row r="79">
      <x:c r="A79" s="262" t="str">
        <x:f>IF('Official Ranking v2'!B80="","",'Official Ranking v2'!A80)</x:f>
      </x:c>
      <x:c r="B79" s="262" t="str">
        <x:f>IFERROR(INDEX('Player Registry'!$A$2:$A$205,MATCH(C79,'Player Registry'!$C$2:$C$205,0)),"")</x:f>
      </x:c>
      <x:c r="C79" s="262" t="str">
        <x:f>IF('Official Ranking v2'!B80="","",'Official Ranking v2'!B80)</x:f>
      </x:c>
      <x:c r="D79" s="262" t="str">
        <x:f>IF('Official Ranking v2'!B80="","",'Official Ranking v2'!C80)</x:f>
      </x:c>
      <x:c r="E79" s="267" t="str">
        <x:f>IF('Official Ranking v2'!B80="","",'Official Ranking v2'!S80)</x:f>
      </x:c>
      <x:c r="F79" s="262" t="str">
        <x:f>IF('Official Ranking v2'!B80="","",'Official Ranking v2'!T80)</x:f>
      </x:c>
      <x:c r="G79" s="262" t="str">
        <x:f>IF('Official Ranking v2'!B80="","",'Official Ranking v2'!W80)</x:f>
      </x:c>
      <x:c r="H79" s="262" t="str">
        <x:f>IF('Official Ranking v2'!B80="","",'Official Ranking v2'!X80)</x:f>
      </x:c>
      <x:c r="I79" s="262" t="str">
        <x:f>IF('Official Ranking v2'!B80="","",'Official Ranking v2'!V80)</x:f>
      </x:c>
      <x:c r="J79" s="262" t="str">
        <x:f>IF(C79="","",LOWER(SUBSTITUTE(SUBSTITUTE(C79," ","-"),".","")))</x:f>
      </x:c>
    </x:row>
    <x:row r="80">
      <x:c r="A80" s="262" t="str">
        <x:f>IF('Official Ranking v2'!B81="","",'Official Ranking v2'!A81)</x:f>
      </x:c>
      <x:c r="B80" s="262" t="str">
        <x:f>IFERROR(INDEX('Player Registry'!$A$2:$A$205,MATCH(C80,'Player Registry'!$C$2:$C$205,0)),"")</x:f>
      </x:c>
      <x:c r="C80" s="262" t="str">
        <x:f>IF('Official Ranking v2'!B81="","",'Official Ranking v2'!B81)</x:f>
      </x:c>
      <x:c r="D80" s="262" t="str">
        <x:f>IF('Official Ranking v2'!B81="","",'Official Ranking v2'!C81)</x:f>
      </x:c>
      <x:c r="E80" s="267" t="str">
        <x:f>IF('Official Ranking v2'!B81="","",'Official Ranking v2'!S81)</x:f>
      </x:c>
      <x:c r="F80" s="262" t="str">
        <x:f>IF('Official Ranking v2'!B81="","",'Official Ranking v2'!T81)</x:f>
      </x:c>
      <x:c r="G80" s="262" t="str">
        <x:f>IF('Official Ranking v2'!B81="","",'Official Ranking v2'!W81)</x:f>
      </x:c>
      <x:c r="H80" s="262" t="str">
        <x:f>IF('Official Ranking v2'!B81="","",'Official Ranking v2'!X81)</x:f>
      </x:c>
      <x:c r="I80" s="262" t="str">
        <x:f>IF('Official Ranking v2'!B81="","",'Official Ranking v2'!V81)</x:f>
      </x:c>
      <x:c r="J80" s="262" t="str">
        <x:f>IF(C80="","",LOWER(SUBSTITUTE(SUBSTITUTE(C80," ","-"),".","")))</x:f>
      </x:c>
    </x:row>
    <x:row r="81">
      <x:c r="A81" s="262" t="str">
        <x:f>IF('Official Ranking v2'!B82="","",'Official Ranking v2'!A82)</x:f>
      </x:c>
      <x:c r="B81" s="262" t="str">
        <x:f>IFERROR(INDEX('Player Registry'!$A$2:$A$205,MATCH(C81,'Player Registry'!$C$2:$C$205,0)),"")</x:f>
      </x:c>
      <x:c r="C81" s="262" t="str">
        <x:f>IF('Official Ranking v2'!B82="","",'Official Ranking v2'!B82)</x:f>
      </x:c>
      <x:c r="D81" s="262" t="str">
        <x:f>IF('Official Ranking v2'!B82="","",'Official Ranking v2'!C82)</x:f>
      </x:c>
      <x:c r="E81" s="267" t="str">
        <x:f>IF('Official Ranking v2'!B82="","",'Official Ranking v2'!S82)</x:f>
      </x:c>
      <x:c r="F81" s="262" t="str">
        <x:f>IF('Official Ranking v2'!B82="","",'Official Ranking v2'!T82)</x:f>
      </x:c>
      <x:c r="G81" s="262" t="str">
        <x:f>IF('Official Ranking v2'!B82="","",'Official Ranking v2'!W82)</x:f>
      </x:c>
      <x:c r="H81" s="262" t="str">
        <x:f>IF('Official Ranking v2'!B82="","",'Official Ranking v2'!X82)</x:f>
      </x:c>
      <x:c r="I81" s="262" t="str">
        <x:f>IF('Official Ranking v2'!B82="","",'Official Ranking v2'!V82)</x:f>
      </x:c>
      <x:c r="J81" s="262" t="str">
        <x:f>IF(C81="","",LOWER(SUBSTITUTE(SUBSTITUTE(C81," ","-"),".","")))</x:f>
      </x:c>
    </x:row>
    <x:row r="82">
      <x:c r="A82" s="262" t="str">
        <x:f>IF('Official Ranking v2'!B83="","",'Official Ranking v2'!A83)</x:f>
      </x:c>
      <x:c r="B82" s="262" t="str">
        <x:f>IFERROR(INDEX('Player Registry'!$A$2:$A$205,MATCH(C82,'Player Registry'!$C$2:$C$205,0)),"")</x:f>
      </x:c>
      <x:c r="C82" s="262" t="str">
        <x:f>IF('Official Ranking v2'!B83="","",'Official Ranking v2'!B83)</x:f>
      </x:c>
      <x:c r="D82" s="262" t="str">
        <x:f>IF('Official Ranking v2'!B83="","",'Official Ranking v2'!C83)</x:f>
      </x:c>
      <x:c r="E82" s="267" t="str">
        <x:f>IF('Official Ranking v2'!B83="","",'Official Ranking v2'!S83)</x:f>
      </x:c>
      <x:c r="F82" s="262" t="str">
        <x:f>IF('Official Ranking v2'!B83="","",'Official Ranking v2'!T83)</x:f>
      </x:c>
      <x:c r="G82" s="262" t="str">
        <x:f>IF('Official Ranking v2'!B83="","",'Official Ranking v2'!W83)</x:f>
      </x:c>
      <x:c r="H82" s="262" t="str">
        <x:f>IF('Official Ranking v2'!B83="","",'Official Ranking v2'!X83)</x:f>
      </x:c>
      <x:c r="I82" s="262" t="str">
        <x:f>IF('Official Ranking v2'!B83="","",'Official Ranking v2'!V83)</x:f>
      </x:c>
      <x:c r="J82" s="262" t="str">
        <x:f>IF(C82="","",LOWER(SUBSTITUTE(SUBSTITUTE(C82," ","-"),".","")))</x:f>
      </x:c>
    </x:row>
    <x:row r="83">
      <x:c r="A83" s="262" t="str">
        <x:f>IF('Official Ranking v2'!B84="","",'Official Ranking v2'!A84)</x:f>
      </x:c>
      <x:c r="B83" s="262" t="str">
        <x:f>IFERROR(INDEX('Player Registry'!$A$2:$A$205,MATCH(C83,'Player Registry'!$C$2:$C$205,0)),"")</x:f>
      </x:c>
      <x:c r="C83" s="262" t="str">
        <x:f>IF('Official Ranking v2'!B84="","",'Official Ranking v2'!B84)</x:f>
      </x:c>
      <x:c r="D83" s="262" t="str">
        <x:f>IF('Official Ranking v2'!B84="","",'Official Ranking v2'!C84)</x:f>
      </x:c>
      <x:c r="E83" s="267" t="str">
        <x:f>IF('Official Ranking v2'!B84="","",'Official Ranking v2'!S84)</x:f>
      </x:c>
      <x:c r="F83" s="262" t="str">
        <x:f>IF('Official Ranking v2'!B84="","",'Official Ranking v2'!T84)</x:f>
      </x:c>
      <x:c r="G83" s="262" t="str">
        <x:f>IF('Official Ranking v2'!B84="","",'Official Ranking v2'!W84)</x:f>
      </x:c>
      <x:c r="H83" s="262" t="str">
        <x:f>IF('Official Ranking v2'!B84="","",'Official Ranking v2'!X84)</x:f>
      </x:c>
      <x:c r="I83" s="262" t="str">
        <x:f>IF('Official Ranking v2'!B84="","",'Official Ranking v2'!V84)</x:f>
      </x:c>
      <x:c r="J83" s="262" t="str">
        <x:f>IF(C83="","",LOWER(SUBSTITUTE(SUBSTITUTE(C83," ","-"),".","")))</x:f>
      </x:c>
    </x:row>
    <x:row r="84">
      <x:c r="A84" s="262" t="str">
        <x:f>IF('Official Ranking v2'!B85="","",'Official Ranking v2'!A85)</x:f>
      </x:c>
      <x:c r="B84" s="262" t="str">
        <x:f>IFERROR(INDEX('Player Registry'!$A$2:$A$205,MATCH(C84,'Player Registry'!$C$2:$C$205,0)),"")</x:f>
      </x:c>
      <x:c r="C84" s="262" t="str">
        <x:f>IF('Official Ranking v2'!B85="","",'Official Ranking v2'!B85)</x:f>
      </x:c>
      <x:c r="D84" s="262" t="str">
        <x:f>IF('Official Ranking v2'!B85="","",'Official Ranking v2'!C85)</x:f>
      </x:c>
      <x:c r="E84" s="267" t="str">
        <x:f>IF('Official Ranking v2'!B85="","",'Official Ranking v2'!S85)</x:f>
      </x:c>
      <x:c r="F84" s="262" t="str">
        <x:f>IF('Official Ranking v2'!B85="","",'Official Ranking v2'!T85)</x:f>
      </x:c>
      <x:c r="G84" s="262" t="str">
        <x:f>IF('Official Ranking v2'!B85="","",'Official Ranking v2'!W85)</x:f>
      </x:c>
      <x:c r="H84" s="262" t="str">
        <x:f>IF('Official Ranking v2'!B85="","",'Official Ranking v2'!X85)</x:f>
      </x:c>
      <x:c r="I84" s="262" t="str">
        <x:f>IF('Official Ranking v2'!B85="","",'Official Ranking v2'!V85)</x:f>
      </x:c>
      <x:c r="J84" s="262" t="str">
        <x:f>IF(C84="","",LOWER(SUBSTITUTE(SUBSTITUTE(C84," ","-"),".","")))</x:f>
      </x:c>
    </x:row>
    <x:row r="85">
      <x:c r="A85" s="262" t="str">
        <x:f>IF('Official Ranking v2'!B86="","",'Official Ranking v2'!A86)</x:f>
      </x:c>
      <x:c r="B85" s="262" t="str">
        <x:f>IFERROR(INDEX('Player Registry'!$A$2:$A$205,MATCH(C85,'Player Registry'!$C$2:$C$205,0)),"")</x:f>
      </x:c>
      <x:c r="C85" s="262" t="str">
        <x:f>IF('Official Ranking v2'!B86="","",'Official Ranking v2'!B86)</x:f>
      </x:c>
      <x:c r="D85" s="262" t="str">
        <x:f>IF('Official Ranking v2'!B86="","",'Official Ranking v2'!C86)</x:f>
      </x:c>
      <x:c r="E85" s="267" t="str">
        <x:f>IF('Official Ranking v2'!B86="","",'Official Ranking v2'!S86)</x:f>
      </x:c>
      <x:c r="F85" s="262" t="str">
        <x:f>IF('Official Ranking v2'!B86="","",'Official Ranking v2'!T86)</x:f>
      </x:c>
      <x:c r="G85" s="262" t="str">
        <x:f>IF('Official Ranking v2'!B86="","",'Official Ranking v2'!W86)</x:f>
      </x:c>
      <x:c r="H85" s="262" t="str">
        <x:f>IF('Official Ranking v2'!B86="","",'Official Ranking v2'!X86)</x:f>
      </x:c>
      <x:c r="I85" s="262" t="str">
        <x:f>IF('Official Ranking v2'!B86="","",'Official Ranking v2'!V86)</x:f>
      </x:c>
      <x:c r="J85" s="262" t="str">
        <x:f>IF(C85="","",LOWER(SUBSTITUTE(SUBSTITUTE(C85," ","-"),".","")))</x:f>
      </x:c>
    </x:row>
    <x:row r="86">
      <x:c r="A86" s="262" t="str">
        <x:f>IF('Official Ranking v2'!B87="","",'Official Ranking v2'!A87)</x:f>
      </x:c>
      <x:c r="B86" s="262" t="str">
        <x:f>IFERROR(INDEX('Player Registry'!$A$2:$A$205,MATCH(C86,'Player Registry'!$C$2:$C$205,0)),"")</x:f>
      </x:c>
      <x:c r="C86" s="262" t="str">
        <x:f>IF('Official Ranking v2'!B87="","",'Official Ranking v2'!B87)</x:f>
      </x:c>
      <x:c r="D86" s="262" t="str">
        <x:f>IF('Official Ranking v2'!B87="","",'Official Ranking v2'!C87)</x:f>
      </x:c>
      <x:c r="E86" s="267" t="str">
        <x:f>IF('Official Ranking v2'!B87="","",'Official Ranking v2'!S87)</x:f>
      </x:c>
      <x:c r="F86" s="262" t="str">
        <x:f>IF('Official Ranking v2'!B87="","",'Official Ranking v2'!T87)</x:f>
      </x:c>
      <x:c r="G86" s="262" t="str">
        <x:f>IF('Official Ranking v2'!B87="","",'Official Ranking v2'!W87)</x:f>
      </x:c>
      <x:c r="H86" s="262" t="str">
        <x:f>IF('Official Ranking v2'!B87="","",'Official Ranking v2'!X87)</x:f>
      </x:c>
      <x:c r="I86" s="262" t="str">
        <x:f>IF('Official Ranking v2'!B87="","",'Official Ranking v2'!V87)</x:f>
      </x:c>
      <x:c r="J86" s="262" t="str">
        <x:f>IF(C86="","",LOWER(SUBSTITUTE(SUBSTITUTE(C86," ","-"),".","")))</x:f>
      </x:c>
    </x:row>
    <x:row r="87">
      <x:c r="A87" s="262" t="str">
        <x:f>IF('Official Ranking v2'!B88="","",'Official Ranking v2'!A88)</x:f>
      </x:c>
      <x:c r="B87" s="262" t="str">
        <x:f>IFERROR(INDEX('Player Registry'!$A$2:$A$205,MATCH(C87,'Player Registry'!$C$2:$C$205,0)),"")</x:f>
      </x:c>
      <x:c r="C87" s="262" t="str">
        <x:f>IF('Official Ranking v2'!B88="","",'Official Ranking v2'!B88)</x:f>
      </x:c>
      <x:c r="D87" s="262" t="str">
        <x:f>IF('Official Ranking v2'!B88="","",'Official Ranking v2'!C88)</x:f>
      </x:c>
      <x:c r="E87" s="267" t="str">
        <x:f>IF('Official Ranking v2'!B88="","",'Official Ranking v2'!S88)</x:f>
      </x:c>
      <x:c r="F87" s="262" t="str">
        <x:f>IF('Official Ranking v2'!B88="","",'Official Ranking v2'!T88)</x:f>
      </x:c>
      <x:c r="G87" s="262" t="str">
        <x:f>IF('Official Ranking v2'!B88="","",'Official Ranking v2'!W88)</x:f>
      </x:c>
      <x:c r="H87" s="262" t="str">
        <x:f>IF('Official Ranking v2'!B88="","",'Official Ranking v2'!X88)</x:f>
      </x:c>
      <x:c r="I87" s="262" t="str">
        <x:f>IF('Official Ranking v2'!B88="","",'Official Ranking v2'!V88)</x:f>
      </x:c>
      <x:c r="J87" s="262" t="str">
        <x:f>IF(C87="","",LOWER(SUBSTITUTE(SUBSTITUTE(C87," ","-"),".","")))</x:f>
      </x:c>
    </x:row>
    <x:row r="88">
      <x:c r="A88" s="262" t="str">
        <x:f>IF('Official Ranking v2'!B89="","",'Official Ranking v2'!A89)</x:f>
      </x:c>
      <x:c r="B88" s="262" t="str">
        <x:f>IFERROR(INDEX('Player Registry'!$A$2:$A$205,MATCH(C88,'Player Registry'!$C$2:$C$205,0)),"")</x:f>
      </x:c>
      <x:c r="C88" s="262" t="str">
        <x:f>IF('Official Ranking v2'!B89="","",'Official Ranking v2'!B89)</x:f>
      </x:c>
      <x:c r="D88" s="262" t="str">
        <x:f>IF('Official Ranking v2'!B89="","",'Official Ranking v2'!C89)</x:f>
      </x:c>
      <x:c r="E88" s="267" t="str">
        <x:f>IF('Official Ranking v2'!B89="","",'Official Ranking v2'!S89)</x:f>
      </x:c>
      <x:c r="F88" s="262" t="str">
        <x:f>IF('Official Ranking v2'!B89="","",'Official Ranking v2'!T89)</x:f>
      </x:c>
      <x:c r="G88" s="262" t="str">
        <x:f>IF('Official Ranking v2'!B89="","",'Official Ranking v2'!W89)</x:f>
      </x:c>
      <x:c r="H88" s="262" t="str">
        <x:f>IF('Official Ranking v2'!B89="","",'Official Ranking v2'!X89)</x:f>
      </x:c>
      <x:c r="I88" s="262" t="str">
        <x:f>IF('Official Ranking v2'!B89="","",'Official Ranking v2'!V89)</x:f>
      </x:c>
      <x:c r="J88" s="262" t="str">
        <x:f>IF(C88="","",LOWER(SUBSTITUTE(SUBSTITUTE(C88," ","-"),".","")))</x:f>
      </x:c>
    </x:row>
    <x:row r="89">
      <x:c r="A89" s="262" t="str">
        <x:f>IF('Official Ranking v2'!B90="","",'Official Ranking v2'!A90)</x:f>
      </x:c>
      <x:c r="B89" s="262" t="str">
        <x:f>IFERROR(INDEX('Player Registry'!$A$2:$A$205,MATCH(C89,'Player Registry'!$C$2:$C$205,0)),"")</x:f>
      </x:c>
      <x:c r="C89" s="262" t="str">
        <x:f>IF('Official Ranking v2'!B90="","",'Official Ranking v2'!B90)</x:f>
      </x:c>
      <x:c r="D89" s="262" t="str">
        <x:f>IF('Official Ranking v2'!B90="","",'Official Ranking v2'!C90)</x:f>
      </x:c>
      <x:c r="E89" s="267" t="str">
        <x:f>IF('Official Ranking v2'!B90="","",'Official Ranking v2'!S90)</x:f>
      </x:c>
      <x:c r="F89" s="262" t="str">
        <x:f>IF('Official Ranking v2'!B90="","",'Official Ranking v2'!T90)</x:f>
      </x:c>
      <x:c r="G89" s="262" t="str">
        <x:f>IF('Official Ranking v2'!B90="","",'Official Ranking v2'!W90)</x:f>
      </x:c>
      <x:c r="H89" s="262" t="str">
        <x:f>IF('Official Ranking v2'!B90="","",'Official Ranking v2'!X90)</x:f>
      </x:c>
      <x:c r="I89" s="262" t="str">
        <x:f>IF('Official Ranking v2'!B90="","",'Official Ranking v2'!V90)</x:f>
      </x:c>
      <x:c r="J89" s="262" t="str">
        <x:f>IF(C89="","",LOWER(SUBSTITUTE(SUBSTITUTE(C89," ","-"),".","")))</x:f>
      </x:c>
    </x:row>
    <x:row r="90">
      <x:c r="A90" s="262" t="str">
        <x:f>IF('Official Ranking v2'!B91="","",'Official Ranking v2'!A91)</x:f>
      </x:c>
      <x:c r="B90" s="262" t="str">
        <x:f>IFERROR(INDEX('Player Registry'!$A$2:$A$205,MATCH(C90,'Player Registry'!$C$2:$C$205,0)),"")</x:f>
      </x:c>
      <x:c r="C90" s="262" t="str">
        <x:f>IF('Official Ranking v2'!B91="","",'Official Ranking v2'!B91)</x:f>
      </x:c>
      <x:c r="D90" s="262" t="str">
        <x:f>IF('Official Ranking v2'!B91="","",'Official Ranking v2'!C91)</x:f>
      </x:c>
      <x:c r="E90" s="267" t="str">
        <x:f>IF('Official Ranking v2'!B91="","",'Official Ranking v2'!S91)</x:f>
      </x:c>
      <x:c r="F90" s="262" t="str">
        <x:f>IF('Official Ranking v2'!B91="","",'Official Ranking v2'!T91)</x:f>
      </x:c>
      <x:c r="G90" s="262" t="str">
        <x:f>IF('Official Ranking v2'!B91="","",'Official Ranking v2'!W91)</x:f>
      </x:c>
      <x:c r="H90" s="262" t="str">
        <x:f>IF('Official Ranking v2'!B91="","",'Official Ranking v2'!X91)</x:f>
      </x:c>
      <x:c r="I90" s="262" t="str">
        <x:f>IF('Official Ranking v2'!B91="","",'Official Ranking v2'!V91)</x:f>
      </x:c>
      <x:c r="J90" s="262" t="str">
        <x:f>IF(C90="","",LOWER(SUBSTITUTE(SUBSTITUTE(C90," ","-"),".","")))</x:f>
      </x:c>
    </x:row>
    <x:row r="91">
      <x:c r="A91" s="262" t="str">
        <x:f>IF('Official Ranking v2'!B92="","",'Official Ranking v2'!A92)</x:f>
      </x:c>
      <x:c r="B91" s="262" t="str">
        <x:f>IFERROR(INDEX('Player Registry'!$A$2:$A$205,MATCH(C91,'Player Registry'!$C$2:$C$205,0)),"")</x:f>
      </x:c>
      <x:c r="C91" s="262" t="str">
        <x:f>IF('Official Ranking v2'!B92="","",'Official Ranking v2'!B92)</x:f>
      </x:c>
      <x:c r="D91" s="262" t="str">
        <x:f>IF('Official Ranking v2'!B92="","",'Official Ranking v2'!C92)</x:f>
      </x:c>
      <x:c r="E91" s="267" t="str">
        <x:f>IF('Official Ranking v2'!B92="","",'Official Ranking v2'!S92)</x:f>
      </x:c>
      <x:c r="F91" s="262" t="str">
        <x:f>IF('Official Ranking v2'!B92="","",'Official Ranking v2'!T92)</x:f>
      </x:c>
      <x:c r="G91" s="262" t="str">
        <x:f>IF('Official Ranking v2'!B92="","",'Official Ranking v2'!W92)</x:f>
      </x:c>
      <x:c r="H91" s="262" t="str">
        <x:f>IF('Official Ranking v2'!B92="","",'Official Ranking v2'!X92)</x:f>
      </x:c>
      <x:c r="I91" s="262" t="str">
        <x:f>IF('Official Ranking v2'!B92="","",'Official Ranking v2'!V92)</x:f>
      </x:c>
      <x:c r="J91" s="262" t="str">
        <x:f>IF(C91="","",LOWER(SUBSTITUTE(SUBSTITUTE(C91," ","-"),".","")))</x:f>
      </x:c>
    </x:row>
    <x:row r="92">
      <x:c r="A92" s="262" t="str">
        <x:f>IF('Official Ranking v2'!B93="","",'Official Ranking v2'!A93)</x:f>
      </x:c>
      <x:c r="B92" s="262" t="str">
        <x:f>IFERROR(INDEX('Player Registry'!$A$2:$A$205,MATCH(C92,'Player Registry'!$C$2:$C$205,0)),"")</x:f>
      </x:c>
      <x:c r="C92" s="262" t="str">
        <x:f>IF('Official Ranking v2'!B93="","",'Official Ranking v2'!B93)</x:f>
      </x:c>
      <x:c r="D92" s="262" t="str">
        <x:f>IF('Official Ranking v2'!B93="","",'Official Ranking v2'!C93)</x:f>
      </x:c>
      <x:c r="E92" s="267" t="str">
        <x:f>IF('Official Ranking v2'!B93="","",'Official Ranking v2'!S93)</x:f>
      </x:c>
      <x:c r="F92" s="262" t="str">
        <x:f>IF('Official Ranking v2'!B93="","",'Official Ranking v2'!T93)</x:f>
      </x:c>
      <x:c r="G92" s="262" t="str">
        <x:f>IF('Official Ranking v2'!B93="","",'Official Ranking v2'!W93)</x:f>
      </x:c>
      <x:c r="H92" s="262" t="str">
        <x:f>IF('Official Ranking v2'!B93="","",'Official Ranking v2'!X93)</x:f>
      </x:c>
      <x:c r="I92" s="262" t="str">
        <x:f>IF('Official Ranking v2'!B93="","",'Official Ranking v2'!V93)</x:f>
      </x:c>
      <x:c r="J92" s="262" t="str">
        <x:f>IF(C92="","",LOWER(SUBSTITUTE(SUBSTITUTE(C92," ","-"),".","")))</x:f>
      </x:c>
    </x:row>
    <x:row r="93">
      <x:c r="A93" s="262" t="str">
        <x:f>IF('Official Ranking v2'!B94="","",'Official Ranking v2'!A94)</x:f>
      </x:c>
      <x:c r="B93" s="262" t="str">
        <x:f>IFERROR(INDEX('Player Registry'!$A$2:$A$205,MATCH(C93,'Player Registry'!$C$2:$C$205,0)),"")</x:f>
      </x:c>
      <x:c r="C93" s="262" t="str">
        <x:f>IF('Official Ranking v2'!B94="","",'Official Ranking v2'!B94)</x:f>
      </x:c>
      <x:c r="D93" s="262" t="str">
        <x:f>IF('Official Ranking v2'!B94="","",'Official Ranking v2'!C94)</x:f>
      </x:c>
      <x:c r="E93" s="267" t="str">
        <x:f>IF('Official Ranking v2'!B94="","",'Official Ranking v2'!S94)</x:f>
      </x:c>
      <x:c r="F93" s="262" t="str">
        <x:f>IF('Official Ranking v2'!B94="","",'Official Ranking v2'!T94)</x:f>
      </x:c>
      <x:c r="G93" s="262" t="str">
        <x:f>IF('Official Ranking v2'!B94="","",'Official Ranking v2'!W94)</x:f>
      </x:c>
      <x:c r="H93" s="262" t="str">
        <x:f>IF('Official Ranking v2'!B94="","",'Official Ranking v2'!X94)</x:f>
      </x:c>
      <x:c r="I93" s="262" t="str">
        <x:f>IF('Official Ranking v2'!B94="","",'Official Ranking v2'!V94)</x:f>
      </x:c>
      <x:c r="J93" s="262" t="str">
        <x:f>IF(C93="","",LOWER(SUBSTITUTE(SUBSTITUTE(C93," ","-"),".","")))</x:f>
      </x:c>
    </x:row>
    <x:row r="94">
      <x:c r="A94" s="262" t="str">
        <x:f>IF('Official Ranking v2'!B95="","",'Official Ranking v2'!A95)</x:f>
      </x:c>
      <x:c r="B94" s="262" t="str">
        <x:f>IFERROR(INDEX('Player Registry'!$A$2:$A$205,MATCH(C94,'Player Registry'!$C$2:$C$205,0)),"")</x:f>
      </x:c>
      <x:c r="C94" s="262" t="str">
        <x:f>IF('Official Ranking v2'!B95="","",'Official Ranking v2'!B95)</x:f>
      </x:c>
      <x:c r="D94" s="262" t="str">
        <x:f>IF('Official Ranking v2'!B95="","",'Official Ranking v2'!C95)</x:f>
      </x:c>
      <x:c r="E94" s="267" t="str">
        <x:f>IF('Official Ranking v2'!B95="","",'Official Ranking v2'!S95)</x:f>
      </x:c>
      <x:c r="F94" s="262" t="str">
        <x:f>IF('Official Ranking v2'!B95="","",'Official Ranking v2'!T95)</x:f>
      </x:c>
      <x:c r="G94" s="262" t="str">
        <x:f>IF('Official Ranking v2'!B95="","",'Official Ranking v2'!W95)</x:f>
      </x:c>
      <x:c r="H94" s="262" t="str">
        <x:f>IF('Official Ranking v2'!B95="","",'Official Ranking v2'!X95)</x:f>
      </x:c>
      <x:c r="I94" s="262" t="str">
        <x:f>IF('Official Ranking v2'!B95="","",'Official Ranking v2'!V95)</x:f>
      </x:c>
      <x:c r="J94" s="262" t="str">
        <x:f>IF(C94="","",LOWER(SUBSTITUTE(SUBSTITUTE(C94," ","-"),".","")))</x:f>
      </x:c>
    </x:row>
    <x:row r="95">
      <x:c r="A95" s="262" t="str">
        <x:f>IF('Official Ranking v2'!B96="","",'Official Ranking v2'!A96)</x:f>
      </x:c>
      <x:c r="B95" s="262" t="str">
        <x:f>IFERROR(INDEX('Player Registry'!$A$2:$A$205,MATCH(C95,'Player Registry'!$C$2:$C$205,0)),"")</x:f>
      </x:c>
      <x:c r="C95" s="262" t="str">
        <x:f>IF('Official Ranking v2'!B96="","",'Official Ranking v2'!B96)</x:f>
      </x:c>
      <x:c r="D95" s="262" t="str">
        <x:f>IF('Official Ranking v2'!B96="","",'Official Ranking v2'!C96)</x:f>
      </x:c>
      <x:c r="E95" s="267" t="str">
        <x:f>IF('Official Ranking v2'!B96="","",'Official Ranking v2'!S96)</x:f>
      </x:c>
      <x:c r="F95" s="262" t="str">
        <x:f>IF('Official Ranking v2'!B96="","",'Official Ranking v2'!T96)</x:f>
      </x:c>
      <x:c r="G95" s="262" t="str">
        <x:f>IF('Official Ranking v2'!B96="","",'Official Ranking v2'!W96)</x:f>
      </x:c>
      <x:c r="H95" s="262" t="str">
        <x:f>IF('Official Ranking v2'!B96="","",'Official Ranking v2'!X96)</x:f>
      </x:c>
      <x:c r="I95" s="262" t="str">
        <x:f>IF('Official Ranking v2'!B96="","",'Official Ranking v2'!V96)</x:f>
      </x:c>
      <x:c r="J95" s="262" t="str">
        <x:f>IF(C95="","",LOWER(SUBSTITUTE(SUBSTITUTE(C95," ","-"),".","")))</x:f>
      </x:c>
    </x:row>
    <x:row r="96">
      <x:c r="A96" s="262" t="str">
        <x:f>IF('Official Ranking v2'!B97="","",'Official Ranking v2'!A97)</x:f>
      </x:c>
      <x:c r="B96" s="262" t="str">
        <x:f>IFERROR(INDEX('Player Registry'!$A$2:$A$205,MATCH(C96,'Player Registry'!$C$2:$C$205,0)),"")</x:f>
      </x:c>
      <x:c r="C96" s="262" t="str">
        <x:f>IF('Official Ranking v2'!B97="","",'Official Ranking v2'!B97)</x:f>
      </x:c>
      <x:c r="D96" s="262" t="str">
        <x:f>IF('Official Ranking v2'!B97="","",'Official Ranking v2'!C97)</x:f>
      </x:c>
      <x:c r="E96" s="267" t="str">
        <x:f>IF('Official Ranking v2'!B97="","",'Official Ranking v2'!S97)</x:f>
      </x:c>
      <x:c r="F96" s="262" t="str">
        <x:f>IF('Official Ranking v2'!B97="","",'Official Ranking v2'!T97)</x:f>
      </x:c>
      <x:c r="G96" s="262" t="str">
        <x:f>IF('Official Ranking v2'!B97="","",'Official Ranking v2'!W97)</x:f>
      </x:c>
      <x:c r="H96" s="262" t="str">
        <x:f>IF('Official Ranking v2'!B97="","",'Official Ranking v2'!X97)</x:f>
      </x:c>
      <x:c r="I96" s="262" t="str">
        <x:f>IF('Official Ranking v2'!B97="","",'Official Ranking v2'!V97)</x:f>
      </x:c>
      <x:c r="J96" s="262" t="str">
        <x:f>IF(C96="","",LOWER(SUBSTITUTE(SUBSTITUTE(C96," ","-"),".","")))</x:f>
      </x:c>
    </x:row>
    <x:row r="97">
      <x:c r="A97" s="262" t="str">
        <x:f>IF('Official Ranking v2'!B98="","",'Official Ranking v2'!A98)</x:f>
      </x:c>
      <x:c r="B97" s="262" t="str">
        <x:f>IFERROR(INDEX('Player Registry'!$A$2:$A$205,MATCH(C97,'Player Registry'!$C$2:$C$205,0)),"")</x:f>
      </x:c>
      <x:c r="C97" s="262" t="str">
        <x:f>IF('Official Ranking v2'!B98="","",'Official Ranking v2'!B98)</x:f>
      </x:c>
      <x:c r="D97" s="262" t="str">
        <x:f>IF('Official Ranking v2'!B98="","",'Official Ranking v2'!C98)</x:f>
      </x:c>
      <x:c r="E97" s="267" t="str">
        <x:f>IF('Official Ranking v2'!B98="","",'Official Ranking v2'!S98)</x:f>
      </x:c>
      <x:c r="F97" s="262" t="str">
        <x:f>IF('Official Ranking v2'!B98="","",'Official Ranking v2'!T98)</x:f>
      </x:c>
      <x:c r="G97" s="262" t="str">
        <x:f>IF('Official Ranking v2'!B98="","",'Official Ranking v2'!W98)</x:f>
      </x:c>
      <x:c r="H97" s="262" t="str">
        <x:f>IF('Official Ranking v2'!B98="","",'Official Ranking v2'!X98)</x:f>
      </x:c>
      <x:c r="I97" s="262" t="str">
        <x:f>IF('Official Ranking v2'!B98="","",'Official Ranking v2'!V98)</x:f>
      </x:c>
      <x:c r="J97" s="262" t="str">
        <x:f>IF(C97="","",LOWER(SUBSTITUTE(SUBSTITUTE(C97," ","-"),".","")))</x:f>
      </x:c>
    </x:row>
    <x:row r="98">
      <x:c r="A98" s="262" t="str">
        <x:f>IF('Official Ranking v2'!B99="","",'Official Ranking v2'!A99)</x:f>
      </x:c>
      <x:c r="B98" s="262" t="str">
        <x:f>IFERROR(INDEX('Player Registry'!$A$2:$A$205,MATCH(C98,'Player Registry'!$C$2:$C$205,0)),"")</x:f>
      </x:c>
      <x:c r="C98" s="262" t="str">
        <x:f>IF('Official Ranking v2'!B99="","",'Official Ranking v2'!B99)</x:f>
      </x:c>
      <x:c r="D98" s="262" t="str">
        <x:f>IF('Official Ranking v2'!B99="","",'Official Ranking v2'!C99)</x:f>
      </x:c>
      <x:c r="E98" s="267" t="str">
        <x:f>IF('Official Ranking v2'!B99="","",'Official Ranking v2'!S99)</x:f>
      </x:c>
      <x:c r="F98" s="262" t="str">
        <x:f>IF('Official Ranking v2'!B99="","",'Official Ranking v2'!T99)</x:f>
      </x:c>
      <x:c r="G98" s="262" t="str">
        <x:f>IF('Official Ranking v2'!B99="","",'Official Ranking v2'!W99)</x:f>
      </x:c>
      <x:c r="H98" s="262" t="str">
        <x:f>IF('Official Ranking v2'!B99="","",'Official Ranking v2'!X99)</x:f>
      </x:c>
      <x:c r="I98" s="262" t="str">
        <x:f>IF('Official Ranking v2'!B99="","",'Official Ranking v2'!V99)</x:f>
      </x:c>
      <x:c r="J98" s="262" t="str">
        <x:f>IF(C98="","",LOWER(SUBSTITUTE(SUBSTITUTE(C98," ","-"),".","")))</x:f>
      </x:c>
    </x:row>
    <x:row r="99">
      <x:c r="A99" s="262" t="str">
        <x:f>IF('Official Ranking v2'!B100="","",'Official Ranking v2'!A100)</x:f>
      </x:c>
      <x:c r="B99" s="262" t="str">
        <x:f>IFERROR(INDEX('Player Registry'!$A$2:$A$205,MATCH(C99,'Player Registry'!$C$2:$C$205,0)),"")</x:f>
      </x:c>
      <x:c r="C99" s="262" t="str">
        <x:f>IF('Official Ranking v2'!B100="","",'Official Ranking v2'!B100)</x:f>
      </x:c>
      <x:c r="D99" s="262" t="str">
        <x:f>IF('Official Ranking v2'!B100="","",'Official Ranking v2'!C100)</x:f>
      </x:c>
      <x:c r="E99" s="267" t="str">
        <x:f>IF('Official Ranking v2'!B100="","",'Official Ranking v2'!S100)</x:f>
      </x:c>
      <x:c r="F99" s="262" t="str">
        <x:f>IF('Official Ranking v2'!B100="","",'Official Ranking v2'!T100)</x:f>
      </x:c>
      <x:c r="G99" s="262" t="str">
        <x:f>IF('Official Ranking v2'!B100="","",'Official Ranking v2'!W100)</x:f>
      </x:c>
      <x:c r="H99" s="262" t="str">
        <x:f>IF('Official Ranking v2'!B100="","",'Official Ranking v2'!X100)</x:f>
      </x:c>
      <x:c r="I99" s="262" t="str">
        <x:f>IF('Official Ranking v2'!B100="","",'Official Ranking v2'!V100)</x:f>
      </x:c>
      <x:c r="J99" s="262" t="str">
        <x:f>IF(C99="","",LOWER(SUBSTITUTE(SUBSTITUTE(C99," ","-"),".","")))</x:f>
      </x:c>
    </x:row>
    <x:row r="100">
      <x:c r="A100" s="262" t="str">
        <x:f>IF('Official Ranking v2'!B101="","",'Official Ranking v2'!A101)</x:f>
      </x:c>
      <x:c r="B100" s="262" t="str">
        <x:f>IFERROR(INDEX('Player Registry'!$A$2:$A$205,MATCH(C100,'Player Registry'!$C$2:$C$205,0)),"")</x:f>
      </x:c>
      <x:c r="C100" s="262" t="str">
        <x:f>IF('Official Ranking v2'!B101="","",'Official Ranking v2'!B101)</x:f>
      </x:c>
      <x:c r="D100" s="262" t="str">
        <x:f>IF('Official Ranking v2'!B101="","",'Official Ranking v2'!C101)</x:f>
      </x:c>
      <x:c r="E100" s="267" t="str">
        <x:f>IF('Official Ranking v2'!B101="","",'Official Ranking v2'!S101)</x:f>
      </x:c>
      <x:c r="F100" s="262" t="str">
        <x:f>IF('Official Ranking v2'!B101="","",'Official Ranking v2'!T101)</x:f>
      </x:c>
      <x:c r="G100" s="262" t="str">
        <x:f>IF('Official Ranking v2'!B101="","",'Official Ranking v2'!W101)</x:f>
      </x:c>
      <x:c r="H100" s="262" t="str">
        <x:f>IF('Official Ranking v2'!B101="","",'Official Ranking v2'!X101)</x:f>
      </x:c>
      <x:c r="I100" s="262" t="str">
        <x:f>IF('Official Ranking v2'!B101="","",'Official Ranking v2'!V101)</x:f>
      </x:c>
      <x:c r="J100" s="262" t="str">
        <x:f>IF(C100="","",LOWER(SUBSTITUTE(SUBSTITUTE(C100," ","-"),".","")))</x:f>
      </x:c>
    </x:row>
    <x:row r="101">
      <x:c r="A101" s="262" t="str">
        <x:f>IF('Official Ranking v2'!B102="","",'Official Ranking v2'!A102)</x:f>
      </x:c>
      <x:c r="B101" s="262" t="str">
        <x:f>IFERROR(INDEX('Player Registry'!$A$2:$A$205,MATCH(C101,'Player Registry'!$C$2:$C$205,0)),"")</x:f>
      </x:c>
      <x:c r="C101" s="262" t="str">
        <x:f>IF('Official Ranking v2'!B102="","",'Official Ranking v2'!B102)</x:f>
      </x:c>
      <x:c r="D101" s="262" t="str">
        <x:f>IF('Official Ranking v2'!B102="","",'Official Ranking v2'!C102)</x:f>
      </x:c>
      <x:c r="E101" s="267" t="str">
        <x:f>IF('Official Ranking v2'!B102="","",'Official Ranking v2'!S102)</x:f>
      </x:c>
      <x:c r="F101" s="262" t="str">
        <x:f>IF('Official Ranking v2'!B102="","",'Official Ranking v2'!T102)</x:f>
      </x:c>
      <x:c r="G101" s="262" t="str">
        <x:f>IF('Official Ranking v2'!B102="","",'Official Ranking v2'!W102)</x:f>
      </x:c>
      <x:c r="H101" s="262" t="str">
        <x:f>IF('Official Ranking v2'!B102="","",'Official Ranking v2'!X102)</x:f>
      </x:c>
      <x:c r="I101" s="262" t="str">
        <x:f>IF('Official Ranking v2'!B102="","",'Official Ranking v2'!V102)</x:f>
      </x:c>
      <x:c r="J101" s="262" t="str">
        <x:f>IF(C101="","",LOWER(SUBSTITUTE(SUBSTITUTE(C101," ","-"),".","")))</x:f>
      </x:c>
    </x:row>
    <x:row r="102">
      <x:c r="A102" s="262" t="str">
        <x:f>IF('Official Ranking v2'!B103="","",'Official Ranking v2'!A103)</x:f>
      </x:c>
      <x:c r="B102" s="262" t="str">
        <x:f>IFERROR(INDEX('Player Registry'!$A$2:$A$205,MATCH(C102,'Player Registry'!$C$2:$C$205,0)),"")</x:f>
      </x:c>
      <x:c r="C102" s="262" t="str">
        <x:f>IF('Official Ranking v2'!B103="","",'Official Ranking v2'!B103)</x:f>
      </x:c>
      <x:c r="D102" s="262" t="str">
        <x:f>IF('Official Ranking v2'!B103="","",'Official Ranking v2'!C103)</x:f>
      </x:c>
      <x:c r="E102" s="267" t="str">
        <x:f>IF('Official Ranking v2'!B103="","",'Official Ranking v2'!S103)</x:f>
      </x:c>
      <x:c r="F102" s="262" t="str">
        <x:f>IF('Official Ranking v2'!B103="","",'Official Ranking v2'!T103)</x:f>
      </x:c>
      <x:c r="G102" s="262" t="str">
        <x:f>IF('Official Ranking v2'!B103="","",'Official Ranking v2'!W103)</x:f>
      </x:c>
      <x:c r="H102" s="262" t="str">
        <x:f>IF('Official Ranking v2'!B103="","",'Official Ranking v2'!X103)</x:f>
      </x:c>
      <x:c r="I102" s="262" t="str">
        <x:f>IF('Official Ranking v2'!B103="","",'Official Ranking v2'!V103)</x:f>
      </x:c>
      <x:c r="J102" s="262" t="str">
        <x:f>IF(C102="","",LOWER(SUBSTITUTE(SUBSTITUTE(C102," ","-"),".","")))</x:f>
      </x:c>
    </x:row>
    <x:row r="103">
      <x:c r="A103" s="262" t="str">
        <x:f>IF('Official Ranking v2'!B104="","",'Official Ranking v2'!A104)</x:f>
      </x:c>
      <x:c r="B103" s="262" t="str">
        <x:f>IFERROR(INDEX('Player Registry'!$A$2:$A$205,MATCH(C103,'Player Registry'!$C$2:$C$205,0)),"")</x:f>
      </x:c>
      <x:c r="C103" s="262" t="str">
        <x:f>IF('Official Ranking v2'!B104="","",'Official Ranking v2'!B104)</x:f>
      </x:c>
      <x:c r="D103" s="262" t="str">
        <x:f>IF('Official Ranking v2'!B104="","",'Official Ranking v2'!C104)</x:f>
      </x:c>
      <x:c r="E103" s="267" t="str">
        <x:f>IF('Official Ranking v2'!B104="","",'Official Ranking v2'!S104)</x:f>
      </x:c>
      <x:c r="F103" s="262" t="str">
        <x:f>IF('Official Ranking v2'!B104="","",'Official Ranking v2'!T104)</x:f>
      </x:c>
      <x:c r="G103" s="262" t="str">
        <x:f>IF('Official Ranking v2'!B104="","",'Official Ranking v2'!W104)</x:f>
      </x:c>
      <x:c r="H103" s="262" t="str">
        <x:f>IF('Official Ranking v2'!B104="","",'Official Ranking v2'!X104)</x:f>
      </x:c>
      <x:c r="I103" s="262" t="str">
        <x:f>IF('Official Ranking v2'!B104="","",'Official Ranking v2'!V104)</x:f>
      </x:c>
      <x:c r="J103" s="262" t="str">
        <x:f>IF(C103="","",LOWER(SUBSTITUTE(SUBSTITUTE(C103," ","-"),".","")))</x:f>
      </x:c>
    </x:row>
    <x:row r="104">
      <x:c r="A104" s="262" t="str">
        <x:f>IF('Official Ranking v2'!B105="","",'Official Ranking v2'!A105)</x:f>
      </x:c>
      <x:c r="B104" s="262" t="str">
        <x:f>IFERROR(INDEX('Player Registry'!$A$2:$A$205,MATCH(C104,'Player Registry'!$C$2:$C$205,0)),"")</x:f>
      </x:c>
      <x:c r="C104" s="262" t="str">
        <x:f>IF('Official Ranking v2'!B105="","",'Official Ranking v2'!B105)</x:f>
      </x:c>
      <x:c r="D104" s="262" t="str">
        <x:f>IF('Official Ranking v2'!B105="","",'Official Ranking v2'!C105)</x:f>
      </x:c>
      <x:c r="E104" s="267" t="str">
        <x:f>IF('Official Ranking v2'!B105="","",'Official Ranking v2'!S105)</x:f>
      </x:c>
      <x:c r="F104" s="262" t="str">
        <x:f>IF('Official Ranking v2'!B105="","",'Official Ranking v2'!T105)</x:f>
      </x:c>
      <x:c r="G104" s="262" t="str">
        <x:f>IF('Official Ranking v2'!B105="","",'Official Ranking v2'!W105)</x:f>
      </x:c>
      <x:c r="H104" s="262" t="str">
        <x:f>IF('Official Ranking v2'!B105="","",'Official Ranking v2'!X105)</x:f>
      </x:c>
      <x:c r="I104" s="262" t="str">
        <x:f>IF('Official Ranking v2'!B105="","",'Official Ranking v2'!V105)</x:f>
      </x:c>
      <x:c r="J104" s="262" t="str">
        <x:f>IF(C104="","",LOWER(SUBSTITUTE(SUBSTITUTE(C104," ","-"),".","")))</x:f>
      </x:c>
    </x:row>
    <x:row r="105">
      <x:c r="A105" s="262" t="str">
        <x:f>IF('Official Ranking v2'!B106="","",'Official Ranking v2'!A106)</x:f>
      </x:c>
      <x:c r="B105" s="262" t="str">
        <x:f>IFERROR(INDEX('Player Registry'!$A$2:$A$205,MATCH(C105,'Player Registry'!$C$2:$C$205,0)),"")</x:f>
      </x:c>
      <x:c r="C105" s="262" t="str">
        <x:f>IF('Official Ranking v2'!B106="","",'Official Ranking v2'!B106)</x:f>
      </x:c>
      <x:c r="D105" s="262" t="str">
        <x:f>IF('Official Ranking v2'!B106="","",'Official Ranking v2'!C106)</x:f>
      </x:c>
      <x:c r="E105" s="267" t="str">
        <x:f>IF('Official Ranking v2'!B106="","",'Official Ranking v2'!S106)</x:f>
      </x:c>
      <x:c r="F105" s="262" t="str">
        <x:f>IF('Official Ranking v2'!B106="","",'Official Ranking v2'!T106)</x:f>
      </x:c>
      <x:c r="G105" s="262" t="str">
        <x:f>IF('Official Ranking v2'!B106="","",'Official Ranking v2'!W106)</x:f>
      </x:c>
      <x:c r="H105" s="262" t="str">
        <x:f>IF('Official Ranking v2'!B106="","",'Official Ranking v2'!X106)</x:f>
      </x:c>
      <x:c r="I105" s="262" t="str">
        <x:f>IF('Official Ranking v2'!B106="","",'Official Ranking v2'!V106)</x:f>
      </x:c>
      <x:c r="J105" s="262" t="str">
        <x:f>IF(C105="","",LOWER(SUBSTITUTE(SUBSTITUTE(C105," ","-"),".","")))</x:f>
      </x:c>
    </x:row>
    <x:row r="106">
      <x:c r="A106" s="262" t="str">
        <x:f>IF('Official Ranking v2'!B107="","",'Official Ranking v2'!A107)</x:f>
      </x:c>
      <x:c r="B106" s="262" t="str">
        <x:f>IFERROR(INDEX('Player Registry'!$A$2:$A$205,MATCH(C106,'Player Registry'!$C$2:$C$205,0)),"")</x:f>
      </x:c>
      <x:c r="C106" s="262" t="str">
        <x:f>IF('Official Ranking v2'!B107="","",'Official Ranking v2'!B107)</x:f>
      </x:c>
      <x:c r="D106" s="262" t="str">
        <x:f>IF('Official Ranking v2'!B107="","",'Official Ranking v2'!C107)</x:f>
      </x:c>
      <x:c r="E106" s="267" t="str">
        <x:f>IF('Official Ranking v2'!B107="","",'Official Ranking v2'!S107)</x:f>
      </x:c>
      <x:c r="F106" s="262" t="str">
        <x:f>IF('Official Ranking v2'!B107="","",'Official Ranking v2'!T107)</x:f>
      </x:c>
      <x:c r="G106" s="262" t="str">
        <x:f>IF('Official Ranking v2'!B107="","",'Official Ranking v2'!W107)</x:f>
      </x:c>
      <x:c r="H106" s="262" t="str">
        <x:f>IF('Official Ranking v2'!B107="","",'Official Ranking v2'!X107)</x:f>
      </x:c>
      <x:c r="I106" s="262" t="str">
        <x:f>IF('Official Ranking v2'!B107="","",'Official Ranking v2'!V107)</x:f>
      </x:c>
      <x:c r="J106" s="262" t="str">
        <x:f>IF(C106="","",LOWER(SUBSTITUTE(SUBSTITUTE(C106," ","-"),".","")))</x:f>
      </x:c>
    </x:row>
    <x:row r="107">
      <x:c r="A107" s="262" t="str">
        <x:f>IF('Official Ranking v2'!B108="","",'Official Ranking v2'!A108)</x:f>
      </x:c>
      <x:c r="B107" s="262" t="str">
        <x:f>IFERROR(INDEX('Player Registry'!$A$2:$A$205,MATCH(C107,'Player Registry'!$C$2:$C$205,0)),"")</x:f>
      </x:c>
      <x:c r="C107" s="262" t="str">
        <x:f>IF('Official Ranking v2'!B108="","",'Official Ranking v2'!B108)</x:f>
      </x:c>
      <x:c r="D107" s="262" t="str">
        <x:f>IF('Official Ranking v2'!B108="","",'Official Ranking v2'!C108)</x:f>
      </x:c>
      <x:c r="E107" s="267" t="str">
        <x:f>IF('Official Ranking v2'!B108="","",'Official Ranking v2'!S108)</x:f>
      </x:c>
      <x:c r="F107" s="262" t="str">
        <x:f>IF('Official Ranking v2'!B108="","",'Official Ranking v2'!T108)</x:f>
      </x:c>
      <x:c r="G107" s="262" t="str">
        <x:f>IF('Official Ranking v2'!B108="","",'Official Ranking v2'!W108)</x:f>
      </x:c>
      <x:c r="H107" s="262" t="str">
        <x:f>IF('Official Ranking v2'!B108="","",'Official Ranking v2'!X108)</x:f>
      </x:c>
      <x:c r="I107" s="262" t="str">
        <x:f>IF('Official Ranking v2'!B108="","",'Official Ranking v2'!V108)</x:f>
      </x:c>
      <x:c r="J107" s="262" t="str">
        <x:f>IF(C107="","",LOWER(SUBSTITUTE(SUBSTITUTE(C107," ","-"),".","")))</x:f>
      </x:c>
    </x:row>
    <x:row r="108">
      <x:c r="A108" s="262" t="str">
        <x:f>IF('Official Ranking v2'!B109="","",'Official Ranking v2'!A109)</x:f>
      </x:c>
      <x:c r="B108" s="262" t="str">
        <x:f>IFERROR(INDEX('Player Registry'!$A$2:$A$205,MATCH(C108,'Player Registry'!$C$2:$C$205,0)),"")</x:f>
      </x:c>
      <x:c r="C108" s="262" t="str">
        <x:f>IF('Official Ranking v2'!B109="","",'Official Ranking v2'!B109)</x:f>
      </x:c>
      <x:c r="D108" s="262" t="str">
        <x:f>IF('Official Ranking v2'!B109="","",'Official Ranking v2'!C109)</x:f>
      </x:c>
      <x:c r="E108" s="267" t="str">
        <x:f>IF('Official Ranking v2'!B109="","",'Official Ranking v2'!S109)</x:f>
      </x:c>
      <x:c r="F108" s="262" t="str">
        <x:f>IF('Official Ranking v2'!B109="","",'Official Ranking v2'!T109)</x:f>
      </x:c>
      <x:c r="G108" s="262" t="str">
        <x:f>IF('Official Ranking v2'!B109="","",'Official Ranking v2'!W109)</x:f>
      </x:c>
      <x:c r="H108" s="262" t="str">
        <x:f>IF('Official Ranking v2'!B109="","",'Official Ranking v2'!X109)</x:f>
      </x:c>
      <x:c r="I108" s="262" t="str">
        <x:f>IF('Official Ranking v2'!B109="","",'Official Ranking v2'!V109)</x:f>
      </x:c>
      <x:c r="J108" s="262" t="str">
        <x:f>IF(C108="","",LOWER(SUBSTITUTE(SUBSTITUTE(C108," ","-"),".","")))</x:f>
      </x:c>
    </x:row>
    <x:row r="109">
      <x:c r="A109" s="262" t="str">
        <x:f>IF('Official Ranking v2'!B110="","",'Official Ranking v2'!A110)</x:f>
      </x:c>
      <x:c r="B109" s="262" t="str">
        <x:f>IFERROR(INDEX('Player Registry'!$A$2:$A$205,MATCH(C109,'Player Registry'!$C$2:$C$205,0)),"")</x:f>
      </x:c>
      <x:c r="C109" s="262" t="str">
        <x:f>IF('Official Ranking v2'!B110="","",'Official Ranking v2'!B110)</x:f>
      </x:c>
      <x:c r="D109" s="262" t="str">
        <x:f>IF('Official Ranking v2'!B110="","",'Official Ranking v2'!C110)</x:f>
      </x:c>
      <x:c r="E109" s="267" t="str">
        <x:f>IF('Official Ranking v2'!B110="","",'Official Ranking v2'!S110)</x:f>
      </x:c>
      <x:c r="F109" s="262" t="str">
        <x:f>IF('Official Ranking v2'!B110="","",'Official Ranking v2'!T110)</x:f>
      </x:c>
      <x:c r="G109" s="262" t="str">
        <x:f>IF('Official Ranking v2'!B110="","",'Official Ranking v2'!W110)</x:f>
      </x:c>
      <x:c r="H109" s="262" t="str">
        <x:f>IF('Official Ranking v2'!B110="","",'Official Ranking v2'!X110)</x:f>
      </x:c>
      <x:c r="I109" s="262" t="str">
        <x:f>IF('Official Ranking v2'!B110="","",'Official Ranking v2'!V110)</x:f>
      </x:c>
      <x:c r="J109" s="262" t="str">
        <x:f>IF(C109="","",LOWER(SUBSTITUTE(SUBSTITUTE(C109," ","-"),".","")))</x:f>
      </x:c>
    </x:row>
    <x:row r="110">
      <x:c r="A110" s="262" t="str">
        <x:f>IF('Official Ranking v2'!B111="","",'Official Ranking v2'!A111)</x:f>
      </x:c>
      <x:c r="B110" s="262" t="str">
        <x:f>IFERROR(INDEX('Player Registry'!$A$2:$A$205,MATCH(C110,'Player Registry'!$C$2:$C$205,0)),"")</x:f>
      </x:c>
      <x:c r="C110" s="262" t="str">
        <x:f>IF('Official Ranking v2'!B111="","",'Official Ranking v2'!B111)</x:f>
      </x:c>
      <x:c r="D110" s="262" t="str">
        <x:f>IF('Official Ranking v2'!B111="","",'Official Ranking v2'!C111)</x:f>
      </x:c>
      <x:c r="E110" s="267" t="str">
        <x:f>IF('Official Ranking v2'!B111="","",'Official Ranking v2'!S111)</x:f>
      </x:c>
      <x:c r="F110" s="262" t="str">
        <x:f>IF('Official Ranking v2'!B111="","",'Official Ranking v2'!T111)</x:f>
      </x:c>
      <x:c r="G110" s="262" t="str">
        <x:f>IF('Official Ranking v2'!B111="","",'Official Ranking v2'!W111)</x:f>
      </x:c>
      <x:c r="H110" s="262" t="str">
        <x:f>IF('Official Ranking v2'!B111="","",'Official Ranking v2'!X111)</x:f>
      </x:c>
      <x:c r="I110" s="262" t="str">
        <x:f>IF('Official Ranking v2'!B111="","",'Official Ranking v2'!V111)</x:f>
      </x:c>
      <x:c r="J110" s="262" t="str">
        <x:f>IF(C110="","",LOWER(SUBSTITUTE(SUBSTITUTE(C110," ","-"),".","")))</x:f>
      </x:c>
    </x:row>
    <x:row r="111">
      <x:c r="A111" s="262" t="str">
        <x:f>IF('Official Ranking v2'!B112="","",'Official Ranking v2'!A112)</x:f>
      </x:c>
      <x:c r="B111" s="262" t="str">
        <x:f>IFERROR(INDEX('Player Registry'!$A$2:$A$205,MATCH(C111,'Player Registry'!$C$2:$C$205,0)),"")</x:f>
      </x:c>
      <x:c r="C111" s="262" t="str">
        <x:f>IF('Official Ranking v2'!B112="","",'Official Ranking v2'!B112)</x:f>
      </x:c>
      <x:c r="D111" s="262" t="str">
        <x:f>IF('Official Ranking v2'!B112="","",'Official Ranking v2'!C112)</x:f>
      </x:c>
      <x:c r="E111" s="267" t="str">
        <x:f>IF('Official Ranking v2'!B112="","",'Official Ranking v2'!S112)</x:f>
      </x:c>
      <x:c r="F111" s="262" t="str">
        <x:f>IF('Official Ranking v2'!B112="","",'Official Ranking v2'!T112)</x:f>
      </x:c>
      <x:c r="G111" s="262" t="str">
        <x:f>IF('Official Ranking v2'!B112="","",'Official Ranking v2'!W112)</x:f>
      </x:c>
      <x:c r="H111" s="262" t="str">
        <x:f>IF('Official Ranking v2'!B112="","",'Official Ranking v2'!X112)</x:f>
      </x:c>
      <x:c r="I111" s="262" t="str">
        <x:f>IF('Official Ranking v2'!B112="","",'Official Ranking v2'!V112)</x:f>
      </x:c>
      <x:c r="J111" s="262" t="str">
        <x:f>IF(C111="","",LOWER(SUBSTITUTE(SUBSTITUTE(C111," ","-"),".","")))</x:f>
      </x:c>
    </x:row>
    <x:row r="112">
      <x:c r="A112" s="262" t="str">
        <x:f>IF('Official Ranking v2'!B113="","",'Official Ranking v2'!A113)</x:f>
      </x:c>
      <x:c r="B112" s="262" t="str">
        <x:f>IFERROR(INDEX('Player Registry'!$A$2:$A$205,MATCH(C112,'Player Registry'!$C$2:$C$205,0)),"")</x:f>
      </x:c>
      <x:c r="C112" s="262" t="str">
        <x:f>IF('Official Ranking v2'!B113="","",'Official Ranking v2'!B113)</x:f>
      </x:c>
      <x:c r="D112" s="262" t="str">
        <x:f>IF('Official Ranking v2'!B113="","",'Official Ranking v2'!C113)</x:f>
      </x:c>
      <x:c r="E112" s="267" t="str">
        <x:f>IF('Official Ranking v2'!B113="","",'Official Ranking v2'!S113)</x:f>
      </x:c>
      <x:c r="F112" s="262" t="str">
        <x:f>IF('Official Ranking v2'!B113="","",'Official Ranking v2'!T113)</x:f>
      </x:c>
      <x:c r="G112" s="262" t="str">
        <x:f>IF('Official Ranking v2'!B113="","",'Official Ranking v2'!W113)</x:f>
      </x:c>
      <x:c r="H112" s="262" t="str">
        <x:f>IF('Official Ranking v2'!B113="","",'Official Ranking v2'!X113)</x:f>
      </x:c>
      <x:c r="I112" s="262" t="str">
        <x:f>IF('Official Ranking v2'!B113="","",'Official Ranking v2'!V113)</x:f>
      </x:c>
      <x:c r="J112" s="262" t="str">
        <x:f>IF(C112="","",LOWER(SUBSTITUTE(SUBSTITUTE(C112," ","-"),".","")))</x:f>
      </x:c>
    </x:row>
    <x:row r="113">
      <x:c r="A113" s="262" t="str">
        <x:f>IF('Official Ranking v2'!B114="","",'Official Ranking v2'!A114)</x:f>
      </x:c>
      <x:c r="B113" s="262" t="str">
        <x:f>IFERROR(INDEX('Player Registry'!$A$2:$A$205,MATCH(C113,'Player Registry'!$C$2:$C$205,0)),"")</x:f>
      </x:c>
      <x:c r="C113" s="262" t="str">
        <x:f>IF('Official Ranking v2'!B114="","",'Official Ranking v2'!B114)</x:f>
      </x:c>
      <x:c r="D113" s="262" t="str">
        <x:f>IF('Official Ranking v2'!B114="","",'Official Ranking v2'!C114)</x:f>
      </x:c>
      <x:c r="E113" s="267" t="str">
        <x:f>IF('Official Ranking v2'!B114="","",'Official Ranking v2'!S114)</x:f>
      </x:c>
      <x:c r="F113" s="262" t="str">
        <x:f>IF('Official Ranking v2'!B114="","",'Official Ranking v2'!T114)</x:f>
      </x:c>
      <x:c r="G113" s="262" t="str">
        <x:f>IF('Official Ranking v2'!B114="","",'Official Ranking v2'!W114)</x:f>
      </x:c>
      <x:c r="H113" s="262" t="str">
        <x:f>IF('Official Ranking v2'!B114="","",'Official Ranking v2'!X114)</x:f>
      </x:c>
      <x:c r="I113" s="262" t="str">
        <x:f>IF('Official Ranking v2'!B114="","",'Official Ranking v2'!V114)</x:f>
      </x:c>
      <x:c r="J113" s="262" t="str">
        <x:f>IF(C113="","",LOWER(SUBSTITUTE(SUBSTITUTE(C113," ","-"),".","")))</x:f>
      </x:c>
    </x:row>
    <x:row r="114">
      <x:c r="A114" s="262" t="str">
        <x:f>IF('Official Ranking v2'!B115="","",'Official Ranking v2'!A115)</x:f>
      </x:c>
      <x:c r="B114" s="262" t="str">
        <x:f>IFERROR(INDEX('Player Registry'!$A$2:$A$205,MATCH(C114,'Player Registry'!$C$2:$C$205,0)),"")</x:f>
      </x:c>
      <x:c r="C114" s="262" t="str">
        <x:f>IF('Official Ranking v2'!B115="","",'Official Ranking v2'!B115)</x:f>
      </x:c>
      <x:c r="D114" s="262" t="str">
        <x:f>IF('Official Ranking v2'!B115="","",'Official Ranking v2'!C115)</x:f>
      </x:c>
      <x:c r="E114" s="267" t="str">
        <x:f>IF('Official Ranking v2'!B115="","",'Official Ranking v2'!S115)</x:f>
      </x:c>
      <x:c r="F114" s="262" t="str">
        <x:f>IF('Official Ranking v2'!B115="","",'Official Ranking v2'!T115)</x:f>
      </x:c>
      <x:c r="G114" s="262" t="str">
        <x:f>IF('Official Ranking v2'!B115="","",'Official Ranking v2'!W115)</x:f>
      </x:c>
      <x:c r="H114" s="262" t="str">
        <x:f>IF('Official Ranking v2'!B115="","",'Official Ranking v2'!X115)</x:f>
      </x:c>
      <x:c r="I114" s="262" t="str">
        <x:f>IF('Official Ranking v2'!B115="","",'Official Ranking v2'!V115)</x:f>
      </x:c>
      <x:c r="J114" s="262" t="str">
        <x:f>IF(C114="","",LOWER(SUBSTITUTE(SUBSTITUTE(C114," ","-"),".","")))</x:f>
      </x:c>
    </x:row>
    <x:row r="115">
      <x:c r="A115" s="262" t="str">
        <x:f>IF('Official Ranking v2'!B116="","",'Official Ranking v2'!A116)</x:f>
      </x:c>
      <x:c r="B115" s="262" t="str">
        <x:f>IFERROR(INDEX('Player Registry'!$A$2:$A$205,MATCH(C115,'Player Registry'!$C$2:$C$205,0)),"")</x:f>
      </x:c>
      <x:c r="C115" s="262" t="str">
        <x:f>IF('Official Ranking v2'!B116="","",'Official Ranking v2'!B116)</x:f>
      </x:c>
      <x:c r="D115" s="262" t="str">
        <x:f>IF('Official Ranking v2'!B116="","",'Official Ranking v2'!C116)</x:f>
      </x:c>
      <x:c r="E115" s="267" t="str">
        <x:f>IF('Official Ranking v2'!B116="","",'Official Ranking v2'!S116)</x:f>
      </x:c>
      <x:c r="F115" s="262" t="str">
        <x:f>IF('Official Ranking v2'!B116="","",'Official Ranking v2'!T116)</x:f>
      </x:c>
      <x:c r="G115" s="262" t="str">
        <x:f>IF('Official Ranking v2'!B116="","",'Official Ranking v2'!W116)</x:f>
      </x:c>
      <x:c r="H115" s="262" t="str">
        <x:f>IF('Official Ranking v2'!B116="","",'Official Ranking v2'!X116)</x:f>
      </x:c>
      <x:c r="I115" s="262" t="str">
        <x:f>IF('Official Ranking v2'!B116="","",'Official Ranking v2'!V116)</x:f>
      </x:c>
      <x:c r="J115" s="262" t="str">
        <x:f>IF(C115="","",LOWER(SUBSTITUTE(SUBSTITUTE(C115," ","-"),".","")))</x:f>
      </x:c>
    </x:row>
    <x:row r="116">
      <x:c r="A116" s="262" t="str">
        <x:f>IF('Official Ranking v2'!B117="","",'Official Ranking v2'!A117)</x:f>
      </x:c>
      <x:c r="B116" s="262" t="str">
        <x:f>IFERROR(INDEX('Player Registry'!$A$2:$A$205,MATCH(C116,'Player Registry'!$C$2:$C$205,0)),"")</x:f>
      </x:c>
      <x:c r="C116" s="262" t="str">
        <x:f>IF('Official Ranking v2'!B117="","",'Official Ranking v2'!B117)</x:f>
      </x:c>
      <x:c r="D116" s="262" t="str">
        <x:f>IF('Official Ranking v2'!B117="","",'Official Ranking v2'!C117)</x:f>
      </x:c>
      <x:c r="E116" s="267" t="str">
        <x:f>IF('Official Ranking v2'!B117="","",'Official Ranking v2'!S117)</x:f>
      </x:c>
      <x:c r="F116" s="262" t="str">
        <x:f>IF('Official Ranking v2'!B117="","",'Official Ranking v2'!T117)</x:f>
      </x:c>
      <x:c r="G116" s="262" t="str">
        <x:f>IF('Official Ranking v2'!B117="","",'Official Ranking v2'!W117)</x:f>
      </x:c>
      <x:c r="H116" s="262" t="str">
        <x:f>IF('Official Ranking v2'!B117="","",'Official Ranking v2'!X117)</x:f>
      </x:c>
      <x:c r="I116" s="262" t="str">
        <x:f>IF('Official Ranking v2'!B117="","",'Official Ranking v2'!V117)</x:f>
      </x:c>
      <x:c r="J116" s="262" t="str">
        <x:f>IF(C116="","",LOWER(SUBSTITUTE(SUBSTITUTE(C116," ","-"),".","")))</x:f>
      </x:c>
    </x:row>
    <x:row r="117">
      <x:c r="A117" s="262" t="str">
        <x:f>IF('Official Ranking v2'!B118="","",'Official Ranking v2'!A118)</x:f>
      </x:c>
      <x:c r="B117" s="262" t="str">
        <x:f>IFERROR(INDEX('Player Registry'!$A$2:$A$205,MATCH(C117,'Player Registry'!$C$2:$C$205,0)),"")</x:f>
      </x:c>
      <x:c r="C117" s="262" t="str">
        <x:f>IF('Official Ranking v2'!B118="","",'Official Ranking v2'!B118)</x:f>
      </x:c>
      <x:c r="D117" s="262" t="str">
        <x:f>IF('Official Ranking v2'!B118="","",'Official Ranking v2'!C118)</x:f>
      </x:c>
      <x:c r="E117" s="267" t="str">
        <x:f>IF('Official Ranking v2'!B118="","",'Official Ranking v2'!S118)</x:f>
      </x:c>
      <x:c r="F117" s="262" t="str">
        <x:f>IF('Official Ranking v2'!B118="","",'Official Ranking v2'!T118)</x:f>
      </x:c>
      <x:c r="G117" s="262" t="str">
        <x:f>IF('Official Ranking v2'!B118="","",'Official Ranking v2'!W118)</x:f>
      </x:c>
      <x:c r="H117" s="262" t="str">
        <x:f>IF('Official Ranking v2'!B118="","",'Official Ranking v2'!X118)</x:f>
      </x:c>
      <x:c r="I117" s="262" t="str">
        <x:f>IF('Official Ranking v2'!B118="","",'Official Ranking v2'!V118)</x:f>
      </x:c>
      <x:c r="J117" s="262" t="str">
        <x:f>IF(C117="","",LOWER(SUBSTITUTE(SUBSTITUTE(C117," ","-"),".","")))</x:f>
      </x:c>
    </x:row>
    <x:row r="118">
      <x:c r="A118" s="262" t="str">
        <x:f>IF('Official Ranking v2'!B119="","",'Official Ranking v2'!A119)</x:f>
      </x:c>
      <x:c r="B118" s="262" t="str">
        <x:f>IFERROR(INDEX('Player Registry'!$A$2:$A$205,MATCH(C118,'Player Registry'!$C$2:$C$205,0)),"")</x:f>
      </x:c>
      <x:c r="C118" s="262" t="str">
        <x:f>IF('Official Ranking v2'!B119="","",'Official Ranking v2'!B119)</x:f>
      </x:c>
      <x:c r="D118" s="262" t="str">
        <x:f>IF('Official Ranking v2'!B119="","",'Official Ranking v2'!C119)</x:f>
      </x:c>
      <x:c r="E118" s="267" t="str">
        <x:f>IF('Official Ranking v2'!B119="","",'Official Ranking v2'!S119)</x:f>
      </x:c>
      <x:c r="F118" s="262" t="str">
        <x:f>IF('Official Ranking v2'!B119="","",'Official Ranking v2'!T119)</x:f>
      </x:c>
      <x:c r="G118" s="262" t="str">
        <x:f>IF('Official Ranking v2'!B119="","",'Official Ranking v2'!W119)</x:f>
      </x:c>
      <x:c r="H118" s="262" t="str">
        <x:f>IF('Official Ranking v2'!B119="","",'Official Ranking v2'!X119)</x:f>
      </x:c>
      <x:c r="I118" s="262" t="str">
        <x:f>IF('Official Ranking v2'!B119="","",'Official Ranking v2'!V119)</x:f>
      </x:c>
      <x:c r="J118" s="262" t="str">
        <x:f>IF(C118="","",LOWER(SUBSTITUTE(SUBSTITUTE(C118," ","-"),".","")))</x:f>
      </x:c>
    </x:row>
    <x:row r="119">
      <x:c r="A119" s="262" t="str">
        <x:f>IF('Official Ranking v2'!B120="","",'Official Ranking v2'!A120)</x:f>
      </x:c>
      <x:c r="B119" s="262" t="str">
        <x:f>IFERROR(INDEX('Player Registry'!$A$2:$A$205,MATCH(C119,'Player Registry'!$C$2:$C$205,0)),"")</x:f>
      </x:c>
      <x:c r="C119" s="262" t="str">
        <x:f>IF('Official Ranking v2'!B120="","",'Official Ranking v2'!B120)</x:f>
      </x:c>
      <x:c r="D119" s="262" t="str">
        <x:f>IF('Official Ranking v2'!B120="","",'Official Ranking v2'!C120)</x:f>
      </x:c>
      <x:c r="E119" s="267" t="str">
        <x:f>IF('Official Ranking v2'!B120="","",'Official Ranking v2'!S120)</x:f>
      </x:c>
      <x:c r="F119" s="262" t="str">
        <x:f>IF('Official Ranking v2'!B120="","",'Official Ranking v2'!T120)</x:f>
      </x:c>
      <x:c r="G119" s="262" t="str">
        <x:f>IF('Official Ranking v2'!B120="","",'Official Ranking v2'!W120)</x:f>
      </x:c>
      <x:c r="H119" s="262" t="str">
        <x:f>IF('Official Ranking v2'!B120="","",'Official Ranking v2'!X120)</x:f>
      </x:c>
      <x:c r="I119" s="262" t="str">
        <x:f>IF('Official Ranking v2'!B120="","",'Official Ranking v2'!V120)</x:f>
      </x:c>
      <x:c r="J119" s="262" t="str">
        <x:f>IF(C119="","",LOWER(SUBSTITUTE(SUBSTITUTE(C119," ","-"),".","")))</x:f>
      </x:c>
    </x:row>
    <x:row r="120">
      <x:c r="A120" s="262" t="str">
        <x:f>IF('Official Ranking v2'!B121="","",'Official Ranking v2'!A121)</x:f>
      </x:c>
      <x:c r="B120" s="262" t="str">
        <x:f>IFERROR(INDEX('Player Registry'!$A$2:$A$205,MATCH(C120,'Player Registry'!$C$2:$C$205,0)),"")</x:f>
      </x:c>
      <x:c r="C120" s="262" t="str">
        <x:f>IF('Official Ranking v2'!B121="","",'Official Ranking v2'!B121)</x:f>
      </x:c>
      <x:c r="D120" s="262" t="str">
        <x:f>IF('Official Ranking v2'!B121="","",'Official Ranking v2'!C121)</x:f>
      </x:c>
      <x:c r="E120" s="267" t="str">
        <x:f>IF('Official Ranking v2'!B121="","",'Official Ranking v2'!S121)</x:f>
      </x:c>
      <x:c r="F120" s="262" t="str">
        <x:f>IF('Official Ranking v2'!B121="","",'Official Ranking v2'!T121)</x:f>
      </x:c>
      <x:c r="G120" s="262" t="str">
        <x:f>IF('Official Ranking v2'!B121="","",'Official Ranking v2'!W121)</x:f>
      </x:c>
      <x:c r="H120" s="262" t="str">
        <x:f>IF('Official Ranking v2'!B121="","",'Official Ranking v2'!X121)</x:f>
      </x:c>
      <x:c r="I120" s="262" t="str">
        <x:f>IF('Official Ranking v2'!B121="","",'Official Ranking v2'!V121)</x:f>
      </x:c>
      <x:c r="J120" s="262" t="str">
        <x:f>IF(C120="","",LOWER(SUBSTITUTE(SUBSTITUTE(C120," ","-"),".","")))</x:f>
      </x:c>
    </x:row>
    <x:row r="121">
      <x:c r="A121" s="262" t="str">
        <x:f>IF('Official Ranking v2'!B122="","",'Official Ranking v2'!A122)</x:f>
      </x:c>
      <x:c r="B121" s="262" t="str">
        <x:f>IFERROR(INDEX('Player Registry'!$A$2:$A$205,MATCH(C121,'Player Registry'!$C$2:$C$205,0)),"")</x:f>
      </x:c>
      <x:c r="C121" s="262" t="str">
        <x:f>IF('Official Ranking v2'!B122="","",'Official Ranking v2'!B122)</x:f>
      </x:c>
      <x:c r="D121" s="262" t="str">
        <x:f>IF('Official Ranking v2'!B122="","",'Official Ranking v2'!C122)</x:f>
      </x:c>
      <x:c r="E121" s="267" t="str">
        <x:f>IF('Official Ranking v2'!B122="","",'Official Ranking v2'!S122)</x:f>
      </x:c>
      <x:c r="F121" s="262" t="str">
        <x:f>IF('Official Ranking v2'!B122="","",'Official Ranking v2'!T122)</x:f>
      </x:c>
      <x:c r="G121" s="262" t="str">
        <x:f>IF('Official Ranking v2'!B122="","",'Official Ranking v2'!W122)</x:f>
      </x:c>
      <x:c r="H121" s="262" t="str">
        <x:f>IF('Official Ranking v2'!B122="","",'Official Ranking v2'!X122)</x:f>
      </x:c>
      <x:c r="I121" s="262" t="str">
        <x:f>IF('Official Ranking v2'!B122="","",'Official Ranking v2'!V122)</x:f>
      </x:c>
      <x:c r="J121" s="262" t="str">
        <x:f>IF(C121="","",LOWER(SUBSTITUTE(SUBSTITUTE(C121," ","-"),".","")))</x:f>
      </x:c>
    </x:row>
    <x:row r="122">
      <x:c r="A122" s="262" t="str">
        <x:f>IF('Official Ranking v2'!B123="","",'Official Ranking v2'!A123)</x:f>
      </x:c>
      <x:c r="B122" s="262" t="str">
        <x:f>IFERROR(INDEX('Player Registry'!$A$2:$A$205,MATCH(C122,'Player Registry'!$C$2:$C$205,0)),"")</x:f>
      </x:c>
      <x:c r="C122" s="262" t="str">
        <x:f>IF('Official Ranking v2'!B123="","",'Official Ranking v2'!B123)</x:f>
      </x:c>
      <x:c r="D122" s="262" t="str">
        <x:f>IF('Official Ranking v2'!B123="","",'Official Ranking v2'!C123)</x:f>
      </x:c>
      <x:c r="E122" s="267" t="str">
        <x:f>IF('Official Ranking v2'!B123="","",'Official Ranking v2'!S123)</x:f>
      </x:c>
      <x:c r="F122" s="262" t="str">
        <x:f>IF('Official Ranking v2'!B123="","",'Official Ranking v2'!T123)</x:f>
      </x:c>
      <x:c r="G122" s="262" t="str">
        <x:f>IF('Official Ranking v2'!B123="","",'Official Ranking v2'!W123)</x:f>
      </x:c>
      <x:c r="H122" s="262" t="str">
        <x:f>IF('Official Ranking v2'!B123="","",'Official Ranking v2'!X123)</x:f>
      </x:c>
      <x:c r="I122" s="262" t="str">
        <x:f>IF('Official Ranking v2'!B123="","",'Official Ranking v2'!V123)</x:f>
      </x:c>
      <x:c r="J122" s="262" t="str">
        <x:f>IF(C122="","",LOWER(SUBSTITUTE(SUBSTITUTE(C122," ","-"),".","")))</x:f>
      </x:c>
    </x:row>
    <x:row r="123">
      <x:c r="A123" s="262" t="str">
        <x:f>IF('Official Ranking v2'!B124="","",'Official Ranking v2'!A124)</x:f>
      </x:c>
      <x:c r="B123" s="262" t="str">
        <x:f>IFERROR(INDEX('Player Registry'!$A$2:$A$205,MATCH(C123,'Player Registry'!$C$2:$C$205,0)),"")</x:f>
      </x:c>
      <x:c r="C123" s="262" t="str">
        <x:f>IF('Official Ranking v2'!B124="","",'Official Ranking v2'!B124)</x:f>
      </x:c>
      <x:c r="D123" s="262" t="str">
        <x:f>IF('Official Ranking v2'!B124="","",'Official Ranking v2'!C124)</x:f>
      </x:c>
      <x:c r="E123" s="267" t="str">
        <x:f>IF('Official Ranking v2'!B124="","",'Official Ranking v2'!S124)</x:f>
      </x:c>
      <x:c r="F123" s="262" t="str">
        <x:f>IF('Official Ranking v2'!B124="","",'Official Ranking v2'!T124)</x:f>
      </x:c>
      <x:c r="G123" s="262" t="str">
        <x:f>IF('Official Ranking v2'!B124="","",'Official Ranking v2'!W124)</x:f>
      </x:c>
      <x:c r="H123" s="262" t="str">
        <x:f>IF('Official Ranking v2'!B124="","",'Official Ranking v2'!X124)</x:f>
      </x:c>
      <x:c r="I123" s="262" t="str">
        <x:f>IF('Official Ranking v2'!B124="","",'Official Ranking v2'!V124)</x:f>
      </x:c>
      <x:c r="J123" s="262" t="str">
        <x:f>IF(C123="","",LOWER(SUBSTITUTE(SUBSTITUTE(C123," ","-"),".","")))</x:f>
      </x:c>
    </x:row>
    <x:row r="124">
      <x:c r="A124" s="262" t="str">
        <x:f>IF('Official Ranking v2'!B125="","",'Official Ranking v2'!A125)</x:f>
      </x:c>
      <x:c r="B124" s="262" t="str">
        <x:f>IFERROR(INDEX('Player Registry'!$A$2:$A$205,MATCH(C124,'Player Registry'!$C$2:$C$205,0)),"")</x:f>
      </x:c>
      <x:c r="C124" s="262" t="str">
        <x:f>IF('Official Ranking v2'!B125="","",'Official Ranking v2'!B125)</x:f>
      </x:c>
      <x:c r="D124" s="262" t="str">
        <x:f>IF('Official Ranking v2'!B125="","",'Official Ranking v2'!C125)</x:f>
      </x:c>
      <x:c r="E124" s="267" t="str">
        <x:f>IF('Official Ranking v2'!B125="","",'Official Ranking v2'!S125)</x:f>
      </x:c>
      <x:c r="F124" s="262" t="str">
        <x:f>IF('Official Ranking v2'!B125="","",'Official Ranking v2'!T125)</x:f>
      </x:c>
      <x:c r="G124" s="262" t="str">
        <x:f>IF('Official Ranking v2'!B125="","",'Official Ranking v2'!W125)</x:f>
      </x:c>
      <x:c r="H124" s="262" t="str">
        <x:f>IF('Official Ranking v2'!B125="","",'Official Ranking v2'!X125)</x:f>
      </x:c>
      <x:c r="I124" s="262" t="str">
        <x:f>IF('Official Ranking v2'!B125="","",'Official Ranking v2'!V125)</x:f>
      </x:c>
      <x:c r="J124" s="262" t="str">
        <x:f>IF(C124="","",LOWER(SUBSTITUTE(SUBSTITUTE(C124," ","-"),".","")))</x:f>
      </x:c>
    </x:row>
    <x:row r="125">
      <x:c r="A125" s="262" t="str">
        <x:f>IF('Official Ranking v2'!B126="","",'Official Ranking v2'!A126)</x:f>
      </x:c>
      <x:c r="B125" s="262" t="str">
        <x:f>IFERROR(INDEX('Player Registry'!$A$2:$A$205,MATCH(C125,'Player Registry'!$C$2:$C$205,0)),"")</x:f>
      </x:c>
      <x:c r="C125" s="262" t="str">
        <x:f>IF('Official Ranking v2'!B126="","",'Official Ranking v2'!B126)</x:f>
      </x:c>
      <x:c r="D125" s="262" t="str">
        <x:f>IF('Official Ranking v2'!B126="","",'Official Ranking v2'!C126)</x:f>
      </x:c>
      <x:c r="E125" s="267" t="str">
        <x:f>IF('Official Ranking v2'!B126="","",'Official Ranking v2'!S126)</x:f>
      </x:c>
      <x:c r="F125" s="262" t="str">
        <x:f>IF('Official Ranking v2'!B126="","",'Official Ranking v2'!T126)</x:f>
      </x:c>
      <x:c r="G125" s="262" t="str">
        <x:f>IF('Official Ranking v2'!B126="","",'Official Ranking v2'!W126)</x:f>
      </x:c>
      <x:c r="H125" s="262" t="str">
        <x:f>IF('Official Ranking v2'!B126="","",'Official Ranking v2'!X126)</x:f>
      </x:c>
      <x:c r="I125" s="262" t="str">
        <x:f>IF('Official Ranking v2'!B126="","",'Official Ranking v2'!V126)</x:f>
      </x:c>
      <x:c r="J125" s="262" t="str">
        <x:f>IF(C125="","",LOWER(SUBSTITUTE(SUBSTITUTE(C125," ","-"),".","")))</x:f>
      </x:c>
    </x:row>
    <x:row r="126">
      <x:c r="A126" s="262" t="str">
        <x:f>IF('Official Ranking v2'!B127="","",'Official Ranking v2'!A127)</x:f>
      </x:c>
      <x:c r="B126" s="262" t="str">
        <x:f>IFERROR(INDEX('Player Registry'!$A$2:$A$205,MATCH(C126,'Player Registry'!$C$2:$C$205,0)),"")</x:f>
      </x:c>
      <x:c r="C126" s="262" t="str">
        <x:f>IF('Official Ranking v2'!B127="","",'Official Ranking v2'!B127)</x:f>
      </x:c>
      <x:c r="D126" s="262" t="str">
        <x:f>IF('Official Ranking v2'!B127="","",'Official Ranking v2'!C127)</x:f>
      </x:c>
      <x:c r="E126" s="267" t="str">
        <x:f>IF('Official Ranking v2'!B127="","",'Official Ranking v2'!S127)</x:f>
      </x:c>
      <x:c r="F126" s="262" t="str">
        <x:f>IF('Official Ranking v2'!B127="","",'Official Ranking v2'!T127)</x:f>
      </x:c>
      <x:c r="G126" s="262" t="str">
        <x:f>IF('Official Ranking v2'!B127="","",'Official Ranking v2'!W127)</x:f>
      </x:c>
      <x:c r="H126" s="262" t="str">
        <x:f>IF('Official Ranking v2'!B127="","",'Official Ranking v2'!X127)</x:f>
      </x:c>
      <x:c r="I126" s="262" t="str">
        <x:f>IF('Official Ranking v2'!B127="","",'Official Ranking v2'!V127)</x:f>
      </x:c>
      <x:c r="J126" s="262" t="str">
        <x:f>IF(C126="","",LOWER(SUBSTITUTE(SUBSTITUTE(C126," ","-"),".","")))</x:f>
      </x:c>
    </x:row>
    <x:row r="127">
      <x:c r="A127" s="262" t="str">
        <x:f>IF('Official Ranking v2'!B128="","",'Official Ranking v2'!A128)</x:f>
      </x:c>
      <x:c r="B127" s="262" t="str">
        <x:f>IFERROR(INDEX('Player Registry'!$A$2:$A$205,MATCH(C127,'Player Registry'!$C$2:$C$205,0)),"")</x:f>
      </x:c>
      <x:c r="C127" s="262" t="str">
        <x:f>IF('Official Ranking v2'!B128="","",'Official Ranking v2'!B128)</x:f>
      </x:c>
      <x:c r="D127" s="262" t="str">
        <x:f>IF('Official Ranking v2'!B128="","",'Official Ranking v2'!C128)</x:f>
      </x:c>
      <x:c r="E127" s="267" t="str">
        <x:f>IF('Official Ranking v2'!B128="","",'Official Ranking v2'!S128)</x:f>
      </x:c>
      <x:c r="F127" s="262" t="str">
        <x:f>IF('Official Ranking v2'!B128="","",'Official Ranking v2'!T128)</x:f>
      </x:c>
      <x:c r="G127" s="262" t="str">
        <x:f>IF('Official Ranking v2'!B128="","",'Official Ranking v2'!W128)</x:f>
      </x:c>
      <x:c r="H127" s="262" t="str">
        <x:f>IF('Official Ranking v2'!B128="","",'Official Ranking v2'!X128)</x:f>
      </x:c>
      <x:c r="I127" s="262" t="str">
        <x:f>IF('Official Ranking v2'!B128="","",'Official Ranking v2'!V128)</x:f>
      </x:c>
      <x:c r="J127" s="262" t="str">
        <x:f>IF(C127="","",LOWER(SUBSTITUTE(SUBSTITUTE(C127," ","-"),".","")))</x:f>
      </x:c>
    </x:row>
    <x:row r="128">
      <x:c r="A128" s="262" t="str">
        <x:f>IF('Official Ranking v2'!B129="","",'Official Ranking v2'!A129)</x:f>
      </x:c>
      <x:c r="B128" s="262" t="str">
        <x:f>IFERROR(INDEX('Player Registry'!$A$2:$A$205,MATCH(C128,'Player Registry'!$C$2:$C$205,0)),"")</x:f>
      </x:c>
      <x:c r="C128" s="262" t="str">
        <x:f>IF('Official Ranking v2'!B129="","",'Official Ranking v2'!B129)</x:f>
      </x:c>
      <x:c r="D128" s="262" t="str">
        <x:f>IF('Official Ranking v2'!B129="","",'Official Ranking v2'!C129)</x:f>
      </x:c>
      <x:c r="E128" s="267" t="str">
        <x:f>IF('Official Ranking v2'!B129="","",'Official Ranking v2'!S129)</x:f>
      </x:c>
      <x:c r="F128" s="262" t="str">
        <x:f>IF('Official Ranking v2'!B129="","",'Official Ranking v2'!T129)</x:f>
      </x:c>
      <x:c r="G128" s="262" t="str">
        <x:f>IF('Official Ranking v2'!B129="","",'Official Ranking v2'!W129)</x:f>
      </x:c>
      <x:c r="H128" s="262" t="str">
        <x:f>IF('Official Ranking v2'!B129="","",'Official Ranking v2'!X129)</x:f>
      </x:c>
      <x:c r="I128" s="262" t="str">
        <x:f>IF('Official Ranking v2'!B129="","",'Official Ranking v2'!V129)</x:f>
      </x:c>
      <x:c r="J128" s="262" t="str">
        <x:f>IF(C128="","",LOWER(SUBSTITUTE(SUBSTITUTE(C128," ","-"),".","")))</x:f>
      </x:c>
    </x:row>
    <x:row r="129">
      <x:c r="A129" s="262" t="str">
        <x:f>IF('Official Ranking v2'!B130="","",'Official Ranking v2'!A130)</x:f>
      </x:c>
      <x:c r="B129" s="262" t="str">
        <x:f>IFERROR(INDEX('Player Registry'!$A$2:$A$205,MATCH(C129,'Player Registry'!$C$2:$C$205,0)),"")</x:f>
      </x:c>
      <x:c r="C129" s="262" t="str">
        <x:f>IF('Official Ranking v2'!B130="","",'Official Ranking v2'!B130)</x:f>
      </x:c>
      <x:c r="D129" s="262" t="str">
        <x:f>IF('Official Ranking v2'!B130="","",'Official Ranking v2'!C130)</x:f>
      </x:c>
      <x:c r="E129" s="267" t="str">
        <x:f>IF('Official Ranking v2'!B130="","",'Official Ranking v2'!S130)</x:f>
      </x:c>
      <x:c r="F129" s="262" t="str">
        <x:f>IF('Official Ranking v2'!B130="","",'Official Ranking v2'!T130)</x:f>
      </x:c>
      <x:c r="G129" s="262" t="str">
        <x:f>IF('Official Ranking v2'!B130="","",'Official Ranking v2'!W130)</x:f>
      </x:c>
      <x:c r="H129" s="262" t="str">
        <x:f>IF('Official Ranking v2'!B130="","",'Official Ranking v2'!X130)</x:f>
      </x:c>
      <x:c r="I129" s="262" t="str">
        <x:f>IF('Official Ranking v2'!B130="","",'Official Ranking v2'!V130)</x:f>
      </x:c>
      <x:c r="J129" s="262" t="str">
        <x:f>IF(C129="","",LOWER(SUBSTITUTE(SUBSTITUTE(C129," ","-"),".","")))</x:f>
      </x:c>
    </x:row>
    <x:row r="130">
      <x:c r="A130" s="262" t="str">
        <x:f>IF('Official Ranking v2'!B131="","",'Official Ranking v2'!A131)</x:f>
      </x:c>
      <x:c r="B130" s="262" t="str">
        <x:f>IFERROR(INDEX('Player Registry'!$A$2:$A$205,MATCH(C130,'Player Registry'!$C$2:$C$205,0)),"")</x:f>
      </x:c>
      <x:c r="C130" s="262" t="str">
        <x:f>IF('Official Ranking v2'!B131="","",'Official Ranking v2'!B131)</x:f>
      </x:c>
      <x:c r="D130" s="262" t="str">
        <x:f>IF('Official Ranking v2'!B131="","",'Official Ranking v2'!C131)</x:f>
      </x:c>
      <x:c r="E130" s="267" t="str">
        <x:f>IF('Official Ranking v2'!B131="","",'Official Ranking v2'!S131)</x:f>
      </x:c>
      <x:c r="F130" s="262" t="str">
        <x:f>IF('Official Ranking v2'!B131="","",'Official Ranking v2'!T131)</x:f>
      </x:c>
      <x:c r="G130" s="262" t="str">
        <x:f>IF('Official Ranking v2'!B131="","",'Official Ranking v2'!W131)</x:f>
      </x:c>
      <x:c r="H130" s="262" t="str">
        <x:f>IF('Official Ranking v2'!B131="","",'Official Ranking v2'!X131)</x:f>
      </x:c>
      <x:c r="I130" s="262" t="str">
        <x:f>IF('Official Ranking v2'!B131="","",'Official Ranking v2'!V131)</x:f>
      </x:c>
      <x:c r="J130" s="262" t="str">
        <x:f>IF(C130="","",LOWER(SUBSTITUTE(SUBSTITUTE(C130," ","-"),".","")))</x:f>
      </x:c>
    </x:row>
    <x:row r="131">
      <x:c r="A131" s="262" t="str">
        <x:f>IF('Official Ranking v2'!B132="","",'Official Ranking v2'!A132)</x:f>
      </x:c>
      <x:c r="B131" s="262" t="str">
        <x:f>IFERROR(INDEX('Player Registry'!$A$2:$A$205,MATCH(C131,'Player Registry'!$C$2:$C$205,0)),"")</x:f>
      </x:c>
      <x:c r="C131" s="262" t="str">
        <x:f>IF('Official Ranking v2'!B132="","",'Official Ranking v2'!B132)</x:f>
      </x:c>
      <x:c r="D131" s="262" t="str">
        <x:f>IF('Official Ranking v2'!B132="","",'Official Ranking v2'!C132)</x:f>
      </x:c>
      <x:c r="E131" s="267" t="str">
        <x:f>IF('Official Ranking v2'!B132="","",'Official Ranking v2'!S132)</x:f>
      </x:c>
      <x:c r="F131" s="262" t="str">
        <x:f>IF('Official Ranking v2'!B132="","",'Official Ranking v2'!T132)</x:f>
      </x:c>
      <x:c r="G131" s="262" t="str">
        <x:f>IF('Official Ranking v2'!B132="","",'Official Ranking v2'!W132)</x:f>
      </x:c>
      <x:c r="H131" s="262" t="str">
        <x:f>IF('Official Ranking v2'!B132="","",'Official Ranking v2'!X132)</x:f>
      </x:c>
      <x:c r="I131" s="262" t="str">
        <x:f>IF('Official Ranking v2'!B132="","",'Official Ranking v2'!V132)</x:f>
      </x:c>
      <x:c r="J131" s="262" t="str">
        <x:f>IF(C131="","",LOWER(SUBSTITUTE(SUBSTITUTE(C131," ","-"),".","")))</x:f>
      </x:c>
    </x:row>
    <x:row r="132">
      <x:c r="A132" s="262" t="str">
        <x:f>IF('Official Ranking v2'!B133="","",'Official Ranking v2'!A133)</x:f>
      </x:c>
      <x:c r="B132" s="262" t="str">
        <x:f>IFERROR(INDEX('Player Registry'!$A$2:$A$205,MATCH(C132,'Player Registry'!$C$2:$C$205,0)),"")</x:f>
      </x:c>
      <x:c r="C132" s="262" t="str">
        <x:f>IF('Official Ranking v2'!B133="","",'Official Ranking v2'!B133)</x:f>
      </x:c>
      <x:c r="D132" s="262" t="str">
        <x:f>IF('Official Ranking v2'!B133="","",'Official Ranking v2'!C133)</x:f>
      </x:c>
      <x:c r="E132" s="267" t="str">
        <x:f>IF('Official Ranking v2'!B133="","",'Official Ranking v2'!S133)</x:f>
      </x:c>
      <x:c r="F132" s="262" t="str">
        <x:f>IF('Official Ranking v2'!B133="","",'Official Ranking v2'!T133)</x:f>
      </x:c>
      <x:c r="G132" s="262" t="str">
        <x:f>IF('Official Ranking v2'!B133="","",'Official Ranking v2'!W133)</x:f>
      </x:c>
      <x:c r="H132" s="262" t="str">
        <x:f>IF('Official Ranking v2'!B133="","",'Official Ranking v2'!X133)</x:f>
      </x:c>
      <x:c r="I132" s="262" t="str">
        <x:f>IF('Official Ranking v2'!B133="","",'Official Ranking v2'!V133)</x:f>
      </x:c>
      <x:c r="J132" s="262" t="str">
        <x:f>IF(C132="","",LOWER(SUBSTITUTE(SUBSTITUTE(C132," ","-"),".","")))</x:f>
      </x:c>
    </x:row>
    <x:row r="133">
      <x:c r="A133" s="262" t="str">
        <x:f>IF('Official Ranking v2'!B134="","",'Official Ranking v2'!A134)</x:f>
      </x:c>
      <x:c r="B133" s="262" t="str">
        <x:f>IFERROR(INDEX('Player Registry'!$A$2:$A$205,MATCH(C133,'Player Registry'!$C$2:$C$205,0)),"")</x:f>
      </x:c>
      <x:c r="C133" s="262" t="str">
        <x:f>IF('Official Ranking v2'!B134="","",'Official Ranking v2'!B134)</x:f>
      </x:c>
      <x:c r="D133" s="262" t="str">
        <x:f>IF('Official Ranking v2'!B134="","",'Official Ranking v2'!C134)</x:f>
      </x:c>
      <x:c r="E133" s="267" t="str">
        <x:f>IF('Official Ranking v2'!B134="","",'Official Ranking v2'!S134)</x:f>
      </x:c>
      <x:c r="F133" s="262" t="str">
        <x:f>IF('Official Ranking v2'!B134="","",'Official Ranking v2'!T134)</x:f>
      </x:c>
      <x:c r="G133" s="262" t="str">
        <x:f>IF('Official Ranking v2'!B134="","",'Official Ranking v2'!W134)</x:f>
      </x:c>
      <x:c r="H133" s="262" t="str">
        <x:f>IF('Official Ranking v2'!B134="","",'Official Ranking v2'!X134)</x:f>
      </x:c>
      <x:c r="I133" s="262" t="str">
        <x:f>IF('Official Ranking v2'!B134="","",'Official Ranking v2'!V134)</x:f>
      </x:c>
      <x:c r="J133" s="262" t="str">
        <x:f>IF(C133="","",LOWER(SUBSTITUTE(SUBSTITUTE(C133," ","-"),".","")))</x:f>
      </x:c>
    </x:row>
    <x:row r="134">
      <x:c r="A134" s="262" t="str">
        <x:f>IF('Official Ranking v2'!B135="","",'Official Ranking v2'!A135)</x:f>
      </x:c>
      <x:c r="B134" s="262" t="str">
        <x:f>IFERROR(INDEX('Player Registry'!$A$2:$A$205,MATCH(C134,'Player Registry'!$C$2:$C$205,0)),"")</x:f>
      </x:c>
      <x:c r="C134" s="262" t="str">
        <x:f>IF('Official Ranking v2'!B135="","",'Official Ranking v2'!B135)</x:f>
      </x:c>
      <x:c r="D134" s="262" t="str">
        <x:f>IF('Official Ranking v2'!B135="","",'Official Ranking v2'!C135)</x:f>
      </x:c>
      <x:c r="E134" s="267" t="str">
        <x:f>IF('Official Ranking v2'!B135="","",'Official Ranking v2'!S135)</x:f>
      </x:c>
      <x:c r="F134" s="262" t="str">
        <x:f>IF('Official Ranking v2'!B135="","",'Official Ranking v2'!T135)</x:f>
      </x:c>
      <x:c r="G134" s="262" t="str">
        <x:f>IF('Official Ranking v2'!B135="","",'Official Ranking v2'!W135)</x:f>
      </x:c>
      <x:c r="H134" s="262" t="str">
        <x:f>IF('Official Ranking v2'!B135="","",'Official Ranking v2'!X135)</x:f>
      </x:c>
      <x:c r="I134" s="262" t="str">
        <x:f>IF('Official Ranking v2'!B135="","",'Official Ranking v2'!V135)</x:f>
      </x:c>
      <x:c r="J134" s="262" t="str">
        <x:f>IF(C134="","",LOWER(SUBSTITUTE(SUBSTITUTE(C134," ","-"),".","")))</x:f>
      </x:c>
    </x:row>
    <x:row r="135">
      <x:c r="A135" s="262" t="str">
        <x:f>IF('Official Ranking v2'!B136="","",'Official Ranking v2'!A136)</x:f>
      </x:c>
      <x:c r="B135" s="262" t="str">
        <x:f>IFERROR(INDEX('Player Registry'!$A$2:$A$205,MATCH(C135,'Player Registry'!$C$2:$C$205,0)),"")</x:f>
      </x:c>
      <x:c r="C135" s="262" t="str">
        <x:f>IF('Official Ranking v2'!B136="","",'Official Ranking v2'!B136)</x:f>
      </x:c>
      <x:c r="D135" s="262" t="str">
        <x:f>IF('Official Ranking v2'!B136="","",'Official Ranking v2'!C136)</x:f>
      </x:c>
      <x:c r="E135" s="267" t="str">
        <x:f>IF('Official Ranking v2'!B136="","",'Official Ranking v2'!S136)</x:f>
      </x:c>
      <x:c r="F135" s="262" t="str">
        <x:f>IF('Official Ranking v2'!B136="","",'Official Ranking v2'!T136)</x:f>
      </x:c>
      <x:c r="G135" s="262" t="str">
        <x:f>IF('Official Ranking v2'!B136="","",'Official Ranking v2'!W136)</x:f>
      </x:c>
      <x:c r="H135" s="262" t="str">
        <x:f>IF('Official Ranking v2'!B136="","",'Official Ranking v2'!X136)</x:f>
      </x:c>
      <x:c r="I135" s="262" t="str">
        <x:f>IF('Official Ranking v2'!B136="","",'Official Ranking v2'!V136)</x:f>
      </x:c>
      <x:c r="J135" s="262" t="str">
        <x:f>IF(C135="","",LOWER(SUBSTITUTE(SUBSTITUTE(C135," ","-"),".","")))</x:f>
      </x:c>
    </x:row>
    <x:row r="136">
      <x:c r="A136" s="262" t="str">
        <x:f>IF('Official Ranking v2'!B137="","",'Official Ranking v2'!A137)</x:f>
      </x:c>
      <x:c r="B136" s="262" t="str">
        <x:f>IFERROR(INDEX('Player Registry'!$A$2:$A$205,MATCH(C136,'Player Registry'!$C$2:$C$205,0)),"")</x:f>
      </x:c>
      <x:c r="C136" s="262" t="str">
        <x:f>IF('Official Ranking v2'!B137="","",'Official Ranking v2'!B137)</x:f>
      </x:c>
      <x:c r="D136" s="262" t="str">
        <x:f>IF('Official Ranking v2'!B137="","",'Official Ranking v2'!C137)</x:f>
      </x:c>
      <x:c r="E136" s="267" t="str">
        <x:f>IF('Official Ranking v2'!B137="","",'Official Ranking v2'!S137)</x:f>
      </x:c>
      <x:c r="F136" s="262" t="str">
        <x:f>IF('Official Ranking v2'!B137="","",'Official Ranking v2'!T137)</x:f>
      </x:c>
      <x:c r="G136" s="262" t="str">
        <x:f>IF('Official Ranking v2'!B137="","",'Official Ranking v2'!W137)</x:f>
      </x:c>
      <x:c r="H136" s="262" t="str">
        <x:f>IF('Official Ranking v2'!B137="","",'Official Ranking v2'!X137)</x:f>
      </x:c>
      <x:c r="I136" s="262" t="str">
        <x:f>IF('Official Ranking v2'!B137="","",'Official Ranking v2'!V137)</x:f>
      </x:c>
      <x:c r="J136" s="262" t="str">
        <x:f>IF(C136="","",LOWER(SUBSTITUTE(SUBSTITUTE(C136," ","-"),".","")))</x:f>
      </x:c>
    </x:row>
    <x:row r="137">
      <x:c r="A137" s="262" t="str">
        <x:f>IF('Official Ranking v2'!B138="","",'Official Ranking v2'!A138)</x:f>
      </x:c>
      <x:c r="B137" s="262" t="str">
        <x:f>IFERROR(INDEX('Player Registry'!$A$2:$A$205,MATCH(C137,'Player Registry'!$C$2:$C$205,0)),"")</x:f>
      </x:c>
      <x:c r="C137" s="262" t="str">
        <x:f>IF('Official Ranking v2'!B138="","",'Official Ranking v2'!B138)</x:f>
      </x:c>
      <x:c r="D137" s="262" t="str">
        <x:f>IF('Official Ranking v2'!B138="","",'Official Ranking v2'!C138)</x:f>
      </x:c>
      <x:c r="E137" s="267" t="str">
        <x:f>IF('Official Ranking v2'!B138="","",'Official Ranking v2'!S138)</x:f>
      </x:c>
      <x:c r="F137" s="262" t="str">
        <x:f>IF('Official Ranking v2'!B138="","",'Official Ranking v2'!T138)</x:f>
      </x:c>
      <x:c r="G137" s="262" t="str">
        <x:f>IF('Official Ranking v2'!B138="","",'Official Ranking v2'!W138)</x:f>
      </x:c>
      <x:c r="H137" s="262" t="str">
        <x:f>IF('Official Ranking v2'!B138="","",'Official Ranking v2'!X138)</x:f>
      </x:c>
      <x:c r="I137" s="262" t="str">
        <x:f>IF('Official Ranking v2'!B138="","",'Official Ranking v2'!V138)</x:f>
      </x:c>
      <x:c r="J137" s="262" t="str">
        <x:f>IF(C137="","",LOWER(SUBSTITUTE(SUBSTITUTE(C137," ","-"),".","")))</x:f>
      </x:c>
    </x:row>
    <x:row r="138">
      <x:c r="A138" s="262" t="str">
        <x:f>IF('Official Ranking v2'!B139="","",'Official Ranking v2'!A139)</x:f>
      </x:c>
      <x:c r="B138" s="262" t="str">
        <x:f>IFERROR(INDEX('Player Registry'!$A$2:$A$205,MATCH(C138,'Player Registry'!$C$2:$C$205,0)),"")</x:f>
      </x:c>
      <x:c r="C138" s="262" t="str">
        <x:f>IF('Official Ranking v2'!B139="","",'Official Ranking v2'!B139)</x:f>
      </x:c>
      <x:c r="D138" s="262" t="str">
        <x:f>IF('Official Ranking v2'!B139="","",'Official Ranking v2'!C139)</x:f>
      </x:c>
      <x:c r="E138" s="267" t="str">
        <x:f>IF('Official Ranking v2'!B139="","",'Official Ranking v2'!S139)</x:f>
      </x:c>
      <x:c r="F138" s="262" t="str">
        <x:f>IF('Official Ranking v2'!B139="","",'Official Ranking v2'!T139)</x:f>
      </x:c>
      <x:c r="G138" s="262" t="str">
        <x:f>IF('Official Ranking v2'!B139="","",'Official Ranking v2'!W139)</x:f>
      </x:c>
      <x:c r="H138" s="262" t="str">
        <x:f>IF('Official Ranking v2'!B139="","",'Official Ranking v2'!X139)</x:f>
      </x:c>
      <x:c r="I138" s="262" t="str">
        <x:f>IF('Official Ranking v2'!B139="","",'Official Ranking v2'!V139)</x:f>
      </x:c>
      <x:c r="J138" s="262" t="str">
        <x:f>IF(C138="","",LOWER(SUBSTITUTE(SUBSTITUTE(C138," ","-"),".","")))</x:f>
      </x:c>
    </x:row>
    <x:row r="139">
      <x:c r="A139" s="262" t="str">
        <x:f>IF('Official Ranking v2'!B140="","",'Official Ranking v2'!A140)</x:f>
      </x:c>
      <x:c r="B139" s="262" t="str">
        <x:f>IFERROR(INDEX('Player Registry'!$A$2:$A$205,MATCH(C139,'Player Registry'!$C$2:$C$205,0)),"")</x:f>
      </x:c>
      <x:c r="C139" s="262" t="str">
        <x:f>IF('Official Ranking v2'!B140="","",'Official Ranking v2'!B140)</x:f>
      </x:c>
      <x:c r="D139" s="262" t="str">
        <x:f>IF('Official Ranking v2'!B140="","",'Official Ranking v2'!C140)</x:f>
      </x:c>
      <x:c r="E139" s="267" t="str">
        <x:f>IF('Official Ranking v2'!B140="","",'Official Ranking v2'!S140)</x:f>
      </x:c>
      <x:c r="F139" s="262" t="str">
        <x:f>IF('Official Ranking v2'!B140="","",'Official Ranking v2'!T140)</x:f>
      </x:c>
      <x:c r="G139" s="262" t="str">
        <x:f>IF('Official Ranking v2'!B140="","",'Official Ranking v2'!W140)</x:f>
      </x:c>
      <x:c r="H139" s="262" t="str">
        <x:f>IF('Official Ranking v2'!B140="","",'Official Ranking v2'!X140)</x:f>
      </x:c>
      <x:c r="I139" s="262" t="str">
        <x:f>IF('Official Ranking v2'!B140="","",'Official Ranking v2'!V140)</x:f>
      </x:c>
      <x:c r="J139" s="262" t="str">
        <x:f>IF(C139="","",LOWER(SUBSTITUTE(SUBSTITUTE(C139," ","-"),".","")))</x:f>
      </x:c>
    </x:row>
    <x:row r="140">
      <x:c r="A140" s="262" t="str">
        <x:f>IF('Official Ranking v2'!B141="","",'Official Ranking v2'!A141)</x:f>
      </x:c>
      <x:c r="B140" s="262" t="str">
        <x:f>IFERROR(INDEX('Player Registry'!$A$2:$A$205,MATCH(C140,'Player Registry'!$C$2:$C$205,0)),"")</x:f>
      </x:c>
      <x:c r="C140" s="262" t="str">
        <x:f>IF('Official Ranking v2'!B141="","",'Official Ranking v2'!B141)</x:f>
      </x:c>
      <x:c r="D140" s="262" t="str">
        <x:f>IF('Official Ranking v2'!B141="","",'Official Ranking v2'!C141)</x:f>
      </x:c>
      <x:c r="E140" s="267" t="str">
        <x:f>IF('Official Ranking v2'!B141="","",'Official Ranking v2'!S141)</x:f>
      </x:c>
      <x:c r="F140" s="262" t="str">
        <x:f>IF('Official Ranking v2'!B141="","",'Official Ranking v2'!T141)</x:f>
      </x:c>
      <x:c r="G140" s="262" t="str">
        <x:f>IF('Official Ranking v2'!B141="","",'Official Ranking v2'!W141)</x:f>
      </x:c>
      <x:c r="H140" s="262" t="str">
        <x:f>IF('Official Ranking v2'!B141="","",'Official Ranking v2'!X141)</x:f>
      </x:c>
      <x:c r="I140" s="262" t="str">
        <x:f>IF('Official Ranking v2'!B141="","",'Official Ranking v2'!V141)</x:f>
      </x:c>
      <x:c r="J140" s="262" t="str">
        <x:f>IF(C140="","",LOWER(SUBSTITUTE(SUBSTITUTE(C140," ","-"),".","")))</x:f>
      </x:c>
    </x:row>
    <x:row r="141">
      <x:c r="A141" s="262" t="str">
        <x:f>IF('Official Ranking v2'!B142="","",'Official Ranking v2'!A142)</x:f>
      </x:c>
      <x:c r="B141" s="262" t="str">
        <x:f>IFERROR(INDEX('Player Registry'!$A$2:$A$205,MATCH(C141,'Player Registry'!$C$2:$C$205,0)),"")</x:f>
      </x:c>
      <x:c r="C141" s="262" t="str">
        <x:f>IF('Official Ranking v2'!B142="","",'Official Ranking v2'!B142)</x:f>
      </x:c>
      <x:c r="D141" s="262" t="str">
        <x:f>IF('Official Ranking v2'!B142="","",'Official Ranking v2'!C142)</x:f>
      </x:c>
      <x:c r="E141" s="267" t="str">
        <x:f>IF('Official Ranking v2'!B142="","",'Official Ranking v2'!S142)</x:f>
      </x:c>
      <x:c r="F141" s="262" t="str">
        <x:f>IF('Official Ranking v2'!B142="","",'Official Ranking v2'!T142)</x:f>
      </x:c>
      <x:c r="G141" s="262" t="str">
        <x:f>IF('Official Ranking v2'!B142="","",'Official Ranking v2'!W142)</x:f>
      </x:c>
      <x:c r="H141" s="262" t="str">
        <x:f>IF('Official Ranking v2'!B142="","",'Official Ranking v2'!X142)</x:f>
      </x:c>
      <x:c r="I141" s="262" t="str">
        <x:f>IF('Official Ranking v2'!B142="","",'Official Ranking v2'!V142)</x:f>
      </x:c>
      <x:c r="J141" s="262" t="str">
        <x:f>IF(C141="","",LOWER(SUBSTITUTE(SUBSTITUTE(C141," ","-"),".","")))</x:f>
      </x:c>
    </x:row>
    <x:row r="142">
      <x:c r="A142" s="262" t="str">
        <x:f>IF('Official Ranking v2'!B143="","",'Official Ranking v2'!A143)</x:f>
      </x:c>
      <x:c r="B142" s="262" t="str">
        <x:f>IFERROR(INDEX('Player Registry'!$A$2:$A$205,MATCH(C142,'Player Registry'!$C$2:$C$205,0)),"")</x:f>
      </x:c>
      <x:c r="C142" s="262" t="str">
        <x:f>IF('Official Ranking v2'!B143="","",'Official Ranking v2'!B143)</x:f>
      </x:c>
      <x:c r="D142" s="262" t="str">
        <x:f>IF('Official Ranking v2'!B143="","",'Official Ranking v2'!C143)</x:f>
      </x:c>
      <x:c r="E142" s="267" t="str">
        <x:f>IF('Official Ranking v2'!B143="","",'Official Ranking v2'!S143)</x:f>
      </x:c>
      <x:c r="F142" s="262" t="str">
        <x:f>IF('Official Ranking v2'!B143="","",'Official Ranking v2'!T143)</x:f>
      </x:c>
      <x:c r="G142" s="262" t="str">
        <x:f>IF('Official Ranking v2'!B143="","",'Official Ranking v2'!W143)</x:f>
      </x:c>
      <x:c r="H142" s="262" t="str">
        <x:f>IF('Official Ranking v2'!B143="","",'Official Ranking v2'!X143)</x:f>
      </x:c>
      <x:c r="I142" s="262" t="str">
        <x:f>IF('Official Ranking v2'!B143="","",'Official Ranking v2'!V143)</x:f>
      </x:c>
      <x:c r="J142" s="262" t="str">
        <x:f>IF(C142="","",LOWER(SUBSTITUTE(SUBSTITUTE(C142," ","-"),".","")))</x:f>
      </x:c>
    </x:row>
    <x:row r="143">
      <x:c r="A143" s="262" t="str">
        <x:f>IF('Official Ranking v2'!B144="","",'Official Ranking v2'!A144)</x:f>
      </x:c>
      <x:c r="B143" s="262" t="str">
        <x:f>IFERROR(INDEX('Player Registry'!$A$2:$A$205,MATCH(C143,'Player Registry'!$C$2:$C$205,0)),"")</x:f>
      </x:c>
      <x:c r="C143" s="262" t="str">
        <x:f>IF('Official Ranking v2'!B144="","",'Official Ranking v2'!B144)</x:f>
      </x:c>
      <x:c r="D143" s="262" t="str">
        <x:f>IF('Official Ranking v2'!B144="","",'Official Ranking v2'!C144)</x:f>
      </x:c>
      <x:c r="E143" s="267" t="str">
        <x:f>IF('Official Ranking v2'!B144="","",'Official Ranking v2'!S144)</x:f>
      </x:c>
      <x:c r="F143" s="262" t="str">
        <x:f>IF('Official Ranking v2'!B144="","",'Official Ranking v2'!T144)</x:f>
      </x:c>
      <x:c r="G143" s="262" t="str">
        <x:f>IF('Official Ranking v2'!B144="","",'Official Ranking v2'!W144)</x:f>
      </x:c>
      <x:c r="H143" s="262" t="str">
        <x:f>IF('Official Ranking v2'!B144="","",'Official Ranking v2'!X144)</x:f>
      </x:c>
      <x:c r="I143" s="262" t="str">
        <x:f>IF('Official Ranking v2'!B144="","",'Official Ranking v2'!V144)</x:f>
      </x:c>
      <x:c r="J143" s="262" t="str">
        <x:f>IF(C143="","",LOWER(SUBSTITUTE(SUBSTITUTE(C143," ","-"),".","")))</x:f>
      </x:c>
    </x:row>
    <x:row r="144">
      <x:c r="A144" s="262" t="str">
        <x:f>IF('Official Ranking v2'!B145="","",'Official Ranking v2'!A145)</x:f>
      </x:c>
      <x:c r="B144" s="262" t="str">
        <x:f>IFERROR(INDEX('Player Registry'!$A$2:$A$205,MATCH(C144,'Player Registry'!$C$2:$C$205,0)),"")</x:f>
      </x:c>
      <x:c r="C144" s="262" t="str">
        <x:f>IF('Official Ranking v2'!B145="","",'Official Ranking v2'!B145)</x:f>
      </x:c>
      <x:c r="D144" s="262" t="str">
        <x:f>IF('Official Ranking v2'!B145="","",'Official Ranking v2'!C145)</x:f>
      </x:c>
      <x:c r="E144" s="267" t="str">
        <x:f>IF('Official Ranking v2'!B145="","",'Official Ranking v2'!S145)</x:f>
      </x:c>
      <x:c r="F144" s="262" t="str">
        <x:f>IF('Official Ranking v2'!B145="","",'Official Ranking v2'!T145)</x:f>
      </x:c>
      <x:c r="G144" s="262" t="str">
        <x:f>IF('Official Ranking v2'!B145="","",'Official Ranking v2'!W145)</x:f>
      </x:c>
      <x:c r="H144" s="262" t="str">
        <x:f>IF('Official Ranking v2'!B145="","",'Official Ranking v2'!X145)</x:f>
      </x:c>
      <x:c r="I144" s="262" t="str">
        <x:f>IF('Official Ranking v2'!B145="","",'Official Ranking v2'!V145)</x:f>
      </x:c>
      <x:c r="J144" s="262" t="str">
        <x:f>IF(C144="","",LOWER(SUBSTITUTE(SUBSTITUTE(C144," ","-"),".","")))</x:f>
      </x:c>
    </x:row>
    <x:row r="145">
      <x:c r="A145" s="262" t="str">
        <x:f>IF('Official Ranking v2'!B146="","",'Official Ranking v2'!A146)</x:f>
      </x:c>
      <x:c r="B145" s="262" t="str">
        <x:f>IFERROR(INDEX('Player Registry'!$A$2:$A$205,MATCH(C145,'Player Registry'!$C$2:$C$205,0)),"")</x:f>
      </x:c>
      <x:c r="C145" s="262" t="str">
        <x:f>IF('Official Ranking v2'!B146="","",'Official Ranking v2'!B146)</x:f>
      </x:c>
      <x:c r="D145" s="262" t="str">
        <x:f>IF('Official Ranking v2'!B146="","",'Official Ranking v2'!C146)</x:f>
      </x:c>
      <x:c r="E145" s="267" t="str">
        <x:f>IF('Official Ranking v2'!B146="","",'Official Ranking v2'!S146)</x:f>
      </x:c>
      <x:c r="F145" s="262" t="str">
        <x:f>IF('Official Ranking v2'!B146="","",'Official Ranking v2'!T146)</x:f>
      </x:c>
      <x:c r="G145" s="262" t="str">
        <x:f>IF('Official Ranking v2'!B146="","",'Official Ranking v2'!W146)</x:f>
      </x:c>
      <x:c r="H145" s="262" t="str">
        <x:f>IF('Official Ranking v2'!B146="","",'Official Ranking v2'!X146)</x:f>
      </x:c>
      <x:c r="I145" s="262" t="str">
        <x:f>IF('Official Ranking v2'!B146="","",'Official Ranking v2'!V146)</x:f>
      </x:c>
      <x:c r="J145" s="262" t="str">
        <x:f>IF(C145="","",LOWER(SUBSTITUTE(SUBSTITUTE(C145," ","-"),".","")))</x:f>
      </x:c>
    </x:row>
    <x:row r="146">
      <x:c r="A146" s="262" t="str">
        <x:f>IF('Official Ranking v2'!B147="","",'Official Ranking v2'!A147)</x:f>
      </x:c>
      <x:c r="B146" s="262" t="str">
        <x:f>IFERROR(INDEX('Player Registry'!$A$2:$A$205,MATCH(C146,'Player Registry'!$C$2:$C$205,0)),"")</x:f>
      </x:c>
      <x:c r="C146" s="262" t="str">
        <x:f>IF('Official Ranking v2'!B147="","",'Official Ranking v2'!B147)</x:f>
      </x:c>
      <x:c r="D146" s="262" t="str">
        <x:f>IF('Official Ranking v2'!B147="","",'Official Ranking v2'!C147)</x:f>
      </x:c>
      <x:c r="E146" s="267" t="str">
        <x:f>IF('Official Ranking v2'!B147="","",'Official Ranking v2'!S147)</x:f>
      </x:c>
      <x:c r="F146" s="262" t="str">
        <x:f>IF('Official Ranking v2'!B147="","",'Official Ranking v2'!T147)</x:f>
      </x:c>
      <x:c r="G146" s="262" t="str">
        <x:f>IF('Official Ranking v2'!B147="","",'Official Ranking v2'!W147)</x:f>
      </x:c>
      <x:c r="H146" s="262" t="str">
        <x:f>IF('Official Ranking v2'!B147="","",'Official Ranking v2'!X147)</x:f>
      </x:c>
      <x:c r="I146" s="262" t="str">
        <x:f>IF('Official Ranking v2'!B147="","",'Official Ranking v2'!V147)</x:f>
      </x:c>
      <x:c r="J146" s="262" t="str">
        <x:f>IF(C146="","",LOWER(SUBSTITUTE(SUBSTITUTE(C146," ","-"),".","")))</x:f>
      </x:c>
    </x:row>
    <x:row r="147">
      <x:c r="A147" s="262" t="str">
        <x:f>IF('Official Ranking v2'!B148="","",'Official Ranking v2'!A148)</x:f>
      </x:c>
      <x:c r="B147" s="262" t="str">
        <x:f>IFERROR(INDEX('Player Registry'!$A$2:$A$205,MATCH(C147,'Player Registry'!$C$2:$C$205,0)),"")</x:f>
      </x:c>
      <x:c r="C147" s="262" t="str">
        <x:f>IF('Official Ranking v2'!B148="","",'Official Ranking v2'!B148)</x:f>
      </x:c>
      <x:c r="D147" s="262" t="str">
        <x:f>IF('Official Ranking v2'!B148="","",'Official Ranking v2'!C148)</x:f>
      </x:c>
      <x:c r="E147" s="267" t="str">
        <x:f>IF('Official Ranking v2'!B148="","",'Official Ranking v2'!S148)</x:f>
      </x:c>
      <x:c r="F147" s="262" t="str">
        <x:f>IF('Official Ranking v2'!B148="","",'Official Ranking v2'!T148)</x:f>
      </x:c>
      <x:c r="G147" s="262" t="str">
        <x:f>IF('Official Ranking v2'!B148="","",'Official Ranking v2'!W148)</x:f>
      </x:c>
      <x:c r="H147" s="262" t="str">
        <x:f>IF('Official Ranking v2'!B148="","",'Official Ranking v2'!X148)</x:f>
      </x:c>
      <x:c r="I147" s="262" t="str">
        <x:f>IF('Official Ranking v2'!B148="","",'Official Ranking v2'!V148)</x:f>
      </x:c>
      <x:c r="J147" s="262" t="str">
        <x:f>IF(C147="","",LOWER(SUBSTITUTE(SUBSTITUTE(C147," ","-"),".","")))</x:f>
      </x:c>
    </x:row>
    <x:row r="148">
      <x:c r="A148" s="262" t="str">
        <x:f>IF('Official Ranking v2'!B149="","",'Official Ranking v2'!A149)</x:f>
      </x:c>
      <x:c r="B148" s="262" t="str">
        <x:f>IFERROR(INDEX('Player Registry'!$A$2:$A$205,MATCH(C148,'Player Registry'!$C$2:$C$205,0)),"")</x:f>
      </x:c>
      <x:c r="C148" s="262" t="str">
        <x:f>IF('Official Ranking v2'!B149="","",'Official Ranking v2'!B149)</x:f>
      </x:c>
      <x:c r="D148" s="262" t="str">
        <x:f>IF('Official Ranking v2'!B149="","",'Official Ranking v2'!C149)</x:f>
      </x:c>
      <x:c r="E148" s="267" t="str">
        <x:f>IF('Official Ranking v2'!B149="","",'Official Ranking v2'!S149)</x:f>
      </x:c>
      <x:c r="F148" s="262" t="str">
        <x:f>IF('Official Ranking v2'!B149="","",'Official Ranking v2'!T149)</x:f>
      </x:c>
      <x:c r="G148" s="262" t="str">
        <x:f>IF('Official Ranking v2'!B149="","",'Official Ranking v2'!W149)</x:f>
      </x:c>
      <x:c r="H148" s="262" t="str">
        <x:f>IF('Official Ranking v2'!B149="","",'Official Ranking v2'!X149)</x:f>
      </x:c>
      <x:c r="I148" s="262" t="str">
        <x:f>IF('Official Ranking v2'!B149="","",'Official Ranking v2'!V149)</x:f>
      </x:c>
      <x:c r="J148" s="262" t="str">
        <x:f>IF(C148="","",LOWER(SUBSTITUTE(SUBSTITUTE(C148," ","-"),".","")))</x:f>
      </x:c>
    </x:row>
    <x:row r="149">
      <x:c r="A149" s="262" t="str">
        <x:f>IF('Official Ranking v2'!B150="","",'Official Ranking v2'!A150)</x:f>
      </x:c>
      <x:c r="B149" s="262" t="str">
        <x:f>IFERROR(INDEX('Player Registry'!$A$2:$A$205,MATCH(C149,'Player Registry'!$C$2:$C$205,0)),"")</x:f>
      </x:c>
      <x:c r="C149" s="262" t="str">
        <x:f>IF('Official Ranking v2'!B150="","",'Official Ranking v2'!B150)</x:f>
      </x:c>
      <x:c r="D149" s="262" t="str">
        <x:f>IF('Official Ranking v2'!B150="","",'Official Ranking v2'!C150)</x:f>
      </x:c>
      <x:c r="E149" s="267" t="str">
        <x:f>IF('Official Ranking v2'!B150="","",'Official Ranking v2'!S150)</x:f>
      </x:c>
      <x:c r="F149" s="262" t="str">
        <x:f>IF('Official Ranking v2'!B150="","",'Official Ranking v2'!T150)</x:f>
      </x:c>
      <x:c r="G149" s="262" t="str">
        <x:f>IF('Official Ranking v2'!B150="","",'Official Ranking v2'!W150)</x:f>
      </x:c>
      <x:c r="H149" s="262" t="str">
        <x:f>IF('Official Ranking v2'!B150="","",'Official Ranking v2'!X150)</x:f>
      </x:c>
      <x:c r="I149" s="262" t="str">
        <x:f>IF('Official Ranking v2'!B150="","",'Official Ranking v2'!V150)</x:f>
      </x:c>
      <x:c r="J149" s="262" t="str">
        <x:f>IF(C149="","",LOWER(SUBSTITUTE(SUBSTITUTE(C149," ","-"),".","")))</x:f>
      </x:c>
    </x:row>
    <x:row r="150">
      <x:c r="A150" s="262" t="str">
        <x:f>IF('Official Ranking v2'!B151="","",'Official Ranking v2'!A151)</x:f>
      </x:c>
      <x:c r="B150" s="262" t="str">
        <x:f>IFERROR(INDEX('Player Registry'!$A$2:$A$205,MATCH(C150,'Player Registry'!$C$2:$C$205,0)),"")</x:f>
      </x:c>
      <x:c r="C150" s="262" t="str">
        <x:f>IF('Official Ranking v2'!B151="","",'Official Ranking v2'!B151)</x:f>
      </x:c>
      <x:c r="D150" s="262" t="str">
        <x:f>IF('Official Ranking v2'!B151="","",'Official Ranking v2'!C151)</x:f>
      </x:c>
      <x:c r="E150" s="267" t="str">
        <x:f>IF('Official Ranking v2'!B151="","",'Official Ranking v2'!S151)</x:f>
      </x:c>
      <x:c r="F150" s="262" t="str">
        <x:f>IF('Official Ranking v2'!B151="","",'Official Ranking v2'!T151)</x:f>
      </x:c>
      <x:c r="G150" s="262" t="str">
        <x:f>IF('Official Ranking v2'!B151="","",'Official Ranking v2'!W151)</x:f>
      </x:c>
      <x:c r="H150" s="262" t="str">
        <x:f>IF('Official Ranking v2'!B151="","",'Official Ranking v2'!X151)</x:f>
      </x:c>
      <x:c r="I150" s="262" t="str">
        <x:f>IF('Official Ranking v2'!B151="","",'Official Ranking v2'!V151)</x:f>
      </x:c>
      <x:c r="J150" s="262" t="str">
        <x:f>IF(C150="","",LOWER(SUBSTITUTE(SUBSTITUTE(C150," ","-"),".","")))</x:f>
      </x:c>
    </x:row>
    <x:row r="151">
      <x:c r="A151" s="262" t="str">
        <x:f>IF('Official Ranking v2'!B152="","",'Official Ranking v2'!A152)</x:f>
      </x:c>
      <x:c r="B151" s="262" t="str">
        <x:f>IFERROR(INDEX('Player Registry'!$A$2:$A$205,MATCH(C151,'Player Registry'!$C$2:$C$205,0)),"")</x:f>
      </x:c>
      <x:c r="C151" s="262" t="str">
        <x:f>IF('Official Ranking v2'!B152="","",'Official Ranking v2'!B152)</x:f>
      </x:c>
      <x:c r="D151" s="262" t="str">
        <x:f>IF('Official Ranking v2'!B152="","",'Official Ranking v2'!C152)</x:f>
      </x:c>
      <x:c r="E151" s="267" t="str">
        <x:f>IF('Official Ranking v2'!B152="","",'Official Ranking v2'!S152)</x:f>
      </x:c>
      <x:c r="F151" s="262" t="str">
        <x:f>IF('Official Ranking v2'!B152="","",'Official Ranking v2'!T152)</x:f>
      </x:c>
      <x:c r="G151" s="262" t="str">
        <x:f>IF('Official Ranking v2'!B152="","",'Official Ranking v2'!W152)</x:f>
      </x:c>
      <x:c r="H151" s="262" t="str">
        <x:f>IF('Official Ranking v2'!B152="","",'Official Ranking v2'!X152)</x:f>
      </x:c>
      <x:c r="I151" s="262" t="str">
        <x:f>IF('Official Ranking v2'!B152="","",'Official Ranking v2'!V152)</x:f>
      </x:c>
      <x:c r="J151" s="262" t="str">
        <x:f>IF(C151="","",LOWER(SUBSTITUTE(SUBSTITUTE(C151," ","-"),".","")))</x:f>
      </x:c>
    </x:row>
    <x:row r="152">
      <x:c r="A152" s="262" t="str">
        <x:f>IF('Official Ranking v2'!B153="","",'Official Ranking v2'!A153)</x:f>
      </x:c>
      <x:c r="B152" s="262" t="str">
        <x:f>IFERROR(INDEX('Player Registry'!$A$2:$A$205,MATCH(C152,'Player Registry'!$C$2:$C$205,0)),"")</x:f>
      </x:c>
      <x:c r="C152" s="262" t="str">
        <x:f>IF('Official Ranking v2'!B153="","",'Official Ranking v2'!B153)</x:f>
      </x:c>
      <x:c r="D152" s="262" t="str">
        <x:f>IF('Official Ranking v2'!B153="","",'Official Ranking v2'!C153)</x:f>
      </x:c>
      <x:c r="E152" s="267" t="str">
        <x:f>IF('Official Ranking v2'!B153="","",'Official Ranking v2'!S153)</x:f>
      </x:c>
      <x:c r="F152" s="262" t="str">
        <x:f>IF('Official Ranking v2'!B153="","",'Official Ranking v2'!T153)</x:f>
      </x:c>
      <x:c r="G152" s="262" t="str">
        <x:f>IF('Official Ranking v2'!B153="","",'Official Ranking v2'!W153)</x:f>
      </x:c>
      <x:c r="H152" s="262" t="str">
        <x:f>IF('Official Ranking v2'!B153="","",'Official Ranking v2'!X153)</x:f>
      </x:c>
      <x:c r="I152" s="262" t="str">
        <x:f>IF('Official Ranking v2'!B153="","",'Official Ranking v2'!V153)</x:f>
      </x:c>
      <x:c r="J152" s="262" t="str">
        <x:f>IF(C152="","",LOWER(SUBSTITUTE(SUBSTITUTE(C152," ","-"),".","")))</x:f>
      </x:c>
    </x:row>
    <x:row r="153">
      <x:c r="A153" s="262" t="str">
        <x:f>IF('Official Ranking v2'!B154="","",'Official Ranking v2'!A154)</x:f>
      </x:c>
      <x:c r="B153" s="262" t="str">
        <x:f>IFERROR(INDEX('Player Registry'!$A$2:$A$205,MATCH(C153,'Player Registry'!$C$2:$C$205,0)),"")</x:f>
      </x:c>
      <x:c r="C153" s="262" t="str">
        <x:f>IF('Official Ranking v2'!B154="","",'Official Ranking v2'!B154)</x:f>
      </x:c>
      <x:c r="D153" s="262" t="str">
        <x:f>IF('Official Ranking v2'!B154="","",'Official Ranking v2'!C154)</x:f>
      </x:c>
      <x:c r="E153" s="267" t="str">
        <x:f>IF('Official Ranking v2'!B154="","",'Official Ranking v2'!S154)</x:f>
      </x:c>
      <x:c r="F153" s="262" t="str">
        <x:f>IF('Official Ranking v2'!B154="","",'Official Ranking v2'!T154)</x:f>
      </x:c>
      <x:c r="G153" s="262" t="str">
        <x:f>IF('Official Ranking v2'!B154="","",'Official Ranking v2'!W154)</x:f>
      </x:c>
      <x:c r="H153" s="262" t="str">
        <x:f>IF('Official Ranking v2'!B154="","",'Official Ranking v2'!X154)</x:f>
      </x:c>
      <x:c r="I153" s="262" t="str">
        <x:f>IF('Official Ranking v2'!B154="","",'Official Ranking v2'!V154)</x:f>
      </x:c>
      <x:c r="J153" s="262" t="str">
        <x:f>IF(C153="","",LOWER(SUBSTITUTE(SUBSTITUTE(C153," ","-"),".","")))</x:f>
      </x:c>
    </x:row>
    <x:row r="154">
      <x:c r="A154" s="262" t="str">
        <x:f>IF('Official Ranking v2'!B155="","",'Official Ranking v2'!A155)</x:f>
      </x:c>
      <x:c r="B154" s="262" t="str">
        <x:f>IFERROR(INDEX('Player Registry'!$A$2:$A$205,MATCH(C154,'Player Registry'!$C$2:$C$205,0)),"")</x:f>
      </x:c>
      <x:c r="C154" s="262" t="str">
        <x:f>IF('Official Ranking v2'!B155="","",'Official Ranking v2'!B155)</x:f>
      </x:c>
      <x:c r="D154" s="262" t="str">
        <x:f>IF('Official Ranking v2'!B155="","",'Official Ranking v2'!C155)</x:f>
      </x:c>
      <x:c r="E154" s="267" t="str">
        <x:f>IF('Official Ranking v2'!B155="","",'Official Ranking v2'!S155)</x:f>
      </x:c>
      <x:c r="F154" s="262" t="str">
        <x:f>IF('Official Ranking v2'!B155="","",'Official Ranking v2'!T155)</x:f>
      </x:c>
      <x:c r="G154" s="262" t="str">
        <x:f>IF('Official Ranking v2'!B155="","",'Official Ranking v2'!W155)</x:f>
      </x:c>
      <x:c r="H154" s="262" t="str">
        <x:f>IF('Official Ranking v2'!B155="","",'Official Ranking v2'!X155)</x:f>
      </x:c>
      <x:c r="I154" s="262" t="str">
        <x:f>IF('Official Ranking v2'!B155="","",'Official Ranking v2'!V155)</x:f>
      </x:c>
      <x:c r="J154" s="262" t="str">
        <x:f>IF(C154="","",LOWER(SUBSTITUTE(SUBSTITUTE(C154," ","-"),".","")))</x:f>
      </x:c>
    </x:row>
    <x:row r="155">
      <x:c r="A155" s="262" t="str">
        <x:f>IF('Official Ranking v2'!B156="","",'Official Ranking v2'!A156)</x:f>
      </x:c>
      <x:c r="B155" s="262" t="str">
        <x:f>IFERROR(INDEX('Player Registry'!$A$2:$A$205,MATCH(C155,'Player Registry'!$C$2:$C$205,0)),"")</x:f>
      </x:c>
      <x:c r="C155" s="262" t="str">
        <x:f>IF('Official Ranking v2'!B156="","",'Official Ranking v2'!B156)</x:f>
      </x:c>
      <x:c r="D155" s="262" t="str">
        <x:f>IF('Official Ranking v2'!B156="","",'Official Ranking v2'!C156)</x:f>
      </x:c>
      <x:c r="E155" s="267" t="str">
        <x:f>IF('Official Ranking v2'!B156="","",'Official Ranking v2'!S156)</x:f>
      </x:c>
      <x:c r="F155" s="262" t="str">
        <x:f>IF('Official Ranking v2'!B156="","",'Official Ranking v2'!T156)</x:f>
      </x:c>
      <x:c r="G155" s="262" t="str">
        <x:f>IF('Official Ranking v2'!B156="","",'Official Ranking v2'!W156)</x:f>
      </x:c>
      <x:c r="H155" s="262" t="str">
        <x:f>IF('Official Ranking v2'!B156="","",'Official Ranking v2'!X156)</x:f>
      </x:c>
      <x:c r="I155" s="262" t="str">
        <x:f>IF('Official Ranking v2'!B156="","",'Official Ranking v2'!V156)</x:f>
      </x:c>
      <x:c r="J155" s="262" t="str">
        <x:f>IF(C155="","",LOWER(SUBSTITUTE(SUBSTITUTE(C155," ","-"),".","")))</x:f>
      </x:c>
    </x:row>
    <x:row r="156">
      <x:c r="A156" s="262" t="str">
        <x:f>IF('Official Ranking v2'!B157="","",'Official Ranking v2'!A157)</x:f>
      </x:c>
      <x:c r="B156" s="262" t="str">
        <x:f>IFERROR(INDEX('Player Registry'!$A$2:$A$205,MATCH(C156,'Player Registry'!$C$2:$C$205,0)),"")</x:f>
      </x:c>
      <x:c r="C156" s="262" t="str">
        <x:f>IF('Official Ranking v2'!B157="","",'Official Ranking v2'!B157)</x:f>
      </x:c>
      <x:c r="D156" s="262" t="str">
        <x:f>IF('Official Ranking v2'!B157="","",'Official Ranking v2'!C157)</x:f>
      </x:c>
      <x:c r="E156" s="267" t="str">
        <x:f>IF('Official Ranking v2'!B157="","",'Official Ranking v2'!S157)</x:f>
      </x:c>
      <x:c r="F156" s="262" t="str">
        <x:f>IF('Official Ranking v2'!B157="","",'Official Ranking v2'!T157)</x:f>
      </x:c>
      <x:c r="G156" s="262" t="str">
        <x:f>IF('Official Ranking v2'!B157="","",'Official Ranking v2'!W157)</x:f>
      </x:c>
      <x:c r="H156" s="262" t="str">
        <x:f>IF('Official Ranking v2'!B157="","",'Official Ranking v2'!X157)</x:f>
      </x:c>
      <x:c r="I156" s="262" t="str">
        <x:f>IF('Official Ranking v2'!B157="","",'Official Ranking v2'!V157)</x:f>
      </x:c>
      <x:c r="J156" s="262" t="str">
        <x:f>IF(C156="","",LOWER(SUBSTITUTE(SUBSTITUTE(C156," ","-"),".","")))</x:f>
      </x:c>
    </x:row>
    <x:row r="157">
      <x:c r="A157" s="262" t="str">
        <x:f>IF('Official Ranking v2'!B158="","",'Official Ranking v2'!A158)</x:f>
      </x:c>
      <x:c r="B157" s="262" t="str">
        <x:f>IFERROR(INDEX('Player Registry'!$A$2:$A$205,MATCH(C157,'Player Registry'!$C$2:$C$205,0)),"")</x:f>
      </x:c>
      <x:c r="C157" s="262" t="str">
        <x:f>IF('Official Ranking v2'!B158="","",'Official Ranking v2'!B158)</x:f>
      </x:c>
      <x:c r="D157" s="262" t="str">
        <x:f>IF('Official Ranking v2'!B158="","",'Official Ranking v2'!C158)</x:f>
      </x:c>
      <x:c r="E157" s="267" t="str">
        <x:f>IF('Official Ranking v2'!B158="","",'Official Ranking v2'!S158)</x:f>
      </x:c>
      <x:c r="F157" s="262" t="str">
        <x:f>IF('Official Ranking v2'!B158="","",'Official Ranking v2'!T158)</x:f>
      </x:c>
      <x:c r="G157" s="262" t="str">
        <x:f>IF('Official Ranking v2'!B158="","",'Official Ranking v2'!W158)</x:f>
      </x:c>
      <x:c r="H157" s="262" t="str">
        <x:f>IF('Official Ranking v2'!B158="","",'Official Ranking v2'!X158)</x:f>
      </x:c>
      <x:c r="I157" s="262" t="str">
        <x:f>IF('Official Ranking v2'!B158="","",'Official Ranking v2'!V158)</x:f>
      </x:c>
      <x:c r="J157" s="262" t="str">
        <x:f>IF(C157="","",LOWER(SUBSTITUTE(SUBSTITUTE(C157," ","-"),".","")))</x:f>
      </x:c>
    </x:row>
    <x:row r="158">
      <x:c r="A158" s="262" t="str">
        <x:f>IF('Official Ranking v2'!B159="","",'Official Ranking v2'!A159)</x:f>
      </x:c>
      <x:c r="B158" s="262" t="str">
        <x:f>IFERROR(INDEX('Player Registry'!$A$2:$A$205,MATCH(C158,'Player Registry'!$C$2:$C$205,0)),"")</x:f>
      </x:c>
      <x:c r="C158" s="262" t="str">
        <x:f>IF('Official Ranking v2'!B159="","",'Official Ranking v2'!B159)</x:f>
      </x:c>
      <x:c r="D158" s="262" t="str">
        <x:f>IF('Official Ranking v2'!B159="","",'Official Ranking v2'!C159)</x:f>
      </x:c>
      <x:c r="E158" s="267" t="str">
        <x:f>IF('Official Ranking v2'!B159="","",'Official Ranking v2'!S159)</x:f>
      </x:c>
      <x:c r="F158" s="262" t="str">
        <x:f>IF('Official Ranking v2'!B159="","",'Official Ranking v2'!T159)</x:f>
      </x:c>
      <x:c r="G158" s="262" t="str">
        <x:f>IF('Official Ranking v2'!B159="","",'Official Ranking v2'!W159)</x:f>
      </x:c>
      <x:c r="H158" s="262" t="str">
        <x:f>IF('Official Ranking v2'!B159="","",'Official Ranking v2'!X159)</x:f>
      </x:c>
      <x:c r="I158" s="262" t="str">
        <x:f>IF('Official Ranking v2'!B159="","",'Official Ranking v2'!V159)</x:f>
      </x:c>
      <x:c r="J158" s="262" t="str">
        <x:f>IF(C158="","",LOWER(SUBSTITUTE(SUBSTITUTE(C158," ","-"),".","")))</x:f>
      </x:c>
    </x:row>
    <x:row r="159">
      <x:c r="A159" s="262" t="str">
        <x:f>IF('Official Ranking v2'!B160="","",'Official Ranking v2'!A160)</x:f>
      </x:c>
      <x:c r="B159" s="262" t="str">
        <x:f>IFERROR(INDEX('Player Registry'!$A$2:$A$205,MATCH(C159,'Player Registry'!$C$2:$C$205,0)),"")</x:f>
      </x:c>
      <x:c r="C159" s="262" t="str">
        <x:f>IF('Official Ranking v2'!B160="","",'Official Ranking v2'!B160)</x:f>
      </x:c>
      <x:c r="D159" s="262" t="str">
        <x:f>IF('Official Ranking v2'!B160="","",'Official Ranking v2'!C160)</x:f>
      </x:c>
      <x:c r="E159" s="267" t="str">
        <x:f>IF('Official Ranking v2'!B160="","",'Official Ranking v2'!S160)</x:f>
      </x:c>
      <x:c r="F159" s="262" t="str">
        <x:f>IF('Official Ranking v2'!B160="","",'Official Ranking v2'!T160)</x:f>
      </x:c>
      <x:c r="G159" s="262" t="str">
        <x:f>IF('Official Ranking v2'!B160="","",'Official Ranking v2'!W160)</x:f>
      </x:c>
      <x:c r="H159" s="262" t="str">
        <x:f>IF('Official Ranking v2'!B160="","",'Official Ranking v2'!X160)</x:f>
      </x:c>
      <x:c r="I159" s="262" t="str">
        <x:f>IF('Official Ranking v2'!B160="","",'Official Ranking v2'!V160)</x:f>
      </x:c>
      <x:c r="J159" s="262" t="str">
        <x:f>IF(C159="","",LOWER(SUBSTITUTE(SUBSTITUTE(C159," ","-"),".","")))</x:f>
      </x:c>
    </x:row>
    <x:row r="160">
      <x:c r="A160" s="262" t="str">
        <x:f>IF('Official Ranking v2'!B161="","",'Official Ranking v2'!A161)</x:f>
      </x:c>
      <x:c r="B160" s="262" t="str">
        <x:f>IFERROR(INDEX('Player Registry'!$A$2:$A$205,MATCH(C160,'Player Registry'!$C$2:$C$205,0)),"")</x:f>
      </x:c>
      <x:c r="C160" s="262" t="str">
        <x:f>IF('Official Ranking v2'!B161="","",'Official Ranking v2'!B161)</x:f>
      </x:c>
      <x:c r="D160" s="262" t="str">
        <x:f>IF('Official Ranking v2'!B161="","",'Official Ranking v2'!C161)</x:f>
      </x:c>
      <x:c r="E160" s="267" t="str">
        <x:f>IF('Official Ranking v2'!B161="","",'Official Ranking v2'!S161)</x:f>
      </x:c>
      <x:c r="F160" s="262" t="str">
        <x:f>IF('Official Ranking v2'!B161="","",'Official Ranking v2'!T161)</x:f>
      </x:c>
      <x:c r="G160" s="262" t="str">
        <x:f>IF('Official Ranking v2'!B161="","",'Official Ranking v2'!W161)</x:f>
      </x:c>
      <x:c r="H160" s="262" t="str">
        <x:f>IF('Official Ranking v2'!B161="","",'Official Ranking v2'!X161)</x:f>
      </x:c>
      <x:c r="I160" s="262" t="str">
        <x:f>IF('Official Ranking v2'!B161="","",'Official Ranking v2'!V161)</x:f>
      </x:c>
      <x:c r="J160" s="262" t="str">
        <x:f>IF(C160="","",LOWER(SUBSTITUTE(SUBSTITUTE(C160," ","-"),".","")))</x:f>
      </x:c>
    </x:row>
    <x:row r="161">
      <x:c r="A161" s="262" t="str">
        <x:f>IF('Official Ranking v2'!B162="","",'Official Ranking v2'!A162)</x:f>
      </x:c>
      <x:c r="B161" s="262" t="str">
        <x:f>IFERROR(INDEX('Player Registry'!$A$2:$A$205,MATCH(C161,'Player Registry'!$C$2:$C$205,0)),"")</x:f>
      </x:c>
      <x:c r="C161" s="262" t="str">
        <x:f>IF('Official Ranking v2'!B162="","",'Official Ranking v2'!B162)</x:f>
      </x:c>
      <x:c r="D161" s="262" t="str">
        <x:f>IF('Official Ranking v2'!B162="","",'Official Ranking v2'!C162)</x:f>
      </x:c>
      <x:c r="E161" s="267" t="str">
        <x:f>IF('Official Ranking v2'!B162="","",'Official Ranking v2'!S162)</x:f>
      </x:c>
      <x:c r="F161" s="262" t="str">
        <x:f>IF('Official Ranking v2'!B162="","",'Official Ranking v2'!T162)</x:f>
      </x:c>
      <x:c r="G161" s="262" t="str">
        <x:f>IF('Official Ranking v2'!B162="","",'Official Ranking v2'!W162)</x:f>
      </x:c>
      <x:c r="H161" s="262" t="str">
        <x:f>IF('Official Ranking v2'!B162="","",'Official Ranking v2'!X162)</x:f>
      </x:c>
      <x:c r="I161" s="262" t="str">
        <x:f>IF('Official Ranking v2'!B162="","",'Official Ranking v2'!V162)</x:f>
      </x:c>
      <x:c r="J161" s="262" t="str">
        <x:f>IF(C161="","",LOWER(SUBSTITUTE(SUBSTITUTE(C161," ","-"),".","")))</x:f>
      </x:c>
    </x:row>
    <x:row r="162">
      <x:c r="A162" s="262" t="str">
        <x:f>IF('Official Ranking v2'!B163="","",'Official Ranking v2'!A163)</x:f>
      </x:c>
      <x:c r="B162" s="262" t="str">
        <x:f>IFERROR(INDEX('Player Registry'!$A$2:$A$205,MATCH(C162,'Player Registry'!$C$2:$C$205,0)),"")</x:f>
      </x:c>
      <x:c r="C162" s="262" t="str">
        <x:f>IF('Official Ranking v2'!B163="","",'Official Ranking v2'!B163)</x:f>
      </x:c>
      <x:c r="D162" s="262" t="str">
        <x:f>IF('Official Ranking v2'!B163="","",'Official Ranking v2'!C163)</x:f>
      </x:c>
      <x:c r="E162" s="267" t="str">
        <x:f>IF('Official Ranking v2'!B163="","",'Official Ranking v2'!S163)</x:f>
      </x:c>
      <x:c r="F162" s="262" t="str">
        <x:f>IF('Official Ranking v2'!B163="","",'Official Ranking v2'!T163)</x:f>
      </x:c>
      <x:c r="G162" s="262" t="str">
        <x:f>IF('Official Ranking v2'!B163="","",'Official Ranking v2'!W163)</x:f>
      </x:c>
      <x:c r="H162" s="262" t="str">
        <x:f>IF('Official Ranking v2'!B163="","",'Official Ranking v2'!X163)</x:f>
      </x:c>
      <x:c r="I162" s="262" t="str">
        <x:f>IF('Official Ranking v2'!B163="","",'Official Ranking v2'!V163)</x:f>
      </x:c>
      <x:c r="J162" s="262" t="str">
        <x:f>IF(C162="","",LOWER(SUBSTITUTE(SUBSTITUTE(C162," ","-"),".","")))</x:f>
      </x:c>
    </x:row>
    <x:row r="163">
      <x:c r="A163" s="262" t="str">
        <x:f>IF('Official Ranking v2'!B164="","",'Official Ranking v2'!A164)</x:f>
      </x:c>
      <x:c r="B163" s="262" t="str">
        <x:f>IFERROR(INDEX('Player Registry'!$A$2:$A$205,MATCH(C163,'Player Registry'!$C$2:$C$205,0)),"")</x:f>
      </x:c>
      <x:c r="C163" s="262" t="str">
        <x:f>IF('Official Ranking v2'!B164="","",'Official Ranking v2'!B164)</x:f>
      </x:c>
      <x:c r="D163" s="262" t="str">
        <x:f>IF('Official Ranking v2'!B164="","",'Official Ranking v2'!C164)</x:f>
      </x:c>
      <x:c r="E163" s="267" t="str">
        <x:f>IF('Official Ranking v2'!B164="","",'Official Ranking v2'!S164)</x:f>
      </x:c>
      <x:c r="F163" s="262" t="str">
        <x:f>IF('Official Ranking v2'!B164="","",'Official Ranking v2'!T164)</x:f>
      </x:c>
      <x:c r="G163" s="262" t="str">
        <x:f>IF('Official Ranking v2'!B164="","",'Official Ranking v2'!W164)</x:f>
      </x:c>
      <x:c r="H163" s="262" t="str">
        <x:f>IF('Official Ranking v2'!B164="","",'Official Ranking v2'!X164)</x:f>
      </x:c>
      <x:c r="I163" s="262" t="str">
        <x:f>IF('Official Ranking v2'!B164="","",'Official Ranking v2'!V164)</x:f>
      </x:c>
      <x:c r="J163" s="262" t="str">
        <x:f>IF(C163="","",LOWER(SUBSTITUTE(SUBSTITUTE(C163," ","-"),".","")))</x:f>
      </x:c>
    </x:row>
    <x:row r="164">
      <x:c r="A164" s="262" t="str">
        <x:f>IF('Official Ranking v2'!B165="","",'Official Ranking v2'!A165)</x:f>
      </x:c>
      <x:c r="B164" s="262" t="str">
        <x:f>IFERROR(INDEX('Player Registry'!$A$2:$A$205,MATCH(C164,'Player Registry'!$C$2:$C$205,0)),"")</x:f>
      </x:c>
      <x:c r="C164" s="262" t="str">
        <x:f>IF('Official Ranking v2'!B165="","",'Official Ranking v2'!B165)</x:f>
      </x:c>
      <x:c r="D164" s="262" t="str">
        <x:f>IF('Official Ranking v2'!B165="","",'Official Ranking v2'!C165)</x:f>
      </x:c>
      <x:c r="E164" s="267" t="str">
        <x:f>IF('Official Ranking v2'!B165="","",'Official Ranking v2'!S165)</x:f>
      </x:c>
      <x:c r="F164" s="262" t="str">
        <x:f>IF('Official Ranking v2'!B165="","",'Official Ranking v2'!T165)</x:f>
      </x:c>
      <x:c r="G164" s="262" t="str">
        <x:f>IF('Official Ranking v2'!B165="","",'Official Ranking v2'!W165)</x:f>
      </x:c>
      <x:c r="H164" s="262" t="str">
        <x:f>IF('Official Ranking v2'!B165="","",'Official Ranking v2'!X165)</x:f>
      </x:c>
      <x:c r="I164" s="262" t="str">
        <x:f>IF('Official Ranking v2'!B165="","",'Official Ranking v2'!V165)</x:f>
      </x:c>
      <x:c r="J164" s="262" t="str">
        <x:f>IF(C164="","",LOWER(SUBSTITUTE(SUBSTITUTE(C164," ","-"),".","")))</x:f>
      </x:c>
    </x:row>
    <x:row r="165">
      <x:c r="A165" s="262" t="str">
        <x:f>IF('Official Ranking v2'!B166="","",'Official Ranking v2'!A166)</x:f>
      </x:c>
      <x:c r="B165" s="262" t="str">
        <x:f>IFERROR(INDEX('Player Registry'!$A$2:$A$205,MATCH(C165,'Player Registry'!$C$2:$C$205,0)),"")</x:f>
      </x:c>
      <x:c r="C165" s="262" t="str">
        <x:f>IF('Official Ranking v2'!B166="","",'Official Ranking v2'!B166)</x:f>
      </x:c>
      <x:c r="D165" s="262" t="str">
        <x:f>IF('Official Ranking v2'!B166="","",'Official Ranking v2'!C166)</x:f>
      </x:c>
      <x:c r="E165" s="267" t="str">
        <x:f>IF('Official Ranking v2'!B166="","",'Official Ranking v2'!S166)</x:f>
      </x:c>
      <x:c r="F165" s="262" t="str">
        <x:f>IF('Official Ranking v2'!B166="","",'Official Ranking v2'!T166)</x:f>
      </x:c>
      <x:c r="G165" s="262" t="str">
        <x:f>IF('Official Ranking v2'!B166="","",'Official Ranking v2'!W166)</x:f>
      </x:c>
      <x:c r="H165" s="262" t="str">
        <x:f>IF('Official Ranking v2'!B166="","",'Official Ranking v2'!X166)</x:f>
      </x:c>
      <x:c r="I165" s="262" t="str">
        <x:f>IF('Official Ranking v2'!B166="","",'Official Ranking v2'!V166)</x:f>
      </x:c>
      <x:c r="J165" s="262" t="str">
        <x:f>IF(C165="","",LOWER(SUBSTITUTE(SUBSTITUTE(C165," ","-"),".","")))</x:f>
      </x:c>
    </x:row>
    <x:row r="166">
      <x:c r="A166" s="262" t="str">
        <x:f>IF('Official Ranking v2'!B167="","",'Official Ranking v2'!A167)</x:f>
      </x:c>
      <x:c r="B166" s="262" t="str">
        <x:f>IFERROR(INDEX('Player Registry'!$A$2:$A$205,MATCH(C166,'Player Registry'!$C$2:$C$205,0)),"")</x:f>
      </x:c>
      <x:c r="C166" s="262" t="str">
        <x:f>IF('Official Ranking v2'!B167="","",'Official Ranking v2'!B167)</x:f>
      </x:c>
      <x:c r="D166" s="262" t="str">
        <x:f>IF('Official Ranking v2'!B167="","",'Official Ranking v2'!C167)</x:f>
      </x:c>
      <x:c r="E166" s="267" t="str">
        <x:f>IF('Official Ranking v2'!B167="","",'Official Ranking v2'!S167)</x:f>
      </x:c>
      <x:c r="F166" s="262" t="str">
        <x:f>IF('Official Ranking v2'!B167="","",'Official Ranking v2'!T167)</x:f>
      </x:c>
      <x:c r="G166" s="262" t="str">
        <x:f>IF('Official Ranking v2'!B167="","",'Official Ranking v2'!W167)</x:f>
      </x:c>
      <x:c r="H166" s="262" t="str">
        <x:f>IF('Official Ranking v2'!B167="","",'Official Ranking v2'!X167)</x:f>
      </x:c>
      <x:c r="I166" s="262" t="str">
        <x:f>IF('Official Ranking v2'!B167="","",'Official Ranking v2'!V167)</x:f>
      </x:c>
      <x:c r="J166" s="262" t="str">
        <x:f>IF(C166="","",LOWER(SUBSTITUTE(SUBSTITUTE(C166," ","-"),".","")))</x:f>
      </x:c>
    </x:row>
    <x:row r="167">
      <x:c r="A167" s="262" t="str">
        <x:f>IF('Official Ranking v2'!B168="","",'Official Ranking v2'!A168)</x:f>
      </x:c>
      <x:c r="B167" s="262" t="str">
        <x:f>IFERROR(INDEX('Player Registry'!$A$2:$A$205,MATCH(C167,'Player Registry'!$C$2:$C$205,0)),"")</x:f>
      </x:c>
      <x:c r="C167" s="262" t="str">
        <x:f>IF('Official Ranking v2'!B168="","",'Official Ranking v2'!B168)</x:f>
      </x:c>
      <x:c r="D167" s="262" t="str">
        <x:f>IF('Official Ranking v2'!B168="","",'Official Ranking v2'!C168)</x:f>
      </x:c>
      <x:c r="E167" s="267" t="str">
        <x:f>IF('Official Ranking v2'!B168="","",'Official Ranking v2'!S168)</x:f>
      </x:c>
      <x:c r="F167" s="262" t="str">
        <x:f>IF('Official Ranking v2'!B168="","",'Official Ranking v2'!T168)</x:f>
      </x:c>
      <x:c r="G167" s="262" t="str">
        <x:f>IF('Official Ranking v2'!B168="","",'Official Ranking v2'!W168)</x:f>
      </x:c>
      <x:c r="H167" s="262" t="str">
        <x:f>IF('Official Ranking v2'!B168="","",'Official Ranking v2'!X168)</x:f>
      </x:c>
      <x:c r="I167" s="262" t="str">
        <x:f>IF('Official Ranking v2'!B168="","",'Official Ranking v2'!V168)</x:f>
      </x:c>
      <x:c r="J167" s="262" t="str">
        <x:f>IF(C167="","",LOWER(SUBSTITUTE(SUBSTITUTE(C167," ","-"),".","")))</x:f>
      </x:c>
    </x:row>
    <x:row r="168">
      <x:c r="A168" s="262" t="str">
        <x:f>IF('Official Ranking v2'!B169="","",'Official Ranking v2'!A169)</x:f>
      </x:c>
      <x:c r="B168" s="262" t="str">
        <x:f>IFERROR(INDEX('Player Registry'!$A$2:$A$205,MATCH(C168,'Player Registry'!$C$2:$C$205,0)),"")</x:f>
      </x:c>
      <x:c r="C168" s="262" t="str">
        <x:f>IF('Official Ranking v2'!B169="","",'Official Ranking v2'!B169)</x:f>
      </x:c>
      <x:c r="D168" s="262" t="str">
        <x:f>IF('Official Ranking v2'!B169="","",'Official Ranking v2'!C169)</x:f>
      </x:c>
      <x:c r="E168" s="267" t="str">
        <x:f>IF('Official Ranking v2'!B169="","",'Official Ranking v2'!S169)</x:f>
      </x:c>
      <x:c r="F168" s="262" t="str">
        <x:f>IF('Official Ranking v2'!B169="","",'Official Ranking v2'!T169)</x:f>
      </x:c>
      <x:c r="G168" s="262" t="str">
        <x:f>IF('Official Ranking v2'!B169="","",'Official Ranking v2'!W169)</x:f>
      </x:c>
      <x:c r="H168" s="262" t="str">
        <x:f>IF('Official Ranking v2'!B169="","",'Official Ranking v2'!X169)</x:f>
      </x:c>
      <x:c r="I168" s="262" t="str">
        <x:f>IF('Official Ranking v2'!B169="","",'Official Ranking v2'!V169)</x:f>
      </x:c>
      <x:c r="J168" s="262" t="str">
        <x:f>IF(C168="","",LOWER(SUBSTITUTE(SUBSTITUTE(C168," ","-"),".","")))</x:f>
      </x:c>
    </x:row>
    <x:row r="169">
      <x:c r="A169" s="262" t="str">
        <x:f>IF('Official Ranking v2'!B170="","",'Official Ranking v2'!A170)</x:f>
      </x:c>
      <x:c r="B169" s="262" t="str">
        <x:f>IFERROR(INDEX('Player Registry'!$A$2:$A$205,MATCH(C169,'Player Registry'!$C$2:$C$205,0)),"")</x:f>
      </x:c>
      <x:c r="C169" s="262" t="str">
        <x:f>IF('Official Ranking v2'!B170="","",'Official Ranking v2'!B170)</x:f>
      </x:c>
      <x:c r="D169" s="262" t="str">
        <x:f>IF('Official Ranking v2'!B170="","",'Official Ranking v2'!C170)</x:f>
      </x:c>
      <x:c r="E169" s="267" t="str">
        <x:f>IF('Official Ranking v2'!B170="","",'Official Ranking v2'!S170)</x:f>
      </x:c>
      <x:c r="F169" s="262" t="str">
        <x:f>IF('Official Ranking v2'!B170="","",'Official Ranking v2'!T170)</x:f>
      </x:c>
      <x:c r="G169" s="262" t="str">
        <x:f>IF('Official Ranking v2'!B170="","",'Official Ranking v2'!W170)</x:f>
      </x:c>
      <x:c r="H169" s="262" t="str">
        <x:f>IF('Official Ranking v2'!B170="","",'Official Ranking v2'!X170)</x:f>
      </x:c>
      <x:c r="I169" s="262" t="str">
        <x:f>IF('Official Ranking v2'!B170="","",'Official Ranking v2'!V170)</x:f>
      </x:c>
      <x:c r="J169" s="262" t="str">
        <x:f>IF(C169="","",LOWER(SUBSTITUTE(SUBSTITUTE(C169," ","-"),".","")))</x:f>
      </x:c>
    </x:row>
    <x:row r="170">
      <x:c r="A170" s="262" t="str">
        <x:f>IF('Official Ranking v2'!B171="","",'Official Ranking v2'!A171)</x:f>
      </x:c>
      <x:c r="B170" s="262" t="str">
        <x:f>IFERROR(INDEX('Player Registry'!$A$2:$A$205,MATCH(C170,'Player Registry'!$C$2:$C$205,0)),"")</x:f>
      </x:c>
      <x:c r="C170" s="262" t="str">
        <x:f>IF('Official Ranking v2'!B171="","",'Official Ranking v2'!B171)</x:f>
      </x:c>
      <x:c r="D170" s="262" t="str">
        <x:f>IF('Official Ranking v2'!B171="","",'Official Ranking v2'!C171)</x:f>
      </x:c>
      <x:c r="E170" s="267" t="str">
        <x:f>IF('Official Ranking v2'!B171="","",'Official Ranking v2'!S171)</x:f>
      </x:c>
      <x:c r="F170" s="262" t="str">
        <x:f>IF('Official Ranking v2'!B171="","",'Official Ranking v2'!T171)</x:f>
      </x:c>
      <x:c r="G170" s="262" t="str">
        <x:f>IF('Official Ranking v2'!B171="","",'Official Ranking v2'!W171)</x:f>
      </x:c>
      <x:c r="H170" s="262" t="str">
        <x:f>IF('Official Ranking v2'!B171="","",'Official Ranking v2'!X171)</x:f>
      </x:c>
      <x:c r="I170" s="262" t="str">
        <x:f>IF('Official Ranking v2'!B171="","",'Official Ranking v2'!V171)</x:f>
      </x:c>
      <x:c r="J170" s="262" t="str">
        <x:f>IF(C170="","",LOWER(SUBSTITUTE(SUBSTITUTE(C170," ","-"),".","")))</x:f>
      </x:c>
    </x:row>
    <x:row r="171">
      <x:c r="A171" s="262" t="str">
        <x:f>IF('Official Ranking v2'!B172="","",'Official Ranking v2'!A172)</x:f>
      </x:c>
      <x:c r="B171" s="262" t="str">
        <x:f>IFERROR(INDEX('Player Registry'!$A$2:$A$205,MATCH(C171,'Player Registry'!$C$2:$C$205,0)),"")</x:f>
      </x:c>
      <x:c r="C171" s="262" t="str">
        <x:f>IF('Official Ranking v2'!B172="","",'Official Ranking v2'!B172)</x:f>
      </x:c>
      <x:c r="D171" s="262" t="str">
        <x:f>IF('Official Ranking v2'!B172="","",'Official Ranking v2'!C172)</x:f>
      </x:c>
      <x:c r="E171" s="267" t="str">
        <x:f>IF('Official Ranking v2'!B172="","",'Official Ranking v2'!S172)</x:f>
      </x:c>
      <x:c r="F171" s="262" t="str">
        <x:f>IF('Official Ranking v2'!B172="","",'Official Ranking v2'!T172)</x:f>
      </x:c>
      <x:c r="G171" s="262" t="str">
        <x:f>IF('Official Ranking v2'!B172="","",'Official Ranking v2'!W172)</x:f>
      </x:c>
      <x:c r="H171" s="262" t="str">
        <x:f>IF('Official Ranking v2'!B172="","",'Official Ranking v2'!X172)</x:f>
      </x:c>
      <x:c r="I171" s="262" t="str">
        <x:f>IF('Official Ranking v2'!B172="","",'Official Ranking v2'!V172)</x:f>
      </x:c>
      <x:c r="J171" s="262" t="str">
        <x:f>IF(C171="","",LOWER(SUBSTITUTE(SUBSTITUTE(C171," ","-"),".","")))</x:f>
      </x:c>
    </x:row>
    <x:row r="172">
      <x:c r="A172" s="262" t="str">
        <x:f>IF('Official Ranking v2'!B173="","",'Official Ranking v2'!A173)</x:f>
      </x:c>
      <x:c r="B172" s="262" t="str">
        <x:f>IFERROR(INDEX('Player Registry'!$A$2:$A$205,MATCH(C172,'Player Registry'!$C$2:$C$205,0)),"")</x:f>
      </x:c>
      <x:c r="C172" s="262" t="str">
        <x:f>IF('Official Ranking v2'!B173="","",'Official Ranking v2'!B173)</x:f>
      </x:c>
      <x:c r="D172" s="262" t="str">
        <x:f>IF('Official Ranking v2'!B173="","",'Official Ranking v2'!C173)</x:f>
      </x:c>
      <x:c r="E172" s="267" t="str">
        <x:f>IF('Official Ranking v2'!B173="","",'Official Ranking v2'!S173)</x:f>
      </x:c>
      <x:c r="F172" s="262" t="str">
        <x:f>IF('Official Ranking v2'!B173="","",'Official Ranking v2'!T173)</x:f>
      </x:c>
      <x:c r="G172" s="262" t="str">
        <x:f>IF('Official Ranking v2'!B173="","",'Official Ranking v2'!W173)</x:f>
      </x:c>
      <x:c r="H172" s="262" t="str">
        <x:f>IF('Official Ranking v2'!B173="","",'Official Ranking v2'!X173)</x:f>
      </x:c>
      <x:c r="I172" s="262" t="str">
        <x:f>IF('Official Ranking v2'!B173="","",'Official Ranking v2'!V173)</x:f>
      </x:c>
      <x:c r="J172" s="262" t="str">
        <x:f>IF(C172="","",LOWER(SUBSTITUTE(SUBSTITUTE(C172," ","-"),".","")))</x:f>
      </x:c>
    </x:row>
    <x:row r="173">
      <x:c r="A173" s="262" t="str">
        <x:f>IF('Official Ranking v2'!B174="","",'Official Ranking v2'!A174)</x:f>
      </x:c>
      <x:c r="B173" s="262" t="str">
        <x:f>IFERROR(INDEX('Player Registry'!$A$2:$A$205,MATCH(C173,'Player Registry'!$C$2:$C$205,0)),"")</x:f>
      </x:c>
      <x:c r="C173" s="262" t="str">
        <x:f>IF('Official Ranking v2'!B174="","",'Official Ranking v2'!B174)</x:f>
      </x:c>
      <x:c r="D173" s="262" t="str">
        <x:f>IF('Official Ranking v2'!B174="","",'Official Ranking v2'!C174)</x:f>
      </x:c>
      <x:c r="E173" s="267" t="str">
        <x:f>IF('Official Ranking v2'!B174="","",'Official Ranking v2'!S174)</x:f>
      </x:c>
      <x:c r="F173" s="262" t="str">
        <x:f>IF('Official Ranking v2'!B174="","",'Official Ranking v2'!T174)</x:f>
      </x:c>
      <x:c r="G173" s="262" t="str">
        <x:f>IF('Official Ranking v2'!B174="","",'Official Ranking v2'!W174)</x:f>
      </x:c>
      <x:c r="H173" s="262" t="str">
        <x:f>IF('Official Ranking v2'!B174="","",'Official Ranking v2'!X174)</x:f>
      </x:c>
      <x:c r="I173" s="262" t="str">
        <x:f>IF('Official Ranking v2'!B174="","",'Official Ranking v2'!V174)</x:f>
      </x:c>
      <x:c r="J173" s="262" t="str">
        <x:f>IF(C173="","",LOWER(SUBSTITUTE(SUBSTITUTE(C173," ","-"),".","")))</x:f>
      </x:c>
    </x:row>
    <x:row r="174">
      <x:c r="A174" s="262" t="str">
        <x:f>IF('Official Ranking v2'!B175="","",'Official Ranking v2'!A175)</x:f>
      </x:c>
      <x:c r="B174" s="262" t="str">
        <x:f>IFERROR(INDEX('Player Registry'!$A$2:$A$205,MATCH(C174,'Player Registry'!$C$2:$C$205,0)),"")</x:f>
      </x:c>
      <x:c r="C174" s="262" t="str">
        <x:f>IF('Official Ranking v2'!B175="","",'Official Ranking v2'!B175)</x:f>
      </x:c>
      <x:c r="D174" s="262" t="str">
        <x:f>IF('Official Ranking v2'!B175="","",'Official Ranking v2'!C175)</x:f>
      </x:c>
      <x:c r="E174" s="267" t="str">
        <x:f>IF('Official Ranking v2'!B175="","",'Official Ranking v2'!S175)</x:f>
      </x:c>
      <x:c r="F174" s="262" t="str">
        <x:f>IF('Official Ranking v2'!B175="","",'Official Ranking v2'!T175)</x:f>
      </x:c>
      <x:c r="G174" s="262" t="str">
        <x:f>IF('Official Ranking v2'!B175="","",'Official Ranking v2'!W175)</x:f>
      </x:c>
      <x:c r="H174" s="262" t="str">
        <x:f>IF('Official Ranking v2'!B175="","",'Official Ranking v2'!X175)</x:f>
      </x:c>
      <x:c r="I174" s="262" t="str">
        <x:f>IF('Official Ranking v2'!B175="","",'Official Ranking v2'!V175)</x:f>
      </x:c>
      <x:c r="J174" s="262" t="str">
        <x:f>IF(C174="","",LOWER(SUBSTITUTE(SUBSTITUTE(C174," ","-"),".","")))</x:f>
      </x:c>
    </x:row>
    <x:row r="175">
      <x:c r="A175" s="262" t="str">
        <x:f>IF('Official Ranking v2'!B176="","",'Official Ranking v2'!A176)</x:f>
      </x:c>
      <x:c r="B175" s="262" t="str">
        <x:f>IFERROR(INDEX('Player Registry'!$A$2:$A$205,MATCH(C175,'Player Registry'!$C$2:$C$205,0)),"")</x:f>
      </x:c>
      <x:c r="C175" s="262" t="str">
        <x:f>IF('Official Ranking v2'!B176="","",'Official Ranking v2'!B176)</x:f>
      </x:c>
      <x:c r="D175" s="262" t="str">
        <x:f>IF('Official Ranking v2'!B176="","",'Official Ranking v2'!C176)</x:f>
      </x:c>
      <x:c r="E175" s="267" t="str">
        <x:f>IF('Official Ranking v2'!B176="","",'Official Ranking v2'!S176)</x:f>
      </x:c>
      <x:c r="F175" s="262" t="str">
        <x:f>IF('Official Ranking v2'!B176="","",'Official Ranking v2'!T176)</x:f>
      </x:c>
      <x:c r="G175" s="262" t="str">
        <x:f>IF('Official Ranking v2'!B176="","",'Official Ranking v2'!W176)</x:f>
      </x:c>
      <x:c r="H175" s="262" t="str">
        <x:f>IF('Official Ranking v2'!B176="","",'Official Ranking v2'!X176)</x:f>
      </x:c>
      <x:c r="I175" s="262" t="str">
        <x:f>IF('Official Ranking v2'!B176="","",'Official Ranking v2'!V176)</x:f>
      </x:c>
      <x:c r="J175" s="262" t="str">
        <x:f>IF(C175="","",LOWER(SUBSTITUTE(SUBSTITUTE(C175," ","-"),".","")))</x:f>
      </x:c>
    </x:row>
    <x:row r="176">
      <x:c r="A176" s="262" t="str">
        <x:f>IF('Official Ranking v2'!B177="","",'Official Ranking v2'!A177)</x:f>
      </x:c>
      <x:c r="B176" s="262" t="str">
        <x:f>IFERROR(INDEX('Player Registry'!$A$2:$A$205,MATCH(C176,'Player Registry'!$C$2:$C$205,0)),"")</x:f>
      </x:c>
      <x:c r="C176" s="262" t="str">
        <x:f>IF('Official Ranking v2'!B177="","",'Official Ranking v2'!B177)</x:f>
      </x:c>
      <x:c r="D176" s="262" t="str">
        <x:f>IF('Official Ranking v2'!B177="","",'Official Ranking v2'!C177)</x:f>
      </x:c>
      <x:c r="E176" s="267" t="str">
        <x:f>IF('Official Ranking v2'!B177="","",'Official Ranking v2'!S177)</x:f>
      </x:c>
      <x:c r="F176" s="262" t="str">
        <x:f>IF('Official Ranking v2'!B177="","",'Official Ranking v2'!T177)</x:f>
      </x:c>
      <x:c r="G176" s="262" t="str">
        <x:f>IF('Official Ranking v2'!B177="","",'Official Ranking v2'!W177)</x:f>
      </x:c>
      <x:c r="H176" s="262" t="str">
        <x:f>IF('Official Ranking v2'!B177="","",'Official Ranking v2'!X177)</x:f>
      </x:c>
      <x:c r="I176" s="262" t="str">
        <x:f>IF('Official Ranking v2'!B177="","",'Official Ranking v2'!V177)</x:f>
      </x:c>
      <x:c r="J176" s="262" t="str">
        <x:f>IF(C176="","",LOWER(SUBSTITUTE(SUBSTITUTE(C176," ","-"),".","")))</x:f>
      </x:c>
    </x:row>
    <x:row r="177">
      <x:c r="A177" s="262" t="str">
        <x:f>IF('Official Ranking v2'!B178="","",'Official Ranking v2'!A178)</x:f>
      </x:c>
      <x:c r="B177" s="262" t="str">
        <x:f>IFERROR(INDEX('Player Registry'!$A$2:$A$205,MATCH(C177,'Player Registry'!$C$2:$C$205,0)),"")</x:f>
      </x:c>
      <x:c r="C177" s="262" t="str">
        <x:f>IF('Official Ranking v2'!B178="","",'Official Ranking v2'!B178)</x:f>
      </x:c>
      <x:c r="D177" s="262" t="str">
        <x:f>IF('Official Ranking v2'!B178="","",'Official Ranking v2'!C178)</x:f>
      </x:c>
      <x:c r="E177" s="267" t="str">
        <x:f>IF('Official Ranking v2'!B178="","",'Official Ranking v2'!S178)</x:f>
      </x:c>
      <x:c r="F177" s="262" t="str">
        <x:f>IF('Official Ranking v2'!B178="","",'Official Ranking v2'!T178)</x:f>
      </x:c>
      <x:c r="G177" s="262" t="str">
        <x:f>IF('Official Ranking v2'!B178="","",'Official Ranking v2'!W178)</x:f>
      </x:c>
      <x:c r="H177" s="262" t="str">
        <x:f>IF('Official Ranking v2'!B178="","",'Official Ranking v2'!X178)</x:f>
      </x:c>
      <x:c r="I177" s="262" t="str">
        <x:f>IF('Official Ranking v2'!B178="","",'Official Ranking v2'!V178)</x:f>
      </x:c>
      <x:c r="J177" s="262" t="str">
        <x:f>IF(C177="","",LOWER(SUBSTITUTE(SUBSTITUTE(C177," ","-"),".","")))</x:f>
      </x:c>
    </x:row>
    <x:row r="178">
      <x:c r="A178" s="262" t="str">
        <x:f>IF('Official Ranking v2'!B179="","",'Official Ranking v2'!A179)</x:f>
      </x:c>
      <x:c r="B178" s="262" t="str">
        <x:f>IFERROR(INDEX('Player Registry'!$A$2:$A$205,MATCH(C178,'Player Registry'!$C$2:$C$205,0)),"")</x:f>
      </x:c>
      <x:c r="C178" s="262" t="str">
        <x:f>IF('Official Ranking v2'!B179="","",'Official Ranking v2'!B179)</x:f>
      </x:c>
      <x:c r="D178" s="262" t="str">
        <x:f>IF('Official Ranking v2'!B179="","",'Official Ranking v2'!C179)</x:f>
      </x:c>
      <x:c r="E178" s="267" t="str">
        <x:f>IF('Official Ranking v2'!B179="","",'Official Ranking v2'!S179)</x:f>
      </x:c>
      <x:c r="F178" s="262" t="str">
        <x:f>IF('Official Ranking v2'!B179="","",'Official Ranking v2'!T179)</x:f>
      </x:c>
      <x:c r="G178" s="262" t="str">
        <x:f>IF('Official Ranking v2'!B179="","",'Official Ranking v2'!W179)</x:f>
      </x:c>
      <x:c r="H178" s="262" t="str">
        <x:f>IF('Official Ranking v2'!B179="","",'Official Ranking v2'!X179)</x:f>
      </x:c>
      <x:c r="I178" s="262" t="str">
        <x:f>IF('Official Ranking v2'!B179="","",'Official Ranking v2'!V179)</x:f>
      </x:c>
      <x:c r="J178" s="262" t="str">
        <x:f>IF(C178="","",LOWER(SUBSTITUTE(SUBSTITUTE(C178," ","-"),".","")))</x:f>
      </x:c>
    </x:row>
    <x:row r="179">
      <x:c r="A179" s="262" t="str">
        <x:f>IF('Official Ranking v2'!B180="","",'Official Ranking v2'!A180)</x:f>
      </x:c>
      <x:c r="B179" s="262" t="str">
        <x:f>IFERROR(INDEX('Player Registry'!$A$2:$A$205,MATCH(C179,'Player Registry'!$C$2:$C$205,0)),"")</x:f>
      </x:c>
      <x:c r="C179" s="262" t="str">
        <x:f>IF('Official Ranking v2'!B180="","",'Official Ranking v2'!B180)</x:f>
      </x:c>
      <x:c r="D179" s="262" t="str">
        <x:f>IF('Official Ranking v2'!B180="","",'Official Ranking v2'!C180)</x:f>
      </x:c>
      <x:c r="E179" s="267" t="str">
        <x:f>IF('Official Ranking v2'!B180="","",'Official Ranking v2'!S180)</x:f>
      </x:c>
      <x:c r="F179" s="262" t="str">
        <x:f>IF('Official Ranking v2'!B180="","",'Official Ranking v2'!T180)</x:f>
      </x:c>
      <x:c r="G179" s="262" t="str">
        <x:f>IF('Official Ranking v2'!B180="","",'Official Ranking v2'!W180)</x:f>
      </x:c>
      <x:c r="H179" s="262" t="str">
        <x:f>IF('Official Ranking v2'!B180="","",'Official Ranking v2'!X180)</x:f>
      </x:c>
      <x:c r="I179" s="262" t="str">
        <x:f>IF('Official Ranking v2'!B180="","",'Official Ranking v2'!V180)</x:f>
      </x:c>
      <x:c r="J179" s="262" t="str">
        <x:f>IF(C179="","",LOWER(SUBSTITUTE(SUBSTITUTE(C179," ","-"),".","")))</x:f>
      </x:c>
    </x:row>
    <x:row r="180">
      <x:c r="A180" s="262" t="str">
        <x:f>IF('Official Ranking v2'!B181="","",'Official Ranking v2'!A181)</x:f>
      </x:c>
      <x:c r="B180" s="262" t="str">
        <x:f>IFERROR(INDEX('Player Registry'!$A$2:$A$205,MATCH(C180,'Player Registry'!$C$2:$C$205,0)),"")</x:f>
      </x:c>
      <x:c r="C180" s="262" t="str">
        <x:f>IF('Official Ranking v2'!B181="","",'Official Ranking v2'!B181)</x:f>
      </x:c>
      <x:c r="D180" s="262" t="str">
        <x:f>IF('Official Ranking v2'!B181="","",'Official Ranking v2'!C181)</x:f>
      </x:c>
      <x:c r="E180" s="267" t="str">
        <x:f>IF('Official Ranking v2'!B181="","",'Official Ranking v2'!S181)</x:f>
      </x:c>
      <x:c r="F180" s="262" t="str">
        <x:f>IF('Official Ranking v2'!B181="","",'Official Ranking v2'!T181)</x:f>
      </x:c>
      <x:c r="G180" s="262" t="str">
        <x:f>IF('Official Ranking v2'!B181="","",'Official Ranking v2'!W181)</x:f>
      </x:c>
      <x:c r="H180" s="262" t="str">
        <x:f>IF('Official Ranking v2'!B181="","",'Official Ranking v2'!X181)</x:f>
      </x:c>
      <x:c r="I180" s="262" t="str">
        <x:f>IF('Official Ranking v2'!B181="","",'Official Ranking v2'!V181)</x:f>
      </x:c>
      <x:c r="J180" s="262" t="str">
        <x:f>IF(C180="","",LOWER(SUBSTITUTE(SUBSTITUTE(C180," ","-"),".","")))</x:f>
      </x:c>
    </x:row>
    <x:row r="181">
      <x:c r="A181" s="262" t="str">
        <x:f>IF('Official Ranking v2'!B182="","",'Official Ranking v2'!A182)</x:f>
      </x:c>
      <x:c r="B181" s="262" t="str">
        <x:f>IFERROR(INDEX('Player Registry'!$A$2:$A$205,MATCH(C181,'Player Registry'!$C$2:$C$205,0)),"")</x:f>
      </x:c>
      <x:c r="C181" s="262" t="str">
        <x:f>IF('Official Ranking v2'!B182="","",'Official Ranking v2'!B182)</x:f>
      </x:c>
      <x:c r="D181" s="262" t="str">
        <x:f>IF('Official Ranking v2'!B182="","",'Official Ranking v2'!C182)</x:f>
      </x:c>
      <x:c r="E181" s="267" t="str">
        <x:f>IF('Official Ranking v2'!B182="","",'Official Ranking v2'!S182)</x:f>
      </x:c>
      <x:c r="F181" s="262" t="str">
        <x:f>IF('Official Ranking v2'!B182="","",'Official Ranking v2'!T182)</x:f>
      </x:c>
      <x:c r="G181" s="262" t="str">
        <x:f>IF('Official Ranking v2'!B182="","",'Official Ranking v2'!W182)</x:f>
      </x:c>
      <x:c r="H181" s="262" t="str">
        <x:f>IF('Official Ranking v2'!B182="","",'Official Ranking v2'!X182)</x:f>
      </x:c>
      <x:c r="I181" s="262" t="str">
        <x:f>IF('Official Ranking v2'!B182="","",'Official Ranking v2'!V182)</x:f>
      </x:c>
      <x:c r="J181" s="262" t="str">
        <x:f>IF(C181="","",LOWER(SUBSTITUTE(SUBSTITUTE(C181," ","-"),".","")))</x:f>
      </x:c>
    </x:row>
    <x:row r="182">
      <x:c r="A182" s="262" t="str">
        <x:f>IF('Official Ranking v2'!B183="","",'Official Ranking v2'!A183)</x:f>
      </x:c>
      <x:c r="B182" s="262" t="str">
        <x:f>IFERROR(INDEX('Player Registry'!$A$2:$A$205,MATCH(C182,'Player Registry'!$C$2:$C$205,0)),"")</x:f>
      </x:c>
      <x:c r="C182" s="262" t="str">
        <x:f>IF('Official Ranking v2'!B183="","",'Official Ranking v2'!B183)</x:f>
      </x:c>
      <x:c r="D182" s="262" t="str">
        <x:f>IF('Official Ranking v2'!B183="","",'Official Ranking v2'!C183)</x:f>
      </x:c>
      <x:c r="E182" s="267" t="str">
        <x:f>IF('Official Ranking v2'!B183="","",'Official Ranking v2'!S183)</x:f>
      </x:c>
      <x:c r="F182" s="262" t="str">
        <x:f>IF('Official Ranking v2'!B183="","",'Official Ranking v2'!T183)</x:f>
      </x:c>
      <x:c r="G182" s="262" t="str">
        <x:f>IF('Official Ranking v2'!B183="","",'Official Ranking v2'!W183)</x:f>
      </x:c>
      <x:c r="H182" s="262" t="str">
        <x:f>IF('Official Ranking v2'!B183="","",'Official Ranking v2'!X183)</x:f>
      </x:c>
      <x:c r="I182" s="262" t="str">
        <x:f>IF('Official Ranking v2'!B183="","",'Official Ranking v2'!V183)</x:f>
      </x:c>
      <x:c r="J182" s="262" t="str">
        <x:f>IF(C182="","",LOWER(SUBSTITUTE(SUBSTITUTE(C182," ","-"),".","")))</x:f>
      </x:c>
    </x:row>
    <x:row r="183">
      <x:c r="A183" s="262" t="str">
        <x:f>IF('Official Ranking v2'!B184="","",'Official Ranking v2'!A184)</x:f>
      </x:c>
      <x:c r="B183" s="262" t="str">
        <x:f>IFERROR(INDEX('Player Registry'!$A$2:$A$205,MATCH(C183,'Player Registry'!$C$2:$C$205,0)),"")</x:f>
      </x:c>
      <x:c r="C183" s="262" t="str">
        <x:f>IF('Official Ranking v2'!B184="","",'Official Ranking v2'!B184)</x:f>
      </x:c>
      <x:c r="D183" s="262" t="str">
        <x:f>IF('Official Ranking v2'!B184="","",'Official Ranking v2'!C184)</x:f>
      </x:c>
      <x:c r="E183" s="267" t="str">
        <x:f>IF('Official Ranking v2'!B184="","",'Official Ranking v2'!S184)</x:f>
      </x:c>
      <x:c r="F183" s="262" t="str">
        <x:f>IF('Official Ranking v2'!B184="","",'Official Ranking v2'!T184)</x:f>
      </x:c>
      <x:c r="G183" s="262" t="str">
        <x:f>IF('Official Ranking v2'!B184="","",'Official Ranking v2'!W184)</x:f>
      </x:c>
      <x:c r="H183" s="262" t="str">
        <x:f>IF('Official Ranking v2'!B184="","",'Official Ranking v2'!X184)</x:f>
      </x:c>
      <x:c r="I183" s="262" t="str">
        <x:f>IF('Official Ranking v2'!B184="","",'Official Ranking v2'!V184)</x:f>
      </x:c>
      <x:c r="J183" s="262" t="str">
        <x:f>IF(C183="","",LOWER(SUBSTITUTE(SUBSTITUTE(C183," ","-"),".","")))</x:f>
      </x:c>
    </x:row>
    <x:row r="184">
      <x:c r="A184" s="262" t="str">
        <x:f>IF('Official Ranking v2'!B185="","",'Official Ranking v2'!A185)</x:f>
      </x:c>
      <x:c r="B184" s="262" t="str">
        <x:f>IFERROR(INDEX('Player Registry'!$A$2:$A$205,MATCH(C184,'Player Registry'!$C$2:$C$205,0)),"")</x:f>
      </x:c>
      <x:c r="C184" s="262" t="str">
        <x:f>IF('Official Ranking v2'!B185="","",'Official Ranking v2'!B185)</x:f>
      </x:c>
      <x:c r="D184" s="262" t="str">
        <x:f>IF('Official Ranking v2'!B185="","",'Official Ranking v2'!C185)</x:f>
      </x:c>
      <x:c r="E184" s="267" t="str">
        <x:f>IF('Official Ranking v2'!B185="","",'Official Ranking v2'!S185)</x:f>
      </x:c>
      <x:c r="F184" s="262" t="str">
        <x:f>IF('Official Ranking v2'!B185="","",'Official Ranking v2'!T185)</x:f>
      </x:c>
      <x:c r="G184" s="262" t="str">
        <x:f>IF('Official Ranking v2'!B185="","",'Official Ranking v2'!W185)</x:f>
      </x:c>
      <x:c r="H184" s="262" t="str">
        <x:f>IF('Official Ranking v2'!B185="","",'Official Ranking v2'!X185)</x:f>
      </x:c>
      <x:c r="I184" s="262" t="str">
        <x:f>IF('Official Ranking v2'!B185="","",'Official Ranking v2'!V185)</x:f>
      </x:c>
      <x:c r="J184" s="262" t="str">
        <x:f>IF(C184="","",LOWER(SUBSTITUTE(SUBSTITUTE(C184," ","-"),".","")))</x:f>
      </x:c>
    </x:row>
    <x:row r="185">
      <x:c r="A185" s="262" t="str">
        <x:f>IF('Official Ranking v2'!B186="","",'Official Ranking v2'!A186)</x:f>
      </x:c>
      <x:c r="B185" s="262" t="str">
        <x:f>IFERROR(INDEX('Player Registry'!$A$2:$A$205,MATCH(C185,'Player Registry'!$C$2:$C$205,0)),"")</x:f>
      </x:c>
      <x:c r="C185" s="262" t="str">
        <x:f>IF('Official Ranking v2'!B186="","",'Official Ranking v2'!B186)</x:f>
      </x:c>
      <x:c r="D185" s="262" t="str">
        <x:f>IF('Official Ranking v2'!B186="","",'Official Ranking v2'!C186)</x:f>
      </x:c>
      <x:c r="E185" s="267" t="str">
        <x:f>IF('Official Ranking v2'!B186="","",'Official Ranking v2'!S186)</x:f>
      </x:c>
      <x:c r="F185" s="262" t="str">
        <x:f>IF('Official Ranking v2'!B186="","",'Official Ranking v2'!T186)</x:f>
      </x:c>
      <x:c r="G185" s="262" t="str">
        <x:f>IF('Official Ranking v2'!B186="","",'Official Ranking v2'!W186)</x:f>
      </x:c>
      <x:c r="H185" s="262" t="str">
        <x:f>IF('Official Ranking v2'!B186="","",'Official Ranking v2'!X186)</x:f>
      </x:c>
      <x:c r="I185" s="262" t="str">
        <x:f>IF('Official Ranking v2'!B186="","",'Official Ranking v2'!V186)</x:f>
      </x:c>
      <x:c r="J185" s="262" t="str">
        <x:f>IF(C185="","",LOWER(SUBSTITUTE(SUBSTITUTE(C185," ","-"),".","")))</x:f>
      </x:c>
    </x:row>
    <x:row r="186">
      <x:c r="A186" s="262" t="str">
        <x:f>IF('Official Ranking v2'!B187="","",'Official Ranking v2'!A187)</x:f>
      </x:c>
      <x:c r="B186" s="262" t="str">
        <x:f>IFERROR(INDEX('Player Registry'!$A$2:$A$205,MATCH(C186,'Player Registry'!$C$2:$C$205,0)),"")</x:f>
      </x:c>
      <x:c r="C186" s="262" t="str">
        <x:f>IF('Official Ranking v2'!B187="","",'Official Ranking v2'!B187)</x:f>
      </x:c>
      <x:c r="D186" s="262" t="str">
        <x:f>IF('Official Ranking v2'!B187="","",'Official Ranking v2'!C187)</x:f>
      </x:c>
      <x:c r="E186" s="267" t="str">
        <x:f>IF('Official Ranking v2'!B187="","",'Official Ranking v2'!S187)</x:f>
      </x:c>
      <x:c r="F186" s="262" t="str">
        <x:f>IF('Official Ranking v2'!B187="","",'Official Ranking v2'!T187)</x:f>
      </x:c>
      <x:c r="G186" s="262" t="str">
        <x:f>IF('Official Ranking v2'!B187="","",'Official Ranking v2'!W187)</x:f>
      </x:c>
      <x:c r="H186" s="262" t="str">
        <x:f>IF('Official Ranking v2'!B187="","",'Official Ranking v2'!X187)</x:f>
      </x:c>
      <x:c r="I186" s="262" t="str">
        <x:f>IF('Official Ranking v2'!B187="","",'Official Ranking v2'!V187)</x:f>
      </x:c>
      <x:c r="J186" s="262" t="str">
        <x:f>IF(C186="","",LOWER(SUBSTITUTE(SUBSTITUTE(C186," ","-"),".","")))</x:f>
      </x:c>
    </x:row>
    <x:row r="187">
      <x:c r="A187" s="262" t="str">
        <x:f>IF('Official Ranking v2'!B188="","",'Official Ranking v2'!A188)</x:f>
      </x:c>
      <x:c r="B187" s="262" t="str">
        <x:f>IFERROR(INDEX('Player Registry'!$A$2:$A$205,MATCH(C187,'Player Registry'!$C$2:$C$205,0)),"")</x:f>
      </x:c>
      <x:c r="C187" s="262" t="str">
        <x:f>IF('Official Ranking v2'!B188="","",'Official Ranking v2'!B188)</x:f>
      </x:c>
      <x:c r="D187" s="262" t="str">
        <x:f>IF('Official Ranking v2'!B188="","",'Official Ranking v2'!C188)</x:f>
      </x:c>
      <x:c r="E187" s="267" t="str">
        <x:f>IF('Official Ranking v2'!B188="","",'Official Ranking v2'!S188)</x:f>
      </x:c>
      <x:c r="F187" s="262" t="str">
        <x:f>IF('Official Ranking v2'!B188="","",'Official Ranking v2'!T188)</x:f>
      </x:c>
      <x:c r="G187" s="262" t="str">
        <x:f>IF('Official Ranking v2'!B188="","",'Official Ranking v2'!W188)</x:f>
      </x:c>
      <x:c r="H187" s="262" t="str">
        <x:f>IF('Official Ranking v2'!B188="","",'Official Ranking v2'!X188)</x:f>
      </x:c>
      <x:c r="I187" s="262" t="str">
        <x:f>IF('Official Ranking v2'!B188="","",'Official Ranking v2'!V188)</x:f>
      </x:c>
      <x:c r="J187" s="262" t="str">
        <x:f>IF(C187="","",LOWER(SUBSTITUTE(SUBSTITUTE(C187," ","-"),".","")))</x:f>
      </x:c>
    </x:row>
    <x:row r="188">
      <x:c r="A188" s="262" t="str">
        <x:f>IF('Official Ranking v2'!B189="","",'Official Ranking v2'!A189)</x:f>
      </x:c>
      <x:c r="B188" s="262" t="str">
        <x:f>IFERROR(INDEX('Player Registry'!$A$2:$A$205,MATCH(C188,'Player Registry'!$C$2:$C$205,0)),"")</x:f>
      </x:c>
      <x:c r="C188" s="262" t="str">
        <x:f>IF('Official Ranking v2'!B189="","",'Official Ranking v2'!B189)</x:f>
      </x:c>
      <x:c r="D188" s="262" t="str">
        <x:f>IF('Official Ranking v2'!B189="","",'Official Ranking v2'!C189)</x:f>
      </x:c>
      <x:c r="E188" s="267" t="str">
        <x:f>IF('Official Ranking v2'!B189="","",'Official Ranking v2'!S189)</x:f>
      </x:c>
      <x:c r="F188" s="262" t="str">
        <x:f>IF('Official Ranking v2'!B189="","",'Official Ranking v2'!T189)</x:f>
      </x:c>
      <x:c r="G188" s="262" t="str">
        <x:f>IF('Official Ranking v2'!B189="","",'Official Ranking v2'!W189)</x:f>
      </x:c>
      <x:c r="H188" s="262" t="str">
        <x:f>IF('Official Ranking v2'!B189="","",'Official Ranking v2'!X189)</x:f>
      </x:c>
      <x:c r="I188" s="262" t="str">
        <x:f>IF('Official Ranking v2'!B189="","",'Official Ranking v2'!V189)</x:f>
      </x:c>
      <x:c r="J188" s="262" t="str">
        <x:f>IF(C188="","",LOWER(SUBSTITUTE(SUBSTITUTE(C188," ","-"),".","")))</x:f>
      </x:c>
    </x:row>
    <x:row r="189">
      <x:c r="A189" s="262" t="str">
        <x:f>IF('Official Ranking v2'!B190="","",'Official Ranking v2'!A190)</x:f>
      </x:c>
      <x:c r="B189" s="262" t="str">
        <x:f>IFERROR(INDEX('Player Registry'!$A$2:$A$205,MATCH(C189,'Player Registry'!$C$2:$C$205,0)),"")</x:f>
      </x:c>
      <x:c r="C189" s="262" t="str">
        <x:f>IF('Official Ranking v2'!B190="","",'Official Ranking v2'!B190)</x:f>
      </x:c>
      <x:c r="D189" s="262" t="str">
        <x:f>IF('Official Ranking v2'!B190="","",'Official Ranking v2'!C190)</x:f>
      </x:c>
      <x:c r="E189" s="267" t="str">
        <x:f>IF('Official Ranking v2'!B190="","",'Official Ranking v2'!S190)</x:f>
      </x:c>
      <x:c r="F189" s="262" t="str">
        <x:f>IF('Official Ranking v2'!B190="","",'Official Ranking v2'!T190)</x:f>
      </x:c>
      <x:c r="G189" s="262" t="str">
        <x:f>IF('Official Ranking v2'!B190="","",'Official Ranking v2'!W190)</x:f>
      </x:c>
      <x:c r="H189" s="262" t="str">
        <x:f>IF('Official Ranking v2'!B190="","",'Official Ranking v2'!X190)</x:f>
      </x:c>
      <x:c r="I189" s="262" t="str">
        <x:f>IF('Official Ranking v2'!B190="","",'Official Ranking v2'!V190)</x:f>
      </x:c>
      <x:c r="J189" s="262" t="str">
        <x:f>IF(C189="","",LOWER(SUBSTITUTE(SUBSTITUTE(C189," ","-"),".","")))</x:f>
      </x:c>
    </x:row>
    <x:row r="190">
      <x:c r="A190" s="262" t="str">
        <x:f>IF('Official Ranking v2'!B191="","",'Official Ranking v2'!A191)</x:f>
      </x:c>
      <x:c r="B190" s="262" t="str">
        <x:f>IFERROR(INDEX('Player Registry'!$A$2:$A$205,MATCH(C190,'Player Registry'!$C$2:$C$205,0)),"")</x:f>
      </x:c>
      <x:c r="C190" s="262" t="str">
        <x:f>IF('Official Ranking v2'!B191="","",'Official Ranking v2'!B191)</x:f>
      </x:c>
      <x:c r="D190" s="262" t="str">
        <x:f>IF('Official Ranking v2'!B191="","",'Official Ranking v2'!C191)</x:f>
      </x:c>
      <x:c r="E190" s="267" t="str">
        <x:f>IF('Official Ranking v2'!B191="","",'Official Ranking v2'!S191)</x:f>
      </x:c>
      <x:c r="F190" s="262" t="str">
        <x:f>IF('Official Ranking v2'!B191="","",'Official Ranking v2'!T191)</x:f>
      </x:c>
      <x:c r="G190" s="262" t="str">
        <x:f>IF('Official Ranking v2'!B191="","",'Official Ranking v2'!W191)</x:f>
      </x:c>
      <x:c r="H190" s="262" t="str">
        <x:f>IF('Official Ranking v2'!B191="","",'Official Ranking v2'!X191)</x:f>
      </x:c>
      <x:c r="I190" s="262" t="str">
        <x:f>IF('Official Ranking v2'!B191="","",'Official Ranking v2'!V191)</x:f>
      </x:c>
      <x:c r="J190" s="262" t="str">
        <x:f>IF(C190="","",LOWER(SUBSTITUTE(SUBSTITUTE(C190," ","-"),".","")))</x:f>
      </x:c>
    </x:row>
    <x:row r="191">
      <x:c r="A191" s="262" t="str">
        <x:f>IF('Official Ranking v2'!B192="","",'Official Ranking v2'!A192)</x:f>
      </x:c>
      <x:c r="B191" s="262" t="str">
        <x:f>IFERROR(INDEX('Player Registry'!$A$2:$A$205,MATCH(C191,'Player Registry'!$C$2:$C$205,0)),"")</x:f>
      </x:c>
      <x:c r="C191" s="262" t="str">
        <x:f>IF('Official Ranking v2'!B192="","",'Official Ranking v2'!B192)</x:f>
      </x:c>
      <x:c r="D191" s="262" t="str">
        <x:f>IF('Official Ranking v2'!B192="","",'Official Ranking v2'!C192)</x:f>
      </x:c>
      <x:c r="E191" s="267" t="str">
        <x:f>IF('Official Ranking v2'!B192="","",'Official Ranking v2'!S192)</x:f>
      </x:c>
      <x:c r="F191" s="262" t="str">
        <x:f>IF('Official Ranking v2'!B192="","",'Official Ranking v2'!T192)</x:f>
      </x:c>
      <x:c r="G191" s="262" t="str">
        <x:f>IF('Official Ranking v2'!B192="","",'Official Ranking v2'!W192)</x:f>
      </x:c>
      <x:c r="H191" s="262" t="str">
        <x:f>IF('Official Ranking v2'!B192="","",'Official Ranking v2'!X192)</x:f>
      </x:c>
      <x:c r="I191" s="262" t="str">
        <x:f>IF('Official Ranking v2'!B192="","",'Official Ranking v2'!V192)</x:f>
      </x:c>
      <x:c r="J191" s="262" t="str">
        <x:f>IF(C191="","",LOWER(SUBSTITUTE(SUBSTITUTE(C191," ","-"),".","")))</x:f>
      </x:c>
    </x:row>
    <x:row r="192">
      <x:c r="A192" s="262" t="str">
        <x:f>IF('Official Ranking v2'!B193="","",'Official Ranking v2'!A193)</x:f>
      </x:c>
      <x:c r="B192" s="262" t="str">
        <x:f>IFERROR(INDEX('Player Registry'!$A$2:$A$205,MATCH(C192,'Player Registry'!$C$2:$C$205,0)),"")</x:f>
      </x:c>
      <x:c r="C192" s="262" t="str">
        <x:f>IF('Official Ranking v2'!B193="","",'Official Ranking v2'!B193)</x:f>
      </x:c>
      <x:c r="D192" s="262" t="str">
        <x:f>IF('Official Ranking v2'!B193="","",'Official Ranking v2'!C193)</x:f>
      </x:c>
      <x:c r="E192" s="267" t="str">
        <x:f>IF('Official Ranking v2'!B193="","",'Official Ranking v2'!S193)</x:f>
      </x:c>
      <x:c r="F192" s="262" t="str">
        <x:f>IF('Official Ranking v2'!B193="","",'Official Ranking v2'!T193)</x:f>
      </x:c>
      <x:c r="G192" s="262" t="str">
        <x:f>IF('Official Ranking v2'!B193="","",'Official Ranking v2'!W193)</x:f>
      </x:c>
      <x:c r="H192" s="262" t="str">
        <x:f>IF('Official Ranking v2'!B193="","",'Official Ranking v2'!X193)</x:f>
      </x:c>
      <x:c r="I192" s="262" t="str">
        <x:f>IF('Official Ranking v2'!B193="","",'Official Ranking v2'!V193)</x:f>
      </x:c>
      <x:c r="J192" s="262" t="str">
        <x:f>IF(C192="","",LOWER(SUBSTITUTE(SUBSTITUTE(C192," ","-"),".","")))</x:f>
      </x:c>
    </x:row>
    <x:row r="193">
      <x:c r="A193" s="262" t="str">
        <x:f>IF('Official Ranking v2'!B194="","",'Official Ranking v2'!A194)</x:f>
      </x:c>
      <x:c r="B193" s="262" t="str">
        <x:f>IFERROR(INDEX('Player Registry'!$A$2:$A$205,MATCH(C193,'Player Registry'!$C$2:$C$205,0)),"")</x:f>
      </x:c>
      <x:c r="C193" s="262" t="str">
        <x:f>IF('Official Ranking v2'!B194="","",'Official Ranking v2'!B194)</x:f>
      </x:c>
      <x:c r="D193" s="262" t="str">
        <x:f>IF('Official Ranking v2'!B194="","",'Official Ranking v2'!C194)</x:f>
      </x:c>
      <x:c r="E193" s="267" t="str">
        <x:f>IF('Official Ranking v2'!B194="","",'Official Ranking v2'!S194)</x:f>
      </x:c>
      <x:c r="F193" s="262" t="str">
        <x:f>IF('Official Ranking v2'!B194="","",'Official Ranking v2'!T194)</x:f>
      </x:c>
      <x:c r="G193" s="262" t="str">
        <x:f>IF('Official Ranking v2'!B194="","",'Official Ranking v2'!W194)</x:f>
      </x:c>
      <x:c r="H193" s="262" t="str">
        <x:f>IF('Official Ranking v2'!B194="","",'Official Ranking v2'!X194)</x:f>
      </x:c>
      <x:c r="I193" s="262" t="str">
        <x:f>IF('Official Ranking v2'!B194="","",'Official Ranking v2'!V194)</x:f>
      </x:c>
      <x:c r="J193" s="262" t="str">
        <x:f>IF(C193="","",LOWER(SUBSTITUTE(SUBSTITUTE(C193," ","-"),".","")))</x:f>
      </x:c>
    </x:row>
    <x:row r="194">
      <x:c r="A194" s="262" t="str">
        <x:f>IF('Official Ranking v2'!B195="","",'Official Ranking v2'!A195)</x:f>
      </x:c>
      <x:c r="B194" s="262" t="str">
        <x:f>IFERROR(INDEX('Player Registry'!$A$2:$A$205,MATCH(C194,'Player Registry'!$C$2:$C$205,0)),"")</x:f>
      </x:c>
      <x:c r="C194" s="262" t="str">
        <x:f>IF('Official Ranking v2'!B195="","",'Official Ranking v2'!B195)</x:f>
      </x:c>
      <x:c r="D194" s="262" t="str">
        <x:f>IF('Official Ranking v2'!B195="","",'Official Ranking v2'!C195)</x:f>
      </x:c>
      <x:c r="E194" s="267" t="str">
        <x:f>IF('Official Ranking v2'!B195="","",'Official Ranking v2'!S195)</x:f>
      </x:c>
      <x:c r="F194" s="262" t="str">
        <x:f>IF('Official Ranking v2'!B195="","",'Official Ranking v2'!T195)</x:f>
      </x:c>
      <x:c r="G194" s="262" t="str">
        <x:f>IF('Official Ranking v2'!B195="","",'Official Ranking v2'!W195)</x:f>
      </x:c>
      <x:c r="H194" s="262" t="str">
        <x:f>IF('Official Ranking v2'!B195="","",'Official Ranking v2'!X195)</x:f>
      </x:c>
      <x:c r="I194" s="262" t="str">
        <x:f>IF('Official Ranking v2'!B195="","",'Official Ranking v2'!V195)</x:f>
      </x:c>
      <x:c r="J194" s="262" t="str">
        <x:f>IF(C194="","",LOWER(SUBSTITUTE(SUBSTITUTE(C194," ","-"),".","")))</x:f>
      </x:c>
    </x:row>
    <x:row r="195">
      <x:c r="A195" s="262" t="str">
        <x:f>IF('Official Ranking v2'!B196="","",'Official Ranking v2'!A196)</x:f>
      </x:c>
      <x:c r="B195" s="262" t="str">
        <x:f>IFERROR(INDEX('Player Registry'!$A$2:$A$205,MATCH(C195,'Player Registry'!$C$2:$C$205,0)),"")</x:f>
      </x:c>
      <x:c r="C195" s="262" t="str">
        <x:f>IF('Official Ranking v2'!B196="","",'Official Ranking v2'!B196)</x:f>
      </x:c>
      <x:c r="D195" s="262" t="str">
        <x:f>IF('Official Ranking v2'!B196="","",'Official Ranking v2'!C196)</x:f>
      </x:c>
      <x:c r="E195" s="267" t="str">
        <x:f>IF('Official Ranking v2'!B196="","",'Official Ranking v2'!S196)</x:f>
      </x:c>
      <x:c r="F195" s="262" t="str">
        <x:f>IF('Official Ranking v2'!B196="","",'Official Ranking v2'!T196)</x:f>
      </x:c>
      <x:c r="G195" s="262" t="str">
        <x:f>IF('Official Ranking v2'!B196="","",'Official Ranking v2'!W196)</x:f>
      </x:c>
      <x:c r="H195" s="262" t="str">
        <x:f>IF('Official Ranking v2'!B196="","",'Official Ranking v2'!X196)</x:f>
      </x:c>
      <x:c r="I195" s="262" t="str">
        <x:f>IF('Official Ranking v2'!B196="","",'Official Ranking v2'!V196)</x:f>
      </x:c>
      <x:c r="J195" s="262" t="str">
        <x:f>IF(C195="","",LOWER(SUBSTITUTE(SUBSTITUTE(C195," ","-"),".","")))</x:f>
      </x:c>
    </x:row>
    <x:row r="196">
      <x:c r="A196" s="262" t="str">
        <x:f>IF('Official Ranking v2'!B197="","",'Official Ranking v2'!A197)</x:f>
      </x:c>
      <x:c r="B196" s="262" t="str">
        <x:f>IFERROR(INDEX('Player Registry'!$A$2:$A$205,MATCH(C196,'Player Registry'!$C$2:$C$205,0)),"")</x:f>
      </x:c>
      <x:c r="C196" s="262" t="str">
        <x:f>IF('Official Ranking v2'!B197="","",'Official Ranking v2'!B197)</x:f>
      </x:c>
      <x:c r="D196" s="262" t="str">
        <x:f>IF('Official Ranking v2'!B197="","",'Official Ranking v2'!C197)</x:f>
      </x:c>
      <x:c r="E196" s="267" t="str">
        <x:f>IF('Official Ranking v2'!B197="","",'Official Ranking v2'!S197)</x:f>
      </x:c>
      <x:c r="F196" s="262" t="str">
        <x:f>IF('Official Ranking v2'!B197="","",'Official Ranking v2'!T197)</x:f>
      </x:c>
      <x:c r="G196" s="262" t="str">
        <x:f>IF('Official Ranking v2'!B197="","",'Official Ranking v2'!W197)</x:f>
      </x:c>
      <x:c r="H196" s="262" t="str">
        <x:f>IF('Official Ranking v2'!B197="","",'Official Ranking v2'!X197)</x:f>
      </x:c>
      <x:c r="I196" s="262" t="str">
        <x:f>IF('Official Ranking v2'!B197="","",'Official Ranking v2'!V197)</x:f>
      </x:c>
      <x:c r="J196" s="262" t="str">
        <x:f>IF(C196="","",LOWER(SUBSTITUTE(SUBSTITUTE(C196," ","-"),".","")))</x:f>
      </x:c>
    </x:row>
    <x:row r="197">
      <x:c r="A197" s="262" t="str">
        <x:f>IF('Official Ranking v2'!B198="","",'Official Ranking v2'!A198)</x:f>
      </x:c>
      <x:c r="B197" s="262" t="str">
        <x:f>IFERROR(INDEX('Player Registry'!$A$2:$A$205,MATCH(C197,'Player Registry'!$C$2:$C$205,0)),"")</x:f>
      </x:c>
      <x:c r="C197" s="262" t="str">
        <x:f>IF('Official Ranking v2'!B198="","",'Official Ranking v2'!B198)</x:f>
      </x:c>
      <x:c r="D197" s="262" t="str">
        <x:f>IF('Official Ranking v2'!B198="","",'Official Ranking v2'!C198)</x:f>
      </x:c>
      <x:c r="E197" s="267" t="str">
        <x:f>IF('Official Ranking v2'!B198="","",'Official Ranking v2'!S198)</x:f>
      </x:c>
      <x:c r="F197" s="262" t="str">
        <x:f>IF('Official Ranking v2'!B198="","",'Official Ranking v2'!T198)</x:f>
      </x:c>
      <x:c r="G197" s="262" t="str">
        <x:f>IF('Official Ranking v2'!B198="","",'Official Ranking v2'!W198)</x:f>
      </x:c>
      <x:c r="H197" s="262" t="str">
        <x:f>IF('Official Ranking v2'!B198="","",'Official Ranking v2'!X198)</x:f>
      </x:c>
      <x:c r="I197" s="262" t="str">
        <x:f>IF('Official Ranking v2'!B198="","",'Official Ranking v2'!V198)</x:f>
      </x:c>
      <x:c r="J197" s="262" t="str">
        <x:f>IF(C197="","",LOWER(SUBSTITUTE(SUBSTITUTE(C197," ","-"),".","")))</x:f>
      </x:c>
    </x:row>
    <x:row r="198">
      <x:c r="A198" s="262" t="str">
        <x:f>IF('Official Ranking v2'!B199="","",'Official Ranking v2'!A199)</x:f>
      </x:c>
      <x:c r="B198" s="262" t="str">
        <x:f>IFERROR(INDEX('Player Registry'!$A$2:$A$205,MATCH(C198,'Player Registry'!$C$2:$C$205,0)),"")</x:f>
      </x:c>
      <x:c r="C198" s="262" t="str">
        <x:f>IF('Official Ranking v2'!B199="","",'Official Ranking v2'!B199)</x:f>
      </x:c>
      <x:c r="D198" s="262" t="str">
        <x:f>IF('Official Ranking v2'!B199="","",'Official Ranking v2'!C199)</x:f>
      </x:c>
      <x:c r="E198" s="267" t="str">
        <x:f>IF('Official Ranking v2'!B199="","",'Official Ranking v2'!S199)</x:f>
      </x:c>
      <x:c r="F198" s="262" t="str">
        <x:f>IF('Official Ranking v2'!B199="","",'Official Ranking v2'!T199)</x:f>
      </x:c>
      <x:c r="G198" s="262" t="str">
        <x:f>IF('Official Ranking v2'!B199="","",'Official Ranking v2'!W199)</x:f>
      </x:c>
      <x:c r="H198" s="262" t="str">
        <x:f>IF('Official Ranking v2'!B199="","",'Official Ranking v2'!X199)</x:f>
      </x:c>
      <x:c r="I198" s="262" t="str">
        <x:f>IF('Official Ranking v2'!B199="","",'Official Ranking v2'!V199)</x:f>
      </x:c>
      <x:c r="J198" s="262" t="str">
        <x:f>IF(C198="","",LOWER(SUBSTITUTE(SUBSTITUTE(C198," ","-"),".","")))</x:f>
      </x:c>
    </x:row>
    <x:row r="199">
      <x:c r="A199" s="262" t="str">
        <x:f>IF('Official Ranking v2'!B200="","",'Official Ranking v2'!A200)</x:f>
      </x:c>
      <x:c r="B199" s="262" t="str">
        <x:f>IFERROR(INDEX('Player Registry'!$A$2:$A$205,MATCH(C199,'Player Registry'!$C$2:$C$205,0)),"")</x:f>
      </x:c>
      <x:c r="C199" s="262" t="str">
        <x:f>IF('Official Ranking v2'!B200="","",'Official Ranking v2'!B200)</x:f>
      </x:c>
      <x:c r="D199" s="262" t="str">
        <x:f>IF('Official Ranking v2'!B200="","",'Official Ranking v2'!C200)</x:f>
      </x:c>
      <x:c r="E199" s="267" t="str">
        <x:f>IF('Official Ranking v2'!B200="","",'Official Ranking v2'!S200)</x:f>
      </x:c>
      <x:c r="F199" s="262" t="str">
        <x:f>IF('Official Ranking v2'!B200="","",'Official Ranking v2'!T200)</x:f>
      </x:c>
      <x:c r="G199" s="262" t="str">
        <x:f>IF('Official Ranking v2'!B200="","",'Official Ranking v2'!W200)</x:f>
      </x:c>
      <x:c r="H199" s="262" t="str">
        <x:f>IF('Official Ranking v2'!B200="","",'Official Ranking v2'!X200)</x:f>
      </x:c>
      <x:c r="I199" s="262" t="str">
        <x:f>IF('Official Ranking v2'!B200="","",'Official Ranking v2'!V200)</x:f>
      </x:c>
      <x:c r="J199" s="262" t="str">
        <x:f>IF(C199="","",LOWER(SUBSTITUTE(SUBSTITUTE(C199," ","-"),".","")))</x:f>
      </x:c>
    </x:row>
    <x:row r="200">
      <x:c r="A200" s="262" t="str">
        <x:f>IF('Official Ranking v2'!B201="","",'Official Ranking v2'!A201)</x:f>
      </x:c>
      <x:c r="B200" s="262" t="str">
        <x:f>IFERROR(INDEX('Player Registry'!$A$2:$A$205,MATCH(C200,'Player Registry'!$C$2:$C$205,0)),"")</x:f>
      </x:c>
      <x:c r="C200" s="262" t="str">
        <x:f>IF('Official Ranking v2'!B201="","",'Official Ranking v2'!B201)</x:f>
      </x:c>
      <x:c r="D200" s="262" t="str">
        <x:f>IF('Official Ranking v2'!B201="","",'Official Ranking v2'!C201)</x:f>
      </x:c>
      <x:c r="E200" s="267" t="str">
        <x:f>IF('Official Ranking v2'!B201="","",'Official Ranking v2'!S201)</x:f>
      </x:c>
      <x:c r="F200" s="262" t="str">
        <x:f>IF('Official Ranking v2'!B201="","",'Official Ranking v2'!T201)</x:f>
      </x:c>
      <x:c r="G200" s="262" t="str">
        <x:f>IF('Official Ranking v2'!B201="","",'Official Ranking v2'!W201)</x:f>
      </x:c>
      <x:c r="H200" s="262" t="str">
        <x:f>IF('Official Ranking v2'!B201="","",'Official Ranking v2'!X201)</x:f>
      </x:c>
      <x:c r="I200" s="262" t="str">
        <x:f>IF('Official Ranking v2'!B201="","",'Official Ranking v2'!V201)</x:f>
      </x:c>
      <x:c r="J200" s="262" t="str">
        <x:f>IF(C200="","",LOWER(SUBSTITUTE(SUBSTITUTE(C200," ","-"),".","")))</x:f>
      </x:c>
    </x:row>
    <x:row r="201">
      <x:c r="A201" s="262" t="str">
        <x:f>IF('Official Ranking v2'!B202="","",'Official Ranking v2'!A202)</x:f>
      </x:c>
      <x:c r="B201" s="262" t="str">
        <x:f>IFERROR(INDEX('Player Registry'!$A$2:$A$205,MATCH(C201,'Player Registry'!$C$2:$C$205,0)),"")</x:f>
      </x:c>
      <x:c r="C201" s="262" t="str">
        <x:f>IF('Official Ranking v2'!B202="","",'Official Ranking v2'!B202)</x:f>
      </x:c>
      <x:c r="D201" s="262" t="str">
        <x:f>IF('Official Ranking v2'!B202="","",'Official Ranking v2'!C202)</x:f>
      </x:c>
      <x:c r="E201" s="267" t="str">
        <x:f>IF('Official Ranking v2'!B202="","",'Official Ranking v2'!S202)</x:f>
      </x:c>
      <x:c r="F201" s="262" t="str">
        <x:f>IF('Official Ranking v2'!B202="","",'Official Ranking v2'!T202)</x:f>
      </x:c>
      <x:c r="G201" s="262" t="str">
        <x:f>IF('Official Ranking v2'!B202="","",'Official Ranking v2'!W202)</x:f>
      </x:c>
      <x:c r="H201" s="262" t="str">
        <x:f>IF('Official Ranking v2'!B202="","",'Official Ranking v2'!X202)</x:f>
      </x:c>
      <x:c r="I201" s="262" t="str">
        <x:f>IF('Official Ranking v2'!B202="","",'Official Ranking v2'!V202)</x:f>
      </x:c>
      <x:c r="J201" s="262" t="str">
        <x:f>IF(C201="","",LOWER(SUBSTITUTE(SUBSTITUTE(C201," ","-"),".","")))</x:f>
      </x:c>
    </x:row>
    <x:row r="202">
      <x:c r="A202" s="262" t="str">
        <x:f>IF('Official Ranking v2'!B203="","",'Official Ranking v2'!A203)</x:f>
      </x:c>
      <x:c r="B202" s="262" t="str">
        <x:f>IFERROR(INDEX('Player Registry'!$A$2:$A$205,MATCH(C202,'Player Registry'!$C$2:$C$205,0)),"")</x:f>
      </x:c>
      <x:c r="C202" s="262" t="str">
        <x:f>IF('Official Ranking v2'!B203="","",'Official Ranking v2'!B203)</x:f>
      </x:c>
      <x:c r="D202" s="262" t="str">
        <x:f>IF('Official Ranking v2'!B203="","",'Official Ranking v2'!C203)</x:f>
      </x:c>
      <x:c r="E202" s="267" t="str">
        <x:f>IF('Official Ranking v2'!B203="","",'Official Ranking v2'!S203)</x:f>
      </x:c>
      <x:c r="F202" s="262" t="str">
        <x:f>IF('Official Ranking v2'!B203="","",'Official Ranking v2'!T203)</x:f>
      </x:c>
      <x:c r="G202" s="262" t="str">
        <x:f>IF('Official Ranking v2'!B203="","",'Official Ranking v2'!W203)</x:f>
      </x:c>
      <x:c r="H202" s="262" t="str">
        <x:f>IF('Official Ranking v2'!B203="","",'Official Ranking v2'!X203)</x:f>
      </x:c>
      <x:c r="I202" s="262" t="str">
        <x:f>IF('Official Ranking v2'!B203="","",'Official Ranking v2'!V203)</x:f>
      </x:c>
      <x:c r="J202" s="262" t="str">
        <x:f>IF(C202="","",LOWER(SUBSTITUTE(SUBSTITUTE(C202," ","-"),".","")))</x:f>
      </x:c>
    </x:row>
    <x:row r="203">
      <x:c r="A203" s="262" t="str">
        <x:f>IF('Official Ranking v2'!B204="","",'Official Ranking v2'!A204)</x:f>
      </x:c>
      <x:c r="B203" s="262" t="str">
        <x:f>IFERROR(INDEX('Player Registry'!$A$2:$A$205,MATCH(C203,'Player Registry'!$C$2:$C$205,0)),"")</x:f>
      </x:c>
      <x:c r="C203" s="262" t="str">
        <x:f>IF('Official Ranking v2'!B204="","",'Official Ranking v2'!B204)</x:f>
      </x:c>
      <x:c r="D203" s="262" t="str">
        <x:f>IF('Official Ranking v2'!B204="","",'Official Ranking v2'!C204)</x:f>
      </x:c>
      <x:c r="E203" s="267" t="str">
        <x:f>IF('Official Ranking v2'!B204="","",'Official Ranking v2'!S204)</x:f>
      </x:c>
      <x:c r="F203" s="262" t="str">
        <x:f>IF('Official Ranking v2'!B204="","",'Official Ranking v2'!T204)</x:f>
      </x:c>
      <x:c r="G203" s="262" t="str">
        <x:f>IF('Official Ranking v2'!B204="","",'Official Ranking v2'!W204)</x:f>
      </x:c>
      <x:c r="H203" s="262" t="str">
        <x:f>IF('Official Ranking v2'!B204="","",'Official Ranking v2'!X204)</x:f>
      </x:c>
      <x:c r="I203" s="262" t="str">
        <x:f>IF('Official Ranking v2'!B204="","",'Official Ranking v2'!V204)</x:f>
      </x:c>
      <x:c r="J203" s="262" t="str">
        <x:f>IF(C203="","",LOWER(SUBSTITUTE(SUBSTITUTE(C203," ","-"),".","")))</x:f>
      </x:c>
    </x:row>
    <x:row r="204">
      <x:c r="A204" s="262" t="str">
        <x:f>IF('Official Ranking v2'!B205="","",'Official Ranking v2'!A205)</x:f>
      </x:c>
      <x:c r="B204" s="262" t="str">
        <x:f>IFERROR(INDEX('Player Registry'!$A$2:$A$205,MATCH(C204,'Player Registry'!$C$2:$C$205,0)),"")</x:f>
      </x:c>
      <x:c r="C204" s="262" t="str">
        <x:f>IF('Official Ranking v2'!B205="","",'Official Ranking v2'!B205)</x:f>
      </x:c>
      <x:c r="D204" s="262" t="str">
        <x:f>IF('Official Ranking v2'!B205="","",'Official Ranking v2'!C205)</x:f>
      </x:c>
      <x:c r="E204" s="267" t="str">
        <x:f>IF('Official Ranking v2'!B205="","",'Official Ranking v2'!S205)</x:f>
      </x:c>
      <x:c r="F204" s="262" t="str">
        <x:f>IF('Official Ranking v2'!B205="","",'Official Ranking v2'!T205)</x:f>
      </x:c>
      <x:c r="G204" s="262" t="str">
        <x:f>IF('Official Ranking v2'!B205="","",'Official Ranking v2'!W205)</x:f>
      </x:c>
      <x:c r="H204" s="262" t="str">
        <x:f>IF('Official Ranking v2'!B205="","",'Official Ranking v2'!X205)</x:f>
      </x:c>
      <x:c r="I204" s="262" t="str">
        <x:f>IF('Official Ranking v2'!B205="","",'Official Ranking v2'!V205)</x:f>
      </x:c>
      <x:c r="J204" s="262" t="str">
        <x:f>IF(C204="","",LOWER(SUBSTITUTE(SUBSTITUTE(C204," ","-"),".","")))</x:f>
      </x:c>
    </x:row>
    <x:row r="205">
      <x:c r="A205" s="262"/>
      <x:c r="B205" s="262"/>
      <x:c r="C205" s="262"/>
      <x:c r="D205" s="262"/>
      <x:c r="E205" s="262"/>
      <x:c r="F205" s="262"/>
      <x:c r="G205" s="262"/>
      <x:c r="H205" s="262"/>
      <x:c r="I205" s="262"/>
      <x:c r="J205" s="262"/>
    </x:row>
    <x:row r="206">
      <x:c r="A206" s="262"/>
      <x:c r="B206" s="262"/>
      <x:c r="C206" s="262"/>
      <x:c r="D206" s="262"/>
      <x:c r="E206" s="262"/>
      <x:c r="F206" s="262"/>
      <x:c r="G206" s="262"/>
      <x:c r="H206" s="262"/>
      <x:c r="I206" s="262"/>
      <x:c r="J206" s="262"/>
    </x:row>
    <x:row r="207">
      <x:c r="A207" s="262"/>
      <x:c r="B207" s="262"/>
      <x:c r="C207" s="262"/>
      <x:c r="D207" s="262"/>
      <x:c r="E207" s="262"/>
      <x:c r="F207" s="262"/>
      <x:c r="G207" s="262"/>
      <x:c r="H207" s="262"/>
      <x:c r="I207" s="262"/>
      <x:c r="J207" s="262"/>
    </x:row>
    <x:row r="208">
      <x:c r="A208" s="262"/>
      <x:c r="B208" s="262"/>
      <x:c r="C208" s="262"/>
      <x:c r="D208" s="262"/>
      <x:c r="E208" s="262"/>
      <x:c r="F208" s="262"/>
      <x:c r="G208" s="262"/>
      <x:c r="H208" s="262"/>
      <x:c r="I208" s="262"/>
      <x:c r="J208" s="262"/>
    </x:row>
    <x:row r="209">
      <x:c r="A209" s="262"/>
      <x:c r="B209" s="262"/>
      <x:c r="C209" s="262"/>
      <x:c r="D209" s="262"/>
      <x:c r="E209" s="262"/>
      <x:c r="F209" s="262"/>
      <x:c r="G209" s="262"/>
      <x:c r="H209" s="262"/>
      <x:c r="I209" s="262"/>
      <x:c r="J209" s="262"/>
    </x:row>
    <x:row r="210">
      <x:c r="A210" s="262"/>
      <x:c r="B210" s="262"/>
      <x:c r="C210" s="262"/>
      <x:c r="D210" s="262"/>
      <x:c r="E210" s="262"/>
      <x:c r="F210" s="262"/>
      <x:c r="G210" s="262"/>
      <x:c r="H210" s="262"/>
      <x:c r="I210" s="262"/>
      <x:c r="J210" s="262"/>
    </x:row>
    <x:row r="211">
      <x:c r="A211" s="262"/>
      <x:c r="B211" s="262"/>
      <x:c r="C211" s="262"/>
      <x:c r="D211" s="262"/>
      <x:c r="E211" s="262"/>
      <x:c r="F211" s="262"/>
      <x:c r="G211" s="262"/>
      <x:c r="H211" s="262"/>
      <x:c r="I211" s="262"/>
      <x:c r="J211" s="262"/>
    </x:row>
    <x:row r="212">
      <x:c r="A212" s="262"/>
      <x:c r="B212" s="262"/>
      <x:c r="C212" s="262"/>
      <x:c r="D212" s="262"/>
      <x:c r="E212" s="262"/>
      <x:c r="F212" s="262"/>
      <x:c r="G212" s="262"/>
      <x:c r="H212" s="262"/>
      <x:c r="I212" s="262"/>
      <x:c r="J212" s="262"/>
    </x:row>
    <x:row r="213">
      <x:c r="A213" s="262"/>
      <x:c r="B213" s="262"/>
      <x:c r="C213" s="262"/>
      <x:c r="D213" s="262"/>
      <x:c r="E213" s="262"/>
      <x:c r="F213" s="262"/>
      <x:c r="G213" s="262"/>
      <x:c r="H213" s="262"/>
      <x:c r="I213" s="262"/>
      <x:c r="J213" s="262"/>
    </x:row>
    <x:row r="214">
      <x:c r="A214" s="262"/>
      <x:c r="B214" s="262"/>
      <x:c r="C214" s="262"/>
      <x:c r="D214" s="262"/>
      <x:c r="E214" s="262"/>
      <x:c r="F214" s="262"/>
      <x:c r="G214" s="262"/>
      <x:c r="H214" s="262"/>
      <x:c r="I214" s="262"/>
      <x:c r="J214" s="262"/>
    </x:row>
    <x:row r="215">
      <x:c r="A215" s="262"/>
      <x:c r="B215" s="262"/>
      <x:c r="C215" s="262"/>
      <x:c r="D215" s="262"/>
      <x:c r="E215" s="262"/>
      <x:c r="F215" s="262"/>
      <x:c r="G215" s="262"/>
      <x:c r="H215" s="262"/>
      <x:c r="I215" s="262"/>
      <x:c r="J215" s="262"/>
    </x:row>
    <x:row r="216">
      <x:c r="A216" s="262"/>
      <x:c r="B216" s="262"/>
      <x:c r="C216" s="262"/>
      <x:c r="D216" s="262"/>
      <x:c r="E216" s="262"/>
      <x:c r="F216" s="262"/>
      <x:c r="G216" s="262"/>
      <x:c r="H216" s="262"/>
      <x:c r="I216" s="262"/>
      <x:c r="J216" s="262"/>
    </x:row>
    <x:row r="217">
      <x:c r="A217" s="262"/>
      <x:c r="B217" s="262"/>
      <x:c r="C217" s="262"/>
      <x:c r="D217" s="262"/>
      <x:c r="E217" s="262"/>
      <x:c r="F217" s="262"/>
      <x:c r="G217" s="262"/>
      <x:c r="H217" s="262"/>
      <x:c r="I217" s="262"/>
      <x:c r="J217" s="262"/>
    </x:row>
    <x:row r="218">
      <x:c r="A218" s="262"/>
      <x:c r="B218" s="262"/>
      <x:c r="C218" s="262"/>
      <x:c r="D218" s="262"/>
      <x:c r="E218" s="262"/>
      <x:c r="F218" s="262"/>
      <x:c r="G218" s="262"/>
      <x:c r="H218" s="262"/>
      <x:c r="I218" s="262"/>
      <x:c r="J218" s="262"/>
    </x:row>
    <x:row r="219">
      <x:c r="A219" s="262"/>
      <x:c r="B219" s="262"/>
      <x:c r="C219" s="262"/>
      <x:c r="D219" s="262"/>
      <x:c r="E219" s="262"/>
      <x:c r="F219" s="262"/>
      <x:c r="G219" s="262"/>
      <x:c r="H219" s="262"/>
      <x:c r="I219" s="262"/>
      <x:c r="J219" s="262"/>
    </x:row>
    <x:row r="220">
      <x:c r="A220" s="262"/>
      <x:c r="B220" s="262"/>
      <x:c r="C220" s="262"/>
      <x:c r="D220" s="262"/>
      <x:c r="E220" s="262"/>
      <x:c r="F220" s="262"/>
      <x:c r="G220" s="262"/>
      <x:c r="H220" s="262"/>
      <x:c r="I220" s="262"/>
      <x:c r="J220" s="262"/>
    </x:row>
  </x:sheetData>
  <x:mergeCells>
    <x:mergeCell ref="A1:J1"/>
    <x:mergeCell ref="A2:J2"/>
  </x:mergeCells>
  <x:pageMargins left="0.7" right="0.7" top="0.75" bottom="0.75" header="0.3" footer="0.3"/>
</x:worksheet>
</file>

<file path=xl/worksheets/sheet43.xml><?xml version="1.0" encoding="utf-8"?>
<x:worksheet xmlns:x="http://schemas.openxmlformats.org/spreadsheetml/2006/main">
  <x:sheetFormatPr defaultRowHeight="15"/>
  <x:cols>
    <x:col min="1" max="1" width="7.630000114440918" hidden="0" customWidth="1"/>
    <x:col min="2" max="2" width="7.25" hidden="0" customWidth="1"/>
    <x:col min="3" max="3" width="4" hidden="0" customWidth="1"/>
    <x:col min="4" max="4" width="10.5" hidden="0" customWidth="1"/>
    <x:col min="5" max="5" width="12.880000114440918" hidden="0" customWidth="1"/>
    <x:col min="6" max="6" width="4.130000114440918" hidden="0" customWidth="1"/>
    <x:col min="7" max="7" width="5.130000114440918" hidden="0" customWidth="1"/>
    <x:col min="8" max="8" width="7.25" hidden="0" customWidth="1"/>
    <x:col min="9" max="9" width="8.5" hidden="0" customWidth="1"/>
    <x:col min="10" max="10" width="3.25" hidden="0" customWidth="1"/>
    <x:col min="11" max="11" width="7.5" hidden="0" customWidth="1"/>
    <x:col min="12" max="12" width="4.130000114440918" hidden="0" customWidth="1"/>
    <x:col min="13" max="13" width="9" hidden="0" customWidth="1"/>
    <x:col min="14" max="14" width="10" hidden="0" customWidth="1"/>
  </x:cols>
  <x:sheetData>
    <x:row r="1">
      <x:c r="A1" s="302" t="str">
        <x:v>player_id</x:v>
      </x:c>
      <x:c r="B1" s="302" t="str">
        <x:v>slug</x:v>
      </x:c>
      <x:c r="C1" s="302" t="str">
        <x:v>rank</x:v>
      </x:c>
      <x:c r="D1" s="302" t="str">
        <x:v>player_name</x:v>
      </x:c>
      <x:c r="E1" s="302" t="str">
        <x:v>matches_played</x:v>
      </x:c>
      <x:c r="F1" s="302" t="str">
        <x:v>wins</x:v>
      </x:c>
      <x:c r="G1" s="302" t="str">
        <x:v>losses</x:v>
      </x:c>
      <x:c r="H1" s="302" t="str">
        <x:v>win_rate</x:v>
      </x:c>
      <x:c r="I1" s="302" t="str">
        <x:v>flpr_rating</x:v>
      </x:c>
      <x:c r="J1" s="302" t="str">
        <x:v>tier</x:v>
      </x:c>
      <x:c r="K1" s="302" t="str">
        <x:v>handicap</x:v>
      </x:c>
      <x:c r="L1" s="302" t="str">
        <x:v>class</x:v>
      </x:c>
      <x:c r="M1" s="302" t="str">
        <x:v>status</x:v>
      </x:c>
      <x:c r="N1" s="302" t="str">
        <x:v>recent_form</x:v>
      </x:c>
    </x:row>
    <x:row r="2">
      <x:c r="A2" t="str">
        <x:f>'Player Report Index'!B5</x:f>
        <x:v>P001</x:v>
      </x:c>
      <x:c r="B2" t="str">
        <x:f>'Player Report Index'!J5</x:f>
        <x:v>sandy</x:v>
      </x:c>
      <x:c r="C2" t="n">
        <x:f>'Official Ranking v2'!A6</x:f>
        <x:v>1</x:v>
      </x:c>
      <x:c r="D2" t="str">
        <x:f>'Official Ranking v2'!B6</x:f>
        <x:v>Sandy</x:v>
      </x:c>
      <x:c r="E2" t="n">
        <x:f>'Official Ranking v2'!C6</x:f>
        <x:v>13</x:v>
      </x:c>
      <x:c r="F2" t="n">
        <x:f>'Official Ranking v2'!D6</x:f>
        <x:v>11</x:v>
      </x:c>
      <x:c r="G2" t="n">
        <x:f>'Official Ranking v2'!E6</x:f>
        <x:v>2</x:v>
      </x:c>
      <x:c r="H2" s="303" t="n">
        <x:f>'Official Ranking v2'!F6</x:f>
        <x:v>0.8461538461538461</x:v>
      </x:c>
      <x:c r="I2" s="226" t="n">
        <x:f>'Official Ranking v2'!S6</x:f>
        <x:v>70.51306635024372</x:v>
      </x:c>
      <x:c r="J2" t="str">
        <x:f>'Official Ranking v2'!T6</x:f>
        <x:v>A</x:v>
      </x:c>
      <x:c r="K2" t="n">
        <x:f>'Official Ranking v2'!W6</x:f>
        <x:v>3</x:v>
      </x:c>
      <x:c r="L2" t="str">
        <x:f>'Official Ranking v2'!X6</x:f>
        <x:v>Elite</x:v>
      </x:c>
      <x:c r="M2" t="str">
        <x:f>'Official Ranking v2'!V6</x:f>
        <x:v>Established</x:v>
      </x:c>
      <x:c r="N2" s="226" t="n">
        <x:f>'Official Ranking v2'!P6</x:f>
        <x:v>80</x:v>
      </x:c>
    </x:row>
    <x:row r="3">
      <x:c r="A3" t="str">
        <x:f>'Player Report Index'!B6</x:f>
        <x:v>P002</x:v>
      </x:c>
      <x:c r="B3" t="str">
        <x:f>'Player Report Index'!J6</x:f>
        <x:v>thohir</x:v>
      </x:c>
      <x:c r="C3" t="n">
        <x:f>'Official Ranking v2'!A7</x:f>
        <x:v>2</x:v>
      </x:c>
      <x:c r="D3" t="str">
        <x:f>'Official Ranking v2'!B7</x:f>
        <x:v>Thohir</x:v>
      </x:c>
      <x:c r="E3" t="n">
        <x:f>'Official Ranking v2'!C7</x:f>
        <x:v>4</x:v>
      </x:c>
      <x:c r="F3" t="n">
        <x:f>'Official Ranking v2'!D7</x:f>
        <x:v>4</x:v>
      </x:c>
      <x:c r="G3" t="n">
        <x:f>'Official Ranking v2'!E7</x:f>
        <x:v>0</x:v>
      </x:c>
      <x:c r="H3" s="303" t="n">
        <x:f>'Official Ranking v2'!F7</x:f>
        <x:v>1</x:v>
      </x:c>
      <x:c r="I3" s="226" t="n">
        <x:f>'Official Ranking v2'!S7</x:f>
        <x:v>64.66887046003484</x:v>
      </x:c>
      <x:c r="J3" t="str">
        <x:f>'Official Ranking v2'!T7</x:f>
        <x:v>B</x:v>
      </x:c>
      <x:c r="K3" t="n">
        <x:f>'Official Ranking v2'!W7</x:f>
        <x:v>1</x:v>
      </x:c>
      <x:c r="L3" t="str">
        <x:f>'Official Ranking v2'!X7</x:f>
        <x:v>A</x:v>
      </x:c>
      <x:c r="M3" t="str">
        <x:f>'Official Ranking v2'!V7</x:f>
        <x:v>Provisional</x:v>
      </x:c>
      <x:c r="N3" s="226" t="n">
        <x:f>'Official Ranking v2'!P7</x:f>
        <x:v>100</x:v>
      </x:c>
    </x:row>
    <x:row r="4">
      <x:c r="A4" t="str">
        <x:f>'Player Report Index'!B7</x:f>
        <x:v>P003</x:v>
      </x:c>
      <x:c r="B4" t="str">
        <x:f>'Player Report Index'!J7</x:f>
        <x:v>austin</x:v>
      </x:c>
      <x:c r="C4" t="n">
        <x:f>'Official Ranking v2'!A8</x:f>
        <x:v>3</x:v>
      </x:c>
      <x:c r="D4" t="str">
        <x:f>'Official Ranking v2'!B8</x:f>
        <x:v>Austin</x:v>
      </x:c>
      <x:c r="E4" t="n">
        <x:f>'Official Ranking v2'!C8</x:f>
        <x:v>14</x:v>
      </x:c>
      <x:c r="F4" t="n">
        <x:f>'Official Ranking v2'!D8</x:f>
        <x:v>9</x:v>
      </x:c>
      <x:c r="G4" t="n">
        <x:f>'Official Ranking v2'!E8</x:f>
        <x:v>5</x:v>
      </x:c>
      <x:c r="H4" s="303" t="n">
        <x:f>'Official Ranking v2'!F8</x:f>
        <x:v>0.6428571428571429</x:v>
      </x:c>
      <x:c r="I4" s="226" t="n">
        <x:f>'Official Ranking v2'!S8</x:f>
        <x:v>59.40079845232992</x:v>
      </x:c>
      <x:c r="J4" t="str">
        <x:f>'Official Ranking v2'!T8</x:f>
        <x:v>B</x:v>
      </x:c>
      <x:c r="K4" t="n">
        <x:f>'Official Ranking v2'!W8</x:f>
        <x:v>0</x:v>
      </x:c>
      <x:c r="L4" t="str">
        <x:f>'Official Ranking v2'!X8</x:f>
        <x:v>B+</x:v>
      </x:c>
      <x:c r="M4" t="str">
        <x:f>'Official Ranking v2'!V8</x:f>
        <x:v>Established</x:v>
      </x:c>
      <x:c r="N4" s="226" t="n">
        <x:f>'Official Ranking v2'!P8</x:f>
        <x:v>80</x:v>
      </x:c>
    </x:row>
    <x:row r="5">
      <x:c r="A5" t="str">
        <x:f>'Player Report Index'!B8</x:f>
        <x:v>P004</x:v>
      </x:c>
      <x:c r="B5" t="str">
        <x:f>'Player Report Index'!J8</x:f>
        <x:v>rey</x:v>
      </x:c>
      <x:c r="C5" t="n">
        <x:f>'Official Ranking v2'!A9</x:f>
        <x:v>4</x:v>
      </x:c>
      <x:c r="D5" t="str">
        <x:f>'Official Ranking v2'!B9</x:f>
        <x:v>Rey</x:v>
      </x:c>
      <x:c r="E5" t="n">
        <x:f>'Official Ranking v2'!C9</x:f>
        <x:v>7</x:v>
      </x:c>
      <x:c r="F5" t="n">
        <x:f>'Official Ranking v2'!D9</x:f>
        <x:v>5</x:v>
      </x:c>
      <x:c r="G5" t="n">
        <x:f>'Official Ranking v2'!E9</x:f>
        <x:v>2</x:v>
      </x:c>
      <x:c r="H5" s="303" t="n">
        <x:f>'Official Ranking v2'!F9</x:f>
        <x:v>0.7142857142857143</x:v>
      </x:c>
      <x:c r="I5" s="226" t="n">
        <x:f>'Official Ranking v2'!S9</x:f>
        <x:v>59.36910718873768</x:v>
      </x:c>
      <x:c r="J5" t="str">
        <x:f>'Official Ranking v2'!T9</x:f>
        <x:v>B</x:v>
      </x:c>
      <x:c r="K5" t="n">
        <x:f>'Official Ranking v2'!W9</x:f>
        <x:v>0</x:v>
      </x:c>
      <x:c r="L5" t="str">
        <x:f>'Official Ranking v2'!X9</x:f>
        <x:v>B+</x:v>
      </x:c>
      <x:c r="M5" t="str">
        <x:f>'Official Ranking v2'!V9</x:f>
        <x:v>Developing</x:v>
      </x:c>
      <x:c r="N5" s="226" t="n">
        <x:f>'Official Ranking v2'!P9</x:f>
        <x:v>80</x:v>
      </x:c>
    </x:row>
    <x:row r="6">
      <x:c r="A6" t="str">
        <x:f>'Player Report Index'!B9</x:f>
        <x:v>P005</x:v>
      </x:c>
      <x:c r="B6" t="str">
        <x:f>'Player Report Index'!J9</x:f>
        <x:v>ronald</x:v>
      </x:c>
      <x:c r="C6" t="n">
        <x:f>'Official Ranking v2'!A10</x:f>
        <x:v>5</x:v>
      </x:c>
      <x:c r="D6" t="str">
        <x:f>'Official Ranking v2'!B10</x:f>
        <x:v>Ronald</x:v>
      </x:c>
      <x:c r="E6" t="n">
        <x:f>'Official Ranking v2'!C10</x:f>
        <x:v>18</x:v>
      </x:c>
      <x:c r="F6" t="n">
        <x:f>'Official Ranking v2'!D10</x:f>
        <x:v>12</x:v>
      </x:c>
      <x:c r="G6" t="n">
        <x:f>'Official Ranking v2'!E10</x:f>
        <x:v>6</x:v>
      </x:c>
      <x:c r="H6" s="303" t="n">
        <x:f>'Official Ranking v2'!F10</x:f>
        <x:v>0.6666666666666666</x:v>
      </x:c>
      <x:c r="I6" s="226" t="n">
        <x:f>'Official Ranking v2'!S10</x:f>
        <x:v>58.39066504604191</x:v>
      </x:c>
      <x:c r="J6" t="str">
        <x:f>'Official Ranking v2'!T10</x:f>
        <x:v>B</x:v>
      </x:c>
      <x:c r="K6" t="n">
        <x:f>'Official Ranking v2'!W10</x:f>
        <x:v>0</x:v>
      </x:c>
      <x:c r="L6" t="str">
        <x:f>'Official Ranking v2'!X10</x:f>
        <x:v>B+</x:v>
      </x:c>
      <x:c r="M6" t="str">
        <x:f>'Official Ranking v2'!V10</x:f>
        <x:v>Established</x:v>
      </x:c>
      <x:c r="N6" s="226" t="n">
        <x:f>'Official Ranking v2'!P10</x:f>
        <x:v>60</x:v>
      </x:c>
    </x:row>
    <x:row r="7">
      <x:c r="A7" t="str">
        <x:f>'Player Report Index'!B10</x:f>
        <x:v>P006</x:v>
      </x:c>
      <x:c r="B7" t="str">
        <x:f>'Player Report Index'!J10</x:f>
        <x:v>ricky</x:v>
      </x:c>
      <x:c r="C7" t="n">
        <x:f>'Official Ranking v2'!A11</x:f>
        <x:v>6</x:v>
      </x:c>
      <x:c r="D7" t="str">
        <x:f>'Official Ranking v2'!B11</x:f>
        <x:v>Ricky</x:v>
      </x:c>
      <x:c r="E7" t="n">
        <x:f>'Official Ranking v2'!C11</x:f>
        <x:v>26</x:v>
      </x:c>
      <x:c r="F7" t="n">
        <x:f>'Official Ranking v2'!D11</x:f>
        <x:v>16</x:v>
      </x:c>
      <x:c r="G7" t="n">
        <x:f>'Official Ranking v2'!E11</x:f>
        <x:v>10</x:v>
      </x:c>
      <x:c r="H7" s="303" t="n">
        <x:f>'Official Ranking v2'!F11</x:f>
        <x:v>0.6153846153846154</x:v>
      </x:c>
      <x:c r="I7" s="226" t="n">
        <x:f>'Official Ranking v2'!S11</x:f>
        <x:v>54.08585475906235</x:v>
      </x:c>
      <x:c r="J7" t="str">
        <x:f>'Official Ranking v2'!T11</x:f>
        <x:v>C</x:v>
      </x:c>
      <x:c r="K7" t="n">
        <x:f>'Official Ranking v2'!W11</x:f>
        <x:v>-1</x:v>
      </x:c>
      <x:c r="L7" t="str">
        <x:f>'Official Ranking v2'!X11</x:f>
        <x:v>B</x:v>
      </x:c>
      <x:c r="M7" t="str">
        <x:f>'Official Ranking v2'!V11</x:f>
        <x:v>Established</x:v>
      </x:c>
      <x:c r="N7" s="226" t="n">
        <x:f>'Official Ranking v2'!P11</x:f>
        <x:v>60</x:v>
      </x:c>
    </x:row>
    <x:row r="8">
      <x:c r="A8" t="str">
        <x:f>'Player Report Index'!B11</x:f>
        <x:v>P007</x:v>
      </x:c>
      <x:c r="B8" t="str">
        <x:f>'Player Report Index'!J11</x:f>
        <x:v>jonathan</x:v>
      </x:c>
      <x:c r="C8" t="n">
        <x:f>'Official Ranking v2'!A12</x:f>
        <x:v>7</x:v>
      </x:c>
      <x:c r="D8" t="str">
        <x:f>'Official Ranking v2'!B12</x:f>
        <x:v>Jonathan</x:v>
      </x:c>
      <x:c r="E8" t="n">
        <x:f>'Official Ranking v2'!C12</x:f>
        <x:v>6</x:v>
      </x:c>
      <x:c r="F8" t="n">
        <x:f>'Official Ranking v2'!D12</x:f>
        <x:v>4</x:v>
      </x:c>
      <x:c r="G8" t="n">
        <x:f>'Official Ranking v2'!E12</x:f>
        <x:v>2</x:v>
      </x:c>
      <x:c r="H8" s="303" t="n">
        <x:f>'Official Ranking v2'!F12</x:f>
        <x:v>0.6666666666666666</x:v>
      </x:c>
      <x:c r="I8" s="226" t="n">
        <x:f>'Official Ranking v2'!S12</x:f>
        <x:v>51.86227380674279</x:v>
      </x:c>
      <x:c r="J8" t="str">
        <x:f>'Official Ranking v2'!T12</x:f>
        <x:v>C</x:v>
      </x:c>
      <x:c r="K8" t="n">
        <x:f>'Official Ranking v2'!W12</x:f>
        <x:v>-1</x:v>
      </x:c>
      <x:c r="L8" t="str">
        <x:f>'Official Ranking v2'!X12</x:f>
        <x:v>B</x:v>
      </x:c>
      <x:c r="M8" t="str">
        <x:f>'Official Ranking v2'!V12</x:f>
        <x:v>Developing</x:v>
      </x:c>
      <x:c r="N8" s="226" t="n">
        <x:f>'Official Ranking v2'!P12</x:f>
        <x:v>80</x:v>
      </x:c>
    </x:row>
    <x:row r="9">
      <x:c r="A9" t="str">
        <x:f>'Player Report Index'!B12</x:f>
        <x:v>P008</x:v>
      </x:c>
      <x:c r="B9" t="str">
        <x:f>'Player Report Index'!J12</x:f>
        <x:v>kennard</x:v>
      </x:c>
      <x:c r="C9" t="n">
        <x:f>'Official Ranking v2'!A13</x:f>
        <x:v>8</x:v>
      </x:c>
      <x:c r="D9" t="str">
        <x:f>'Official Ranking v2'!B13</x:f>
        <x:v>Kennard</x:v>
      </x:c>
      <x:c r="E9" t="n">
        <x:f>'Official Ranking v2'!C13</x:f>
        <x:v>13</x:v>
      </x:c>
      <x:c r="F9" t="n">
        <x:f>'Official Ranking v2'!D13</x:f>
        <x:v>9</x:v>
      </x:c>
      <x:c r="G9" t="n">
        <x:f>'Official Ranking v2'!E13</x:f>
        <x:v>4</x:v>
      </x:c>
      <x:c r="H9" s="303" t="n">
        <x:f>'Official Ranking v2'!F13</x:f>
        <x:v>0.6923076923076923</x:v>
      </x:c>
      <x:c r="I9" s="226" t="n">
        <x:f>'Official Ranking v2'!S13</x:f>
        <x:v>50.28911547688009</x:v>
      </x:c>
      <x:c r="J9" t="str">
        <x:f>'Official Ranking v2'!T13</x:f>
        <x:v>C</x:v>
      </x:c>
      <x:c r="K9" t="n">
        <x:f>'Official Ranking v2'!W13</x:f>
        <x:v>-1</x:v>
      </x:c>
      <x:c r="L9" t="str">
        <x:f>'Official Ranking v2'!X13</x:f>
        <x:v>B</x:v>
      </x:c>
      <x:c r="M9" t="str">
        <x:f>'Official Ranking v2'!V13</x:f>
        <x:v>Established</x:v>
      </x:c>
      <x:c r="N9" s="226" t="n">
        <x:f>'Official Ranking v2'!P13</x:f>
        <x:v>40</x:v>
      </x:c>
    </x:row>
    <x:row r="10">
      <x:c r="A10" t="str">
        <x:f>'Player Report Index'!B13</x:f>
        <x:v>P009</x:v>
      </x:c>
      <x:c r="B10" t="str">
        <x:f>'Player Report Index'!J13</x:f>
        <x:v>rizky</x:v>
      </x:c>
      <x:c r="C10" t="n">
        <x:f>'Official Ranking v2'!A14</x:f>
        <x:v>9</x:v>
      </x:c>
      <x:c r="D10" t="str">
        <x:f>'Official Ranking v2'!B14</x:f>
        <x:v>Rizky</x:v>
      </x:c>
      <x:c r="E10" t="n">
        <x:f>'Official Ranking v2'!C14</x:f>
        <x:v>6</x:v>
      </x:c>
      <x:c r="F10" t="n">
        <x:f>'Official Ranking v2'!D14</x:f>
        <x:v>4</x:v>
      </x:c>
      <x:c r="G10" t="n">
        <x:f>'Official Ranking v2'!E14</x:f>
        <x:v>2</x:v>
      </x:c>
      <x:c r="H10" s="303" t="n">
        <x:f>'Official Ranking v2'!F14</x:f>
        <x:v>0.6666666666666666</x:v>
      </x:c>
      <x:c r="I10" s="226" t="n">
        <x:f>'Official Ranking v2'!S14</x:f>
        <x:v>49.19458587929172</x:v>
      </x:c>
      <x:c r="J10" t="str">
        <x:f>'Official Ranking v2'!T14</x:f>
        <x:v>C</x:v>
      </x:c>
      <x:c r="K10" t="n">
        <x:f>'Official Ranking v2'!W14</x:f>
        <x:v>-2</x:v>
      </x:c>
      <x:c r="L10" t="str">
        <x:f>'Official Ranking v2'!X14</x:f>
        <x:v>C+</x:v>
      </x:c>
      <x:c r="M10" t="str">
        <x:f>'Official Ranking v2'!V14</x:f>
        <x:v>Developing</x:v>
      </x:c>
      <x:c r="N10" s="226" t="n">
        <x:f>'Official Ranking v2'!P14</x:f>
        <x:v>80</x:v>
      </x:c>
    </x:row>
    <x:row r="11">
      <x:c r="A11" t="str">
        <x:f>'Player Report Index'!B14</x:f>
        <x:v>P010</x:v>
      </x:c>
      <x:c r="B11" t="str">
        <x:f>'Player Report Index'!J14</x:f>
        <x:v>edy-sp</x:v>
      </x:c>
      <x:c r="C11" t="n">
        <x:f>'Official Ranking v2'!A15</x:f>
        <x:v>10</x:v>
      </x:c>
      <x:c r="D11" t="str">
        <x:f>'Official Ranking v2'!B15</x:f>
        <x:v>Edy SP</x:v>
      </x:c>
      <x:c r="E11" t="n">
        <x:f>'Official Ranking v2'!C15</x:f>
        <x:v>30</x:v>
      </x:c>
      <x:c r="F11" t="n">
        <x:f>'Official Ranking v2'!D15</x:f>
        <x:v>14</x:v>
      </x:c>
      <x:c r="G11" t="n">
        <x:f>'Official Ranking v2'!E15</x:f>
        <x:v>16</x:v>
      </x:c>
      <x:c r="H11" s="303" t="n">
        <x:f>'Official Ranking v2'!F15</x:f>
        <x:v>0.4666666666666667</x:v>
      </x:c>
      <x:c r="I11" s="226" t="n">
        <x:f>'Official Ranking v2'!S15</x:f>
        <x:v>45.89574377725399</x:v>
      </x:c>
      <x:c r="J11" t="str">
        <x:f>'Official Ranking v2'!T15</x:f>
        <x:v>C</x:v>
      </x:c>
      <x:c r="K11" t="n">
        <x:f>'Official Ranking v2'!W15</x:f>
        <x:v>-2</x:v>
      </x:c>
      <x:c r="L11" t="str">
        <x:f>'Official Ranking v2'!X15</x:f>
        <x:v>C+</x:v>
      </x:c>
      <x:c r="M11" t="str">
        <x:f>'Official Ranking v2'!V15</x:f>
        <x:v>Established</x:v>
      </x:c>
      <x:c r="N11" s="226" t="n">
        <x:f>'Official Ranking v2'!P15</x:f>
        <x:v>40</x:v>
      </x:c>
    </x:row>
    <x:row r="12">
      <x:c r="A12" t="str">
        <x:f>'Player Report Index'!B15</x:f>
        <x:v>P011</x:v>
      </x:c>
      <x:c r="B12" t="str">
        <x:f>'Player Report Index'!J15</x:f>
        <x:v>michael</x:v>
      </x:c>
      <x:c r="C12" t="n">
        <x:f>'Official Ranking v2'!A16</x:f>
        <x:v>11</x:v>
      </x:c>
      <x:c r="D12" t="str">
        <x:f>'Official Ranking v2'!B16</x:f>
        <x:v>Michael</x:v>
      </x:c>
      <x:c r="E12" t="n">
        <x:f>'Official Ranking v2'!C16</x:f>
        <x:v>13</x:v>
      </x:c>
      <x:c r="F12" t="n">
        <x:f>'Official Ranking v2'!D16</x:f>
        <x:v>6</x:v>
      </x:c>
      <x:c r="G12" t="n">
        <x:f>'Official Ranking v2'!E16</x:f>
        <x:v>7</x:v>
      </x:c>
      <x:c r="H12" s="303" t="n">
        <x:f>'Official Ranking v2'!F16</x:f>
        <x:v>0.4615384615384616</x:v>
      </x:c>
      <x:c r="I12" s="226" t="n">
        <x:f>'Official Ranking v2'!S16</x:f>
        <x:v>45.67313478777373</x:v>
      </x:c>
      <x:c r="J12" t="str">
        <x:f>'Official Ranking v2'!T16</x:f>
        <x:v>C</x:v>
      </x:c>
      <x:c r="K12" t="n">
        <x:f>'Official Ranking v2'!W16</x:f>
        <x:v>-2</x:v>
      </x:c>
      <x:c r="L12" t="str">
        <x:f>'Official Ranking v2'!X16</x:f>
        <x:v>C+</x:v>
      </x:c>
      <x:c r="M12" t="str">
        <x:f>'Official Ranking v2'!V16</x:f>
        <x:v>Established</x:v>
      </x:c>
      <x:c r="N12" s="226" t="n">
        <x:f>'Official Ranking v2'!P16</x:f>
        <x:v>60</x:v>
      </x:c>
    </x:row>
    <x:row r="13">
      <x:c r="A13" t="str">
        <x:f>'Player Report Index'!B16</x:f>
        <x:v>P012</x:v>
      </x:c>
      <x:c r="B13" t="str">
        <x:f>'Player Report Index'!J16</x:f>
        <x:v>nicholas</x:v>
      </x:c>
      <x:c r="C13" t="n">
        <x:f>'Official Ranking v2'!A17</x:f>
        <x:v>12</x:v>
      </x:c>
      <x:c r="D13" t="str">
        <x:f>'Official Ranking v2'!B17</x:f>
        <x:v>Nicholas</x:v>
      </x:c>
      <x:c r="E13" t="n">
        <x:f>'Official Ranking v2'!C17</x:f>
        <x:v>7</x:v>
      </x:c>
      <x:c r="F13" t="n">
        <x:f>'Official Ranking v2'!D17</x:f>
        <x:v>3</x:v>
      </x:c>
      <x:c r="G13" t="n">
        <x:f>'Official Ranking v2'!E17</x:f>
        <x:v>4</x:v>
      </x:c>
      <x:c r="H13" s="303" t="n">
        <x:f>'Official Ranking v2'!F17</x:f>
        <x:v>0.4285714285714285</x:v>
      </x:c>
      <x:c r="I13" s="226" t="n">
        <x:f>'Official Ranking v2'!S17</x:f>
        <x:v>45.28271303058267</x:v>
      </x:c>
      <x:c r="J13" t="str">
        <x:f>'Official Ranking v2'!T17</x:f>
        <x:v>C</x:v>
      </x:c>
      <x:c r="K13" t="n">
        <x:f>'Official Ranking v2'!W17</x:f>
        <x:v>-2</x:v>
      </x:c>
      <x:c r="L13" t="str">
        <x:f>'Official Ranking v2'!X17</x:f>
        <x:v>C+</x:v>
      </x:c>
      <x:c r="M13" t="str">
        <x:f>'Official Ranking v2'!V17</x:f>
        <x:v>Developing</x:v>
      </x:c>
      <x:c r="N13" s="226" t="n">
        <x:f>'Official Ranking v2'!P17</x:f>
        <x:v>40</x:v>
      </x:c>
    </x:row>
    <x:row r="14">
      <x:c r="A14" t="str">
        <x:f>'Player Report Index'!B17</x:f>
        <x:v>P013</x:v>
      </x:c>
      <x:c r="B14" t="str">
        <x:f>'Player Report Index'!J17</x:f>
        <x:v>david</x:v>
      </x:c>
      <x:c r="C14" t="n">
        <x:f>'Official Ranking v2'!A18</x:f>
        <x:v>13</x:v>
      </x:c>
      <x:c r="D14" t="str">
        <x:f>'Official Ranking v2'!B18</x:f>
        <x:v>David</x:v>
      </x:c>
      <x:c r="E14" t="n">
        <x:f>'Official Ranking v2'!C18</x:f>
        <x:v>12</x:v>
      </x:c>
      <x:c r="F14" t="n">
        <x:f>'Official Ranking v2'!D18</x:f>
        <x:v>5</x:v>
      </x:c>
      <x:c r="G14" t="n">
        <x:f>'Official Ranking v2'!E18</x:f>
        <x:v>7</x:v>
      </x:c>
      <x:c r="H14" s="303" t="n">
        <x:f>'Official Ranking v2'!F18</x:f>
        <x:v>0.4166666666666667</x:v>
      </x:c>
      <x:c r="I14" s="226" t="n">
        <x:f>'Official Ranking v2'!S18</x:f>
        <x:v>43.36193577193154</x:v>
      </x:c>
      <x:c r="J14" t="str">
        <x:f>'Official Ranking v2'!T18</x:f>
        <x:v>D</x:v>
      </x:c>
      <x:c r="K14" t="n">
        <x:f>'Official Ranking v2'!W18</x:f>
        <x:v>-3</x:v>
      </x:c>
      <x:c r="L14" t="str">
        <x:f>'Official Ranking v2'!X18</x:f>
        <x:v>C</x:v>
      </x:c>
      <x:c r="M14" t="str">
        <x:f>'Official Ranking v2'!V18</x:f>
        <x:v>Established</x:v>
      </x:c>
      <x:c r="N14" s="226" t="n">
        <x:f>'Official Ranking v2'!P18</x:f>
        <x:v>40</x:v>
      </x:c>
    </x:row>
    <x:row r="15">
      <x:c r="A15" t="str">
        <x:f>'Player Report Index'!B18</x:f>
        <x:v>P014</x:v>
      </x:c>
      <x:c r="B15" t="str">
        <x:f>'Player Report Index'!J18</x:f>
        <x:v>donny</x:v>
      </x:c>
      <x:c r="C15" t="n">
        <x:f>'Official Ranking v2'!A19</x:f>
        <x:v>14</x:v>
      </x:c>
      <x:c r="D15" t="str">
        <x:f>'Official Ranking v2'!B19</x:f>
        <x:v>Donny</x:v>
      </x:c>
      <x:c r="E15" t="n">
        <x:f>'Official Ranking v2'!C19</x:f>
        <x:v>11</x:v>
      </x:c>
      <x:c r="F15" t="n">
        <x:f>'Official Ranking v2'!D19</x:f>
        <x:v>4</x:v>
      </x:c>
      <x:c r="G15" t="n">
        <x:f>'Official Ranking v2'!E19</x:f>
        <x:v>7</x:v>
      </x:c>
      <x:c r="H15" s="303" t="n">
        <x:f>'Official Ranking v2'!F19</x:f>
        <x:v>0.3636363636363636</x:v>
      </x:c>
      <x:c r="I15" s="226" t="n">
        <x:f>'Official Ranking v2'!S19</x:f>
        <x:v>42.67589693029047</x:v>
      </x:c>
      <x:c r="J15" t="str">
        <x:f>'Official Ranking v2'!T19</x:f>
        <x:v>D</x:v>
      </x:c>
      <x:c r="K15" t="n">
        <x:f>'Official Ranking v2'!W19</x:f>
        <x:v>-3</x:v>
      </x:c>
      <x:c r="L15" t="str">
        <x:f>'Official Ranking v2'!X19</x:f>
        <x:v>C</x:v>
      </x:c>
      <x:c r="M15" t="str">
        <x:f>'Official Ranking v2'!V19</x:f>
        <x:v>Developing</x:v>
      </x:c>
      <x:c r="N15" s="226" t="n">
        <x:f>'Official Ranking v2'!P19</x:f>
        <x:v>40</x:v>
      </x:c>
    </x:row>
    <x:row r="16">
      <x:c r="A16" t="str">
        <x:f>'Player Report Index'!B19</x:f>
        <x:v>P015</x:v>
      </x:c>
      <x:c r="B16" t="str">
        <x:f>'Player Report Index'!J19</x:f>
        <x:v>reza</x:v>
      </x:c>
      <x:c r="C16" t="n">
        <x:f>'Official Ranking v2'!A20</x:f>
        <x:v>15</x:v>
      </x:c>
      <x:c r="D16" t="str">
        <x:f>'Official Ranking v2'!B20</x:f>
        <x:v>Reza</x:v>
      </x:c>
      <x:c r="E16" t="n">
        <x:f>'Official Ranking v2'!C20</x:f>
        <x:v>6</x:v>
      </x:c>
      <x:c r="F16" t="n">
        <x:f>'Official Ranking v2'!D20</x:f>
        <x:v>2</x:v>
      </x:c>
      <x:c r="G16" t="n">
        <x:f>'Official Ranking v2'!E20</x:f>
        <x:v>4</x:v>
      </x:c>
      <x:c r="H16" s="303" t="n">
        <x:f>'Official Ranking v2'!F20</x:f>
        <x:v>0.3333333333333333</x:v>
      </x:c>
      <x:c r="I16" s="226" t="n">
        <x:f>'Official Ranking v2'!S20</x:f>
        <x:v>40.35591292370327</x:v>
      </x:c>
      <x:c r="J16" t="str">
        <x:f>'Official Ranking v2'!T20</x:f>
        <x:v>D</x:v>
      </x:c>
      <x:c r="K16" t="n">
        <x:f>'Official Ranking v2'!W20</x:f>
        <x:v>-3</x:v>
      </x:c>
      <x:c r="L16" t="str">
        <x:f>'Official Ranking v2'!X20</x:f>
        <x:v>C</x:v>
      </x:c>
      <x:c r="M16" t="str">
        <x:f>'Official Ranking v2'!V20</x:f>
        <x:v>Developing</x:v>
      </x:c>
      <x:c r="N16" s="226" t="n">
        <x:f>'Official Ranking v2'!P20</x:f>
        <x:v>40</x:v>
      </x:c>
    </x:row>
    <x:row r="17">
      <x:c r="A17" t="str">
        <x:f>'Player Report Index'!B20</x:f>
        <x:v>P016</x:v>
      </x:c>
      <x:c r="B17" t="str">
        <x:f>'Player Report Index'!J20</x:f>
        <x:v>nico</x:v>
      </x:c>
      <x:c r="C17" t="n">
        <x:f>'Official Ranking v2'!A21</x:f>
        <x:v>16</x:v>
      </x:c>
      <x:c r="D17" t="str">
        <x:f>'Official Ranking v2'!B21</x:f>
        <x:v>Nico</x:v>
      </x:c>
      <x:c r="E17" t="n">
        <x:f>'Official Ranking v2'!C21</x:f>
        <x:v>6</x:v>
      </x:c>
      <x:c r="F17" t="n">
        <x:f>'Official Ranking v2'!D21</x:f>
        <x:v>2</x:v>
      </x:c>
      <x:c r="G17" t="n">
        <x:f>'Official Ranking v2'!E21</x:f>
        <x:v>4</x:v>
      </x:c>
      <x:c r="H17" s="303" t="n">
        <x:f>'Official Ranking v2'!F21</x:f>
        <x:v>0.3333333333333333</x:v>
      </x:c>
      <x:c r="I17" s="226" t="n">
        <x:f>'Official Ranking v2'!S21</x:f>
        <x:v>37.95817920836509</x:v>
      </x:c>
      <x:c r="J17" t="str">
        <x:f>'Official Ranking v2'!T21</x:f>
        <x:v>D</x:v>
      </x:c>
      <x:c r="K17" t="n">
        <x:f>'Official Ranking v2'!W21</x:f>
        <x:v>-4</x:v>
      </x:c>
      <x:c r="L17" t="str">
        <x:f>'Official Ranking v2'!X21</x:f>
        <x:v>D</x:v>
      </x:c>
      <x:c r="M17" t="str">
        <x:f>'Official Ranking v2'!V21</x:f>
        <x:v>Developing</x:v>
      </x:c>
      <x:c r="N17" s="226" t="n">
        <x:f>'Official Ranking v2'!P21</x:f>
        <x:v>40</x:v>
      </x:c>
    </x:row>
    <x:row r="18">
      <x:c r="A18" t="str">
        <x:f>'Player Report Index'!B21</x:f>
        <x:v>P017</x:v>
      </x:c>
      <x:c r="B18" t="str">
        <x:f>'Player Report Index'!J21</x:f>
        <x:v>alwin</x:v>
      </x:c>
      <x:c r="C18" t="n">
        <x:f>'Official Ranking v2'!A22</x:f>
        <x:v>17</x:v>
      </x:c>
      <x:c r="D18" t="str">
        <x:f>'Official Ranking v2'!B22</x:f>
        <x:v>Alwin</x:v>
      </x:c>
      <x:c r="E18" t="n">
        <x:f>'Official Ranking v2'!C22</x:f>
        <x:v>6</x:v>
      </x:c>
      <x:c r="F18" t="n">
        <x:f>'Official Ranking v2'!D22</x:f>
        <x:v>1</x:v>
      </x:c>
      <x:c r="G18" t="n">
        <x:f>'Official Ranking v2'!E22</x:f>
        <x:v>5</x:v>
      </x:c>
      <x:c r="H18" s="303" t="n">
        <x:f>'Official Ranking v2'!F22</x:f>
        <x:v>0.1666666666666667</x:v>
      </x:c>
      <x:c r="I18" s="226" t="n">
        <x:f>'Official Ranking v2'!S22</x:f>
        <x:v>35.87914127200738</x:v>
      </x:c>
      <x:c r="J18" t="str">
        <x:f>'Official Ranking v2'!T22</x:f>
        <x:v>D</x:v>
      </x:c>
      <x:c r="K18" t="n">
        <x:f>'Official Ranking v2'!W22</x:f>
        <x:v>-4</x:v>
      </x:c>
      <x:c r="L18" t="str">
        <x:f>'Official Ranking v2'!X22</x:f>
        <x:v>D</x:v>
      </x:c>
      <x:c r="M18" t="str">
        <x:f>'Official Ranking v2'!V22</x:f>
        <x:v>Developing</x:v>
      </x:c>
      <x:c r="N18" s="226" t="n">
        <x:f>'Official Ranking v2'!P22</x:f>
        <x:v>20</x:v>
      </x:c>
    </x:row>
    <x:row r="19">
      <x:c r="A19" t="str">
        <x:f>'Player Report Index'!B22</x:f>
        <x:v>P018</x:v>
      </x:c>
      <x:c r="B19" t="str">
        <x:f>'Player Report Index'!J22</x:f>
        <x:v>hansen</x:v>
      </x:c>
      <x:c r="C19" t="n">
        <x:f>'Official Ranking v2'!A23</x:f>
        <x:v>18</x:v>
      </x:c>
      <x:c r="D19" t="str">
        <x:f>'Official Ranking v2'!B23</x:f>
        <x:v>Hansen</x:v>
      </x:c>
      <x:c r="E19" t="n">
        <x:f>'Official Ranking v2'!C23</x:f>
        <x:v>6</x:v>
      </x:c>
      <x:c r="F19" t="n">
        <x:f>'Official Ranking v2'!D23</x:f>
        <x:v>0</x:v>
      </x:c>
      <x:c r="G19" t="n">
        <x:f>'Official Ranking v2'!E23</x:f>
        <x:v>6</x:v>
      </x:c>
      <x:c r="H19" s="303" t="n">
        <x:f>'Official Ranking v2'!F23</x:f>
        <x:v>0</x:v>
      </x:c>
      <x:c r="I19" s="226" t="n">
        <x:f>'Official Ranking v2'!S23</x:f>
        <x:v>34.74019645757599</x:v>
      </x:c>
      <x:c r="J19" t="str">
        <x:f>'Official Ranking v2'!T23</x:f>
        <x:v>D</x:v>
      </x:c>
      <x:c r="K19" t="n">
        <x:f>'Official Ranking v2'!W23</x:f>
        <x:v>-4</x:v>
      </x:c>
      <x:c r="L19" t="str">
        <x:f>'Official Ranking v2'!X23</x:f>
        <x:v>D</x:v>
      </x:c>
      <x:c r="M19" t="str">
        <x:f>'Official Ranking v2'!V23</x:f>
        <x:v>Developing</x:v>
      </x:c>
      <x:c r="N19" s="226" t="n">
        <x:f>'Official Ranking v2'!P23</x:f>
        <x:v>0</x:v>
      </x:c>
    </x:row>
    <x:row r="20">
      <x:c r="A20" t="str">
        <x:f>'Player Report Index'!B23</x:f>
        <x:v>P019</x:v>
      </x:c>
      <x:c r="B20" t="str">
        <x:f>'Player Report Index'!J23</x:f>
        <x:v>welly</x:v>
      </x:c>
      <x:c r="C20" t="n">
        <x:f>'Official Ranking v2'!A24</x:f>
        <x:v>19</x:v>
      </x:c>
      <x:c r="D20" t="str">
        <x:f>'Official Ranking v2'!B24</x:f>
        <x:v>Welly</x:v>
      </x:c>
      <x:c r="E20" t="n">
        <x:f>'Official Ranking v2'!C24</x:f>
        <x:v>10</x:v>
      </x:c>
      <x:c r="F20" t="n">
        <x:f>'Official Ranking v2'!D24</x:f>
        <x:v>2</x:v>
      </x:c>
      <x:c r="G20" t="n">
        <x:f>'Official Ranking v2'!E24</x:f>
        <x:v>8</x:v>
      </x:c>
      <x:c r="H20" s="303" t="n">
        <x:f>'Official Ranking v2'!F24</x:f>
        <x:v>0.2</x:v>
      </x:c>
      <x:c r="I20" s="226" t="n">
        <x:f>'Official Ranking v2'!S24</x:f>
        <x:v>33.61965263543392</x:v>
      </x:c>
      <x:c r="J20" t="str">
        <x:f>'Official Ranking v2'!T24</x:f>
        <x:v>D</x:v>
      </x:c>
      <x:c r="K20" t="n">
        <x:f>'Official Ranking v2'!W24</x:f>
        <x:v>-4</x:v>
      </x:c>
      <x:c r="L20" t="str">
        <x:f>'Official Ranking v2'!X24</x:f>
        <x:v>D</x:v>
      </x:c>
      <x:c r="M20" t="str">
        <x:f>'Official Ranking v2'!V24</x:f>
        <x:v>Developing</x:v>
      </x:c>
      <x:c r="N20" s="226" t="n">
        <x:f>'Official Ranking v2'!P24</x:f>
        <x:v>20</x:v>
      </x:c>
    </x:row>
    <x:row r="21">
      <x:c r="A21" t="str">
        <x:f>'Player Report Index'!B24</x:f>
        <x:v>P020</x:v>
      </x:c>
      <x:c r="B21" t="str">
        <x:f>'Player Report Index'!J24</x:f>
        <x:v>alice</x:v>
      </x:c>
      <x:c r="C21" t="n">
        <x:f>'Official Ranking v2'!A25</x:f>
        <x:v>20</x:v>
      </x:c>
      <x:c r="D21" t="str">
        <x:f>'Official Ranking v2'!B25</x:f>
        <x:v>Alice</x:v>
      </x:c>
      <x:c r="E21" t="n">
        <x:f>'Official Ranking v2'!C25</x:f>
        <x:v>14</x:v>
      </x:c>
      <x:c r="F21" t="n">
        <x:f>'Official Ranking v2'!D25</x:f>
        <x:v>1</x:v>
      </x:c>
      <x:c r="G21" t="n">
        <x:f>'Official Ranking v2'!E25</x:f>
        <x:v>13</x:v>
      </x:c>
      <x:c r="H21" s="303" t="n">
        <x:f>'Official Ranking v2'!F25</x:f>
        <x:v>0.07142857142857142</x:v>
      </x:c>
      <x:c r="I21" s="226" t="n">
        <x:f>'Official Ranking v2'!S25</x:f>
        <x:v>31.41654411475529</x:v>
      </x:c>
      <x:c r="J21" t="str">
        <x:f>'Official Ranking v2'!T25</x:f>
        <x:v>D</x:v>
      </x:c>
      <x:c r="K21" t="n">
        <x:f>'Official Ranking v2'!W25</x:f>
        <x:v>-4</x:v>
      </x:c>
      <x:c r="L21" t="str">
        <x:f>'Official Ranking v2'!X25</x:f>
        <x:v>D</x:v>
      </x:c>
      <x:c r="M21" t="str">
        <x:f>'Official Ranking v2'!V25</x:f>
        <x:v>Established</x:v>
      </x:c>
      <x:c r="N21" s="226" t="n">
        <x:f>'Official Ranking v2'!P25</x:f>
        <x:v>0</x:v>
      </x:c>
    </x:row>
    <x:row r="22">
      <x:c r="A22" t="str">
        <x:f>'Player Report Index'!B25</x:f>
      </x:c>
      <x:c r="B22" t="n">
        <x:f>'Player Report Index'!J25</x:f>
        <x:v>0</x:v>
      </x:c>
      <x:c r="C22" t="str">
        <x:f>IF('Official Ranking v2'!B26="","",'Official Ranking v2'!A26)</x:f>
      </x:c>
      <x:c r="D22" t="str">
        <x:f>IF('Official Ranking v2'!B26="","",'Official Ranking v2'!B26)</x:f>
      </x:c>
      <x:c r="E22" t="str">
        <x:f>IF('Official Ranking v2'!B26="","",'Official Ranking v2'!C26)</x:f>
      </x:c>
      <x:c r="F22" t="str">
        <x:f>IF('Official Ranking v2'!B26="","",'Official Ranking v2'!D26)</x:f>
      </x:c>
      <x:c r="G22" t="str">
        <x:f>IF('Official Ranking v2'!B26="","",'Official Ranking v2'!E26)</x:f>
      </x:c>
      <x:c r="H22" s="303" t="str">
        <x:f>IF('Official Ranking v2'!B26="","",'Official Ranking v2'!F26)</x:f>
      </x:c>
      <x:c r="I22" s="226" t="str">
        <x:f>IF('Official Ranking v2'!B26="","",'Official Ranking v2'!S26)</x:f>
      </x:c>
      <x:c r="J22" t="str">
        <x:f>IF('Official Ranking v2'!B26="","",'Official Ranking v2'!T26)</x:f>
      </x:c>
      <x:c r="K22" t="str">
        <x:f>IF('Official Ranking v2'!B26="","",'Official Ranking v2'!W26)</x:f>
      </x:c>
      <x:c r="L22" t="str">
        <x:f>IF('Official Ranking v2'!B26="","",'Official Ranking v2'!X26)</x:f>
      </x:c>
      <x:c r="M22" t="str">
        <x:f>IF('Official Ranking v2'!B26="","",'Official Ranking v2'!V26)</x:f>
      </x:c>
      <x:c r="N22" s="226" t="str">
        <x:f>IF('Official Ranking v2'!B26="","",'Official Ranking v2'!P26)</x:f>
      </x:c>
    </x:row>
    <x:row r="23">
      <x:c r="A23" t="str">
        <x:f>'Player Report Index'!B26</x:f>
      </x:c>
      <x:c r="B23" t="n">
        <x:f>'Player Report Index'!J26</x:f>
        <x:v>0</x:v>
      </x:c>
      <x:c r="C23" t="str">
        <x:f>IF('Official Ranking v2'!B27="","",'Official Ranking v2'!A27)</x:f>
      </x:c>
      <x:c r="D23" t="str">
        <x:f>IF('Official Ranking v2'!B27="","",'Official Ranking v2'!B27)</x:f>
      </x:c>
      <x:c r="E23" t="str">
        <x:f>IF('Official Ranking v2'!B27="","",'Official Ranking v2'!C27)</x:f>
      </x:c>
      <x:c r="F23" t="str">
        <x:f>IF('Official Ranking v2'!B27="","",'Official Ranking v2'!D27)</x:f>
      </x:c>
      <x:c r="G23" t="str">
        <x:f>IF('Official Ranking v2'!B27="","",'Official Ranking v2'!E27)</x:f>
      </x:c>
      <x:c r="H23" s="303" t="str">
        <x:f>IF('Official Ranking v2'!B27="","",'Official Ranking v2'!F27)</x:f>
      </x:c>
      <x:c r="I23" s="226" t="str">
        <x:f>IF('Official Ranking v2'!B27="","",'Official Ranking v2'!S27)</x:f>
      </x:c>
      <x:c r="J23" t="str">
        <x:f>IF('Official Ranking v2'!B27="","",'Official Ranking v2'!T27)</x:f>
      </x:c>
      <x:c r="K23" t="str">
        <x:f>IF('Official Ranking v2'!B27="","",'Official Ranking v2'!W27)</x:f>
      </x:c>
      <x:c r="L23" t="str">
        <x:f>IF('Official Ranking v2'!B27="","",'Official Ranking v2'!X27)</x:f>
      </x:c>
      <x:c r="M23" t="str">
        <x:f>IF('Official Ranking v2'!B27="","",'Official Ranking v2'!V27)</x:f>
      </x:c>
      <x:c r="N23" s="226" t="str">
        <x:f>IF('Official Ranking v2'!B27="","",'Official Ranking v2'!P27)</x:f>
      </x:c>
    </x:row>
    <x:row r="24">
      <x:c r="A24" t="str">
        <x:f>'Player Report Index'!B27</x:f>
      </x:c>
      <x:c r="B24" t="n">
        <x:f>'Player Report Index'!J27</x:f>
        <x:v>0</x:v>
      </x:c>
      <x:c r="C24" t="str">
        <x:f>IF('Official Ranking v2'!B28="","",'Official Ranking v2'!A28)</x:f>
      </x:c>
      <x:c r="D24" t="str">
        <x:f>IF('Official Ranking v2'!B28="","",'Official Ranking v2'!B28)</x:f>
      </x:c>
      <x:c r="E24" t="str">
        <x:f>IF('Official Ranking v2'!B28="","",'Official Ranking v2'!C28)</x:f>
      </x:c>
      <x:c r="F24" t="str">
        <x:f>IF('Official Ranking v2'!B28="","",'Official Ranking v2'!D28)</x:f>
      </x:c>
      <x:c r="G24" t="str">
        <x:f>IF('Official Ranking v2'!B28="","",'Official Ranking v2'!E28)</x:f>
      </x:c>
      <x:c r="H24" s="303" t="str">
        <x:f>IF('Official Ranking v2'!B28="","",'Official Ranking v2'!F28)</x:f>
      </x:c>
      <x:c r="I24" s="226" t="str">
        <x:f>IF('Official Ranking v2'!B28="","",'Official Ranking v2'!S28)</x:f>
      </x:c>
      <x:c r="J24" t="str">
        <x:f>IF('Official Ranking v2'!B28="","",'Official Ranking v2'!T28)</x:f>
      </x:c>
      <x:c r="K24" t="str">
        <x:f>IF('Official Ranking v2'!B28="","",'Official Ranking v2'!W28)</x:f>
      </x:c>
      <x:c r="L24" t="str">
        <x:f>IF('Official Ranking v2'!B28="","",'Official Ranking v2'!X28)</x:f>
      </x:c>
      <x:c r="M24" t="str">
        <x:f>IF('Official Ranking v2'!B28="","",'Official Ranking v2'!V28)</x:f>
      </x:c>
      <x:c r="N24" s="226" t="str">
        <x:f>IF('Official Ranking v2'!B28="","",'Official Ranking v2'!P28)</x:f>
      </x:c>
    </x:row>
    <x:row r="25">
      <x:c r="A25" t="str">
        <x:f>'Player Report Index'!B28</x:f>
      </x:c>
      <x:c r="B25" t="n">
        <x:f>'Player Report Index'!J28</x:f>
        <x:v>0</x:v>
      </x:c>
      <x:c r="C25" t="str">
        <x:f>IF('Official Ranking v2'!B29="","",'Official Ranking v2'!A29)</x:f>
      </x:c>
      <x:c r="D25" t="str">
        <x:f>IF('Official Ranking v2'!B29="","",'Official Ranking v2'!B29)</x:f>
      </x:c>
      <x:c r="E25" t="str">
        <x:f>IF('Official Ranking v2'!B29="","",'Official Ranking v2'!C29)</x:f>
      </x:c>
      <x:c r="F25" t="str">
        <x:f>IF('Official Ranking v2'!B29="","",'Official Ranking v2'!D29)</x:f>
      </x:c>
      <x:c r="G25" t="str">
        <x:f>IF('Official Ranking v2'!B29="","",'Official Ranking v2'!E29)</x:f>
      </x:c>
      <x:c r="H25" s="303" t="str">
        <x:f>IF('Official Ranking v2'!B29="","",'Official Ranking v2'!F29)</x:f>
      </x:c>
      <x:c r="I25" s="226" t="str">
        <x:f>IF('Official Ranking v2'!B29="","",'Official Ranking v2'!S29)</x:f>
      </x:c>
      <x:c r="J25" t="str">
        <x:f>IF('Official Ranking v2'!B29="","",'Official Ranking v2'!T29)</x:f>
      </x:c>
      <x:c r="K25" t="str">
        <x:f>IF('Official Ranking v2'!B29="","",'Official Ranking v2'!W29)</x:f>
      </x:c>
      <x:c r="L25" t="str">
        <x:f>IF('Official Ranking v2'!B29="","",'Official Ranking v2'!X29)</x:f>
      </x:c>
      <x:c r="M25" t="str">
        <x:f>IF('Official Ranking v2'!B29="","",'Official Ranking v2'!V29)</x:f>
      </x:c>
      <x:c r="N25" s="226" t="str">
        <x:f>IF('Official Ranking v2'!B29="","",'Official Ranking v2'!P29)</x:f>
      </x:c>
    </x:row>
    <x:row r="26">
      <x:c r="A26" t="str">
        <x:f>'Player Report Index'!B29</x:f>
      </x:c>
      <x:c r="B26" t="n">
        <x:f>'Player Report Index'!J29</x:f>
        <x:v>0</x:v>
      </x:c>
      <x:c r="C26" t="str">
        <x:f>IF('Official Ranking v2'!B30="","",'Official Ranking v2'!A30)</x:f>
      </x:c>
      <x:c r="D26" t="str">
        <x:f>IF('Official Ranking v2'!B30="","",'Official Ranking v2'!B30)</x:f>
      </x:c>
      <x:c r="E26" t="str">
        <x:f>IF('Official Ranking v2'!B30="","",'Official Ranking v2'!C30)</x:f>
      </x:c>
      <x:c r="F26" t="str">
        <x:f>IF('Official Ranking v2'!B30="","",'Official Ranking v2'!D30)</x:f>
      </x:c>
      <x:c r="G26" t="str">
        <x:f>IF('Official Ranking v2'!B30="","",'Official Ranking v2'!E30)</x:f>
      </x:c>
      <x:c r="H26" s="303" t="str">
        <x:f>IF('Official Ranking v2'!B30="","",'Official Ranking v2'!F30)</x:f>
      </x:c>
      <x:c r="I26" s="226" t="str">
        <x:f>IF('Official Ranking v2'!B30="","",'Official Ranking v2'!S30)</x:f>
      </x:c>
      <x:c r="J26" t="str">
        <x:f>IF('Official Ranking v2'!B30="","",'Official Ranking v2'!T30)</x:f>
      </x:c>
      <x:c r="K26" t="str">
        <x:f>IF('Official Ranking v2'!B30="","",'Official Ranking v2'!W30)</x:f>
      </x:c>
      <x:c r="L26" t="str">
        <x:f>IF('Official Ranking v2'!B30="","",'Official Ranking v2'!X30)</x:f>
      </x:c>
      <x:c r="M26" t="str">
        <x:f>IF('Official Ranking v2'!B30="","",'Official Ranking v2'!V30)</x:f>
      </x:c>
      <x:c r="N26" s="226" t="str">
        <x:f>IF('Official Ranking v2'!B30="","",'Official Ranking v2'!P30)</x:f>
      </x:c>
    </x:row>
    <x:row r="27">
      <x:c r="A27" t="str">
        <x:f>'Player Report Index'!B30</x:f>
      </x:c>
      <x:c r="B27" t="n">
        <x:f>'Player Report Index'!J30</x:f>
        <x:v>0</x:v>
      </x:c>
      <x:c r="C27" t="str">
        <x:f>IF('Official Ranking v2'!B31="","",'Official Ranking v2'!A31)</x:f>
      </x:c>
      <x:c r="D27" t="str">
        <x:f>IF('Official Ranking v2'!B31="","",'Official Ranking v2'!B31)</x:f>
      </x:c>
      <x:c r="E27" t="str">
        <x:f>IF('Official Ranking v2'!B31="","",'Official Ranking v2'!C31)</x:f>
      </x:c>
      <x:c r="F27" t="str">
        <x:f>IF('Official Ranking v2'!B31="","",'Official Ranking v2'!D31)</x:f>
      </x:c>
      <x:c r="G27" t="str">
        <x:f>IF('Official Ranking v2'!B31="","",'Official Ranking v2'!E31)</x:f>
      </x:c>
      <x:c r="H27" s="303" t="str">
        <x:f>IF('Official Ranking v2'!B31="","",'Official Ranking v2'!F31)</x:f>
      </x:c>
      <x:c r="I27" s="226" t="str">
        <x:f>IF('Official Ranking v2'!B31="","",'Official Ranking v2'!S31)</x:f>
      </x:c>
      <x:c r="J27" t="str">
        <x:f>IF('Official Ranking v2'!B31="","",'Official Ranking v2'!T31)</x:f>
      </x:c>
      <x:c r="K27" t="str">
        <x:f>IF('Official Ranking v2'!B31="","",'Official Ranking v2'!W31)</x:f>
      </x:c>
      <x:c r="L27" t="str">
        <x:f>IF('Official Ranking v2'!B31="","",'Official Ranking v2'!X31)</x:f>
      </x:c>
      <x:c r="M27" t="str">
        <x:f>IF('Official Ranking v2'!B31="","",'Official Ranking v2'!V31)</x:f>
      </x:c>
      <x:c r="N27" s="226" t="str">
        <x:f>IF('Official Ranking v2'!B31="","",'Official Ranking v2'!P31)</x:f>
      </x:c>
    </x:row>
    <x:row r="28">
      <x:c r="A28" t="str">
        <x:f>'Player Report Index'!B31</x:f>
      </x:c>
      <x:c r="B28" t="n">
        <x:f>'Player Report Index'!J31</x:f>
        <x:v>0</x:v>
      </x:c>
      <x:c r="C28" t="str">
        <x:f>IF('Official Ranking v2'!B32="","",'Official Ranking v2'!A32)</x:f>
      </x:c>
      <x:c r="D28" t="str">
        <x:f>IF('Official Ranking v2'!B32="","",'Official Ranking v2'!B32)</x:f>
      </x:c>
      <x:c r="E28" t="str">
        <x:f>IF('Official Ranking v2'!B32="","",'Official Ranking v2'!C32)</x:f>
      </x:c>
      <x:c r="F28" t="str">
        <x:f>IF('Official Ranking v2'!B32="","",'Official Ranking v2'!D32)</x:f>
      </x:c>
      <x:c r="G28" t="str">
        <x:f>IF('Official Ranking v2'!B32="","",'Official Ranking v2'!E32)</x:f>
      </x:c>
      <x:c r="H28" s="303" t="str">
        <x:f>IF('Official Ranking v2'!B32="","",'Official Ranking v2'!F32)</x:f>
      </x:c>
      <x:c r="I28" s="226" t="str">
        <x:f>IF('Official Ranking v2'!B32="","",'Official Ranking v2'!S32)</x:f>
      </x:c>
      <x:c r="J28" t="str">
        <x:f>IF('Official Ranking v2'!B32="","",'Official Ranking v2'!T32)</x:f>
      </x:c>
      <x:c r="K28" t="str">
        <x:f>IF('Official Ranking v2'!B32="","",'Official Ranking v2'!W32)</x:f>
      </x:c>
      <x:c r="L28" t="str">
        <x:f>IF('Official Ranking v2'!B32="","",'Official Ranking v2'!X32)</x:f>
      </x:c>
      <x:c r="M28" t="str">
        <x:f>IF('Official Ranking v2'!B32="","",'Official Ranking v2'!V32)</x:f>
      </x:c>
      <x:c r="N28" s="226" t="str">
        <x:f>IF('Official Ranking v2'!B32="","",'Official Ranking v2'!P32)</x:f>
      </x:c>
    </x:row>
    <x:row r="29">
      <x:c r="A29" t="str">
        <x:f>'Player Report Index'!B32</x:f>
      </x:c>
      <x:c r="B29" t="n">
        <x:f>'Player Report Index'!J32</x:f>
        <x:v>0</x:v>
      </x:c>
      <x:c r="C29" t="str">
        <x:f>IF('Official Ranking v2'!B33="","",'Official Ranking v2'!A33)</x:f>
      </x:c>
      <x:c r="D29" t="str">
        <x:f>IF('Official Ranking v2'!B33="","",'Official Ranking v2'!B33)</x:f>
      </x:c>
      <x:c r="E29" t="str">
        <x:f>IF('Official Ranking v2'!B33="","",'Official Ranking v2'!C33)</x:f>
      </x:c>
      <x:c r="F29" t="str">
        <x:f>IF('Official Ranking v2'!B33="","",'Official Ranking v2'!D33)</x:f>
      </x:c>
      <x:c r="G29" t="str">
        <x:f>IF('Official Ranking v2'!B33="","",'Official Ranking v2'!E33)</x:f>
      </x:c>
      <x:c r="H29" s="303" t="str">
        <x:f>IF('Official Ranking v2'!B33="","",'Official Ranking v2'!F33)</x:f>
      </x:c>
      <x:c r="I29" s="226" t="str">
        <x:f>IF('Official Ranking v2'!B33="","",'Official Ranking v2'!S33)</x:f>
      </x:c>
      <x:c r="J29" t="str">
        <x:f>IF('Official Ranking v2'!B33="","",'Official Ranking v2'!T33)</x:f>
      </x:c>
      <x:c r="K29" t="str">
        <x:f>IF('Official Ranking v2'!B33="","",'Official Ranking v2'!W33)</x:f>
      </x:c>
      <x:c r="L29" t="str">
        <x:f>IF('Official Ranking v2'!B33="","",'Official Ranking v2'!X33)</x:f>
      </x:c>
      <x:c r="M29" t="str">
        <x:f>IF('Official Ranking v2'!B33="","",'Official Ranking v2'!V33)</x:f>
      </x:c>
      <x:c r="N29" s="226" t="str">
        <x:f>IF('Official Ranking v2'!B33="","",'Official Ranking v2'!P33)</x:f>
      </x:c>
    </x:row>
    <x:row r="30">
      <x:c r="A30" t="str">
        <x:f>'Player Report Index'!B33</x:f>
      </x:c>
      <x:c r="B30" t="n">
        <x:f>'Player Report Index'!J33</x:f>
        <x:v>0</x:v>
      </x:c>
      <x:c r="C30" t="str">
        <x:f>IF('Official Ranking v2'!B34="","",'Official Ranking v2'!A34)</x:f>
      </x:c>
      <x:c r="D30" t="str">
        <x:f>IF('Official Ranking v2'!B34="","",'Official Ranking v2'!B34)</x:f>
      </x:c>
      <x:c r="E30" t="str">
        <x:f>IF('Official Ranking v2'!B34="","",'Official Ranking v2'!C34)</x:f>
      </x:c>
      <x:c r="F30" t="str">
        <x:f>IF('Official Ranking v2'!B34="","",'Official Ranking v2'!D34)</x:f>
      </x:c>
      <x:c r="G30" t="str">
        <x:f>IF('Official Ranking v2'!B34="","",'Official Ranking v2'!E34)</x:f>
      </x:c>
      <x:c r="H30" s="303" t="str">
        <x:f>IF('Official Ranking v2'!B34="","",'Official Ranking v2'!F34)</x:f>
      </x:c>
      <x:c r="I30" s="226" t="str">
        <x:f>IF('Official Ranking v2'!B34="","",'Official Ranking v2'!S34)</x:f>
      </x:c>
      <x:c r="J30" t="str">
        <x:f>IF('Official Ranking v2'!B34="","",'Official Ranking v2'!T34)</x:f>
      </x:c>
      <x:c r="K30" t="str">
        <x:f>IF('Official Ranking v2'!B34="","",'Official Ranking v2'!W34)</x:f>
      </x:c>
      <x:c r="L30" t="str">
        <x:f>IF('Official Ranking v2'!B34="","",'Official Ranking v2'!X34)</x:f>
      </x:c>
      <x:c r="M30" t="str">
        <x:f>IF('Official Ranking v2'!B34="","",'Official Ranking v2'!V34)</x:f>
      </x:c>
      <x:c r="N30" s="226" t="str">
        <x:f>IF('Official Ranking v2'!B34="","",'Official Ranking v2'!P34)</x:f>
      </x:c>
    </x:row>
    <x:row r="31">
      <x:c r="A31" t="str">
        <x:f>'Player Report Index'!B34</x:f>
      </x:c>
      <x:c r="B31" t="n">
        <x:f>'Player Report Index'!J34</x:f>
        <x:v>0</x:v>
      </x:c>
      <x:c r="C31" t="str">
        <x:f>IF('Official Ranking v2'!B35="","",'Official Ranking v2'!A35)</x:f>
      </x:c>
      <x:c r="D31" t="str">
        <x:f>IF('Official Ranking v2'!B35="","",'Official Ranking v2'!B35)</x:f>
      </x:c>
      <x:c r="E31" t="str">
        <x:f>IF('Official Ranking v2'!B35="","",'Official Ranking v2'!C35)</x:f>
      </x:c>
      <x:c r="F31" t="str">
        <x:f>IF('Official Ranking v2'!B35="","",'Official Ranking v2'!D35)</x:f>
      </x:c>
      <x:c r="G31" t="str">
        <x:f>IF('Official Ranking v2'!B35="","",'Official Ranking v2'!E35)</x:f>
      </x:c>
      <x:c r="H31" s="303" t="str">
        <x:f>IF('Official Ranking v2'!B35="","",'Official Ranking v2'!F35)</x:f>
      </x:c>
      <x:c r="I31" s="226" t="str">
        <x:f>IF('Official Ranking v2'!B35="","",'Official Ranking v2'!S35)</x:f>
      </x:c>
      <x:c r="J31" t="str">
        <x:f>IF('Official Ranking v2'!B35="","",'Official Ranking v2'!T35)</x:f>
      </x:c>
      <x:c r="K31" t="str">
        <x:f>IF('Official Ranking v2'!B35="","",'Official Ranking v2'!W35)</x:f>
      </x:c>
      <x:c r="L31" t="str">
        <x:f>IF('Official Ranking v2'!B35="","",'Official Ranking v2'!X35)</x:f>
      </x:c>
      <x:c r="M31" t="str">
        <x:f>IF('Official Ranking v2'!B35="","",'Official Ranking v2'!V35)</x:f>
      </x:c>
      <x:c r="N31" s="226" t="str">
        <x:f>IF('Official Ranking v2'!B35="","",'Official Ranking v2'!P35)</x:f>
      </x:c>
    </x:row>
    <x:row r="32">
      <x:c r="A32" t="str">
        <x:f>'Player Report Index'!B35</x:f>
      </x:c>
      <x:c r="B32" t="n">
        <x:f>'Player Report Index'!J35</x:f>
        <x:v>0</x:v>
      </x:c>
      <x:c r="C32" t="str">
        <x:f>IF('Official Ranking v2'!B36="","",'Official Ranking v2'!A36)</x:f>
      </x:c>
      <x:c r="D32" t="str">
        <x:f>IF('Official Ranking v2'!B36="","",'Official Ranking v2'!B36)</x:f>
      </x:c>
      <x:c r="E32" t="str">
        <x:f>IF('Official Ranking v2'!B36="","",'Official Ranking v2'!C36)</x:f>
      </x:c>
      <x:c r="F32" t="str">
        <x:f>IF('Official Ranking v2'!B36="","",'Official Ranking v2'!D36)</x:f>
      </x:c>
      <x:c r="G32" t="str">
        <x:f>IF('Official Ranking v2'!B36="","",'Official Ranking v2'!E36)</x:f>
      </x:c>
      <x:c r="H32" s="303" t="str">
        <x:f>IF('Official Ranking v2'!B36="","",'Official Ranking v2'!F36)</x:f>
      </x:c>
      <x:c r="I32" s="226" t="str">
        <x:f>IF('Official Ranking v2'!B36="","",'Official Ranking v2'!S36)</x:f>
      </x:c>
      <x:c r="J32" t="str">
        <x:f>IF('Official Ranking v2'!B36="","",'Official Ranking v2'!T36)</x:f>
      </x:c>
      <x:c r="K32" t="str">
        <x:f>IF('Official Ranking v2'!B36="","",'Official Ranking v2'!W36)</x:f>
      </x:c>
      <x:c r="L32" t="str">
        <x:f>IF('Official Ranking v2'!B36="","",'Official Ranking v2'!X36)</x:f>
      </x:c>
      <x:c r="M32" t="str">
        <x:f>IF('Official Ranking v2'!B36="","",'Official Ranking v2'!V36)</x:f>
      </x:c>
      <x:c r="N32" s="226" t="str">
        <x:f>IF('Official Ranking v2'!B36="","",'Official Ranking v2'!P36)</x:f>
      </x:c>
    </x:row>
    <x:row r="33">
      <x:c r="A33" t="str">
        <x:f>'Player Report Index'!B36</x:f>
      </x:c>
      <x:c r="B33" t="n">
        <x:f>'Player Report Index'!J36</x:f>
        <x:v>0</x:v>
      </x:c>
      <x:c r="C33" t="str">
        <x:f>IF('Official Ranking v2'!B37="","",'Official Ranking v2'!A37)</x:f>
      </x:c>
      <x:c r="D33" t="str">
        <x:f>IF('Official Ranking v2'!B37="","",'Official Ranking v2'!B37)</x:f>
      </x:c>
      <x:c r="E33" t="str">
        <x:f>IF('Official Ranking v2'!B37="","",'Official Ranking v2'!C37)</x:f>
      </x:c>
      <x:c r="F33" t="str">
        <x:f>IF('Official Ranking v2'!B37="","",'Official Ranking v2'!D37)</x:f>
      </x:c>
      <x:c r="G33" t="str">
        <x:f>IF('Official Ranking v2'!B37="","",'Official Ranking v2'!E37)</x:f>
      </x:c>
      <x:c r="H33" s="303" t="str">
        <x:f>IF('Official Ranking v2'!B37="","",'Official Ranking v2'!F37)</x:f>
      </x:c>
      <x:c r="I33" s="226" t="str">
        <x:f>IF('Official Ranking v2'!B37="","",'Official Ranking v2'!S37)</x:f>
      </x:c>
      <x:c r="J33" t="str">
        <x:f>IF('Official Ranking v2'!B37="","",'Official Ranking v2'!T37)</x:f>
      </x:c>
      <x:c r="K33" t="str">
        <x:f>IF('Official Ranking v2'!B37="","",'Official Ranking v2'!W37)</x:f>
      </x:c>
      <x:c r="L33" t="str">
        <x:f>IF('Official Ranking v2'!B37="","",'Official Ranking v2'!X37)</x:f>
      </x:c>
      <x:c r="M33" t="str">
        <x:f>IF('Official Ranking v2'!B37="","",'Official Ranking v2'!V37)</x:f>
      </x:c>
      <x:c r="N33" s="226" t="str">
        <x:f>IF('Official Ranking v2'!B37="","",'Official Ranking v2'!P37)</x:f>
      </x:c>
    </x:row>
    <x:row r="34">
      <x:c r="A34" t="str">
        <x:f>'Player Report Index'!B37</x:f>
      </x:c>
      <x:c r="B34" t="n">
        <x:f>'Player Report Index'!J37</x:f>
        <x:v>0</x:v>
      </x:c>
      <x:c r="C34" t="str">
        <x:f>IF('Official Ranking v2'!B38="","",'Official Ranking v2'!A38)</x:f>
      </x:c>
      <x:c r="D34" t="str">
        <x:f>IF('Official Ranking v2'!B38="","",'Official Ranking v2'!B38)</x:f>
      </x:c>
      <x:c r="E34" t="str">
        <x:f>IF('Official Ranking v2'!B38="","",'Official Ranking v2'!C38)</x:f>
      </x:c>
      <x:c r="F34" t="str">
        <x:f>IF('Official Ranking v2'!B38="","",'Official Ranking v2'!D38)</x:f>
      </x:c>
      <x:c r="G34" t="str">
        <x:f>IF('Official Ranking v2'!B38="","",'Official Ranking v2'!E38)</x:f>
      </x:c>
      <x:c r="H34" s="303" t="str">
        <x:f>IF('Official Ranking v2'!B38="","",'Official Ranking v2'!F38)</x:f>
      </x:c>
      <x:c r="I34" s="226" t="str">
        <x:f>IF('Official Ranking v2'!B38="","",'Official Ranking v2'!S38)</x:f>
      </x:c>
      <x:c r="J34" t="str">
        <x:f>IF('Official Ranking v2'!B38="","",'Official Ranking v2'!T38)</x:f>
      </x:c>
      <x:c r="K34" t="str">
        <x:f>IF('Official Ranking v2'!B38="","",'Official Ranking v2'!W38)</x:f>
      </x:c>
      <x:c r="L34" t="str">
        <x:f>IF('Official Ranking v2'!B38="","",'Official Ranking v2'!X38)</x:f>
      </x:c>
      <x:c r="M34" t="str">
        <x:f>IF('Official Ranking v2'!B38="","",'Official Ranking v2'!V38)</x:f>
      </x:c>
      <x:c r="N34" s="226" t="str">
        <x:f>IF('Official Ranking v2'!B38="","",'Official Ranking v2'!P38)</x:f>
      </x:c>
    </x:row>
    <x:row r="35">
      <x:c r="A35" t="str">
        <x:f>'Player Report Index'!B38</x:f>
      </x:c>
      <x:c r="B35" t="n">
        <x:f>'Player Report Index'!J38</x:f>
        <x:v>0</x:v>
      </x:c>
      <x:c r="C35" t="str">
        <x:f>IF('Official Ranking v2'!B39="","",'Official Ranking v2'!A39)</x:f>
      </x:c>
      <x:c r="D35" t="str">
        <x:f>IF('Official Ranking v2'!B39="","",'Official Ranking v2'!B39)</x:f>
      </x:c>
      <x:c r="E35" t="str">
        <x:f>IF('Official Ranking v2'!B39="","",'Official Ranking v2'!C39)</x:f>
      </x:c>
      <x:c r="F35" t="str">
        <x:f>IF('Official Ranking v2'!B39="","",'Official Ranking v2'!D39)</x:f>
      </x:c>
      <x:c r="G35" t="str">
        <x:f>IF('Official Ranking v2'!B39="","",'Official Ranking v2'!E39)</x:f>
      </x:c>
      <x:c r="H35" s="303" t="str">
        <x:f>IF('Official Ranking v2'!B39="","",'Official Ranking v2'!F39)</x:f>
      </x:c>
      <x:c r="I35" s="226" t="str">
        <x:f>IF('Official Ranking v2'!B39="","",'Official Ranking v2'!S39)</x:f>
      </x:c>
      <x:c r="J35" t="str">
        <x:f>IF('Official Ranking v2'!B39="","",'Official Ranking v2'!T39)</x:f>
      </x:c>
      <x:c r="K35" t="str">
        <x:f>IF('Official Ranking v2'!B39="","",'Official Ranking v2'!W39)</x:f>
      </x:c>
      <x:c r="L35" t="str">
        <x:f>IF('Official Ranking v2'!B39="","",'Official Ranking v2'!X39)</x:f>
      </x:c>
      <x:c r="M35" t="str">
        <x:f>IF('Official Ranking v2'!B39="","",'Official Ranking v2'!V39)</x:f>
      </x:c>
      <x:c r="N35" s="226" t="str">
        <x:f>IF('Official Ranking v2'!B39="","",'Official Ranking v2'!P39)</x:f>
      </x:c>
    </x:row>
    <x:row r="36">
      <x:c r="A36" t="str">
        <x:f>'Player Report Index'!B39</x:f>
      </x:c>
      <x:c r="B36" t="n">
        <x:f>'Player Report Index'!J39</x:f>
        <x:v>0</x:v>
      </x:c>
      <x:c r="C36" t="str">
        <x:f>IF('Official Ranking v2'!B40="","",'Official Ranking v2'!A40)</x:f>
      </x:c>
      <x:c r="D36" t="str">
        <x:f>IF('Official Ranking v2'!B40="","",'Official Ranking v2'!B40)</x:f>
      </x:c>
      <x:c r="E36" t="str">
        <x:f>IF('Official Ranking v2'!B40="","",'Official Ranking v2'!C40)</x:f>
      </x:c>
      <x:c r="F36" t="str">
        <x:f>IF('Official Ranking v2'!B40="","",'Official Ranking v2'!D40)</x:f>
      </x:c>
      <x:c r="G36" t="str">
        <x:f>IF('Official Ranking v2'!B40="","",'Official Ranking v2'!E40)</x:f>
      </x:c>
      <x:c r="H36" s="303" t="str">
        <x:f>IF('Official Ranking v2'!B40="","",'Official Ranking v2'!F40)</x:f>
      </x:c>
      <x:c r="I36" s="226" t="str">
        <x:f>IF('Official Ranking v2'!B40="","",'Official Ranking v2'!S40)</x:f>
      </x:c>
      <x:c r="J36" t="str">
        <x:f>IF('Official Ranking v2'!B40="","",'Official Ranking v2'!T40)</x:f>
      </x:c>
      <x:c r="K36" t="str">
        <x:f>IF('Official Ranking v2'!B40="","",'Official Ranking v2'!W40)</x:f>
      </x:c>
      <x:c r="L36" t="str">
        <x:f>IF('Official Ranking v2'!B40="","",'Official Ranking v2'!X40)</x:f>
      </x:c>
      <x:c r="M36" t="str">
        <x:f>IF('Official Ranking v2'!B40="","",'Official Ranking v2'!V40)</x:f>
      </x:c>
      <x:c r="N36" s="226" t="str">
        <x:f>IF('Official Ranking v2'!B40="","",'Official Ranking v2'!P40)</x:f>
      </x:c>
    </x:row>
    <x:row r="37">
      <x:c r="A37" t="str">
        <x:f>'Player Report Index'!B40</x:f>
      </x:c>
      <x:c r="B37" t="n">
        <x:f>'Player Report Index'!J40</x:f>
        <x:v>0</x:v>
      </x:c>
      <x:c r="C37" t="str">
        <x:f>IF('Official Ranking v2'!B41="","",'Official Ranking v2'!A41)</x:f>
      </x:c>
      <x:c r="D37" t="str">
        <x:f>IF('Official Ranking v2'!B41="","",'Official Ranking v2'!B41)</x:f>
      </x:c>
      <x:c r="E37" t="str">
        <x:f>IF('Official Ranking v2'!B41="","",'Official Ranking v2'!C41)</x:f>
      </x:c>
      <x:c r="F37" t="str">
        <x:f>IF('Official Ranking v2'!B41="","",'Official Ranking v2'!D41)</x:f>
      </x:c>
      <x:c r="G37" t="str">
        <x:f>IF('Official Ranking v2'!B41="","",'Official Ranking v2'!E41)</x:f>
      </x:c>
      <x:c r="H37" s="303" t="str">
        <x:f>IF('Official Ranking v2'!B41="","",'Official Ranking v2'!F41)</x:f>
      </x:c>
      <x:c r="I37" s="226" t="str">
        <x:f>IF('Official Ranking v2'!B41="","",'Official Ranking v2'!S41)</x:f>
      </x:c>
      <x:c r="J37" t="str">
        <x:f>IF('Official Ranking v2'!B41="","",'Official Ranking v2'!T41)</x:f>
      </x:c>
      <x:c r="K37" t="str">
        <x:f>IF('Official Ranking v2'!B41="","",'Official Ranking v2'!W41)</x:f>
      </x:c>
      <x:c r="L37" t="str">
        <x:f>IF('Official Ranking v2'!B41="","",'Official Ranking v2'!X41)</x:f>
      </x:c>
      <x:c r="M37" t="str">
        <x:f>IF('Official Ranking v2'!B41="","",'Official Ranking v2'!V41)</x:f>
      </x:c>
      <x:c r="N37" s="226" t="str">
        <x:f>IF('Official Ranking v2'!B41="","",'Official Ranking v2'!P41)</x:f>
      </x:c>
    </x:row>
    <x:row r="38">
      <x:c r="A38" t="str">
        <x:f>'Player Report Index'!B41</x:f>
      </x:c>
      <x:c r="B38" t="n">
        <x:f>'Player Report Index'!J41</x:f>
        <x:v>0</x:v>
      </x:c>
      <x:c r="C38" t="str">
        <x:f>IF('Official Ranking v2'!B42="","",'Official Ranking v2'!A42)</x:f>
      </x:c>
      <x:c r="D38" t="str">
        <x:f>IF('Official Ranking v2'!B42="","",'Official Ranking v2'!B42)</x:f>
      </x:c>
      <x:c r="E38" t="str">
        <x:f>IF('Official Ranking v2'!B42="","",'Official Ranking v2'!C42)</x:f>
      </x:c>
      <x:c r="F38" t="str">
        <x:f>IF('Official Ranking v2'!B42="","",'Official Ranking v2'!D42)</x:f>
      </x:c>
      <x:c r="G38" t="str">
        <x:f>IF('Official Ranking v2'!B42="","",'Official Ranking v2'!E42)</x:f>
      </x:c>
      <x:c r="H38" s="303" t="str">
        <x:f>IF('Official Ranking v2'!B42="","",'Official Ranking v2'!F42)</x:f>
      </x:c>
      <x:c r="I38" s="226" t="str">
        <x:f>IF('Official Ranking v2'!B42="","",'Official Ranking v2'!S42)</x:f>
      </x:c>
      <x:c r="J38" t="str">
        <x:f>IF('Official Ranking v2'!B42="","",'Official Ranking v2'!T42)</x:f>
      </x:c>
      <x:c r="K38" t="str">
        <x:f>IF('Official Ranking v2'!B42="","",'Official Ranking v2'!W42)</x:f>
      </x:c>
      <x:c r="L38" t="str">
        <x:f>IF('Official Ranking v2'!B42="","",'Official Ranking v2'!X42)</x:f>
      </x:c>
      <x:c r="M38" t="str">
        <x:f>IF('Official Ranking v2'!B42="","",'Official Ranking v2'!V42)</x:f>
      </x:c>
      <x:c r="N38" s="226" t="str">
        <x:f>IF('Official Ranking v2'!B42="","",'Official Ranking v2'!P42)</x:f>
      </x:c>
    </x:row>
    <x:row r="39">
      <x:c r="A39" t="str">
        <x:f>'Player Report Index'!B42</x:f>
      </x:c>
      <x:c r="B39" t="n">
        <x:f>'Player Report Index'!J42</x:f>
        <x:v>0</x:v>
      </x:c>
      <x:c r="C39" t="str">
        <x:f>IF('Official Ranking v2'!B43="","",'Official Ranking v2'!A43)</x:f>
      </x:c>
      <x:c r="D39" t="str">
        <x:f>IF('Official Ranking v2'!B43="","",'Official Ranking v2'!B43)</x:f>
      </x:c>
      <x:c r="E39" t="str">
        <x:f>IF('Official Ranking v2'!B43="","",'Official Ranking v2'!C43)</x:f>
      </x:c>
      <x:c r="F39" t="str">
        <x:f>IF('Official Ranking v2'!B43="","",'Official Ranking v2'!D43)</x:f>
      </x:c>
      <x:c r="G39" t="str">
        <x:f>IF('Official Ranking v2'!B43="","",'Official Ranking v2'!E43)</x:f>
      </x:c>
      <x:c r="H39" s="303" t="str">
        <x:f>IF('Official Ranking v2'!B43="","",'Official Ranking v2'!F43)</x:f>
      </x:c>
      <x:c r="I39" s="226" t="str">
        <x:f>IF('Official Ranking v2'!B43="","",'Official Ranking v2'!S43)</x:f>
      </x:c>
      <x:c r="J39" t="str">
        <x:f>IF('Official Ranking v2'!B43="","",'Official Ranking v2'!T43)</x:f>
      </x:c>
      <x:c r="K39" t="str">
        <x:f>IF('Official Ranking v2'!B43="","",'Official Ranking v2'!W43)</x:f>
      </x:c>
      <x:c r="L39" t="str">
        <x:f>IF('Official Ranking v2'!B43="","",'Official Ranking v2'!X43)</x:f>
      </x:c>
      <x:c r="M39" t="str">
        <x:f>IF('Official Ranking v2'!B43="","",'Official Ranking v2'!V43)</x:f>
      </x:c>
      <x:c r="N39" s="226" t="str">
        <x:f>IF('Official Ranking v2'!B43="","",'Official Ranking v2'!P43)</x:f>
      </x:c>
    </x:row>
    <x:row r="40">
      <x:c r="A40" t="str">
        <x:f>'Player Report Index'!B43</x:f>
      </x:c>
      <x:c r="B40" t="n">
        <x:f>'Player Report Index'!J43</x:f>
        <x:v>0</x:v>
      </x:c>
      <x:c r="C40" t="str">
        <x:f>IF('Official Ranking v2'!B44="","",'Official Ranking v2'!A44)</x:f>
      </x:c>
      <x:c r="D40" t="str">
        <x:f>IF('Official Ranking v2'!B44="","",'Official Ranking v2'!B44)</x:f>
      </x:c>
      <x:c r="E40" t="str">
        <x:f>IF('Official Ranking v2'!B44="","",'Official Ranking v2'!C44)</x:f>
      </x:c>
      <x:c r="F40" t="str">
        <x:f>IF('Official Ranking v2'!B44="","",'Official Ranking v2'!D44)</x:f>
      </x:c>
      <x:c r="G40" t="str">
        <x:f>IF('Official Ranking v2'!B44="","",'Official Ranking v2'!E44)</x:f>
      </x:c>
      <x:c r="H40" s="303" t="str">
        <x:f>IF('Official Ranking v2'!B44="","",'Official Ranking v2'!F44)</x:f>
      </x:c>
      <x:c r="I40" s="226" t="str">
        <x:f>IF('Official Ranking v2'!B44="","",'Official Ranking v2'!S44)</x:f>
      </x:c>
      <x:c r="J40" t="str">
        <x:f>IF('Official Ranking v2'!B44="","",'Official Ranking v2'!T44)</x:f>
      </x:c>
      <x:c r="K40" t="str">
        <x:f>IF('Official Ranking v2'!B44="","",'Official Ranking v2'!W44)</x:f>
      </x:c>
      <x:c r="L40" t="str">
        <x:f>IF('Official Ranking v2'!B44="","",'Official Ranking v2'!X44)</x:f>
      </x:c>
      <x:c r="M40" t="str">
        <x:f>IF('Official Ranking v2'!B44="","",'Official Ranking v2'!V44)</x:f>
      </x:c>
      <x:c r="N40" s="226" t="str">
        <x:f>IF('Official Ranking v2'!B44="","",'Official Ranking v2'!P44)</x:f>
      </x:c>
    </x:row>
    <x:row r="41">
      <x:c r="A41" t="str">
        <x:f>'Player Report Index'!B44</x:f>
      </x:c>
      <x:c r="B41" t="n">
        <x:f>'Player Report Index'!J44</x:f>
        <x:v>0</x:v>
      </x:c>
      <x:c r="C41" t="str">
        <x:f>IF('Official Ranking v2'!B45="","",'Official Ranking v2'!A45)</x:f>
      </x:c>
      <x:c r="D41" t="str">
        <x:f>IF('Official Ranking v2'!B45="","",'Official Ranking v2'!B45)</x:f>
      </x:c>
      <x:c r="E41" t="str">
        <x:f>IF('Official Ranking v2'!B45="","",'Official Ranking v2'!C45)</x:f>
      </x:c>
      <x:c r="F41" t="str">
        <x:f>IF('Official Ranking v2'!B45="","",'Official Ranking v2'!D45)</x:f>
      </x:c>
      <x:c r="G41" t="str">
        <x:f>IF('Official Ranking v2'!B45="","",'Official Ranking v2'!E45)</x:f>
      </x:c>
      <x:c r="H41" s="303" t="str">
        <x:f>IF('Official Ranking v2'!B45="","",'Official Ranking v2'!F45)</x:f>
      </x:c>
      <x:c r="I41" s="226" t="str">
        <x:f>IF('Official Ranking v2'!B45="","",'Official Ranking v2'!S45)</x:f>
      </x:c>
      <x:c r="J41" t="str">
        <x:f>IF('Official Ranking v2'!B45="","",'Official Ranking v2'!T45)</x:f>
      </x:c>
      <x:c r="K41" t="str">
        <x:f>IF('Official Ranking v2'!B45="","",'Official Ranking v2'!W45)</x:f>
      </x:c>
      <x:c r="L41" t="str">
        <x:f>IF('Official Ranking v2'!B45="","",'Official Ranking v2'!X45)</x:f>
      </x:c>
      <x:c r="M41" t="str">
        <x:f>IF('Official Ranking v2'!B45="","",'Official Ranking v2'!V45)</x:f>
      </x:c>
      <x:c r="N41" s="226" t="str">
        <x:f>IF('Official Ranking v2'!B45="","",'Official Ranking v2'!P45)</x:f>
      </x:c>
    </x:row>
    <x:row r="42">
      <x:c r="A42" t="str">
        <x:f>'Player Report Index'!B45</x:f>
      </x:c>
      <x:c r="B42" t="n">
        <x:f>'Player Report Index'!J45</x:f>
        <x:v>0</x:v>
      </x:c>
      <x:c r="C42" t="str">
        <x:f>IF('Official Ranking v2'!B46="","",'Official Ranking v2'!A46)</x:f>
      </x:c>
      <x:c r="D42" t="str">
        <x:f>IF('Official Ranking v2'!B46="","",'Official Ranking v2'!B46)</x:f>
      </x:c>
      <x:c r="E42" t="str">
        <x:f>IF('Official Ranking v2'!B46="","",'Official Ranking v2'!C46)</x:f>
      </x:c>
      <x:c r="F42" t="str">
        <x:f>IF('Official Ranking v2'!B46="","",'Official Ranking v2'!D46)</x:f>
      </x:c>
      <x:c r="G42" t="str">
        <x:f>IF('Official Ranking v2'!B46="","",'Official Ranking v2'!E46)</x:f>
      </x:c>
      <x:c r="H42" s="303" t="str">
        <x:f>IF('Official Ranking v2'!B46="","",'Official Ranking v2'!F46)</x:f>
      </x:c>
      <x:c r="I42" s="226" t="str">
        <x:f>IF('Official Ranking v2'!B46="","",'Official Ranking v2'!S46)</x:f>
      </x:c>
      <x:c r="J42" t="str">
        <x:f>IF('Official Ranking v2'!B46="","",'Official Ranking v2'!T46)</x:f>
      </x:c>
      <x:c r="K42" t="str">
        <x:f>IF('Official Ranking v2'!B46="","",'Official Ranking v2'!W46)</x:f>
      </x:c>
      <x:c r="L42" t="str">
        <x:f>IF('Official Ranking v2'!B46="","",'Official Ranking v2'!X46)</x:f>
      </x:c>
      <x:c r="M42" t="str">
        <x:f>IF('Official Ranking v2'!B46="","",'Official Ranking v2'!V46)</x:f>
      </x:c>
      <x:c r="N42" s="226" t="str">
        <x:f>IF('Official Ranking v2'!B46="","",'Official Ranking v2'!P46)</x:f>
      </x:c>
    </x:row>
    <x:row r="43">
      <x:c r="A43" t="str">
        <x:f>'Player Report Index'!B46</x:f>
      </x:c>
      <x:c r="B43" t="n">
        <x:f>'Player Report Index'!J46</x:f>
        <x:v>0</x:v>
      </x:c>
      <x:c r="C43" t="str">
        <x:f>IF('Official Ranking v2'!B47="","",'Official Ranking v2'!A47)</x:f>
      </x:c>
      <x:c r="D43" t="str">
        <x:f>IF('Official Ranking v2'!B47="","",'Official Ranking v2'!B47)</x:f>
      </x:c>
      <x:c r="E43" t="str">
        <x:f>IF('Official Ranking v2'!B47="","",'Official Ranking v2'!C47)</x:f>
      </x:c>
      <x:c r="F43" t="str">
        <x:f>IF('Official Ranking v2'!B47="","",'Official Ranking v2'!D47)</x:f>
      </x:c>
      <x:c r="G43" t="str">
        <x:f>IF('Official Ranking v2'!B47="","",'Official Ranking v2'!E47)</x:f>
      </x:c>
      <x:c r="H43" s="303" t="str">
        <x:f>IF('Official Ranking v2'!B47="","",'Official Ranking v2'!F47)</x:f>
      </x:c>
      <x:c r="I43" s="226" t="str">
        <x:f>IF('Official Ranking v2'!B47="","",'Official Ranking v2'!S47)</x:f>
      </x:c>
      <x:c r="J43" t="str">
        <x:f>IF('Official Ranking v2'!B47="","",'Official Ranking v2'!T47)</x:f>
      </x:c>
      <x:c r="K43" t="str">
        <x:f>IF('Official Ranking v2'!B47="","",'Official Ranking v2'!W47)</x:f>
      </x:c>
      <x:c r="L43" t="str">
        <x:f>IF('Official Ranking v2'!B47="","",'Official Ranking v2'!X47)</x:f>
      </x:c>
      <x:c r="M43" t="str">
        <x:f>IF('Official Ranking v2'!B47="","",'Official Ranking v2'!V47)</x:f>
      </x:c>
      <x:c r="N43" s="226" t="str">
        <x:f>IF('Official Ranking v2'!B47="","",'Official Ranking v2'!P47)</x:f>
      </x:c>
    </x:row>
    <x:row r="44">
      <x:c r="A44" t="str">
        <x:f>'Player Report Index'!B47</x:f>
      </x:c>
      <x:c r="B44" t="n">
        <x:f>'Player Report Index'!J47</x:f>
        <x:v>0</x:v>
      </x:c>
      <x:c r="C44" t="str">
        <x:f>IF('Official Ranking v2'!B48="","",'Official Ranking v2'!A48)</x:f>
      </x:c>
      <x:c r="D44" t="str">
        <x:f>IF('Official Ranking v2'!B48="","",'Official Ranking v2'!B48)</x:f>
      </x:c>
      <x:c r="E44" t="str">
        <x:f>IF('Official Ranking v2'!B48="","",'Official Ranking v2'!C48)</x:f>
      </x:c>
      <x:c r="F44" t="str">
        <x:f>IF('Official Ranking v2'!B48="","",'Official Ranking v2'!D48)</x:f>
      </x:c>
      <x:c r="G44" t="str">
        <x:f>IF('Official Ranking v2'!B48="","",'Official Ranking v2'!E48)</x:f>
      </x:c>
      <x:c r="H44" s="303" t="str">
        <x:f>IF('Official Ranking v2'!B48="","",'Official Ranking v2'!F48)</x:f>
      </x:c>
      <x:c r="I44" s="226" t="str">
        <x:f>IF('Official Ranking v2'!B48="","",'Official Ranking v2'!S48)</x:f>
      </x:c>
      <x:c r="J44" t="str">
        <x:f>IF('Official Ranking v2'!B48="","",'Official Ranking v2'!T48)</x:f>
      </x:c>
      <x:c r="K44" t="str">
        <x:f>IF('Official Ranking v2'!B48="","",'Official Ranking v2'!W48)</x:f>
      </x:c>
      <x:c r="L44" t="str">
        <x:f>IF('Official Ranking v2'!B48="","",'Official Ranking v2'!X48)</x:f>
      </x:c>
      <x:c r="M44" t="str">
        <x:f>IF('Official Ranking v2'!B48="","",'Official Ranking v2'!V48)</x:f>
      </x:c>
      <x:c r="N44" s="226" t="str">
        <x:f>IF('Official Ranking v2'!B48="","",'Official Ranking v2'!P48)</x:f>
      </x:c>
    </x:row>
    <x:row r="45">
      <x:c r="A45" t="str">
        <x:f>'Player Report Index'!B48</x:f>
      </x:c>
      <x:c r="B45" t="n">
        <x:f>'Player Report Index'!J48</x:f>
        <x:v>0</x:v>
      </x:c>
      <x:c r="C45" t="str">
        <x:f>IF('Official Ranking v2'!B49="","",'Official Ranking v2'!A49)</x:f>
      </x:c>
      <x:c r="D45" t="str">
        <x:f>IF('Official Ranking v2'!B49="","",'Official Ranking v2'!B49)</x:f>
      </x:c>
      <x:c r="E45" t="str">
        <x:f>IF('Official Ranking v2'!B49="","",'Official Ranking v2'!C49)</x:f>
      </x:c>
      <x:c r="F45" t="str">
        <x:f>IF('Official Ranking v2'!B49="","",'Official Ranking v2'!D49)</x:f>
      </x:c>
      <x:c r="G45" t="str">
        <x:f>IF('Official Ranking v2'!B49="","",'Official Ranking v2'!E49)</x:f>
      </x:c>
      <x:c r="H45" s="303" t="str">
        <x:f>IF('Official Ranking v2'!B49="","",'Official Ranking v2'!F49)</x:f>
      </x:c>
      <x:c r="I45" s="226" t="str">
        <x:f>IF('Official Ranking v2'!B49="","",'Official Ranking v2'!S49)</x:f>
      </x:c>
      <x:c r="J45" t="str">
        <x:f>IF('Official Ranking v2'!B49="","",'Official Ranking v2'!T49)</x:f>
      </x:c>
      <x:c r="K45" t="str">
        <x:f>IF('Official Ranking v2'!B49="","",'Official Ranking v2'!W49)</x:f>
      </x:c>
      <x:c r="L45" t="str">
        <x:f>IF('Official Ranking v2'!B49="","",'Official Ranking v2'!X49)</x:f>
      </x:c>
      <x:c r="M45" t="str">
        <x:f>IF('Official Ranking v2'!B49="","",'Official Ranking v2'!V49)</x:f>
      </x:c>
      <x:c r="N45" s="226" t="str">
        <x:f>IF('Official Ranking v2'!B49="","",'Official Ranking v2'!P49)</x:f>
      </x:c>
    </x:row>
    <x:row r="46">
      <x:c r="A46" t="str">
        <x:f>'Player Report Index'!B49</x:f>
      </x:c>
      <x:c r="B46" t="n">
        <x:f>'Player Report Index'!J49</x:f>
        <x:v>0</x:v>
      </x:c>
      <x:c r="C46" t="str">
        <x:f>IF('Official Ranking v2'!B50="","",'Official Ranking v2'!A50)</x:f>
      </x:c>
      <x:c r="D46" t="str">
        <x:f>IF('Official Ranking v2'!B50="","",'Official Ranking v2'!B50)</x:f>
      </x:c>
      <x:c r="E46" t="str">
        <x:f>IF('Official Ranking v2'!B50="","",'Official Ranking v2'!C50)</x:f>
      </x:c>
      <x:c r="F46" t="str">
        <x:f>IF('Official Ranking v2'!B50="","",'Official Ranking v2'!D50)</x:f>
      </x:c>
      <x:c r="G46" t="str">
        <x:f>IF('Official Ranking v2'!B50="","",'Official Ranking v2'!E50)</x:f>
      </x:c>
      <x:c r="H46" s="303" t="str">
        <x:f>IF('Official Ranking v2'!B50="","",'Official Ranking v2'!F50)</x:f>
      </x:c>
      <x:c r="I46" s="226" t="str">
        <x:f>IF('Official Ranking v2'!B50="","",'Official Ranking v2'!S50)</x:f>
      </x:c>
      <x:c r="J46" t="str">
        <x:f>IF('Official Ranking v2'!B50="","",'Official Ranking v2'!T50)</x:f>
      </x:c>
      <x:c r="K46" t="str">
        <x:f>IF('Official Ranking v2'!B50="","",'Official Ranking v2'!W50)</x:f>
      </x:c>
      <x:c r="L46" t="str">
        <x:f>IF('Official Ranking v2'!B50="","",'Official Ranking v2'!X50)</x:f>
      </x:c>
      <x:c r="M46" t="str">
        <x:f>IF('Official Ranking v2'!B50="","",'Official Ranking v2'!V50)</x:f>
      </x:c>
      <x:c r="N46" s="226" t="str">
        <x:f>IF('Official Ranking v2'!B50="","",'Official Ranking v2'!P50)</x:f>
      </x:c>
    </x:row>
    <x:row r="47">
      <x:c r="A47" t="str">
        <x:f>'Player Report Index'!B50</x:f>
      </x:c>
      <x:c r="B47" t="n">
        <x:f>'Player Report Index'!J50</x:f>
        <x:v>0</x:v>
      </x:c>
      <x:c r="C47" t="str">
        <x:f>IF('Official Ranking v2'!B51="","",'Official Ranking v2'!A51)</x:f>
      </x:c>
      <x:c r="D47" t="str">
        <x:f>IF('Official Ranking v2'!B51="","",'Official Ranking v2'!B51)</x:f>
      </x:c>
      <x:c r="E47" t="str">
        <x:f>IF('Official Ranking v2'!B51="","",'Official Ranking v2'!C51)</x:f>
      </x:c>
      <x:c r="F47" t="str">
        <x:f>IF('Official Ranking v2'!B51="","",'Official Ranking v2'!D51)</x:f>
      </x:c>
      <x:c r="G47" t="str">
        <x:f>IF('Official Ranking v2'!B51="","",'Official Ranking v2'!E51)</x:f>
      </x:c>
      <x:c r="H47" s="303" t="str">
        <x:f>IF('Official Ranking v2'!B51="","",'Official Ranking v2'!F51)</x:f>
      </x:c>
      <x:c r="I47" s="226" t="str">
        <x:f>IF('Official Ranking v2'!B51="","",'Official Ranking v2'!S51)</x:f>
      </x:c>
      <x:c r="J47" t="str">
        <x:f>IF('Official Ranking v2'!B51="","",'Official Ranking v2'!T51)</x:f>
      </x:c>
      <x:c r="K47" t="str">
        <x:f>IF('Official Ranking v2'!B51="","",'Official Ranking v2'!W51)</x:f>
      </x:c>
      <x:c r="L47" t="str">
        <x:f>IF('Official Ranking v2'!B51="","",'Official Ranking v2'!X51)</x:f>
      </x:c>
      <x:c r="M47" t="str">
        <x:f>IF('Official Ranking v2'!B51="","",'Official Ranking v2'!V51)</x:f>
      </x:c>
      <x:c r="N47" s="226" t="str">
        <x:f>IF('Official Ranking v2'!B51="","",'Official Ranking v2'!P51)</x:f>
      </x:c>
    </x:row>
    <x:row r="48">
      <x:c r="A48" t="str">
        <x:f>'Player Report Index'!B51</x:f>
      </x:c>
      <x:c r="B48" t="n">
        <x:f>'Player Report Index'!J51</x:f>
        <x:v>0</x:v>
      </x:c>
      <x:c r="C48" t="str">
        <x:f>IF('Official Ranking v2'!B52="","",'Official Ranking v2'!A52)</x:f>
      </x:c>
      <x:c r="D48" t="str">
        <x:f>IF('Official Ranking v2'!B52="","",'Official Ranking v2'!B52)</x:f>
      </x:c>
      <x:c r="E48" t="str">
        <x:f>IF('Official Ranking v2'!B52="","",'Official Ranking v2'!C52)</x:f>
      </x:c>
      <x:c r="F48" t="str">
        <x:f>IF('Official Ranking v2'!B52="","",'Official Ranking v2'!D52)</x:f>
      </x:c>
      <x:c r="G48" t="str">
        <x:f>IF('Official Ranking v2'!B52="","",'Official Ranking v2'!E52)</x:f>
      </x:c>
      <x:c r="H48" s="303" t="str">
        <x:f>IF('Official Ranking v2'!B52="","",'Official Ranking v2'!F52)</x:f>
      </x:c>
      <x:c r="I48" s="226" t="str">
        <x:f>IF('Official Ranking v2'!B52="","",'Official Ranking v2'!S52)</x:f>
      </x:c>
      <x:c r="J48" t="str">
        <x:f>IF('Official Ranking v2'!B52="","",'Official Ranking v2'!T52)</x:f>
      </x:c>
      <x:c r="K48" t="str">
        <x:f>IF('Official Ranking v2'!B52="","",'Official Ranking v2'!W52)</x:f>
      </x:c>
      <x:c r="L48" t="str">
        <x:f>IF('Official Ranking v2'!B52="","",'Official Ranking v2'!X52)</x:f>
      </x:c>
      <x:c r="M48" t="str">
        <x:f>IF('Official Ranking v2'!B52="","",'Official Ranking v2'!V52)</x:f>
      </x:c>
      <x:c r="N48" s="226" t="str">
        <x:f>IF('Official Ranking v2'!B52="","",'Official Ranking v2'!P52)</x:f>
      </x:c>
    </x:row>
    <x:row r="49">
      <x:c r="A49" t="str">
        <x:f>'Player Report Index'!B52</x:f>
      </x:c>
      <x:c r="B49" t="n">
        <x:f>'Player Report Index'!J52</x:f>
        <x:v>0</x:v>
      </x:c>
      <x:c r="C49" t="str">
        <x:f>IF('Official Ranking v2'!B53="","",'Official Ranking v2'!A53)</x:f>
      </x:c>
      <x:c r="D49" t="str">
        <x:f>IF('Official Ranking v2'!B53="","",'Official Ranking v2'!B53)</x:f>
      </x:c>
      <x:c r="E49" t="str">
        <x:f>IF('Official Ranking v2'!B53="","",'Official Ranking v2'!C53)</x:f>
      </x:c>
      <x:c r="F49" t="str">
        <x:f>IF('Official Ranking v2'!B53="","",'Official Ranking v2'!D53)</x:f>
      </x:c>
      <x:c r="G49" t="str">
        <x:f>IF('Official Ranking v2'!B53="","",'Official Ranking v2'!E53)</x:f>
      </x:c>
      <x:c r="H49" s="303" t="str">
        <x:f>IF('Official Ranking v2'!B53="","",'Official Ranking v2'!F53)</x:f>
      </x:c>
      <x:c r="I49" s="226" t="str">
        <x:f>IF('Official Ranking v2'!B53="","",'Official Ranking v2'!S53)</x:f>
      </x:c>
      <x:c r="J49" t="str">
        <x:f>IF('Official Ranking v2'!B53="","",'Official Ranking v2'!T53)</x:f>
      </x:c>
      <x:c r="K49" t="str">
        <x:f>IF('Official Ranking v2'!B53="","",'Official Ranking v2'!W53)</x:f>
      </x:c>
      <x:c r="L49" t="str">
        <x:f>IF('Official Ranking v2'!B53="","",'Official Ranking v2'!X53)</x:f>
      </x:c>
      <x:c r="M49" t="str">
        <x:f>IF('Official Ranking v2'!B53="","",'Official Ranking v2'!V53)</x:f>
      </x:c>
      <x:c r="N49" s="226" t="str">
        <x:f>IF('Official Ranking v2'!B53="","",'Official Ranking v2'!P53)</x:f>
      </x:c>
    </x:row>
    <x:row r="50">
      <x:c r="A50" t="str">
        <x:f>'Player Report Index'!B53</x:f>
      </x:c>
      <x:c r="B50" t="n">
        <x:f>'Player Report Index'!J53</x:f>
        <x:v>0</x:v>
      </x:c>
      <x:c r="C50" t="str">
        <x:f>IF('Official Ranking v2'!B54="","",'Official Ranking v2'!A54)</x:f>
      </x:c>
      <x:c r="D50" t="str">
        <x:f>IF('Official Ranking v2'!B54="","",'Official Ranking v2'!B54)</x:f>
      </x:c>
      <x:c r="E50" t="str">
        <x:f>IF('Official Ranking v2'!B54="","",'Official Ranking v2'!C54)</x:f>
      </x:c>
      <x:c r="F50" t="str">
        <x:f>IF('Official Ranking v2'!B54="","",'Official Ranking v2'!D54)</x:f>
      </x:c>
      <x:c r="G50" t="str">
        <x:f>IF('Official Ranking v2'!B54="","",'Official Ranking v2'!E54)</x:f>
      </x:c>
      <x:c r="H50" s="303" t="str">
        <x:f>IF('Official Ranking v2'!B54="","",'Official Ranking v2'!F54)</x:f>
      </x:c>
      <x:c r="I50" s="226" t="str">
        <x:f>IF('Official Ranking v2'!B54="","",'Official Ranking v2'!S54)</x:f>
      </x:c>
      <x:c r="J50" t="str">
        <x:f>IF('Official Ranking v2'!B54="","",'Official Ranking v2'!T54)</x:f>
      </x:c>
      <x:c r="K50" t="str">
        <x:f>IF('Official Ranking v2'!B54="","",'Official Ranking v2'!W54)</x:f>
      </x:c>
      <x:c r="L50" t="str">
        <x:f>IF('Official Ranking v2'!B54="","",'Official Ranking v2'!X54)</x:f>
      </x:c>
      <x:c r="M50" t="str">
        <x:f>IF('Official Ranking v2'!B54="","",'Official Ranking v2'!V54)</x:f>
      </x:c>
      <x:c r="N50" s="226" t="str">
        <x:f>IF('Official Ranking v2'!B54="","",'Official Ranking v2'!P54)</x:f>
      </x:c>
    </x:row>
    <x:row r="51">
      <x:c r="A51" t="str">
        <x:f>'Player Report Index'!B54</x:f>
      </x:c>
      <x:c r="B51" t="n">
        <x:f>'Player Report Index'!J54</x:f>
        <x:v>0</x:v>
      </x:c>
      <x:c r="C51" t="str">
        <x:f>IF('Official Ranking v2'!B55="","",'Official Ranking v2'!A55)</x:f>
      </x:c>
      <x:c r="D51" t="str">
        <x:f>IF('Official Ranking v2'!B55="","",'Official Ranking v2'!B55)</x:f>
      </x:c>
      <x:c r="E51" t="str">
        <x:f>IF('Official Ranking v2'!B55="","",'Official Ranking v2'!C55)</x:f>
      </x:c>
      <x:c r="F51" t="str">
        <x:f>IF('Official Ranking v2'!B55="","",'Official Ranking v2'!D55)</x:f>
      </x:c>
      <x:c r="G51" t="str">
        <x:f>IF('Official Ranking v2'!B55="","",'Official Ranking v2'!E55)</x:f>
      </x:c>
      <x:c r="H51" s="303" t="str">
        <x:f>IF('Official Ranking v2'!B55="","",'Official Ranking v2'!F55)</x:f>
      </x:c>
      <x:c r="I51" s="226" t="str">
        <x:f>IF('Official Ranking v2'!B55="","",'Official Ranking v2'!S55)</x:f>
      </x:c>
      <x:c r="J51" t="str">
        <x:f>IF('Official Ranking v2'!B55="","",'Official Ranking v2'!T55)</x:f>
      </x:c>
      <x:c r="K51" t="str">
        <x:f>IF('Official Ranking v2'!B55="","",'Official Ranking v2'!W55)</x:f>
      </x:c>
      <x:c r="L51" t="str">
        <x:f>IF('Official Ranking v2'!B55="","",'Official Ranking v2'!X55)</x:f>
      </x:c>
      <x:c r="M51" t="str">
        <x:f>IF('Official Ranking v2'!B55="","",'Official Ranking v2'!V55)</x:f>
      </x:c>
      <x:c r="N51" s="226" t="str">
        <x:f>IF('Official Ranking v2'!B55="","",'Official Ranking v2'!P55)</x:f>
      </x:c>
    </x:row>
    <x:row r="52">
      <x:c r="A52" t="str">
        <x:f>'Player Report Index'!B55</x:f>
      </x:c>
      <x:c r="B52" t="n">
        <x:f>'Player Report Index'!J55</x:f>
        <x:v>0</x:v>
      </x:c>
      <x:c r="C52" t="str">
        <x:f>IF('Official Ranking v2'!B56="","",'Official Ranking v2'!A56)</x:f>
      </x:c>
      <x:c r="D52" t="str">
        <x:f>IF('Official Ranking v2'!B56="","",'Official Ranking v2'!B56)</x:f>
      </x:c>
      <x:c r="E52" t="str">
        <x:f>IF('Official Ranking v2'!B56="","",'Official Ranking v2'!C56)</x:f>
      </x:c>
      <x:c r="F52" t="str">
        <x:f>IF('Official Ranking v2'!B56="","",'Official Ranking v2'!D56)</x:f>
      </x:c>
      <x:c r="G52" t="str">
        <x:f>IF('Official Ranking v2'!B56="","",'Official Ranking v2'!E56)</x:f>
      </x:c>
      <x:c r="H52" s="303" t="str">
        <x:f>IF('Official Ranking v2'!B56="","",'Official Ranking v2'!F56)</x:f>
      </x:c>
      <x:c r="I52" s="226" t="str">
        <x:f>IF('Official Ranking v2'!B56="","",'Official Ranking v2'!S56)</x:f>
      </x:c>
      <x:c r="J52" t="str">
        <x:f>IF('Official Ranking v2'!B56="","",'Official Ranking v2'!T56)</x:f>
      </x:c>
      <x:c r="K52" t="str">
        <x:f>IF('Official Ranking v2'!B56="","",'Official Ranking v2'!W56)</x:f>
      </x:c>
      <x:c r="L52" t="str">
        <x:f>IF('Official Ranking v2'!B56="","",'Official Ranking v2'!X56)</x:f>
      </x:c>
      <x:c r="M52" t="str">
        <x:f>IF('Official Ranking v2'!B56="","",'Official Ranking v2'!V56)</x:f>
      </x:c>
      <x:c r="N52" s="226" t="str">
        <x:f>IF('Official Ranking v2'!B56="","",'Official Ranking v2'!P56)</x:f>
      </x:c>
    </x:row>
    <x:row r="53">
      <x:c r="A53" t="str">
        <x:f>'Player Report Index'!B56</x:f>
      </x:c>
      <x:c r="B53" t="n">
        <x:f>'Player Report Index'!J56</x:f>
        <x:v>0</x:v>
      </x:c>
      <x:c r="C53" t="str">
        <x:f>IF('Official Ranking v2'!B57="","",'Official Ranking v2'!A57)</x:f>
      </x:c>
      <x:c r="D53" t="str">
        <x:f>IF('Official Ranking v2'!B57="","",'Official Ranking v2'!B57)</x:f>
      </x:c>
      <x:c r="E53" t="str">
        <x:f>IF('Official Ranking v2'!B57="","",'Official Ranking v2'!C57)</x:f>
      </x:c>
      <x:c r="F53" t="str">
        <x:f>IF('Official Ranking v2'!B57="","",'Official Ranking v2'!D57)</x:f>
      </x:c>
      <x:c r="G53" t="str">
        <x:f>IF('Official Ranking v2'!B57="","",'Official Ranking v2'!E57)</x:f>
      </x:c>
      <x:c r="H53" s="303" t="str">
        <x:f>IF('Official Ranking v2'!B57="","",'Official Ranking v2'!F57)</x:f>
      </x:c>
      <x:c r="I53" s="226" t="str">
        <x:f>IF('Official Ranking v2'!B57="","",'Official Ranking v2'!S57)</x:f>
      </x:c>
      <x:c r="J53" t="str">
        <x:f>IF('Official Ranking v2'!B57="","",'Official Ranking v2'!T57)</x:f>
      </x:c>
      <x:c r="K53" t="str">
        <x:f>IF('Official Ranking v2'!B57="","",'Official Ranking v2'!W57)</x:f>
      </x:c>
      <x:c r="L53" t="str">
        <x:f>IF('Official Ranking v2'!B57="","",'Official Ranking v2'!X57)</x:f>
      </x:c>
      <x:c r="M53" t="str">
        <x:f>IF('Official Ranking v2'!B57="","",'Official Ranking v2'!V57)</x:f>
      </x:c>
      <x:c r="N53" s="226" t="str">
        <x:f>IF('Official Ranking v2'!B57="","",'Official Ranking v2'!P57)</x:f>
      </x:c>
    </x:row>
    <x:row r="54">
      <x:c r="A54" t="str">
        <x:f>'Player Report Index'!B57</x:f>
      </x:c>
      <x:c r="B54" t="n">
        <x:f>'Player Report Index'!J57</x:f>
        <x:v>0</x:v>
      </x:c>
      <x:c r="C54" t="str">
        <x:f>IF('Official Ranking v2'!B58="","",'Official Ranking v2'!A58)</x:f>
      </x:c>
      <x:c r="D54" t="str">
        <x:f>IF('Official Ranking v2'!B58="","",'Official Ranking v2'!B58)</x:f>
      </x:c>
      <x:c r="E54" t="str">
        <x:f>IF('Official Ranking v2'!B58="","",'Official Ranking v2'!C58)</x:f>
      </x:c>
      <x:c r="F54" t="str">
        <x:f>IF('Official Ranking v2'!B58="","",'Official Ranking v2'!D58)</x:f>
      </x:c>
      <x:c r="G54" t="str">
        <x:f>IF('Official Ranking v2'!B58="","",'Official Ranking v2'!E58)</x:f>
      </x:c>
      <x:c r="H54" s="303" t="str">
        <x:f>IF('Official Ranking v2'!B58="","",'Official Ranking v2'!F58)</x:f>
      </x:c>
      <x:c r="I54" s="226" t="str">
        <x:f>IF('Official Ranking v2'!B58="","",'Official Ranking v2'!S58)</x:f>
      </x:c>
      <x:c r="J54" t="str">
        <x:f>IF('Official Ranking v2'!B58="","",'Official Ranking v2'!T58)</x:f>
      </x:c>
      <x:c r="K54" t="str">
        <x:f>IF('Official Ranking v2'!B58="","",'Official Ranking v2'!W58)</x:f>
      </x:c>
      <x:c r="L54" t="str">
        <x:f>IF('Official Ranking v2'!B58="","",'Official Ranking v2'!X58)</x:f>
      </x:c>
      <x:c r="M54" t="str">
        <x:f>IF('Official Ranking v2'!B58="","",'Official Ranking v2'!V58)</x:f>
      </x:c>
      <x:c r="N54" s="226" t="str">
        <x:f>IF('Official Ranking v2'!B58="","",'Official Ranking v2'!P58)</x:f>
      </x:c>
    </x:row>
    <x:row r="55">
      <x:c r="A55" t="str">
        <x:f>'Player Report Index'!B58</x:f>
      </x:c>
      <x:c r="B55" t="n">
        <x:f>'Player Report Index'!J58</x:f>
        <x:v>0</x:v>
      </x:c>
      <x:c r="C55" t="str">
        <x:f>IF('Official Ranking v2'!B59="","",'Official Ranking v2'!A59)</x:f>
      </x:c>
      <x:c r="D55" t="str">
        <x:f>IF('Official Ranking v2'!B59="","",'Official Ranking v2'!B59)</x:f>
      </x:c>
      <x:c r="E55" t="str">
        <x:f>IF('Official Ranking v2'!B59="","",'Official Ranking v2'!C59)</x:f>
      </x:c>
      <x:c r="F55" t="str">
        <x:f>IF('Official Ranking v2'!B59="","",'Official Ranking v2'!D59)</x:f>
      </x:c>
      <x:c r="G55" t="str">
        <x:f>IF('Official Ranking v2'!B59="","",'Official Ranking v2'!E59)</x:f>
      </x:c>
      <x:c r="H55" s="303" t="str">
        <x:f>IF('Official Ranking v2'!B59="","",'Official Ranking v2'!F59)</x:f>
      </x:c>
      <x:c r="I55" s="226" t="str">
        <x:f>IF('Official Ranking v2'!B59="","",'Official Ranking v2'!S59)</x:f>
      </x:c>
      <x:c r="J55" t="str">
        <x:f>IF('Official Ranking v2'!B59="","",'Official Ranking v2'!T59)</x:f>
      </x:c>
      <x:c r="K55" t="str">
        <x:f>IF('Official Ranking v2'!B59="","",'Official Ranking v2'!W59)</x:f>
      </x:c>
      <x:c r="L55" t="str">
        <x:f>IF('Official Ranking v2'!B59="","",'Official Ranking v2'!X59)</x:f>
      </x:c>
      <x:c r="M55" t="str">
        <x:f>IF('Official Ranking v2'!B59="","",'Official Ranking v2'!V59)</x:f>
      </x:c>
      <x:c r="N55" s="226" t="str">
        <x:f>IF('Official Ranking v2'!B59="","",'Official Ranking v2'!P59)</x:f>
      </x:c>
    </x:row>
    <x:row r="56">
      <x:c r="A56" t="str">
        <x:f>'Player Report Index'!B59</x:f>
      </x:c>
      <x:c r="B56" t="n">
        <x:f>'Player Report Index'!J59</x:f>
        <x:v>0</x:v>
      </x:c>
      <x:c r="C56" t="str">
        <x:f>IF('Official Ranking v2'!B60="","",'Official Ranking v2'!A60)</x:f>
      </x:c>
      <x:c r="D56" t="str">
        <x:f>IF('Official Ranking v2'!B60="","",'Official Ranking v2'!B60)</x:f>
      </x:c>
      <x:c r="E56" t="str">
        <x:f>IF('Official Ranking v2'!B60="","",'Official Ranking v2'!C60)</x:f>
      </x:c>
      <x:c r="F56" t="str">
        <x:f>IF('Official Ranking v2'!B60="","",'Official Ranking v2'!D60)</x:f>
      </x:c>
      <x:c r="G56" t="str">
        <x:f>IF('Official Ranking v2'!B60="","",'Official Ranking v2'!E60)</x:f>
      </x:c>
      <x:c r="H56" s="303" t="str">
        <x:f>IF('Official Ranking v2'!B60="","",'Official Ranking v2'!F60)</x:f>
      </x:c>
      <x:c r="I56" s="226" t="str">
        <x:f>IF('Official Ranking v2'!B60="","",'Official Ranking v2'!S60)</x:f>
      </x:c>
      <x:c r="J56" t="str">
        <x:f>IF('Official Ranking v2'!B60="","",'Official Ranking v2'!T60)</x:f>
      </x:c>
      <x:c r="K56" t="str">
        <x:f>IF('Official Ranking v2'!B60="","",'Official Ranking v2'!W60)</x:f>
      </x:c>
      <x:c r="L56" t="str">
        <x:f>IF('Official Ranking v2'!B60="","",'Official Ranking v2'!X60)</x:f>
      </x:c>
      <x:c r="M56" t="str">
        <x:f>IF('Official Ranking v2'!B60="","",'Official Ranking v2'!V60)</x:f>
      </x:c>
      <x:c r="N56" s="226" t="str">
        <x:f>IF('Official Ranking v2'!B60="","",'Official Ranking v2'!P60)</x:f>
      </x:c>
    </x:row>
    <x:row r="57">
      <x:c r="A57" t="str">
        <x:f>'Player Report Index'!B60</x:f>
      </x:c>
      <x:c r="B57" t="n">
        <x:f>'Player Report Index'!J60</x:f>
        <x:v>0</x:v>
      </x:c>
      <x:c r="C57" t="str">
        <x:f>IF('Official Ranking v2'!B61="","",'Official Ranking v2'!A61)</x:f>
      </x:c>
      <x:c r="D57" t="str">
        <x:f>IF('Official Ranking v2'!B61="","",'Official Ranking v2'!B61)</x:f>
      </x:c>
      <x:c r="E57" t="str">
        <x:f>IF('Official Ranking v2'!B61="","",'Official Ranking v2'!C61)</x:f>
      </x:c>
      <x:c r="F57" t="str">
        <x:f>IF('Official Ranking v2'!B61="","",'Official Ranking v2'!D61)</x:f>
      </x:c>
      <x:c r="G57" t="str">
        <x:f>IF('Official Ranking v2'!B61="","",'Official Ranking v2'!E61)</x:f>
      </x:c>
      <x:c r="H57" s="303" t="str">
        <x:f>IF('Official Ranking v2'!B61="","",'Official Ranking v2'!F61)</x:f>
      </x:c>
      <x:c r="I57" s="226" t="str">
        <x:f>IF('Official Ranking v2'!B61="","",'Official Ranking v2'!S61)</x:f>
      </x:c>
      <x:c r="J57" t="str">
        <x:f>IF('Official Ranking v2'!B61="","",'Official Ranking v2'!T61)</x:f>
      </x:c>
      <x:c r="K57" t="str">
        <x:f>IF('Official Ranking v2'!B61="","",'Official Ranking v2'!W61)</x:f>
      </x:c>
      <x:c r="L57" t="str">
        <x:f>IF('Official Ranking v2'!B61="","",'Official Ranking v2'!X61)</x:f>
      </x:c>
      <x:c r="M57" t="str">
        <x:f>IF('Official Ranking v2'!B61="","",'Official Ranking v2'!V61)</x:f>
      </x:c>
      <x:c r="N57" s="226" t="str">
        <x:f>IF('Official Ranking v2'!B61="","",'Official Ranking v2'!P61)</x:f>
      </x:c>
    </x:row>
    <x:row r="58">
      <x:c r="A58" t="str">
        <x:f>'Player Report Index'!B61</x:f>
      </x:c>
      <x:c r="B58" t="n">
        <x:f>'Player Report Index'!J61</x:f>
        <x:v>0</x:v>
      </x:c>
      <x:c r="C58" t="str">
        <x:f>IF('Official Ranking v2'!B62="","",'Official Ranking v2'!A62)</x:f>
      </x:c>
      <x:c r="D58" t="str">
        <x:f>IF('Official Ranking v2'!B62="","",'Official Ranking v2'!B62)</x:f>
      </x:c>
      <x:c r="E58" t="str">
        <x:f>IF('Official Ranking v2'!B62="","",'Official Ranking v2'!C62)</x:f>
      </x:c>
      <x:c r="F58" t="str">
        <x:f>IF('Official Ranking v2'!B62="","",'Official Ranking v2'!D62)</x:f>
      </x:c>
      <x:c r="G58" t="str">
        <x:f>IF('Official Ranking v2'!B62="","",'Official Ranking v2'!E62)</x:f>
      </x:c>
      <x:c r="H58" s="303" t="str">
        <x:f>IF('Official Ranking v2'!B62="","",'Official Ranking v2'!F62)</x:f>
      </x:c>
      <x:c r="I58" s="226" t="str">
        <x:f>IF('Official Ranking v2'!B62="","",'Official Ranking v2'!S62)</x:f>
      </x:c>
      <x:c r="J58" t="str">
        <x:f>IF('Official Ranking v2'!B62="","",'Official Ranking v2'!T62)</x:f>
      </x:c>
      <x:c r="K58" t="str">
        <x:f>IF('Official Ranking v2'!B62="","",'Official Ranking v2'!W62)</x:f>
      </x:c>
      <x:c r="L58" t="str">
        <x:f>IF('Official Ranking v2'!B62="","",'Official Ranking v2'!X62)</x:f>
      </x:c>
      <x:c r="M58" t="str">
        <x:f>IF('Official Ranking v2'!B62="","",'Official Ranking v2'!V62)</x:f>
      </x:c>
      <x:c r="N58" s="226" t="str">
        <x:f>IF('Official Ranking v2'!B62="","",'Official Ranking v2'!P62)</x:f>
      </x:c>
    </x:row>
    <x:row r="59">
      <x:c r="A59" t="str">
        <x:f>'Player Report Index'!B62</x:f>
      </x:c>
      <x:c r="B59" t="n">
        <x:f>'Player Report Index'!J62</x:f>
        <x:v>0</x:v>
      </x:c>
      <x:c r="C59" t="str">
        <x:f>IF('Official Ranking v2'!B63="","",'Official Ranking v2'!A63)</x:f>
      </x:c>
      <x:c r="D59" t="str">
        <x:f>IF('Official Ranking v2'!B63="","",'Official Ranking v2'!B63)</x:f>
      </x:c>
      <x:c r="E59" t="str">
        <x:f>IF('Official Ranking v2'!B63="","",'Official Ranking v2'!C63)</x:f>
      </x:c>
      <x:c r="F59" t="str">
        <x:f>IF('Official Ranking v2'!B63="","",'Official Ranking v2'!D63)</x:f>
      </x:c>
      <x:c r="G59" t="str">
        <x:f>IF('Official Ranking v2'!B63="","",'Official Ranking v2'!E63)</x:f>
      </x:c>
      <x:c r="H59" s="303" t="str">
        <x:f>IF('Official Ranking v2'!B63="","",'Official Ranking v2'!F63)</x:f>
      </x:c>
      <x:c r="I59" s="226" t="str">
        <x:f>IF('Official Ranking v2'!B63="","",'Official Ranking v2'!S63)</x:f>
      </x:c>
      <x:c r="J59" t="str">
        <x:f>IF('Official Ranking v2'!B63="","",'Official Ranking v2'!T63)</x:f>
      </x:c>
      <x:c r="K59" t="str">
        <x:f>IF('Official Ranking v2'!B63="","",'Official Ranking v2'!W63)</x:f>
      </x:c>
      <x:c r="L59" t="str">
        <x:f>IF('Official Ranking v2'!B63="","",'Official Ranking v2'!X63)</x:f>
      </x:c>
      <x:c r="M59" t="str">
        <x:f>IF('Official Ranking v2'!B63="","",'Official Ranking v2'!V63)</x:f>
      </x:c>
      <x:c r="N59" s="226" t="str">
        <x:f>IF('Official Ranking v2'!B63="","",'Official Ranking v2'!P63)</x:f>
      </x:c>
    </x:row>
    <x:row r="60">
      <x:c r="A60" t="str">
        <x:f>'Player Report Index'!B63</x:f>
      </x:c>
      <x:c r="B60" t="n">
        <x:f>'Player Report Index'!J63</x:f>
        <x:v>0</x:v>
      </x:c>
      <x:c r="C60" t="str">
        <x:f>IF('Official Ranking v2'!B64="","",'Official Ranking v2'!A64)</x:f>
      </x:c>
      <x:c r="D60" t="str">
        <x:f>IF('Official Ranking v2'!B64="","",'Official Ranking v2'!B64)</x:f>
      </x:c>
      <x:c r="E60" t="str">
        <x:f>IF('Official Ranking v2'!B64="","",'Official Ranking v2'!C64)</x:f>
      </x:c>
      <x:c r="F60" t="str">
        <x:f>IF('Official Ranking v2'!B64="","",'Official Ranking v2'!D64)</x:f>
      </x:c>
      <x:c r="G60" t="str">
        <x:f>IF('Official Ranking v2'!B64="","",'Official Ranking v2'!E64)</x:f>
      </x:c>
      <x:c r="H60" s="303" t="str">
        <x:f>IF('Official Ranking v2'!B64="","",'Official Ranking v2'!F64)</x:f>
      </x:c>
      <x:c r="I60" s="226" t="str">
        <x:f>IF('Official Ranking v2'!B64="","",'Official Ranking v2'!S64)</x:f>
      </x:c>
      <x:c r="J60" t="str">
        <x:f>IF('Official Ranking v2'!B64="","",'Official Ranking v2'!T64)</x:f>
      </x:c>
      <x:c r="K60" t="str">
        <x:f>IF('Official Ranking v2'!B64="","",'Official Ranking v2'!W64)</x:f>
      </x:c>
      <x:c r="L60" t="str">
        <x:f>IF('Official Ranking v2'!B64="","",'Official Ranking v2'!X64)</x:f>
      </x:c>
      <x:c r="M60" t="str">
        <x:f>IF('Official Ranking v2'!B64="","",'Official Ranking v2'!V64)</x:f>
      </x:c>
      <x:c r="N60" s="226" t="str">
        <x:f>IF('Official Ranking v2'!B64="","",'Official Ranking v2'!P64)</x:f>
      </x:c>
    </x:row>
    <x:row r="61">
      <x:c r="A61" t="str">
        <x:f>'Player Report Index'!B64</x:f>
      </x:c>
      <x:c r="B61" t="n">
        <x:f>'Player Report Index'!J64</x:f>
        <x:v>0</x:v>
      </x:c>
      <x:c r="C61" t="str">
        <x:f>IF('Official Ranking v2'!B65="","",'Official Ranking v2'!A65)</x:f>
      </x:c>
      <x:c r="D61" t="str">
        <x:f>IF('Official Ranking v2'!B65="","",'Official Ranking v2'!B65)</x:f>
      </x:c>
      <x:c r="E61" t="str">
        <x:f>IF('Official Ranking v2'!B65="","",'Official Ranking v2'!C65)</x:f>
      </x:c>
      <x:c r="F61" t="str">
        <x:f>IF('Official Ranking v2'!B65="","",'Official Ranking v2'!D65)</x:f>
      </x:c>
      <x:c r="G61" t="str">
        <x:f>IF('Official Ranking v2'!B65="","",'Official Ranking v2'!E65)</x:f>
      </x:c>
      <x:c r="H61" s="303" t="str">
        <x:f>IF('Official Ranking v2'!B65="","",'Official Ranking v2'!F65)</x:f>
      </x:c>
      <x:c r="I61" s="226" t="str">
        <x:f>IF('Official Ranking v2'!B65="","",'Official Ranking v2'!S65)</x:f>
      </x:c>
      <x:c r="J61" t="str">
        <x:f>IF('Official Ranking v2'!B65="","",'Official Ranking v2'!T65)</x:f>
      </x:c>
      <x:c r="K61" t="str">
        <x:f>IF('Official Ranking v2'!B65="","",'Official Ranking v2'!W65)</x:f>
      </x:c>
      <x:c r="L61" t="str">
        <x:f>IF('Official Ranking v2'!B65="","",'Official Ranking v2'!X65)</x:f>
      </x:c>
      <x:c r="M61" t="str">
        <x:f>IF('Official Ranking v2'!B65="","",'Official Ranking v2'!V65)</x:f>
      </x:c>
      <x:c r="N61" s="226" t="str">
        <x:f>IF('Official Ranking v2'!B65="","",'Official Ranking v2'!P65)</x:f>
      </x:c>
    </x:row>
    <x:row r="62">
      <x:c r="A62" t="str">
        <x:f>'Player Report Index'!B65</x:f>
      </x:c>
      <x:c r="B62" t="n">
        <x:f>'Player Report Index'!J65</x:f>
        <x:v>0</x:v>
      </x:c>
      <x:c r="C62" t="str">
        <x:f>IF('Official Ranking v2'!B66="","",'Official Ranking v2'!A66)</x:f>
      </x:c>
      <x:c r="D62" t="str">
        <x:f>IF('Official Ranking v2'!B66="","",'Official Ranking v2'!B66)</x:f>
      </x:c>
      <x:c r="E62" t="str">
        <x:f>IF('Official Ranking v2'!B66="","",'Official Ranking v2'!C66)</x:f>
      </x:c>
      <x:c r="F62" t="str">
        <x:f>IF('Official Ranking v2'!B66="","",'Official Ranking v2'!D66)</x:f>
      </x:c>
      <x:c r="G62" t="str">
        <x:f>IF('Official Ranking v2'!B66="","",'Official Ranking v2'!E66)</x:f>
      </x:c>
      <x:c r="H62" s="303" t="str">
        <x:f>IF('Official Ranking v2'!B66="","",'Official Ranking v2'!F66)</x:f>
      </x:c>
      <x:c r="I62" s="226" t="str">
        <x:f>IF('Official Ranking v2'!B66="","",'Official Ranking v2'!S66)</x:f>
      </x:c>
      <x:c r="J62" t="str">
        <x:f>IF('Official Ranking v2'!B66="","",'Official Ranking v2'!T66)</x:f>
      </x:c>
      <x:c r="K62" t="str">
        <x:f>IF('Official Ranking v2'!B66="","",'Official Ranking v2'!W66)</x:f>
      </x:c>
      <x:c r="L62" t="str">
        <x:f>IF('Official Ranking v2'!B66="","",'Official Ranking v2'!X66)</x:f>
      </x:c>
      <x:c r="M62" t="str">
        <x:f>IF('Official Ranking v2'!B66="","",'Official Ranking v2'!V66)</x:f>
      </x:c>
      <x:c r="N62" s="226" t="str">
        <x:f>IF('Official Ranking v2'!B66="","",'Official Ranking v2'!P66)</x:f>
      </x:c>
    </x:row>
    <x:row r="63">
      <x:c r="A63" t="str">
        <x:f>'Player Report Index'!B66</x:f>
      </x:c>
      <x:c r="B63" t="n">
        <x:f>'Player Report Index'!J66</x:f>
        <x:v>0</x:v>
      </x:c>
      <x:c r="C63" t="str">
        <x:f>IF('Official Ranking v2'!B67="","",'Official Ranking v2'!A67)</x:f>
      </x:c>
      <x:c r="D63" t="str">
        <x:f>IF('Official Ranking v2'!B67="","",'Official Ranking v2'!B67)</x:f>
      </x:c>
      <x:c r="E63" t="str">
        <x:f>IF('Official Ranking v2'!B67="","",'Official Ranking v2'!C67)</x:f>
      </x:c>
      <x:c r="F63" t="str">
        <x:f>IF('Official Ranking v2'!B67="","",'Official Ranking v2'!D67)</x:f>
      </x:c>
      <x:c r="G63" t="str">
        <x:f>IF('Official Ranking v2'!B67="","",'Official Ranking v2'!E67)</x:f>
      </x:c>
      <x:c r="H63" s="303" t="str">
        <x:f>IF('Official Ranking v2'!B67="","",'Official Ranking v2'!F67)</x:f>
      </x:c>
      <x:c r="I63" s="226" t="str">
        <x:f>IF('Official Ranking v2'!B67="","",'Official Ranking v2'!S67)</x:f>
      </x:c>
      <x:c r="J63" t="str">
        <x:f>IF('Official Ranking v2'!B67="","",'Official Ranking v2'!T67)</x:f>
      </x:c>
      <x:c r="K63" t="str">
        <x:f>IF('Official Ranking v2'!B67="","",'Official Ranking v2'!W67)</x:f>
      </x:c>
      <x:c r="L63" t="str">
        <x:f>IF('Official Ranking v2'!B67="","",'Official Ranking v2'!X67)</x:f>
      </x:c>
      <x:c r="M63" t="str">
        <x:f>IF('Official Ranking v2'!B67="","",'Official Ranking v2'!V67)</x:f>
      </x:c>
      <x:c r="N63" s="226" t="str">
        <x:f>IF('Official Ranking v2'!B67="","",'Official Ranking v2'!P67)</x:f>
      </x:c>
    </x:row>
    <x:row r="64">
      <x:c r="A64" t="str">
        <x:f>'Player Report Index'!B67</x:f>
      </x:c>
      <x:c r="B64" t="n">
        <x:f>'Player Report Index'!J67</x:f>
        <x:v>0</x:v>
      </x:c>
      <x:c r="C64" t="str">
        <x:f>IF('Official Ranking v2'!B68="","",'Official Ranking v2'!A68)</x:f>
      </x:c>
      <x:c r="D64" t="str">
        <x:f>IF('Official Ranking v2'!B68="","",'Official Ranking v2'!B68)</x:f>
      </x:c>
      <x:c r="E64" t="str">
        <x:f>IF('Official Ranking v2'!B68="","",'Official Ranking v2'!C68)</x:f>
      </x:c>
      <x:c r="F64" t="str">
        <x:f>IF('Official Ranking v2'!B68="","",'Official Ranking v2'!D68)</x:f>
      </x:c>
      <x:c r="G64" t="str">
        <x:f>IF('Official Ranking v2'!B68="","",'Official Ranking v2'!E68)</x:f>
      </x:c>
      <x:c r="H64" s="303" t="str">
        <x:f>IF('Official Ranking v2'!B68="","",'Official Ranking v2'!F68)</x:f>
      </x:c>
      <x:c r="I64" s="226" t="str">
        <x:f>IF('Official Ranking v2'!B68="","",'Official Ranking v2'!S68)</x:f>
      </x:c>
      <x:c r="J64" t="str">
        <x:f>IF('Official Ranking v2'!B68="","",'Official Ranking v2'!T68)</x:f>
      </x:c>
      <x:c r="K64" t="str">
        <x:f>IF('Official Ranking v2'!B68="","",'Official Ranking v2'!W68)</x:f>
      </x:c>
      <x:c r="L64" t="str">
        <x:f>IF('Official Ranking v2'!B68="","",'Official Ranking v2'!X68)</x:f>
      </x:c>
      <x:c r="M64" t="str">
        <x:f>IF('Official Ranking v2'!B68="","",'Official Ranking v2'!V68)</x:f>
      </x:c>
      <x:c r="N64" s="226" t="str">
        <x:f>IF('Official Ranking v2'!B68="","",'Official Ranking v2'!P68)</x:f>
      </x:c>
    </x:row>
    <x:row r="65">
      <x:c r="A65" t="str">
        <x:f>'Player Report Index'!B68</x:f>
      </x:c>
      <x:c r="B65" t="n">
        <x:f>'Player Report Index'!J68</x:f>
        <x:v>0</x:v>
      </x:c>
      <x:c r="C65" t="str">
        <x:f>IF('Official Ranking v2'!B69="","",'Official Ranking v2'!A69)</x:f>
      </x:c>
      <x:c r="D65" t="str">
        <x:f>IF('Official Ranking v2'!B69="","",'Official Ranking v2'!B69)</x:f>
      </x:c>
      <x:c r="E65" t="str">
        <x:f>IF('Official Ranking v2'!B69="","",'Official Ranking v2'!C69)</x:f>
      </x:c>
      <x:c r="F65" t="str">
        <x:f>IF('Official Ranking v2'!B69="","",'Official Ranking v2'!D69)</x:f>
      </x:c>
      <x:c r="G65" t="str">
        <x:f>IF('Official Ranking v2'!B69="","",'Official Ranking v2'!E69)</x:f>
      </x:c>
      <x:c r="H65" s="303" t="str">
        <x:f>IF('Official Ranking v2'!B69="","",'Official Ranking v2'!F69)</x:f>
      </x:c>
      <x:c r="I65" s="226" t="str">
        <x:f>IF('Official Ranking v2'!B69="","",'Official Ranking v2'!S69)</x:f>
      </x:c>
      <x:c r="J65" t="str">
        <x:f>IF('Official Ranking v2'!B69="","",'Official Ranking v2'!T69)</x:f>
      </x:c>
      <x:c r="K65" t="str">
        <x:f>IF('Official Ranking v2'!B69="","",'Official Ranking v2'!W69)</x:f>
      </x:c>
      <x:c r="L65" t="str">
        <x:f>IF('Official Ranking v2'!B69="","",'Official Ranking v2'!X69)</x:f>
      </x:c>
      <x:c r="M65" t="str">
        <x:f>IF('Official Ranking v2'!B69="","",'Official Ranking v2'!V69)</x:f>
      </x:c>
      <x:c r="N65" s="226" t="str">
        <x:f>IF('Official Ranking v2'!B69="","",'Official Ranking v2'!P69)</x:f>
      </x:c>
    </x:row>
    <x:row r="66">
      <x:c r="A66" t="str">
        <x:f>'Player Report Index'!B69</x:f>
      </x:c>
      <x:c r="B66" t="n">
        <x:f>'Player Report Index'!J69</x:f>
        <x:v>0</x:v>
      </x:c>
      <x:c r="C66" t="str">
        <x:f>IF('Official Ranking v2'!B70="","",'Official Ranking v2'!A70)</x:f>
      </x:c>
      <x:c r="D66" t="str">
        <x:f>IF('Official Ranking v2'!B70="","",'Official Ranking v2'!B70)</x:f>
      </x:c>
      <x:c r="E66" t="str">
        <x:f>IF('Official Ranking v2'!B70="","",'Official Ranking v2'!C70)</x:f>
      </x:c>
      <x:c r="F66" t="str">
        <x:f>IF('Official Ranking v2'!B70="","",'Official Ranking v2'!D70)</x:f>
      </x:c>
      <x:c r="G66" t="str">
        <x:f>IF('Official Ranking v2'!B70="","",'Official Ranking v2'!E70)</x:f>
      </x:c>
      <x:c r="H66" s="303" t="str">
        <x:f>IF('Official Ranking v2'!B70="","",'Official Ranking v2'!F70)</x:f>
      </x:c>
      <x:c r="I66" s="226" t="str">
        <x:f>IF('Official Ranking v2'!B70="","",'Official Ranking v2'!S70)</x:f>
      </x:c>
      <x:c r="J66" t="str">
        <x:f>IF('Official Ranking v2'!B70="","",'Official Ranking v2'!T70)</x:f>
      </x:c>
      <x:c r="K66" t="str">
        <x:f>IF('Official Ranking v2'!B70="","",'Official Ranking v2'!W70)</x:f>
      </x:c>
      <x:c r="L66" t="str">
        <x:f>IF('Official Ranking v2'!B70="","",'Official Ranking v2'!X70)</x:f>
      </x:c>
      <x:c r="M66" t="str">
        <x:f>IF('Official Ranking v2'!B70="","",'Official Ranking v2'!V70)</x:f>
      </x:c>
      <x:c r="N66" s="226" t="str">
        <x:f>IF('Official Ranking v2'!B70="","",'Official Ranking v2'!P70)</x:f>
      </x:c>
    </x:row>
    <x:row r="67">
      <x:c r="A67" t="str">
        <x:f>'Player Report Index'!B70</x:f>
      </x:c>
      <x:c r="B67" t="n">
        <x:f>'Player Report Index'!J70</x:f>
        <x:v>0</x:v>
      </x:c>
      <x:c r="C67" t="str">
        <x:f>IF('Official Ranking v2'!B71="","",'Official Ranking v2'!A71)</x:f>
      </x:c>
      <x:c r="D67" t="str">
        <x:f>IF('Official Ranking v2'!B71="","",'Official Ranking v2'!B71)</x:f>
      </x:c>
      <x:c r="E67" t="str">
        <x:f>IF('Official Ranking v2'!B71="","",'Official Ranking v2'!C71)</x:f>
      </x:c>
      <x:c r="F67" t="str">
        <x:f>IF('Official Ranking v2'!B71="","",'Official Ranking v2'!D71)</x:f>
      </x:c>
      <x:c r="G67" t="str">
        <x:f>IF('Official Ranking v2'!B71="","",'Official Ranking v2'!E71)</x:f>
      </x:c>
      <x:c r="H67" s="303" t="str">
        <x:f>IF('Official Ranking v2'!B71="","",'Official Ranking v2'!F71)</x:f>
      </x:c>
      <x:c r="I67" s="226" t="str">
        <x:f>IF('Official Ranking v2'!B71="","",'Official Ranking v2'!S71)</x:f>
      </x:c>
      <x:c r="J67" t="str">
        <x:f>IF('Official Ranking v2'!B71="","",'Official Ranking v2'!T71)</x:f>
      </x:c>
      <x:c r="K67" t="str">
        <x:f>IF('Official Ranking v2'!B71="","",'Official Ranking v2'!W71)</x:f>
      </x:c>
      <x:c r="L67" t="str">
        <x:f>IF('Official Ranking v2'!B71="","",'Official Ranking v2'!X71)</x:f>
      </x:c>
      <x:c r="M67" t="str">
        <x:f>IF('Official Ranking v2'!B71="","",'Official Ranking v2'!V71)</x:f>
      </x:c>
      <x:c r="N67" s="226" t="str">
        <x:f>IF('Official Ranking v2'!B71="","",'Official Ranking v2'!P71)</x:f>
      </x:c>
    </x:row>
    <x:row r="68">
      <x:c r="A68" t="str">
        <x:f>'Player Report Index'!B71</x:f>
      </x:c>
      <x:c r="B68" t="n">
        <x:f>'Player Report Index'!J71</x:f>
        <x:v>0</x:v>
      </x:c>
      <x:c r="C68" t="str">
        <x:f>IF('Official Ranking v2'!B72="","",'Official Ranking v2'!A72)</x:f>
      </x:c>
      <x:c r="D68" t="str">
        <x:f>IF('Official Ranking v2'!B72="","",'Official Ranking v2'!B72)</x:f>
      </x:c>
      <x:c r="E68" t="str">
        <x:f>IF('Official Ranking v2'!B72="","",'Official Ranking v2'!C72)</x:f>
      </x:c>
      <x:c r="F68" t="str">
        <x:f>IF('Official Ranking v2'!B72="","",'Official Ranking v2'!D72)</x:f>
      </x:c>
      <x:c r="G68" t="str">
        <x:f>IF('Official Ranking v2'!B72="","",'Official Ranking v2'!E72)</x:f>
      </x:c>
      <x:c r="H68" s="303" t="str">
        <x:f>IF('Official Ranking v2'!B72="","",'Official Ranking v2'!F72)</x:f>
      </x:c>
      <x:c r="I68" s="226" t="str">
        <x:f>IF('Official Ranking v2'!B72="","",'Official Ranking v2'!S72)</x:f>
      </x:c>
      <x:c r="J68" t="str">
        <x:f>IF('Official Ranking v2'!B72="","",'Official Ranking v2'!T72)</x:f>
      </x:c>
      <x:c r="K68" t="str">
        <x:f>IF('Official Ranking v2'!B72="","",'Official Ranking v2'!W72)</x:f>
      </x:c>
      <x:c r="L68" t="str">
        <x:f>IF('Official Ranking v2'!B72="","",'Official Ranking v2'!X72)</x:f>
      </x:c>
      <x:c r="M68" t="str">
        <x:f>IF('Official Ranking v2'!B72="","",'Official Ranking v2'!V72)</x:f>
      </x:c>
      <x:c r="N68" s="226" t="str">
        <x:f>IF('Official Ranking v2'!B72="","",'Official Ranking v2'!P72)</x:f>
      </x:c>
    </x:row>
    <x:row r="69">
      <x:c r="A69" t="str">
        <x:f>'Player Report Index'!B72</x:f>
      </x:c>
      <x:c r="B69" t="n">
        <x:f>'Player Report Index'!J72</x:f>
        <x:v>0</x:v>
      </x:c>
      <x:c r="C69" t="str">
        <x:f>IF('Official Ranking v2'!B73="","",'Official Ranking v2'!A73)</x:f>
      </x:c>
      <x:c r="D69" t="str">
        <x:f>IF('Official Ranking v2'!B73="","",'Official Ranking v2'!B73)</x:f>
      </x:c>
      <x:c r="E69" t="str">
        <x:f>IF('Official Ranking v2'!B73="","",'Official Ranking v2'!C73)</x:f>
      </x:c>
      <x:c r="F69" t="str">
        <x:f>IF('Official Ranking v2'!B73="","",'Official Ranking v2'!D73)</x:f>
      </x:c>
      <x:c r="G69" t="str">
        <x:f>IF('Official Ranking v2'!B73="","",'Official Ranking v2'!E73)</x:f>
      </x:c>
      <x:c r="H69" s="303" t="str">
        <x:f>IF('Official Ranking v2'!B73="","",'Official Ranking v2'!F73)</x:f>
      </x:c>
      <x:c r="I69" s="226" t="str">
        <x:f>IF('Official Ranking v2'!B73="","",'Official Ranking v2'!S73)</x:f>
      </x:c>
      <x:c r="J69" t="str">
        <x:f>IF('Official Ranking v2'!B73="","",'Official Ranking v2'!T73)</x:f>
      </x:c>
      <x:c r="K69" t="str">
        <x:f>IF('Official Ranking v2'!B73="","",'Official Ranking v2'!W73)</x:f>
      </x:c>
      <x:c r="L69" t="str">
        <x:f>IF('Official Ranking v2'!B73="","",'Official Ranking v2'!X73)</x:f>
      </x:c>
      <x:c r="M69" t="str">
        <x:f>IF('Official Ranking v2'!B73="","",'Official Ranking v2'!V73)</x:f>
      </x:c>
      <x:c r="N69" s="226" t="str">
        <x:f>IF('Official Ranking v2'!B73="","",'Official Ranking v2'!P73)</x:f>
      </x:c>
    </x:row>
    <x:row r="70">
      <x:c r="A70" t="str">
        <x:f>'Player Report Index'!B73</x:f>
      </x:c>
      <x:c r="B70" t="n">
        <x:f>'Player Report Index'!J73</x:f>
        <x:v>0</x:v>
      </x:c>
      <x:c r="C70" t="str">
        <x:f>IF('Official Ranking v2'!B74="","",'Official Ranking v2'!A74)</x:f>
      </x:c>
      <x:c r="D70" t="str">
        <x:f>IF('Official Ranking v2'!B74="","",'Official Ranking v2'!B74)</x:f>
      </x:c>
      <x:c r="E70" t="str">
        <x:f>IF('Official Ranking v2'!B74="","",'Official Ranking v2'!C74)</x:f>
      </x:c>
      <x:c r="F70" t="str">
        <x:f>IF('Official Ranking v2'!B74="","",'Official Ranking v2'!D74)</x:f>
      </x:c>
      <x:c r="G70" t="str">
        <x:f>IF('Official Ranking v2'!B74="","",'Official Ranking v2'!E74)</x:f>
      </x:c>
      <x:c r="H70" s="303" t="str">
        <x:f>IF('Official Ranking v2'!B74="","",'Official Ranking v2'!F74)</x:f>
      </x:c>
      <x:c r="I70" s="226" t="str">
        <x:f>IF('Official Ranking v2'!B74="","",'Official Ranking v2'!S74)</x:f>
      </x:c>
      <x:c r="J70" t="str">
        <x:f>IF('Official Ranking v2'!B74="","",'Official Ranking v2'!T74)</x:f>
      </x:c>
      <x:c r="K70" t="str">
        <x:f>IF('Official Ranking v2'!B74="","",'Official Ranking v2'!W74)</x:f>
      </x:c>
      <x:c r="L70" t="str">
        <x:f>IF('Official Ranking v2'!B74="","",'Official Ranking v2'!X74)</x:f>
      </x:c>
      <x:c r="M70" t="str">
        <x:f>IF('Official Ranking v2'!B74="","",'Official Ranking v2'!V74)</x:f>
      </x:c>
      <x:c r="N70" s="226" t="str">
        <x:f>IF('Official Ranking v2'!B74="","",'Official Ranking v2'!P74)</x:f>
      </x:c>
    </x:row>
    <x:row r="71">
      <x:c r="A71" t="str">
        <x:f>'Player Report Index'!B74</x:f>
      </x:c>
      <x:c r="B71" t="n">
        <x:f>'Player Report Index'!J74</x:f>
        <x:v>0</x:v>
      </x:c>
      <x:c r="C71" t="str">
        <x:f>IF('Official Ranking v2'!B75="","",'Official Ranking v2'!A75)</x:f>
      </x:c>
      <x:c r="D71" t="str">
        <x:f>IF('Official Ranking v2'!B75="","",'Official Ranking v2'!B75)</x:f>
      </x:c>
      <x:c r="E71" t="str">
        <x:f>IF('Official Ranking v2'!B75="","",'Official Ranking v2'!C75)</x:f>
      </x:c>
      <x:c r="F71" t="str">
        <x:f>IF('Official Ranking v2'!B75="","",'Official Ranking v2'!D75)</x:f>
      </x:c>
      <x:c r="G71" t="str">
        <x:f>IF('Official Ranking v2'!B75="","",'Official Ranking v2'!E75)</x:f>
      </x:c>
      <x:c r="H71" s="303" t="str">
        <x:f>IF('Official Ranking v2'!B75="","",'Official Ranking v2'!F75)</x:f>
      </x:c>
      <x:c r="I71" s="226" t="str">
        <x:f>IF('Official Ranking v2'!B75="","",'Official Ranking v2'!S75)</x:f>
      </x:c>
      <x:c r="J71" t="str">
        <x:f>IF('Official Ranking v2'!B75="","",'Official Ranking v2'!T75)</x:f>
      </x:c>
      <x:c r="K71" t="str">
        <x:f>IF('Official Ranking v2'!B75="","",'Official Ranking v2'!W75)</x:f>
      </x:c>
      <x:c r="L71" t="str">
        <x:f>IF('Official Ranking v2'!B75="","",'Official Ranking v2'!X75)</x:f>
      </x:c>
      <x:c r="M71" t="str">
        <x:f>IF('Official Ranking v2'!B75="","",'Official Ranking v2'!V75)</x:f>
      </x:c>
      <x:c r="N71" s="226" t="str">
        <x:f>IF('Official Ranking v2'!B75="","",'Official Ranking v2'!P75)</x:f>
      </x:c>
    </x:row>
    <x:row r="72">
      <x:c r="A72" t="str">
        <x:f>'Player Report Index'!B75</x:f>
      </x:c>
      <x:c r="B72" t="n">
        <x:f>'Player Report Index'!J75</x:f>
        <x:v>0</x:v>
      </x:c>
      <x:c r="C72" t="str">
        <x:f>IF('Official Ranking v2'!B76="","",'Official Ranking v2'!A76)</x:f>
      </x:c>
      <x:c r="D72" t="str">
        <x:f>IF('Official Ranking v2'!B76="","",'Official Ranking v2'!B76)</x:f>
      </x:c>
      <x:c r="E72" t="str">
        <x:f>IF('Official Ranking v2'!B76="","",'Official Ranking v2'!C76)</x:f>
      </x:c>
      <x:c r="F72" t="str">
        <x:f>IF('Official Ranking v2'!B76="","",'Official Ranking v2'!D76)</x:f>
      </x:c>
      <x:c r="G72" t="str">
        <x:f>IF('Official Ranking v2'!B76="","",'Official Ranking v2'!E76)</x:f>
      </x:c>
      <x:c r="H72" s="303" t="str">
        <x:f>IF('Official Ranking v2'!B76="","",'Official Ranking v2'!F76)</x:f>
      </x:c>
      <x:c r="I72" s="226" t="str">
        <x:f>IF('Official Ranking v2'!B76="","",'Official Ranking v2'!S76)</x:f>
      </x:c>
      <x:c r="J72" t="str">
        <x:f>IF('Official Ranking v2'!B76="","",'Official Ranking v2'!T76)</x:f>
      </x:c>
      <x:c r="K72" t="str">
        <x:f>IF('Official Ranking v2'!B76="","",'Official Ranking v2'!W76)</x:f>
      </x:c>
      <x:c r="L72" t="str">
        <x:f>IF('Official Ranking v2'!B76="","",'Official Ranking v2'!X76)</x:f>
      </x:c>
      <x:c r="M72" t="str">
        <x:f>IF('Official Ranking v2'!B76="","",'Official Ranking v2'!V76)</x:f>
      </x:c>
      <x:c r="N72" s="226" t="str">
        <x:f>IF('Official Ranking v2'!B76="","",'Official Ranking v2'!P76)</x:f>
      </x:c>
    </x:row>
    <x:row r="73">
      <x:c r="A73" t="str">
        <x:f>'Player Report Index'!B76</x:f>
      </x:c>
      <x:c r="B73" t="n">
        <x:f>'Player Report Index'!J76</x:f>
        <x:v>0</x:v>
      </x:c>
      <x:c r="C73" t="str">
        <x:f>IF('Official Ranking v2'!B77="","",'Official Ranking v2'!A77)</x:f>
      </x:c>
      <x:c r="D73" t="str">
        <x:f>IF('Official Ranking v2'!B77="","",'Official Ranking v2'!B77)</x:f>
      </x:c>
      <x:c r="E73" t="str">
        <x:f>IF('Official Ranking v2'!B77="","",'Official Ranking v2'!C77)</x:f>
      </x:c>
      <x:c r="F73" t="str">
        <x:f>IF('Official Ranking v2'!B77="","",'Official Ranking v2'!D77)</x:f>
      </x:c>
      <x:c r="G73" t="str">
        <x:f>IF('Official Ranking v2'!B77="","",'Official Ranking v2'!E77)</x:f>
      </x:c>
      <x:c r="H73" s="303" t="str">
        <x:f>IF('Official Ranking v2'!B77="","",'Official Ranking v2'!F77)</x:f>
      </x:c>
      <x:c r="I73" s="226" t="str">
        <x:f>IF('Official Ranking v2'!B77="","",'Official Ranking v2'!S77)</x:f>
      </x:c>
      <x:c r="J73" t="str">
        <x:f>IF('Official Ranking v2'!B77="","",'Official Ranking v2'!T77)</x:f>
      </x:c>
      <x:c r="K73" t="str">
        <x:f>IF('Official Ranking v2'!B77="","",'Official Ranking v2'!W77)</x:f>
      </x:c>
      <x:c r="L73" t="str">
        <x:f>IF('Official Ranking v2'!B77="","",'Official Ranking v2'!X77)</x:f>
      </x:c>
      <x:c r="M73" t="str">
        <x:f>IF('Official Ranking v2'!B77="","",'Official Ranking v2'!V77)</x:f>
      </x:c>
      <x:c r="N73" s="226" t="str">
        <x:f>IF('Official Ranking v2'!B77="","",'Official Ranking v2'!P77)</x:f>
      </x:c>
    </x:row>
    <x:row r="74">
      <x:c r="A74" t="str">
        <x:f>'Player Report Index'!B77</x:f>
      </x:c>
      <x:c r="B74" t="n">
        <x:f>'Player Report Index'!J77</x:f>
        <x:v>0</x:v>
      </x:c>
      <x:c r="C74" t="str">
        <x:f>IF('Official Ranking v2'!B78="","",'Official Ranking v2'!A78)</x:f>
      </x:c>
      <x:c r="D74" t="str">
        <x:f>IF('Official Ranking v2'!B78="","",'Official Ranking v2'!B78)</x:f>
      </x:c>
      <x:c r="E74" t="str">
        <x:f>IF('Official Ranking v2'!B78="","",'Official Ranking v2'!C78)</x:f>
      </x:c>
      <x:c r="F74" t="str">
        <x:f>IF('Official Ranking v2'!B78="","",'Official Ranking v2'!D78)</x:f>
      </x:c>
      <x:c r="G74" t="str">
        <x:f>IF('Official Ranking v2'!B78="","",'Official Ranking v2'!E78)</x:f>
      </x:c>
      <x:c r="H74" s="303" t="str">
        <x:f>IF('Official Ranking v2'!B78="","",'Official Ranking v2'!F78)</x:f>
      </x:c>
      <x:c r="I74" s="226" t="str">
        <x:f>IF('Official Ranking v2'!B78="","",'Official Ranking v2'!S78)</x:f>
      </x:c>
      <x:c r="J74" t="str">
        <x:f>IF('Official Ranking v2'!B78="","",'Official Ranking v2'!T78)</x:f>
      </x:c>
      <x:c r="K74" t="str">
        <x:f>IF('Official Ranking v2'!B78="","",'Official Ranking v2'!W78)</x:f>
      </x:c>
      <x:c r="L74" t="str">
        <x:f>IF('Official Ranking v2'!B78="","",'Official Ranking v2'!X78)</x:f>
      </x:c>
      <x:c r="M74" t="str">
        <x:f>IF('Official Ranking v2'!B78="","",'Official Ranking v2'!V78)</x:f>
      </x:c>
      <x:c r="N74" s="226" t="str">
        <x:f>IF('Official Ranking v2'!B78="","",'Official Ranking v2'!P78)</x:f>
      </x:c>
    </x:row>
    <x:row r="75">
      <x:c r="A75" t="str">
        <x:f>'Player Report Index'!B78</x:f>
      </x:c>
      <x:c r="B75" t="n">
        <x:f>'Player Report Index'!J78</x:f>
        <x:v>0</x:v>
      </x:c>
      <x:c r="C75" t="str">
        <x:f>IF('Official Ranking v2'!B79="","",'Official Ranking v2'!A79)</x:f>
      </x:c>
      <x:c r="D75" t="str">
        <x:f>IF('Official Ranking v2'!B79="","",'Official Ranking v2'!B79)</x:f>
      </x:c>
      <x:c r="E75" t="str">
        <x:f>IF('Official Ranking v2'!B79="","",'Official Ranking v2'!C79)</x:f>
      </x:c>
      <x:c r="F75" t="str">
        <x:f>IF('Official Ranking v2'!B79="","",'Official Ranking v2'!D79)</x:f>
      </x:c>
      <x:c r="G75" t="str">
        <x:f>IF('Official Ranking v2'!B79="","",'Official Ranking v2'!E79)</x:f>
      </x:c>
      <x:c r="H75" s="303" t="str">
        <x:f>IF('Official Ranking v2'!B79="","",'Official Ranking v2'!F79)</x:f>
      </x:c>
      <x:c r="I75" s="226" t="str">
        <x:f>IF('Official Ranking v2'!B79="","",'Official Ranking v2'!S79)</x:f>
      </x:c>
      <x:c r="J75" t="str">
        <x:f>IF('Official Ranking v2'!B79="","",'Official Ranking v2'!T79)</x:f>
      </x:c>
      <x:c r="K75" t="str">
        <x:f>IF('Official Ranking v2'!B79="","",'Official Ranking v2'!W79)</x:f>
      </x:c>
      <x:c r="L75" t="str">
        <x:f>IF('Official Ranking v2'!B79="","",'Official Ranking v2'!X79)</x:f>
      </x:c>
      <x:c r="M75" t="str">
        <x:f>IF('Official Ranking v2'!B79="","",'Official Ranking v2'!V79)</x:f>
      </x:c>
      <x:c r="N75" s="226" t="str">
        <x:f>IF('Official Ranking v2'!B79="","",'Official Ranking v2'!P79)</x:f>
      </x:c>
    </x:row>
    <x:row r="76">
      <x:c r="A76" t="str">
        <x:f>'Player Report Index'!B79</x:f>
      </x:c>
      <x:c r="B76" t="n">
        <x:f>'Player Report Index'!J79</x:f>
        <x:v>0</x:v>
      </x:c>
      <x:c r="C76" t="str">
        <x:f>IF('Official Ranking v2'!B80="","",'Official Ranking v2'!A80)</x:f>
      </x:c>
      <x:c r="D76" t="str">
        <x:f>IF('Official Ranking v2'!B80="","",'Official Ranking v2'!B80)</x:f>
      </x:c>
      <x:c r="E76" t="str">
        <x:f>IF('Official Ranking v2'!B80="","",'Official Ranking v2'!C80)</x:f>
      </x:c>
      <x:c r="F76" t="str">
        <x:f>IF('Official Ranking v2'!B80="","",'Official Ranking v2'!D80)</x:f>
      </x:c>
      <x:c r="G76" t="str">
        <x:f>IF('Official Ranking v2'!B80="","",'Official Ranking v2'!E80)</x:f>
      </x:c>
      <x:c r="H76" s="303" t="str">
        <x:f>IF('Official Ranking v2'!B80="","",'Official Ranking v2'!F80)</x:f>
      </x:c>
      <x:c r="I76" s="226" t="str">
        <x:f>IF('Official Ranking v2'!B80="","",'Official Ranking v2'!S80)</x:f>
      </x:c>
      <x:c r="J76" t="str">
        <x:f>IF('Official Ranking v2'!B80="","",'Official Ranking v2'!T80)</x:f>
      </x:c>
      <x:c r="K76" t="str">
        <x:f>IF('Official Ranking v2'!B80="","",'Official Ranking v2'!W80)</x:f>
      </x:c>
      <x:c r="L76" t="str">
        <x:f>IF('Official Ranking v2'!B80="","",'Official Ranking v2'!X80)</x:f>
      </x:c>
      <x:c r="M76" t="str">
        <x:f>IF('Official Ranking v2'!B80="","",'Official Ranking v2'!V80)</x:f>
      </x:c>
      <x:c r="N76" s="226" t="str">
        <x:f>IF('Official Ranking v2'!B80="","",'Official Ranking v2'!P80)</x:f>
      </x:c>
    </x:row>
    <x:row r="77">
      <x:c r="A77" t="str">
        <x:f>'Player Report Index'!B80</x:f>
      </x:c>
      <x:c r="B77" t="n">
        <x:f>'Player Report Index'!J80</x:f>
        <x:v>0</x:v>
      </x:c>
      <x:c r="C77" t="str">
        <x:f>IF('Official Ranking v2'!B81="","",'Official Ranking v2'!A81)</x:f>
      </x:c>
      <x:c r="D77" t="str">
        <x:f>IF('Official Ranking v2'!B81="","",'Official Ranking v2'!B81)</x:f>
      </x:c>
      <x:c r="E77" t="str">
        <x:f>IF('Official Ranking v2'!B81="","",'Official Ranking v2'!C81)</x:f>
      </x:c>
      <x:c r="F77" t="str">
        <x:f>IF('Official Ranking v2'!B81="","",'Official Ranking v2'!D81)</x:f>
      </x:c>
      <x:c r="G77" t="str">
        <x:f>IF('Official Ranking v2'!B81="","",'Official Ranking v2'!E81)</x:f>
      </x:c>
      <x:c r="H77" s="303" t="str">
        <x:f>IF('Official Ranking v2'!B81="","",'Official Ranking v2'!F81)</x:f>
      </x:c>
      <x:c r="I77" s="226" t="str">
        <x:f>IF('Official Ranking v2'!B81="","",'Official Ranking v2'!S81)</x:f>
      </x:c>
      <x:c r="J77" t="str">
        <x:f>IF('Official Ranking v2'!B81="","",'Official Ranking v2'!T81)</x:f>
      </x:c>
      <x:c r="K77" t="str">
        <x:f>IF('Official Ranking v2'!B81="","",'Official Ranking v2'!W81)</x:f>
      </x:c>
      <x:c r="L77" t="str">
        <x:f>IF('Official Ranking v2'!B81="","",'Official Ranking v2'!X81)</x:f>
      </x:c>
      <x:c r="M77" t="str">
        <x:f>IF('Official Ranking v2'!B81="","",'Official Ranking v2'!V81)</x:f>
      </x:c>
      <x:c r="N77" s="226" t="str">
        <x:f>IF('Official Ranking v2'!B81="","",'Official Ranking v2'!P81)</x:f>
      </x:c>
    </x:row>
    <x:row r="78">
      <x:c r="A78" t="str">
        <x:f>'Player Report Index'!B81</x:f>
      </x:c>
      <x:c r="B78" t="n">
        <x:f>'Player Report Index'!J81</x:f>
        <x:v>0</x:v>
      </x:c>
      <x:c r="C78" t="str">
        <x:f>IF('Official Ranking v2'!B82="","",'Official Ranking v2'!A82)</x:f>
      </x:c>
      <x:c r="D78" t="str">
        <x:f>IF('Official Ranking v2'!B82="","",'Official Ranking v2'!B82)</x:f>
      </x:c>
      <x:c r="E78" t="str">
        <x:f>IF('Official Ranking v2'!B82="","",'Official Ranking v2'!C82)</x:f>
      </x:c>
      <x:c r="F78" t="str">
        <x:f>IF('Official Ranking v2'!B82="","",'Official Ranking v2'!D82)</x:f>
      </x:c>
      <x:c r="G78" t="str">
        <x:f>IF('Official Ranking v2'!B82="","",'Official Ranking v2'!E82)</x:f>
      </x:c>
      <x:c r="H78" s="303" t="str">
        <x:f>IF('Official Ranking v2'!B82="","",'Official Ranking v2'!F82)</x:f>
      </x:c>
      <x:c r="I78" s="226" t="str">
        <x:f>IF('Official Ranking v2'!B82="","",'Official Ranking v2'!S82)</x:f>
      </x:c>
      <x:c r="J78" t="str">
        <x:f>IF('Official Ranking v2'!B82="","",'Official Ranking v2'!T82)</x:f>
      </x:c>
      <x:c r="K78" t="str">
        <x:f>IF('Official Ranking v2'!B82="","",'Official Ranking v2'!W82)</x:f>
      </x:c>
      <x:c r="L78" t="str">
        <x:f>IF('Official Ranking v2'!B82="","",'Official Ranking v2'!X82)</x:f>
      </x:c>
      <x:c r="M78" t="str">
        <x:f>IF('Official Ranking v2'!B82="","",'Official Ranking v2'!V82)</x:f>
      </x:c>
      <x:c r="N78" s="226" t="str">
        <x:f>IF('Official Ranking v2'!B82="","",'Official Ranking v2'!P82)</x:f>
      </x:c>
    </x:row>
    <x:row r="79">
      <x:c r="A79" t="str">
        <x:f>'Player Report Index'!B82</x:f>
      </x:c>
      <x:c r="B79" t="n">
        <x:f>'Player Report Index'!J82</x:f>
        <x:v>0</x:v>
      </x:c>
      <x:c r="C79" t="str">
        <x:f>IF('Official Ranking v2'!B83="","",'Official Ranking v2'!A83)</x:f>
      </x:c>
      <x:c r="D79" t="str">
        <x:f>IF('Official Ranking v2'!B83="","",'Official Ranking v2'!B83)</x:f>
      </x:c>
      <x:c r="E79" t="str">
        <x:f>IF('Official Ranking v2'!B83="","",'Official Ranking v2'!C83)</x:f>
      </x:c>
      <x:c r="F79" t="str">
        <x:f>IF('Official Ranking v2'!B83="","",'Official Ranking v2'!D83)</x:f>
      </x:c>
      <x:c r="G79" t="str">
        <x:f>IF('Official Ranking v2'!B83="","",'Official Ranking v2'!E83)</x:f>
      </x:c>
      <x:c r="H79" s="303" t="str">
        <x:f>IF('Official Ranking v2'!B83="","",'Official Ranking v2'!F83)</x:f>
      </x:c>
      <x:c r="I79" s="226" t="str">
        <x:f>IF('Official Ranking v2'!B83="","",'Official Ranking v2'!S83)</x:f>
      </x:c>
      <x:c r="J79" t="str">
        <x:f>IF('Official Ranking v2'!B83="","",'Official Ranking v2'!T83)</x:f>
      </x:c>
      <x:c r="K79" t="str">
        <x:f>IF('Official Ranking v2'!B83="","",'Official Ranking v2'!W83)</x:f>
      </x:c>
      <x:c r="L79" t="str">
        <x:f>IF('Official Ranking v2'!B83="","",'Official Ranking v2'!X83)</x:f>
      </x:c>
      <x:c r="M79" t="str">
        <x:f>IF('Official Ranking v2'!B83="","",'Official Ranking v2'!V83)</x:f>
      </x:c>
      <x:c r="N79" s="226" t="str">
        <x:f>IF('Official Ranking v2'!B83="","",'Official Ranking v2'!P83)</x:f>
      </x:c>
    </x:row>
    <x:row r="80">
      <x:c r="A80" t="str">
        <x:f>'Player Report Index'!B83</x:f>
      </x:c>
      <x:c r="B80" t="n">
        <x:f>'Player Report Index'!J83</x:f>
        <x:v>0</x:v>
      </x:c>
      <x:c r="C80" t="str">
        <x:f>IF('Official Ranking v2'!B84="","",'Official Ranking v2'!A84)</x:f>
      </x:c>
      <x:c r="D80" t="str">
        <x:f>IF('Official Ranking v2'!B84="","",'Official Ranking v2'!B84)</x:f>
      </x:c>
      <x:c r="E80" t="str">
        <x:f>IF('Official Ranking v2'!B84="","",'Official Ranking v2'!C84)</x:f>
      </x:c>
      <x:c r="F80" t="str">
        <x:f>IF('Official Ranking v2'!B84="","",'Official Ranking v2'!D84)</x:f>
      </x:c>
      <x:c r="G80" t="str">
        <x:f>IF('Official Ranking v2'!B84="","",'Official Ranking v2'!E84)</x:f>
      </x:c>
      <x:c r="H80" s="303" t="str">
        <x:f>IF('Official Ranking v2'!B84="","",'Official Ranking v2'!F84)</x:f>
      </x:c>
      <x:c r="I80" s="226" t="str">
        <x:f>IF('Official Ranking v2'!B84="","",'Official Ranking v2'!S84)</x:f>
      </x:c>
      <x:c r="J80" t="str">
        <x:f>IF('Official Ranking v2'!B84="","",'Official Ranking v2'!T84)</x:f>
      </x:c>
      <x:c r="K80" t="str">
        <x:f>IF('Official Ranking v2'!B84="","",'Official Ranking v2'!W84)</x:f>
      </x:c>
      <x:c r="L80" t="str">
        <x:f>IF('Official Ranking v2'!B84="","",'Official Ranking v2'!X84)</x:f>
      </x:c>
      <x:c r="M80" t="str">
        <x:f>IF('Official Ranking v2'!B84="","",'Official Ranking v2'!V84)</x:f>
      </x:c>
      <x:c r="N80" s="226" t="str">
        <x:f>IF('Official Ranking v2'!B84="","",'Official Ranking v2'!P84)</x:f>
      </x:c>
    </x:row>
    <x:row r="81">
      <x:c r="A81" t="str">
        <x:f>'Player Report Index'!B84</x:f>
      </x:c>
      <x:c r="B81" t="n">
        <x:f>'Player Report Index'!J84</x:f>
        <x:v>0</x:v>
      </x:c>
      <x:c r="C81" t="str">
        <x:f>IF('Official Ranking v2'!B85="","",'Official Ranking v2'!A85)</x:f>
      </x:c>
      <x:c r="D81" t="str">
        <x:f>IF('Official Ranking v2'!B85="","",'Official Ranking v2'!B85)</x:f>
      </x:c>
      <x:c r="E81" t="str">
        <x:f>IF('Official Ranking v2'!B85="","",'Official Ranking v2'!C85)</x:f>
      </x:c>
      <x:c r="F81" t="str">
        <x:f>IF('Official Ranking v2'!B85="","",'Official Ranking v2'!D85)</x:f>
      </x:c>
      <x:c r="G81" t="str">
        <x:f>IF('Official Ranking v2'!B85="","",'Official Ranking v2'!E85)</x:f>
      </x:c>
      <x:c r="H81" s="303" t="str">
        <x:f>IF('Official Ranking v2'!B85="","",'Official Ranking v2'!F85)</x:f>
      </x:c>
      <x:c r="I81" s="226" t="str">
        <x:f>IF('Official Ranking v2'!B85="","",'Official Ranking v2'!S85)</x:f>
      </x:c>
      <x:c r="J81" t="str">
        <x:f>IF('Official Ranking v2'!B85="","",'Official Ranking v2'!T85)</x:f>
      </x:c>
      <x:c r="K81" t="str">
        <x:f>IF('Official Ranking v2'!B85="","",'Official Ranking v2'!W85)</x:f>
      </x:c>
      <x:c r="L81" t="str">
        <x:f>IF('Official Ranking v2'!B85="","",'Official Ranking v2'!X85)</x:f>
      </x:c>
      <x:c r="M81" t="str">
        <x:f>IF('Official Ranking v2'!B85="","",'Official Ranking v2'!V85)</x:f>
      </x:c>
      <x:c r="N81" s="226" t="str">
        <x:f>IF('Official Ranking v2'!B85="","",'Official Ranking v2'!P85)</x:f>
      </x:c>
    </x:row>
    <x:row r="82">
      <x:c r="A82" t="str">
        <x:f>'Player Report Index'!B85</x:f>
      </x:c>
      <x:c r="B82" t="n">
        <x:f>'Player Report Index'!J85</x:f>
        <x:v>0</x:v>
      </x:c>
      <x:c r="C82" t="str">
        <x:f>IF('Official Ranking v2'!B86="","",'Official Ranking v2'!A86)</x:f>
      </x:c>
      <x:c r="D82" t="str">
        <x:f>IF('Official Ranking v2'!B86="","",'Official Ranking v2'!B86)</x:f>
      </x:c>
      <x:c r="E82" t="str">
        <x:f>IF('Official Ranking v2'!B86="","",'Official Ranking v2'!C86)</x:f>
      </x:c>
      <x:c r="F82" t="str">
        <x:f>IF('Official Ranking v2'!B86="","",'Official Ranking v2'!D86)</x:f>
      </x:c>
      <x:c r="G82" t="str">
        <x:f>IF('Official Ranking v2'!B86="","",'Official Ranking v2'!E86)</x:f>
      </x:c>
      <x:c r="H82" s="303" t="str">
        <x:f>IF('Official Ranking v2'!B86="","",'Official Ranking v2'!F86)</x:f>
      </x:c>
      <x:c r="I82" s="226" t="str">
        <x:f>IF('Official Ranking v2'!B86="","",'Official Ranking v2'!S86)</x:f>
      </x:c>
      <x:c r="J82" t="str">
        <x:f>IF('Official Ranking v2'!B86="","",'Official Ranking v2'!T86)</x:f>
      </x:c>
      <x:c r="K82" t="str">
        <x:f>IF('Official Ranking v2'!B86="","",'Official Ranking v2'!W86)</x:f>
      </x:c>
      <x:c r="L82" t="str">
        <x:f>IF('Official Ranking v2'!B86="","",'Official Ranking v2'!X86)</x:f>
      </x:c>
      <x:c r="M82" t="str">
        <x:f>IF('Official Ranking v2'!B86="","",'Official Ranking v2'!V86)</x:f>
      </x:c>
      <x:c r="N82" s="226" t="str">
        <x:f>IF('Official Ranking v2'!B86="","",'Official Ranking v2'!P86)</x:f>
      </x:c>
    </x:row>
    <x:row r="83">
      <x:c r="A83" t="str">
        <x:f>'Player Report Index'!B86</x:f>
      </x:c>
      <x:c r="B83" t="n">
        <x:f>'Player Report Index'!J86</x:f>
        <x:v>0</x:v>
      </x:c>
      <x:c r="C83" t="str">
        <x:f>IF('Official Ranking v2'!B87="","",'Official Ranking v2'!A87)</x:f>
      </x:c>
      <x:c r="D83" t="str">
        <x:f>IF('Official Ranking v2'!B87="","",'Official Ranking v2'!B87)</x:f>
      </x:c>
      <x:c r="E83" t="str">
        <x:f>IF('Official Ranking v2'!B87="","",'Official Ranking v2'!C87)</x:f>
      </x:c>
      <x:c r="F83" t="str">
        <x:f>IF('Official Ranking v2'!B87="","",'Official Ranking v2'!D87)</x:f>
      </x:c>
      <x:c r="G83" t="str">
        <x:f>IF('Official Ranking v2'!B87="","",'Official Ranking v2'!E87)</x:f>
      </x:c>
      <x:c r="H83" s="303" t="str">
        <x:f>IF('Official Ranking v2'!B87="","",'Official Ranking v2'!F87)</x:f>
      </x:c>
      <x:c r="I83" s="226" t="str">
        <x:f>IF('Official Ranking v2'!B87="","",'Official Ranking v2'!S87)</x:f>
      </x:c>
      <x:c r="J83" t="str">
        <x:f>IF('Official Ranking v2'!B87="","",'Official Ranking v2'!T87)</x:f>
      </x:c>
      <x:c r="K83" t="str">
        <x:f>IF('Official Ranking v2'!B87="","",'Official Ranking v2'!W87)</x:f>
      </x:c>
      <x:c r="L83" t="str">
        <x:f>IF('Official Ranking v2'!B87="","",'Official Ranking v2'!X87)</x:f>
      </x:c>
      <x:c r="M83" t="str">
        <x:f>IF('Official Ranking v2'!B87="","",'Official Ranking v2'!V87)</x:f>
      </x:c>
      <x:c r="N83" s="226" t="str">
        <x:f>IF('Official Ranking v2'!B87="","",'Official Ranking v2'!P87)</x:f>
      </x:c>
    </x:row>
    <x:row r="84">
      <x:c r="A84" t="str">
        <x:f>'Player Report Index'!B87</x:f>
      </x:c>
      <x:c r="B84" t="n">
        <x:f>'Player Report Index'!J87</x:f>
        <x:v>0</x:v>
      </x:c>
      <x:c r="C84" t="str">
        <x:f>IF('Official Ranking v2'!B88="","",'Official Ranking v2'!A88)</x:f>
      </x:c>
      <x:c r="D84" t="str">
        <x:f>IF('Official Ranking v2'!B88="","",'Official Ranking v2'!B88)</x:f>
      </x:c>
      <x:c r="E84" t="str">
        <x:f>IF('Official Ranking v2'!B88="","",'Official Ranking v2'!C88)</x:f>
      </x:c>
      <x:c r="F84" t="str">
        <x:f>IF('Official Ranking v2'!B88="","",'Official Ranking v2'!D88)</x:f>
      </x:c>
      <x:c r="G84" t="str">
        <x:f>IF('Official Ranking v2'!B88="","",'Official Ranking v2'!E88)</x:f>
      </x:c>
      <x:c r="H84" s="303" t="str">
        <x:f>IF('Official Ranking v2'!B88="","",'Official Ranking v2'!F88)</x:f>
      </x:c>
      <x:c r="I84" s="226" t="str">
        <x:f>IF('Official Ranking v2'!B88="","",'Official Ranking v2'!S88)</x:f>
      </x:c>
      <x:c r="J84" t="str">
        <x:f>IF('Official Ranking v2'!B88="","",'Official Ranking v2'!T88)</x:f>
      </x:c>
      <x:c r="K84" t="str">
        <x:f>IF('Official Ranking v2'!B88="","",'Official Ranking v2'!W88)</x:f>
      </x:c>
      <x:c r="L84" t="str">
        <x:f>IF('Official Ranking v2'!B88="","",'Official Ranking v2'!X88)</x:f>
      </x:c>
      <x:c r="M84" t="str">
        <x:f>IF('Official Ranking v2'!B88="","",'Official Ranking v2'!V88)</x:f>
      </x:c>
      <x:c r="N84" s="226" t="str">
        <x:f>IF('Official Ranking v2'!B88="","",'Official Ranking v2'!P88)</x:f>
      </x:c>
    </x:row>
    <x:row r="85">
      <x:c r="A85" t="str">
        <x:f>'Player Report Index'!B88</x:f>
      </x:c>
      <x:c r="B85" t="n">
        <x:f>'Player Report Index'!J88</x:f>
        <x:v>0</x:v>
      </x:c>
      <x:c r="C85" t="str">
        <x:f>IF('Official Ranking v2'!B89="","",'Official Ranking v2'!A89)</x:f>
      </x:c>
      <x:c r="D85" t="str">
        <x:f>IF('Official Ranking v2'!B89="","",'Official Ranking v2'!B89)</x:f>
      </x:c>
      <x:c r="E85" t="str">
        <x:f>IF('Official Ranking v2'!B89="","",'Official Ranking v2'!C89)</x:f>
      </x:c>
      <x:c r="F85" t="str">
        <x:f>IF('Official Ranking v2'!B89="","",'Official Ranking v2'!D89)</x:f>
      </x:c>
      <x:c r="G85" t="str">
        <x:f>IF('Official Ranking v2'!B89="","",'Official Ranking v2'!E89)</x:f>
      </x:c>
      <x:c r="H85" s="303" t="str">
        <x:f>IF('Official Ranking v2'!B89="","",'Official Ranking v2'!F89)</x:f>
      </x:c>
      <x:c r="I85" s="226" t="str">
        <x:f>IF('Official Ranking v2'!B89="","",'Official Ranking v2'!S89)</x:f>
      </x:c>
      <x:c r="J85" t="str">
        <x:f>IF('Official Ranking v2'!B89="","",'Official Ranking v2'!T89)</x:f>
      </x:c>
      <x:c r="K85" t="str">
        <x:f>IF('Official Ranking v2'!B89="","",'Official Ranking v2'!W89)</x:f>
      </x:c>
      <x:c r="L85" t="str">
        <x:f>IF('Official Ranking v2'!B89="","",'Official Ranking v2'!X89)</x:f>
      </x:c>
      <x:c r="M85" t="str">
        <x:f>IF('Official Ranking v2'!B89="","",'Official Ranking v2'!V89)</x:f>
      </x:c>
      <x:c r="N85" s="226" t="str">
        <x:f>IF('Official Ranking v2'!B89="","",'Official Ranking v2'!P89)</x:f>
      </x:c>
    </x:row>
    <x:row r="86">
      <x:c r="A86" t="str">
        <x:f>'Player Report Index'!B89</x:f>
      </x:c>
      <x:c r="B86" t="n">
        <x:f>'Player Report Index'!J89</x:f>
        <x:v>0</x:v>
      </x:c>
      <x:c r="C86" t="str">
        <x:f>IF('Official Ranking v2'!B90="","",'Official Ranking v2'!A90)</x:f>
      </x:c>
      <x:c r="D86" t="str">
        <x:f>IF('Official Ranking v2'!B90="","",'Official Ranking v2'!B90)</x:f>
      </x:c>
      <x:c r="E86" t="str">
        <x:f>IF('Official Ranking v2'!B90="","",'Official Ranking v2'!C90)</x:f>
      </x:c>
      <x:c r="F86" t="str">
        <x:f>IF('Official Ranking v2'!B90="","",'Official Ranking v2'!D90)</x:f>
      </x:c>
      <x:c r="G86" t="str">
        <x:f>IF('Official Ranking v2'!B90="","",'Official Ranking v2'!E90)</x:f>
      </x:c>
      <x:c r="H86" s="303" t="str">
        <x:f>IF('Official Ranking v2'!B90="","",'Official Ranking v2'!F90)</x:f>
      </x:c>
      <x:c r="I86" s="226" t="str">
        <x:f>IF('Official Ranking v2'!B90="","",'Official Ranking v2'!S90)</x:f>
      </x:c>
      <x:c r="J86" t="str">
        <x:f>IF('Official Ranking v2'!B90="","",'Official Ranking v2'!T90)</x:f>
      </x:c>
      <x:c r="K86" t="str">
        <x:f>IF('Official Ranking v2'!B90="","",'Official Ranking v2'!W90)</x:f>
      </x:c>
      <x:c r="L86" t="str">
        <x:f>IF('Official Ranking v2'!B90="","",'Official Ranking v2'!X90)</x:f>
      </x:c>
      <x:c r="M86" t="str">
        <x:f>IF('Official Ranking v2'!B90="","",'Official Ranking v2'!V90)</x:f>
      </x:c>
      <x:c r="N86" s="226" t="str">
        <x:f>IF('Official Ranking v2'!B90="","",'Official Ranking v2'!P90)</x:f>
      </x:c>
    </x:row>
    <x:row r="87">
      <x:c r="A87" t="str">
        <x:f>'Player Report Index'!B90</x:f>
      </x:c>
      <x:c r="B87" t="n">
        <x:f>'Player Report Index'!J90</x:f>
        <x:v>0</x:v>
      </x:c>
      <x:c r="C87" t="str">
        <x:f>IF('Official Ranking v2'!B91="","",'Official Ranking v2'!A91)</x:f>
      </x:c>
      <x:c r="D87" t="str">
        <x:f>IF('Official Ranking v2'!B91="","",'Official Ranking v2'!B91)</x:f>
      </x:c>
      <x:c r="E87" t="str">
        <x:f>IF('Official Ranking v2'!B91="","",'Official Ranking v2'!C91)</x:f>
      </x:c>
      <x:c r="F87" t="str">
        <x:f>IF('Official Ranking v2'!B91="","",'Official Ranking v2'!D91)</x:f>
      </x:c>
      <x:c r="G87" t="str">
        <x:f>IF('Official Ranking v2'!B91="","",'Official Ranking v2'!E91)</x:f>
      </x:c>
      <x:c r="H87" s="303" t="str">
        <x:f>IF('Official Ranking v2'!B91="","",'Official Ranking v2'!F91)</x:f>
      </x:c>
      <x:c r="I87" s="226" t="str">
        <x:f>IF('Official Ranking v2'!B91="","",'Official Ranking v2'!S91)</x:f>
      </x:c>
      <x:c r="J87" t="str">
        <x:f>IF('Official Ranking v2'!B91="","",'Official Ranking v2'!T91)</x:f>
      </x:c>
      <x:c r="K87" t="str">
        <x:f>IF('Official Ranking v2'!B91="","",'Official Ranking v2'!W91)</x:f>
      </x:c>
      <x:c r="L87" t="str">
        <x:f>IF('Official Ranking v2'!B91="","",'Official Ranking v2'!X91)</x:f>
      </x:c>
      <x:c r="M87" t="str">
        <x:f>IF('Official Ranking v2'!B91="","",'Official Ranking v2'!V91)</x:f>
      </x:c>
      <x:c r="N87" s="226" t="str">
        <x:f>IF('Official Ranking v2'!B91="","",'Official Ranking v2'!P91)</x:f>
      </x:c>
    </x:row>
    <x:row r="88">
      <x:c r="A88" t="str">
        <x:f>'Player Report Index'!B91</x:f>
      </x:c>
      <x:c r="B88" t="n">
        <x:f>'Player Report Index'!J91</x:f>
        <x:v>0</x:v>
      </x:c>
      <x:c r="C88" t="str">
        <x:f>IF('Official Ranking v2'!B92="","",'Official Ranking v2'!A92)</x:f>
      </x:c>
      <x:c r="D88" t="str">
        <x:f>IF('Official Ranking v2'!B92="","",'Official Ranking v2'!B92)</x:f>
      </x:c>
      <x:c r="E88" t="str">
        <x:f>IF('Official Ranking v2'!B92="","",'Official Ranking v2'!C92)</x:f>
      </x:c>
      <x:c r="F88" t="str">
        <x:f>IF('Official Ranking v2'!B92="","",'Official Ranking v2'!D92)</x:f>
      </x:c>
      <x:c r="G88" t="str">
        <x:f>IF('Official Ranking v2'!B92="","",'Official Ranking v2'!E92)</x:f>
      </x:c>
      <x:c r="H88" s="303" t="str">
        <x:f>IF('Official Ranking v2'!B92="","",'Official Ranking v2'!F92)</x:f>
      </x:c>
      <x:c r="I88" s="226" t="str">
        <x:f>IF('Official Ranking v2'!B92="","",'Official Ranking v2'!S92)</x:f>
      </x:c>
      <x:c r="J88" t="str">
        <x:f>IF('Official Ranking v2'!B92="","",'Official Ranking v2'!T92)</x:f>
      </x:c>
      <x:c r="K88" t="str">
        <x:f>IF('Official Ranking v2'!B92="","",'Official Ranking v2'!W92)</x:f>
      </x:c>
      <x:c r="L88" t="str">
        <x:f>IF('Official Ranking v2'!B92="","",'Official Ranking v2'!X92)</x:f>
      </x:c>
      <x:c r="M88" t="str">
        <x:f>IF('Official Ranking v2'!B92="","",'Official Ranking v2'!V92)</x:f>
      </x:c>
      <x:c r="N88" s="226" t="str">
        <x:f>IF('Official Ranking v2'!B92="","",'Official Ranking v2'!P92)</x:f>
      </x:c>
    </x:row>
    <x:row r="89">
      <x:c r="A89" t="str">
        <x:f>'Player Report Index'!B92</x:f>
      </x:c>
      <x:c r="B89" t="n">
        <x:f>'Player Report Index'!J92</x:f>
        <x:v>0</x:v>
      </x:c>
      <x:c r="C89" t="str">
        <x:f>IF('Official Ranking v2'!B93="","",'Official Ranking v2'!A93)</x:f>
      </x:c>
      <x:c r="D89" t="str">
        <x:f>IF('Official Ranking v2'!B93="","",'Official Ranking v2'!B93)</x:f>
      </x:c>
      <x:c r="E89" t="str">
        <x:f>IF('Official Ranking v2'!B93="","",'Official Ranking v2'!C93)</x:f>
      </x:c>
      <x:c r="F89" t="str">
        <x:f>IF('Official Ranking v2'!B93="","",'Official Ranking v2'!D93)</x:f>
      </x:c>
      <x:c r="G89" t="str">
        <x:f>IF('Official Ranking v2'!B93="","",'Official Ranking v2'!E93)</x:f>
      </x:c>
      <x:c r="H89" s="303" t="str">
        <x:f>IF('Official Ranking v2'!B93="","",'Official Ranking v2'!F93)</x:f>
      </x:c>
      <x:c r="I89" s="226" t="str">
        <x:f>IF('Official Ranking v2'!B93="","",'Official Ranking v2'!S93)</x:f>
      </x:c>
      <x:c r="J89" t="str">
        <x:f>IF('Official Ranking v2'!B93="","",'Official Ranking v2'!T93)</x:f>
      </x:c>
      <x:c r="K89" t="str">
        <x:f>IF('Official Ranking v2'!B93="","",'Official Ranking v2'!W93)</x:f>
      </x:c>
      <x:c r="L89" t="str">
        <x:f>IF('Official Ranking v2'!B93="","",'Official Ranking v2'!X93)</x:f>
      </x:c>
      <x:c r="M89" t="str">
        <x:f>IF('Official Ranking v2'!B93="","",'Official Ranking v2'!V93)</x:f>
      </x:c>
      <x:c r="N89" s="226" t="str">
        <x:f>IF('Official Ranking v2'!B93="","",'Official Ranking v2'!P93)</x:f>
      </x:c>
    </x:row>
    <x:row r="90">
      <x:c r="A90" t="str">
        <x:f>'Player Report Index'!B93</x:f>
      </x:c>
      <x:c r="B90" t="n">
        <x:f>'Player Report Index'!J93</x:f>
        <x:v>0</x:v>
      </x:c>
      <x:c r="C90" t="str">
        <x:f>IF('Official Ranking v2'!B94="","",'Official Ranking v2'!A94)</x:f>
      </x:c>
      <x:c r="D90" t="str">
        <x:f>IF('Official Ranking v2'!B94="","",'Official Ranking v2'!B94)</x:f>
      </x:c>
      <x:c r="E90" t="str">
        <x:f>IF('Official Ranking v2'!B94="","",'Official Ranking v2'!C94)</x:f>
      </x:c>
      <x:c r="F90" t="str">
        <x:f>IF('Official Ranking v2'!B94="","",'Official Ranking v2'!D94)</x:f>
      </x:c>
      <x:c r="G90" t="str">
        <x:f>IF('Official Ranking v2'!B94="","",'Official Ranking v2'!E94)</x:f>
      </x:c>
      <x:c r="H90" s="303" t="str">
        <x:f>IF('Official Ranking v2'!B94="","",'Official Ranking v2'!F94)</x:f>
      </x:c>
      <x:c r="I90" s="226" t="str">
        <x:f>IF('Official Ranking v2'!B94="","",'Official Ranking v2'!S94)</x:f>
      </x:c>
      <x:c r="J90" t="str">
        <x:f>IF('Official Ranking v2'!B94="","",'Official Ranking v2'!T94)</x:f>
      </x:c>
      <x:c r="K90" t="str">
        <x:f>IF('Official Ranking v2'!B94="","",'Official Ranking v2'!W94)</x:f>
      </x:c>
      <x:c r="L90" t="str">
        <x:f>IF('Official Ranking v2'!B94="","",'Official Ranking v2'!X94)</x:f>
      </x:c>
      <x:c r="M90" t="str">
        <x:f>IF('Official Ranking v2'!B94="","",'Official Ranking v2'!V94)</x:f>
      </x:c>
      <x:c r="N90" s="226" t="str">
        <x:f>IF('Official Ranking v2'!B94="","",'Official Ranking v2'!P94)</x:f>
      </x:c>
    </x:row>
    <x:row r="91">
      <x:c r="A91" t="str">
        <x:f>'Player Report Index'!B94</x:f>
      </x:c>
      <x:c r="B91" t="n">
        <x:f>'Player Report Index'!J94</x:f>
        <x:v>0</x:v>
      </x:c>
      <x:c r="C91" t="str">
        <x:f>IF('Official Ranking v2'!B95="","",'Official Ranking v2'!A95)</x:f>
      </x:c>
      <x:c r="D91" t="str">
        <x:f>IF('Official Ranking v2'!B95="","",'Official Ranking v2'!B95)</x:f>
      </x:c>
      <x:c r="E91" t="str">
        <x:f>IF('Official Ranking v2'!B95="","",'Official Ranking v2'!C95)</x:f>
      </x:c>
      <x:c r="F91" t="str">
        <x:f>IF('Official Ranking v2'!B95="","",'Official Ranking v2'!D95)</x:f>
      </x:c>
      <x:c r="G91" t="str">
        <x:f>IF('Official Ranking v2'!B95="","",'Official Ranking v2'!E95)</x:f>
      </x:c>
      <x:c r="H91" s="303" t="str">
        <x:f>IF('Official Ranking v2'!B95="","",'Official Ranking v2'!F95)</x:f>
      </x:c>
      <x:c r="I91" s="226" t="str">
        <x:f>IF('Official Ranking v2'!B95="","",'Official Ranking v2'!S95)</x:f>
      </x:c>
      <x:c r="J91" t="str">
        <x:f>IF('Official Ranking v2'!B95="","",'Official Ranking v2'!T95)</x:f>
      </x:c>
      <x:c r="K91" t="str">
        <x:f>IF('Official Ranking v2'!B95="","",'Official Ranking v2'!W95)</x:f>
      </x:c>
      <x:c r="L91" t="str">
        <x:f>IF('Official Ranking v2'!B95="","",'Official Ranking v2'!X95)</x:f>
      </x:c>
      <x:c r="M91" t="str">
        <x:f>IF('Official Ranking v2'!B95="","",'Official Ranking v2'!V95)</x:f>
      </x:c>
      <x:c r="N91" s="226" t="str">
        <x:f>IF('Official Ranking v2'!B95="","",'Official Ranking v2'!P95)</x:f>
      </x:c>
    </x:row>
    <x:row r="92">
      <x:c r="A92" t="str">
        <x:f>'Player Report Index'!B95</x:f>
      </x:c>
      <x:c r="B92" t="n">
        <x:f>'Player Report Index'!J95</x:f>
        <x:v>0</x:v>
      </x:c>
      <x:c r="C92" t="str">
        <x:f>IF('Official Ranking v2'!B96="","",'Official Ranking v2'!A96)</x:f>
      </x:c>
      <x:c r="D92" t="str">
        <x:f>IF('Official Ranking v2'!B96="","",'Official Ranking v2'!B96)</x:f>
      </x:c>
      <x:c r="E92" t="str">
        <x:f>IF('Official Ranking v2'!B96="","",'Official Ranking v2'!C96)</x:f>
      </x:c>
      <x:c r="F92" t="str">
        <x:f>IF('Official Ranking v2'!B96="","",'Official Ranking v2'!D96)</x:f>
      </x:c>
      <x:c r="G92" t="str">
        <x:f>IF('Official Ranking v2'!B96="","",'Official Ranking v2'!E96)</x:f>
      </x:c>
      <x:c r="H92" s="303" t="str">
        <x:f>IF('Official Ranking v2'!B96="","",'Official Ranking v2'!F96)</x:f>
      </x:c>
      <x:c r="I92" s="226" t="str">
        <x:f>IF('Official Ranking v2'!B96="","",'Official Ranking v2'!S96)</x:f>
      </x:c>
      <x:c r="J92" t="str">
        <x:f>IF('Official Ranking v2'!B96="","",'Official Ranking v2'!T96)</x:f>
      </x:c>
      <x:c r="K92" t="str">
        <x:f>IF('Official Ranking v2'!B96="","",'Official Ranking v2'!W96)</x:f>
      </x:c>
      <x:c r="L92" t="str">
        <x:f>IF('Official Ranking v2'!B96="","",'Official Ranking v2'!X96)</x:f>
      </x:c>
      <x:c r="M92" t="str">
        <x:f>IF('Official Ranking v2'!B96="","",'Official Ranking v2'!V96)</x:f>
      </x:c>
      <x:c r="N92" s="226" t="str">
        <x:f>IF('Official Ranking v2'!B96="","",'Official Ranking v2'!P96)</x:f>
      </x:c>
    </x:row>
    <x:row r="93">
      <x:c r="A93" t="str">
        <x:f>'Player Report Index'!B96</x:f>
      </x:c>
      <x:c r="B93" t="n">
        <x:f>'Player Report Index'!J96</x:f>
        <x:v>0</x:v>
      </x:c>
      <x:c r="C93" t="str">
        <x:f>IF('Official Ranking v2'!B97="","",'Official Ranking v2'!A97)</x:f>
      </x:c>
      <x:c r="D93" t="str">
        <x:f>IF('Official Ranking v2'!B97="","",'Official Ranking v2'!B97)</x:f>
      </x:c>
      <x:c r="E93" t="str">
        <x:f>IF('Official Ranking v2'!B97="","",'Official Ranking v2'!C97)</x:f>
      </x:c>
      <x:c r="F93" t="str">
        <x:f>IF('Official Ranking v2'!B97="","",'Official Ranking v2'!D97)</x:f>
      </x:c>
      <x:c r="G93" t="str">
        <x:f>IF('Official Ranking v2'!B97="","",'Official Ranking v2'!E97)</x:f>
      </x:c>
      <x:c r="H93" s="303" t="str">
        <x:f>IF('Official Ranking v2'!B97="","",'Official Ranking v2'!F97)</x:f>
      </x:c>
      <x:c r="I93" s="226" t="str">
        <x:f>IF('Official Ranking v2'!B97="","",'Official Ranking v2'!S97)</x:f>
      </x:c>
      <x:c r="J93" t="str">
        <x:f>IF('Official Ranking v2'!B97="","",'Official Ranking v2'!T97)</x:f>
      </x:c>
      <x:c r="K93" t="str">
        <x:f>IF('Official Ranking v2'!B97="","",'Official Ranking v2'!W97)</x:f>
      </x:c>
      <x:c r="L93" t="str">
        <x:f>IF('Official Ranking v2'!B97="","",'Official Ranking v2'!X97)</x:f>
      </x:c>
      <x:c r="M93" t="str">
        <x:f>IF('Official Ranking v2'!B97="","",'Official Ranking v2'!V97)</x:f>
      </x:c>
      <x:c r="N93" s="226" t="str">
        <x:f>IF('Official Ranking v2'!B97="","",'Official Ranking v2'!P97)</x:f>
      </x:c>
    </x:row>
    <x:row r="94">
      <x:c r="A94" t="str">
        <x:f>'Player Report Index'!B97</x:f>
      </x:c>
      <x:c r="B94" t="n">
        <x:f>'Player Report Index'!J97</x:f>
        <x:v>0</x:v>
      </x:c>
      <x:c r="C94" t="str">
        <x:f>IF('Official Ranking v2'!B98="","",'Official Ranking v2'!A98)</x:f>
      </x:c>
      <x:c r="D94" t="str">
        <x:f>IF('Official Ranking v2'!B98="","",'Official Ranking v2'!B98)</x:f>
      </x:c>
      <x:c r="E94" t="str">
        <x:f>IF('Official Ranking v2'!B98="","",'Official Ranking v2'!C98)</x:f>
      </x:c>
      <x:c r="F94" t="str">
        <x:f>IF('Official Ranking v2'!B98="","",'Official Ranking v2'!D98)</x:f>
      </x:c>
      <x:c r="G94" t="str">
        <x:f>IF('Official Ranking v2'!B98="","",'Official Ranking v2'!E98)</x:f>
      </x:c>
      <x:c r="H94" s="303" t="str">
        <x:f>IF('Official Ranking v2'!B98="","",'Official Ranking v2'!F98)</x:f>
      </x:c>
      <x:c r="I94" s="226" t="str">
        <x:f>IF('Official Ranking v2'!B98="","",'Official Ranking v2'!S98)</x:f>
      </x:c>
      <x:c r="J94" t="str">
        <x:f>IF('Official Ranking v2'!B98="","",'Official Ranking v2'!T98)</x:f>
      </x:c>
      <x:c r="K94" t="str">
        <x:f>IF('Official Ranking v2'!B98="","",'Official Ranking v2'!W98)</x:f>
      </x:c>
      <x:c r="L94" t="str">
        <x:f>IF('Official Ranking v2'!B98="","",'Official Ranking v2'!X98)</x:f>
      </x:c>
      <x:c r="M94" t="str">
        <x:f>IF('Official Ranking v2'!B98="","",'Official Ranking v2'!V98)</x:f>
      </x:c>
      <x:c r="N94" s="226" t="str">
        <x:f>IF('Official Ranking v2'!B98="","",'Official Ranking v2'!P98)</x:f>
      </x:c>
    </x:row>
    <x:row r="95">
      <x:c r="A95" t="str">
        <x:f>'Player Report Index'!B98</x:f>
      </x:c>
      <x:c r="B95" t="n">
        <x:f>'Player Report Index'!J98</x:f>
        <x:v>0</x:v>
      </x:c>
      <x:c r="C95" t="str">
        <x:f>IF('Official Ranking v2'!B99="","",'Official Ranking v2'!A99)</x:f>
      </x:c>
      <x:c r="D95" t="str">
        <x:f>IF('Official Ranking v2'!B99="","",'Official Ranking v2'!B99)</x:f>
      </x:c>
      <x:c r="E95" t="str">
        <x:f>IF('Official Ranking v2'!B99="","",'Official Ranking v2'!C99)</x:f>
      </x:c>
      <x:c r="F95" t="str">
        <x:f>IF('Official Ranking v2'!B99="","",'Official Ranking v2'!D99)</x:f>
      </x:c>
      <x:c r="G95" t="str">
        <x:f>IF('Official Ranking v2'!B99="","",'Official Ranking v2'!E99)</x:f>
      </x:c>
      <x:c r="H95" s="303" t="str">
        <x:f>IF('Official Ranking v2'!B99="","",'Official Ranking v2'!F99)</x:f>
      </x:c>
      <x:c r="I95" s="226" t="str">
        <x:f>IF('Official Ranking v2'!B99="","",'Official Ranking v2'!S99)</x:f>
      </x:c>
      <x:c r="J95" t="str">
        <x:f>IF('Official Ranking v2'!B99="","",'Official Ranking v2'!T99)</x:f>
      </x:c>
      <x:c r="K95" t="str">
        <x:f>IF('Official Ranking v2'!B99="","",'Official Ranking v2'!W99)</x:f>
      </x:c>
      <x:c r="L95" t="str">
        <x:f>IF('Official Ranking v2'!B99="","",'Official Ranking v2'!X99)</x:f>
      </x:c>
      <x:c r="M95" t="str">
        <x:f>IF('Official Ranking v2'!B99="","",'Official Ranking v2'!V99)</x:f>
      </x:c>
      <x:c r="N95" s="226" t="str">
        <x:f>IF('Official Ranking v2'!B99="","",'Official Ranking v2'!P99)</x:f>
      </x:c>
    </x:row>
    <x:row r="96">
      <x:c r="A96" t="str">
        <x:f>'Player Report Index'!B99</x:f>
      </x:c>
      <x:c r="B96" t="n">
        <x:f>'Player Report Index'!J99</x:f>
        <x:v>0</x:v>
      </x:c>
      <x:c r="C96" t="str">
        <x:f>IF('Official Ranking v2'!B100="","",'Official Ranking v2'!A100)</x:f>
      </x:c>
      <x:c r="D96" t="str">
        <x:f>IF('Official Ranking v2'!B100="","",'Official Ranking v2'!B100)</x:f>
      </x:c>
      <x:c r="E96" t="str">
        <x:f>IF('Official Ranking v2'!B100="","",'Official Ranking v2'!C100)</x:f>
      </x:c>
      <x:c r="F96" t="str">
        <x:f>IF('Official Ranking v2'!B100="","",'Official Ranking v2'!D100)</x:f>
      </x:c>
      <x:c r="G96" t="str">
        <x:f>IF('Official Ranking v2'!B100="","",'Official Ranking v2'!E100)</x:f>
      </x:c>
      <x:c r="H96" s="303" t="str">
        <x:f>IF('Official Ranking v2'!B100="","",'Official Ranking v2'!F100)</x:f>
      </x:c>
      <x:c r="I96" s="226" t="str">
        <x:f>IF('Official Ranking v2'!B100="","",'Official Ranking v2'!S100)</x:f>
      </x:c>
      <x:c r="J96" t="str">
        <x:f>IF('Official Ranking v2'!B100="","",'Official Ranking v2'!T100)</x:f>
      </x:c>
      <x:c r="K96" t="str">
        <x:f>IF('Official Ranking v2'!B100="","",'Official Ranking v2'!W100)</x:f>
      </x:c>
      <x:c r="L96" t="str">
        <x:f>IF('Official Ranking v2'!B100="","",'Official Ranking v2'!X100)</x:f>
      </x:c>
      <x:c r="M96" t="str">
        <x:f>IF('Official Ranking v2'!B100="","",'Official Ranking v2'!V100)</x:f>
      </x:c>
      <x:c r="N96" s="226" t="str">
        <x:f>IF('Official Ranking v2'!B100="","",'Official Ranking v2'!P100)</x:f>
      </x:c>
    </x:row>
    <x:row r="97">
      <x:c r="A97" t="str">
        <x:f>'Player Report Index'!B100</x:f>
      </x:c>
      <x:c r="B97" t="n">
        <x:f>'Player Report Index'!J100</x:f>
        <x:v>0</x:v>
      </x:c>
      <x:c r="C97" t="str">
        <x:f>IF('Official Ranking v2'!B101="","",'Official Ranking v2'!A101)</x:f>
      </x:c>
      <x:c r="D97" t="str">
        <x:f>IF('Official Ranking v2'!B101="","",'Official Ranking v2'!B101)</x:f>
      </x:c>
      <x:c r="E97" t="str">
        <x:f>IF('Official Ranking v2'!B101="","",'Official Ranking v2'!C101)</x:f>
      </x:c>
      <x:c r="F97" t="str">
        <x:f>IF('Official Ranking v2'!B101="","",'Official Ranking v2'!D101)</x:f>
      </x:c>
      <x:c r="G97" t="str">
        <x:f>IF('Official Ranking v2'!B101="","",'Official Ranking v2'!E101)</x:f>
      </x:c>
      <x:c r="H97" s="303" t="str">
        <x:f>IF('Official Ranking v2'!B101="","",'Official Ranking v2'!F101)</x:f>
      </x:c>
      <x:c r="I97" s="226" t="str">
        <x:f>IF('Official Ranking v2'!B101="","",'Official Ranking v2'!S101)</x:f>
      </x:c>
      <x:c r="J97" t="str">
        <x:f>IF('Official Ranking v2'!B101="","",'Official Ranking v2'!T101)</x:f>
      </x:c>
      <x:c r="K97" t="str">
        <x:f>IF('Official Ranking v2'!B101="","",'Official Ranking v2'!W101)</x:f>
      </x:c>
      <x:c r="L97" t="str">
        <x:f>IF('Official Ranking v2'!B101="","",'Official Ranking v2'!X101)</x:f>
      </x:c>
      <x:c r="M97" t="str">
        <x:f>IF('Official Ranking v2'!B101="","",'Official Ranking v2'!V101)</x:f>
      </x:c>
      <x:c r="N97" s="226" t="str">
        <x:f>IF('Official Ranking v2'!B101="","",'Official Ranking v2'!P101)</x:f>
      </x:c>
    </x:row>
    <x:row r="98">
      <x:c r="A98" t="str">
        <x:f>'Player Report Index'!B101</x:f>
      </x:c>
      <x:c r="B98" t="n">
        <x:f>'Player Report Index'!J101</x:f>
        <x:v>0</x:v>
      </x:c>
      <x:c r="C98" t="str">
        <x:f>IF('Official Ranking v2'!B102="","",'Official Ranking v2'!A102)</x:f>
      </x:c>
      <x:c r="D98" t="str">
        <x:f>IF('Official Ranking v2'!B102="","",'Official Ranking v2'!B102)</x:f>
      </x:c>
      <x:c r="E98" t="str">
        <x:f>IF('Official Ranking v2'!B102="","",'Official Ranking v2'!C102)</x:f>
      </x:c>
      <x:c r="F98" t="str">
        <x:f>IF('Official Ranking v2'!B102="","",'Official Ranking v2'!D102)</x:f>
      </x:c>
      <x:c r="G98" t="str">
        <x:f>IF('Official Ranking v2'!B102="","",'Official Ranking v2'!E102)</x:f>
      </x:c>
      <x:c r="H98" s="303" t="str">
        <x:f>IF('Official Ranking v2'!B102="","",'Official Ranking v2'!F102)</x:f>
      </x:c>
      <x:c r="I98" s="226" t="str">
        <x:f>IF('Official Ranking v2'!B102="","",'Official Ranking v2'!S102)</x:f>
      </x:c>
      <x:c r="J98" t="str">
        <x:f>IF('Official Ranking v2'!B102="","",'Official Ranking v2'!T102)</x:f>
      </x:c>
      <x:c r="K98" t="str">
        <x:f>IF('Official Ranking v2'!B102="","",'Official Ranking v2'!W102)</x:f>
      </x:c>
      <x:c r="L98" t="str">
        <x:f>IF('Official Ranking v2'!B102="","",'Official Ranking v2'!X102)</x:f>
      </x:c>
      <x:c r="M98" t="str">
        <x:f>IF('Official Ranking v2'!B102="","",'Official Ranking v2'!V102)</x:f>
      </x:c>
      <x:c r="N98" s="226" t="str">
        <x:f>IF('Official Ranking v2'!B102="","",'Official Ranking v2'!P102)</x:f>
      </x:c>
    </x:row>
    <x:row r="99">
      <x:c r="A99" t="str">
        <x:f>'Player Report Index'!B102</x:f>
      </x:c>
      <x:c r="B99" t="n">
        <x:f>'Player Report Index'!J102</x:f>
        <x:v>0</x:v>
      </x:c>
      <x:c r="C99" t="str">
        <x:f>IF('Official Ranking v2'!B103="","",'Official Ranking v2'!A103)</x:f>
      </x:c>
      <x:c r="D99" t="str">
        <x:f>IF('Official Ranking v2'!B103="","",'Official Ranking v2'!B103)</x:f>
      </x:c>
      <x:c r="E99" t="str">
        <x:f>IF('Official Ranking v2'!B103="","",'Official Ranking v2'!C103)</x:f>
      </x:c>
      <x:c r="F99" t="str">
        <x:f>IF('Official Ranking v2'!B103="","",'Official Ranking v2'!D103)</x:f>
      </x:c>
      <x:c r="G99" t="str">
        <x:f>IF('Official Ranking v2'!B103="","",'Official Ranking v2'!E103)</x:f>
      </x:c>
      <x:c r="H99" s="303" t="str">
        <x:f>IF('Official Ranking v2'!B103="","",'Official Ranking v2'!F103)</x:f>
      </x:c>
      <x:c r="I99" s="226" t="str">
        <x:f>IF('Official Ranking v2'!B103="","",'Official Ranking v2'!S103)</x:f>
      </x:c>
      <x:c r="J99" t="str">
        <x:f>IF('Official Ranking v2'!B103="","",'Official Ranking v2'!T103)</x:f>
      </x:c>
      <x:c r="K99" t="str">
        <x:f>IF('Official Ranking v2'!B103="","",'Official Ranking v2'!W103)</x:f>
      </x:c>
      <x:c r="L99" t="str">
        <x:f>IF('Official Ranking v2'!B103="","",'Official Ranking v2'!X103)</x:f>
      </x:c>
      <x:c r="M99" t="str">
        <x:f>IF('Official Ranking v2'!B103="","",'Official Ranking v2'!V103)</x:f>
      </x:c>
      <x:c r="N99" s="226" t="str">
        <x:f>IF('Official Ranking v2'!B103="","",'Official Ranking v2'!P103)</x:f>
      </x:c>
    </x:row>
    <x:row r="100">
      <x:c r="A100" t="str">
        <x:f>'Player Report Index'!B103</x:f>
      </x:c>
      <x:c r="B100" t="n">
        <x:f>'Player Report Index'!J103</x:f>
        <x:v>0</x:v>
      </x:c>
      <x:c r="C100" t="str">
        <x:f>IF('Official Ranking v2'!B104="","",'Official Ranking v2'!A104)</x:f>
      </x:c>
      <x:c r="D100" t="str">
        <x:f>IF('Official Ranking v2'!B104="","",'Official Ranking v2'!B104)</x:f>
      </x:c>
      <x:c r="E100" t="str">
        <x:f>IF('Official Ranking v2'!B104="","",'Official Ranking v2'!C104)</x:f>
      </x:c>
      <x:c r="F100" t="str">
        <x:f>IF('Official Ranking v2'!B104="","",'Official Ranking v2'!D104)</x:f>
      </x:c>
      <x:c r="G100" t="str">
        <x:f>IF('Official Ranking v2'!B104="","",'Official Ranking v2'!E104)</x:f>
      </x:c>
      <x:c r="H100" s="303" t="str">
        <x:f>IF('Official Ranking v2'!B104="","",'Official Ranking v2'!F104)</x:f>
      </x:c>
      <x:c r="I100" s="226" t="str">
        <x:f>IF('Official Ranking v2'!B104="","",'Official Ranking v2'!S104)</x:f>
      </x:c>
      <x:c r="J100" t="str">
        <x:f>IF('Official Ranking v2'!B104="","",'Official Ranking v2'!T104)</x:f>
      </x:c>
      <x:c r="K100" t="str">
        <x:f>IF('Official Ranking v2'!B104="","",'Official Ranking v2'!W104)</x:f>
      </x:c>
      <x:c r="L100" t="str">
        <x:f>IF('Official Ranking v2'!B104="","",'Official Ranking v2'!X104)</x:f>
      </x:c>
      <x:c r="M100" t="str">
        <x:f>IF('Official Ranking v2'!B104="","",'Official Ranking v2'!V104)</x:f>
      </x:c>
      <x:c r="N100" s="226" t="str">
        <x:f>IF('Official Ranking v2'!B104="","",'Official Ranking v2'!P104)</x:f>
      </x:c>
    </x:row>
    <x:row r="101">
      <x:c r="A101" t="str">
        <x:f>'Player Report Index'!B104</x:f>
      </x:c>
      <x:c r="B101" t="n">
        <x:f>'Player Report Index'!J104</x:f>
        <x:v>0</x:v>
      </x:c>
      <x:c r="C101" t="str">
        <x:f>IF('Official Ranking v2'!B105="","",'Official Ranking v2'!A105)</x:f>
      </x:c>
      <x:c r="D101" t="str">
        <x:f>IF('Official Ranking v2'!B105="","",'Official Ranking v2'!B105)</x:f>
      </x:c>
      <x:c r="E101" t="str">
        <x:f>IF('Official Ranking v2'!B105="","",'Official Ranking v2'!C105)</x:f>
      </x:c>
      <x:c r="F101" t="str">
        <x:f>IF('Official Ranking v2'!B105="","",'Official Ranking v2'!D105)</x:f>
      </x:c>
      <x:c r="G101" t="str">
        <x:f>IF('Official Ranking v2'!B105="","",'Official Ranking v2'!E105)</x:f>
      </x:c>
      <x:c r="H101" s="303" t="str">
        <x:f>IF('Official Ranking v2'!B105="","",'Official Ranking v2'!F105)</x:f>
      </x:c>
      <x:c r="I101" s="226" t="str">
        <x:f>IF('Official Ranking v2'!B105="","",'Official Ranking v2'!S105)</x:f>
      </x:c>
      <x:c r="J101" t="str">
        <x:f>IF('Official Ranking v2'!B105="","",'Official Ranking v2'!T105)</x:f>
      </x:c>
      <x:c r="K101" t="str">
        <x:f>IF('Official Ranking v2'!B105="","",'Official Ranking v2'!W105)</x:f>
      </x:c>
      <x:c r="L101" t="str">
        <x:f>IF('Official Ranking v2'!B105="","",'Official Ranking v2'!X105)</x:f>
      </x:c>
      <x:c r="M101" t="str">
        <x:f>IF('Official Ranking v2'!B105="","",'Official Ranking v2'!V105)</x:f>
      </x:c>
      <x:c r="N101" s="226" t="str">
        <x:f>IF('Official Ranking v2'!B105="","",'Official Ranking v2'!P105)</x:f>
      </x:c>
    </x:row>
    <x:row r="102">
      <x:c r="A102" t="str">
        <x:f>'Player Report Index'!B105</x:f>
      </x:c>
      <x:c r="B102" t="n">
        <x:f>'Player Report Index'!J105</x:f>
        <x:v>0</x:v>
      </x:c>
      <x:c r="C102" t="str">
        <x:f>IF('Official Ranking v2'!B106="","",'Official Ranking v2'!A106)</x:f>
      </x:c>
      <x:c r="D102" t="str">
        <x:f>IF('Official Ranking v2'!B106="","",'Official Ranking v2'!B106)</x:f>
      </x:c>
      <x:c r="E102" t="str">
        <x:f>IF('Official Ranking v2'!B106="","",'Official Ranking v2'!C106)</x:f>
      </x:c>
      <x:c r="F102" t="str">
        <x:f>IF('Official Ranking v2'!B106="","",'Official Ranking v2'!D106)</x:f>
      </x:c>
      <x:c r="G102" t="str">
        <x:f>IF('Official Ranking v2'!B106="","",'Official Ranking v2'!E106)</x:f>
      </x:c>
      <x:c r="H102" s="303" t="str">
        <x:f>IF('Official Ranking v2'!B106="","",'Official Ranking v2'!F106)</x:f>
      </x:c>
      <x:c r="I102" s="226" t="str">
        <x:f>IF('Official Ranking v2'!B106="","",'Official Ranking v2'!S106)</x:f>
      </x:c>
      <x:c r="J102" t="str">
        <x:f>IF('Official Ranking v2'!B106="","",'Official Ranking v2'!T106)</x:f>
      </x:c>
      <x:c r="K102" t="str">
        <x:f>IF('Official Ranking v2'!B106="","",'Official Ranking v2'!W106)</x:f>
      </x:c>
      <x:c r="L102" t="str">
        <x:f>IF('Official Ranking v2'!B106="","",'Official Ranking v2'!X106)</x:f>
      </x:c>
      <x:c r="M102" t="str">
        <x:f>IF('Official Ranking v2'!B106="","",'Official Ranking v2'!V106)</x:f>
      </x:c>
      <x:c r="N102" s="226" t="str">
        <x:f>IF('Official Ranking v2'!B106="","",'Official Ranking v2'!P106)</x:f>
      </x:c>
    </x:row>
    <x:row r="103">
      <x:c r="A103" t="str">
        <x:f>'Player Report Index'!B106</x:f>
      </x:c>
      <x:c r="B103" t="n">
        <x:f>'Player Report Index'!J106</x:f>
        <x:v>0</x:v>
      </x:c>
      <x:c r="C103" t="str">
        <x:f>IF('Official Ranking v2'!B107="","",'Official Ranking v2'!A107)</x:f>
      </x:c>
      <x:c r="D103" t="str">
        <x:f>IF('Official Ranking v2'!B107="","",'Official Ranking v2'!B107)</x:f>
      </x:c>
      <x:c r="E103" t="str">
        <x:f>IF('Official Ranking v2'!B107="","",'Official Ranking v2'!C107)</x:f>
      </x:c>
      <x:c r="F103" t="str">
        <x:f>IF('Official Ranking v2'!B107="","",'Official Ranking v2'!D107)</x:f>
      </x:c>
      <x:c r="G103" t="str">
        <x:f>IF('Official Ranking v2'!B107="","",'Official Ranking v2'!E107)</x:f>
      </x:c>
      <x:c r="H103" s="303" t="str">
        <x:f>IF('Official Ranking v2'!B107="","",'Official Ranking v2'!F107)</x:f>
      </x:c>
      <x:c r="I103" s="226" t="str">
        <x:f>IF('Official Ranking v2'!B107="","",'Official Ranking v2'!S107)</x:f>
      </x:c>
      <x:c r="J103" t="str">
        <x:f>IF('Official Ranking v2'!B107="","",'Official Ranking v2'!T107)</x:f>
      </x:c>
      <x:c r="K103" t="str">
        <x:f>IF('Official Ranking v2'!B107="","",'Official Ranking v2'!W107)</x:f>
      </x:c>
      <x:c r="L103" t="str">
        <x:f>IF('Official Ranking v2'!B107="","",'Official Ranking v2'!X107)</x:f>
      </x:c>
      <x:c r="M103" t="str">
        <x:f>IF('Official Ranking v2'!B107="","",'Official Ranking v2'!V107)</x:f>
      </x:c>
      <x:c r="N103" s="226" t="str">
        <x:f>IF('Official Ranking v2'!B107="","",'Official Ranking v2'!P107)</x:f>
      </x:c>
    </x:row>
    <x:row r="104">
      <x:c r="A104" t="str">
        <x:f>'Player Report Index'!B107</x:f>
      </x:c>
      <x:c r="B104" t="n">
        <x:f>'Player Report Index'!J107</x:f>
        <x:v>0</x:v>
      </x:c>
      <x:c r="C104" t="str">
        <x:f>IF('Official Ranking v2'!B108="","",'Official Ranking v2'!A108)</x:f>
      </x:c>
      <x:c r="D104" t="str">
        <x:f>IF('Official Ranking v2'!B108="","",'Official Ranking v2'!B108)</x:f>
      </x:c>
      <x:c r="E104" t="str">
        <x:f>IF('Official Ranking v2'!B108="","",'Official Ranking v2'!C108)</x:f>
      </x:c>
      <x:c r="F104" t="str">
        <x:f>IF('Official Ranking v2'!B108="","",'Official Ranking v2'!D108)</x:f>
      </x:c>
      <x:c r="G104" t="str">
        <x:f>IF('Official Ranking v2'!B108="","",'Official Ranking v2'!E108)</x:f>
      </x:c>
      <x:c r="H104" s="303" t="str">
        <x:f>IF('Official Ranking v2'!B108="","",'Official Ranking v2'!F108)</x:f>
      </x:c>
      <x:c r="I104" s="226" t="str">
        <x:f>IF('Official Ranking v2'!B108="","",'Official Ranking v2'!S108)</x:f>
      </x:c>
      <x:c r="J104" t="str">
        <x:f>IF('Official Ranking v2'!B108="","",'Official Ranking v2'!T108)</x:f>
      </x:c>
      <x:c r="K104" t="str">
        <x:f>IF('Official Ranking v2'!B108="","",'Official Ranking v2'!W108)</x:f>
      </x:c>
      <x:c r="L104" t="str">
        <x:f>IF('Official Ranking v2'!B108="","",'Official Ranking v2'!X108)</x:f>
      </x:c>
      <x:c r="M104" t="str">
        <x:f>IF('Official Ranking v2'!B108="","",'Official Ranking v2'!V108)</x:f>
      </x:c>
      <x:c r="N104" s="226" t="str">
        <x:f>IF('Official Ranking v2'!B108="","",'Official Ranking v2'!P108)</x:f>
      </x:c>
    </x:row>
    <x:row r="105">
      <x:c r="A105" t="str">
        <x:f>'Player Report Index'!B108</x:f>
      </x:c>
      <x:c r="B105" t="n">
        <x:f>'Player Report Index'!J108</x:f>
        <x:v>0</x:v>
      </x:c>
      <x:c r="C105" t="str">
        <x:f>IF('Official Ranking v2'!B109="","",'Official Ranking v2'!A109)</x:f>
      </x:c>
      <x:c r="D105" t="str">
        <x:f>IF('Official Ranking v2'!B109="","",'Official Ranking v2'!B109)</x:f>
      </x:c>
      <x:c r="E105" t="str">
        <x:f>IF('Official Ranking v2'!B109="","",'Official Ranking v2'!C109)</x:f>
      </x:c>
      <x:c r="F105" t="str">
        <x:f>IF('Official Ranking v2'!B109="","",'Official Ranking v2'!D109)</x:f>
      </x:c>
      <x:c r="G105" t="str">
        <x:f>IF('Official Ranking v2'!B109="","",'Official Ranking v2'!E109)</x:f>
      </x:c>
      <x:c r="H105" s="303" t="str">
        <x:f>IF('Official Ranking v2'!B109="","",'Official Ranking v2'!F109)</x:f>
      </x:c>
      <x:c r="I105" s="226" t="str">
        <x:f>IF('Official Ranking v2'!B109="","",'Official Ranking v2'!S109)</x:f>
      </x:c>
      <x:c r="J105" t="str">
        <x:f>IF('Official Ranking v2'!B109="","",'Official Ranking v2'!T109)</x:f>
      </x:c>
      <x:c r="K105" t="str">
        <x:f>IF('Official Ranking v2'!B109="","",'Official Ranking v2'!W109)</x:f>
      </x:c>
      <x:c r="L105" t="str">
        <x:f>IF('Official Ranking v2'!B109="","",'Official Ranking v2'!X109)</x:f>
      </x:c>
      <x:c r="M105" t="str">
        <x:f>IF('Official Ranking v2'!B109="","",'Official Ranking v2'!V109)</x:f>
      </x:c>
      <x:c r="N105" s="226" t="str">
        <x:f>IF('Official Ranking v2'!B109="","",'Official Ranking v2'!P109)</x:f>
      </x:c>
    </x:row>
    <x:row r="106">
      <x:c r="A106" t="str">
        <x:f>'Player Report Index'!B109</x:f>
      </x:c>
      <x:c r="B106" t="n">
        <x:f>'Player Report Index'!J109</x:f>
        <x:v>0</x:v>
      </x:c>
      <x:c r="C106" t="str">
        <x:f>IF('Official Ranking v2'!B110="","",'Official Ranking v2'!A110)</x:f>
      </x:c>
      <x:c r="D106" t="str">
        <x:f>IF('Official Ranking v2'!B110="","",'Official Ranking v2'!B110)</x:f>
      </x:c>
      <x:c r="E106" t="str">
        <x:f>IF('Official Ranking v2'!B110="","",'Official Ranking v2'!C110)</x:f>
      </x:c>
      <x:c r="F106" t="str">
        <x:f>IF('Official Ranking v2'!B110="","",'Official Ranking v2'!D110)</x:f>
      </x:c>
      <x:c r="G106" t="str">
        <x:f>IF('Official Ranking v2'!B110="","",'Official Ranking v2'!E110)</x:f>
      </x:c>
      <x:c r="H106" s="303" t="str">
        <x:f>IF('Official Ranking v2'!B110="","",'Official Ranking v2'!F110)</x:f>
      </x:c>
      <x:c r="I106" s="226" t="str">
        <x:f>IF('Official Ranking v2'!B110="","",'Official Ranking v2'!S110)</x:f>
      </x:c>
      <x:c r="J106" t="str">
        <x:f>IF('Official Ranking v2'!B110="","",'Official Ranking v2'!T110)</x:f>
      </x:c>
      <x:c r="K106" t="str">
        <x:f>IF('Official Ranking v2'!B110="","",'Official Ranking v2'!W110)</x:f>
      </x:c>
      <x:c r="L106" t="str">
        <x:f>IF('Official Ranking v2'!B110="","",'Official Ranking v2'!X110)</x:f>
      </x:c>
      <x:c r="M106" t="str">
        <x:f>IF('Official Ranking v2'!B110="","",'Official Ranking v2'!V110)</x:f>
      </x:c>
      <x:c r="N106" s="226" t="str">
        <x:f>IF('Official Ranking v2'!B110="","",'Official Ranking v2'!P110)</x:f>
      </x:c>
    </x:row>
    <x:row r="107">
      <x:c r="A107" t="str">
        <x:f>'Player Report Index'!B110</x:f>
      </x:c>
      <x:c r="B107" t="n">
        <x:f>'Player Report Index'!J110</x:f>
        <x:v>0</x:v>
      </x:c>
      <x:c r="C107" t="str">
        <x:f>IF('Official Ranking v2'!B111="","",'Official Ranking v2'!A111)</x:f>
      </x:c>
      <x:c r="D107" t="str">
        <x:f>IF('Official Ranking v2'!B111="","",'Official Ranking v2'!B111)</x:f>
      </x:c>
      <x:c r="E107" t="str">
        <x:f>IF('Official Ranking v2'!B111="","",'Official Ranking v2'!C111)</x:f>
      </x:c>
      <x:c r="F107" t="str">
        <x:f>IF('Official Ranking v2'!B111="","",'Official Ranking v2'!D111)</x:f>
      </x:c>
      <x:c r="G107" t="str">
        <x:f>IF('Official Ranking v2'!B111="","",'Official Ranking v2'!E111)</x:f>
      </x:c>
      <x:c r="H107" s="303" t="str">
        <x:f>IF('Official Ranking v2'!B111="","",'Official Ranking v2'!F111)</x:f>
      </x:c>
      <x:c r="I107" s="226" t="str">
        <x:f>IF('Official Ranking v2'!B111="","",'Official Ranking v2'!S111)</x:f>
      </x:c>
      <x:c r="J107" t="str">
        <x:f>IF('Official Ranking v2'!B111="","",'Official Ranking v2'!T111)</x:f>
      </x:c>
      <x:c r="K107" t="str">
        <x:f>IF('Official Ranking v2'!B111="","",'Official Ranking v2'!W111)</x:f>
      </x:c>
      <x:c r="L107" t="str">
        <x:f>IF('Official Ranking v2'!B111="","",'Official Ranking v2'!X111)</x:f>
      </x:c>
      <x:c r="M107" t="str">
        <x:f>IF('Official Ranking v2'!B111="","",'Official Ranking v2'!V111)</x:f>
      </x:c>
      <x:c r="N107" s="226" t="str">
        <x:f>IF('Official Ranking v2'!B111="","",'Official Ranking v2'!P111)</x:f>
      </x:c>
    </x:row>
    <x:row r="108">
      <x:c r="A108" t="str">
        <x:f>'Player Report Index'!B111</x:f>
      </x:c>
      <x:c r="B108" t="n">
        <x:f>'Player Report Index'!J111</x:f>
        <x:v>0</x:v>
      </x:c>
      <x:c r="C108" t="str">
        <x:f>IF('Official Ranking v2'!B112="","",'Official Ranking v2'!A112)</x:f>
      </x:c>
      <x:c r="D108" t="str">
        <x:f>IF('Official Ranking v2'!B112="","",'Official Ranking v2'!B112)</x:f>
      </x:c>
      <x:c r="E108" t="str">
        <x:f>IF('Official Ranking v2'!B112="","",'Official Ranking v2'!C112)</x:f>
      </x:c>
      <x:c r="F108" t="str">
        <x:f>IF('Official Ranking v2'!B112="","",'Official Ranking v2'!D112)</x:f>
      </x:c>
      <x:c r="G108" t="str">
        <x:f>IF('Official Ranking v2'!B112="","",'Official Ranking v2'!E112)</x:f>
      </x:c>
      <x:c r="H108" s="303" t="str">
        <x:f>IF('Official Ranking v2'!B112="","",'Official Ranking v2'!F112)</x:f>
      </x:c>
      <x:c r="I108" s="226" t="str">
        <x:f>IF('Official Ranking v2'!B112="","",'Official Ranking v2'!S112)</x:f>
      </x:c>
      <x:c r="J108" t="str">
        <x:f>IF('Official Ranking v2'!B112="","",'Official Ranking v2'!T112)</x:f>
      </x:c>
      <x:c r="K108" t="str">
        <x:f>IF('Official Ranking v2'!B112="","",'Official Ranking v2'!W112)</x:f>
      </x:c>
      <x:c r="L108" t="str">
        <x:f>IF('Official Ranking v2'!B112="","",'Official Ranking v2'!X112)</x:f>
      </x:c>
      <x:c r="M108" t="str">
        <x:f>IF('Official Ranking v2'!B112="","",'Official Ranking v2'!V112)</x:f>
      </x:c>
      <x:c r="N108" s="226" t="str">
        <x:f>IF('Official Ranking v2'!B112="","",'Official Ranking v2'!P112)</x:f>
      </x:c>
    </x:row>
    <x:row r="109">
      <x:c r="A109" t="str">
        <x:f>'Player Report Index'!B112</x:f>
      </x:c>
      <x:c r="B109" t="n">
        <x:f>'Player Report Index'!J112</x:f>
        <x:v>0</x:v>
      </x:c>
      <x:c r="C109" t="str">
        <x:f>IF('Official Ranking v2'!B113="","",'Official Ranking v2'!A113)</x:f>
      </x:c>
      <x:c r="D109" t="str">
        <x:f>IF('Official Ranking v2'!B113="","",'Official Ranking v2'!B113)</x:f>
      </x:c>
      <x:c r="E109" t="str">
        <x:f>IF('Official Ranking v2'!B113="","",'Official Ranking v2'!C113)</x:f>
      </x:c>
      <x:c r="F109" t="str">
        <x:f>IF('Official Ranking v2'!B113="","",'Official Ranking v2'!D113)</x:f>
      </x:c>
      <x:c r="G109" t="str">
        <x:f>IF('Official Ranking v2'!B113="","",'Official Ranking v2'!E113)</x:f>
      </x:c>
      <x:c r="H109" s="303" t="str">
        <x:f>IF('Official Ranking v2'!B113="","",'Official Ranking v2'!F113)</x:f>
      </x:c>
      <x:c r="I109" s="226" t="str">
        <x:f>IF('Official Ranking v2'!B113="","",'Official Ranking v2'!S113)</x:f>
      </x:c>
      <x:c r="J109" t="str">
        <x:f>IF('Official Ranking v2'!B113="","",'Official Ranking v2'!T113)</x:f>
      </x:c>
      <x:c r="K109" t="str">
        <x:f>IF('Official Ranking v2'!B113="","",'Official Ranking v2'!W113)</x:f>
      </x:c>
      <x:c r="L109" t="str">
        <x:f>IF('Official Ranking v2'!B113="","",'Official Ranking v2'!X113)</x:f>
      </x:c>
      <x:c r="M109" t="str">
        <x:f>IF('Official Ranking v2'!B113="","",'Official Ranking v2'!V113)</x:f>
      </x:c>
      <x:c r="N109" s="226" t="str">
        <x:f>IF('Official Ranking v2'!B113="","",'Official Ranking v2'!P113)</x:f>
      </x:c>
    </x:row>
    <x:row r="110">
      <x:c r="A110" t="str">
        <x:f>'Player Report Index'!B113</x:f>
      </x:c>
      <x:c r="B110" t="n">
        <x:f>'Player Report Index'!J113</x:f>
        <x:v>0</x:v>
      </x:c>
      <x:c r="C110" t="str">
        <x:f>IF('Official Ranking v2'!B114="","",'Official Ranking v2'!A114)</x:f>
      </x:c>
      <x:c r="D110" t="str">
        <x:f>IF('Official Ranking v2'!B114="","",'Official Ranking v2'!B114)</x:f>
      </x:c>
      <x:c r="E110" t="str">
        <x:f>IF('Official Ranking v2'!B114="","",'Official Ranking v2'!C114)</x:f>
      </x:c>
      <x:c r="F110" t="str">
        <x:f>IF('Official Ranking v2'!B114="","",'Official Ranking v2'!D114)</x:f>
      </x:c>
      <x:c r="G110" t="str">
        <x:f>IF('Official Ranking v2'!B114="","",'Official Ranking v2'!E114)</x:f>
      </x:c>
      <x:c r="H110" s="303" t="str">
        <x:f>IF('Official Ranking v2'!B114="","",'Official Ranking v2'!F114)</x:f>
      </x:c>
      <x:c r="I110" s="226" t="str">
        <x:f>IF('Official Ranking v2'!B114="","",'Official Ranking v2'!S114)</x:f>
      </x:c>
      <x:c r="J110" t="str">
        <x:f>IF('Official Ranking v2'!B114="","",'Official Ranking v2'!T114)</x:f>
      </x:c>
      <x:c r="K110" t="str">
        <x:f>IF('Official Ranking v2'!B114="","",'Official Ranking v2'!W114)</x:f>
      </x:c>
      <x:c r="L110" t="str">
        <x:f>IF('Official Ranking v2'!B114="","",'Official Ranking v2'!X114)</x:f>
      </x:c>
      <x:c r="M110" t="str">
        <x:f>IF('Official Ranking v2'!B114="","",'Official Ranking v2'!V114)</x:f>
      </x:c>
      <x:c r="N110" s="226" t="str">
        <x:f>IF('Official Ranking v2'!B114="","",'Official Ranking v2'!P114)</x:f>
      </x:c>
    </x:row>
    <x:row r="111">
      <x:c r="A111" t="str">
        <x:f>'Player Report Index'!B114</x:f>
      </x:c>
      <x:c r="B111" t="n">
        <x:f>'Player Report Index'!J114</x:f>
        <x:v>0</x:v>
      </x:c>
      <x:c r="C111" t="str">
        <x:f>IF('Official Ranking v2'!B115="","",'Official Ranking v2'!A115)</x:f>
      </x:c>
      <x:c r="D111" t="str">
        <x:f>IF('Official Ranking v2'!B115="","",'Official Ranking v2'!B115)</x:f>
      </x:c>
      <x:c r="E111" t="str">
        <x:f>IF('Official Ranking v2'!B115="","",'Official Ranking v2'!C115)</x:f>
      </x:c>
      <x:c r="F111" t="str">
        <x:f>IF('Official Ranking v2'!B115="","",'Official Ranking v2'!D115)</x:f>
      </x:c>
      <x:c r="G111" t="str">
        <x:f>IF('Official Ranking v2'!B115="","",'Official Ranking v2'!E115)</x:f>
      </x:c>
      <x:c r="H111" s="303" t="str">
        <x:f>IF('Official Ranking v2'!B115="","",'Official Ranking v2'!F115)</x:f>
      </x:c>
      <x:c r="I111" s="226" t="str">
        <x:f>IF('Official Ranking v2'!B115="","",'Official Ranking v2'!S115)</x:f>
      </x:c>
      <x:c r="J111" t="str">
        <x:f>IF('Official Ranking v2'!B115="","",'Official Ranking v2'!T115)</x:f>
      </x:c>
      <x:c r="K111" t="str">
        <x:f>IF('Official Ranking v2'!B115="","",'Official Ranking v2'!W115)</x:f>
      </x:c>
      <x:c r="L111" t="str">
        <x:f>IF('Official Ranking v2'!B115="","",'Official Ranking v2'!X115)</x:f>
      </x:c>
      <x:c r="M111" t="str">
        <x:f>IF('Official Ranking v2'!B115="","",'Official Ranking v2'!V115)</x:f>
      </x:c>
      <x:c r="N111" s="226" t="str">
        <x:f>IF('Official Ranking v2'!B115="","",'Official Ranking v2'!P115)</x:f>
      </x:c>
    </x:row>
    <x:row r="112">
      <x:c r="A112" t="str">
        <x:f>'Player Report Index'!B115</x:f>
      </x:c>
      <x:c r="B112" t="n">
        <x:f>'Player Report Index'!J115</x:f>
        <x:v>0</x:v>
      </x:c>
      <x:c r="C112" t="str">
        <x:f>IF('Official Ranking v2'!B116="","",'Official Ranking v2'!A116)</x:f>
      </x:c>
      <x:c r="D112" t="str">
        <x:f>IF('Official Ranking v2'!B116="","",'Official Ranking v2'!B116)</x:f>
      </x:c>
      <x:c r="E112" t="str">
        <x:f>IF('Official Ranking v2'!B116="","",'Official Ranking v2'!C116)</x:f>
      </x:c>
      <x:c r="F112" t="str">
        <x:f>IF('Official Ranking v2'!B116="","",'Official Ranking v2'!D116)</x:f>
      </x:c>
      <x:c r="G112" t="str">
        <x:f>IF('Official Ranking v2'!B116="","",'Official Ranking v2'!E116)</x:f>
      </x:c>
      <x:c r="H112" s="303" t="str">
        <x:f>IF('Official Ranking v2'!B116="","",'Official Ranking v2'!F116)</x:f>
      </x:c>
      <x:c r="I112" s="226" t="str">
        <x:f>IF('Official Ranking v2'!B116="","",'Official Ranking v2'!S116)</x:f>
      </x:c>
      <x:c r="J112" t="str">
        <x:f>IF('Official Ranking v2'!B116="","",'Official Ranking v2'!T116)</x:f>
      </x:c>
      <x:c r="K112" t="str">
        <x:f>IF('Official Ranking v2'!B116="","",'Official Ranking v2'!W116)</x:f>
      </x:c>
      <x:c r="L112" t="str">
        <x:f>IF('Official Ranking v2'!B116="","",'Official Ranking v2'!X116)</x:f>
      </x:c>
      <x:c r="M112" t="str">
        <x:f>IF('Official Ranking v2'!B116="","",'Official Ranking v2'!V116)</x:f>
      </x:c>
      <x:c r="N112" s="226" t="str">
        <x:f>IF('Official Ranking v2'!B116="","",'Official Ranking v2'!P116)</x:f>
      </x:c>
    </x:row>
    <x:row r="113">
      <x:c r="A113" t="str">
        <x:f>'Player Report Index'!B116</x:f>
      </x:c>
      <x:c r="B113" t="n">
        <x:f>'Player Report Index'!J116</x:f>
        <x:v>0</x:v>
      </x:c>
      <x:c r="C113" t="str">
        <x:f>IF('Official Ranking v2'!B117="","",'Official Ranking v2'!A117)</x:f>
      </x:c>
      <x:c r="D113" t="str">
        <x:f>IF('Official Ranking v2'!B117="","",'Official Ranking v2'!B117)</x:f>
      </x:c>
      <x:c r="E113" t="str">
        <x:f>IF('Official Ranking v2'!B117="","",'Official Ranking v2'!C117)</x:f>
      </x:c>
      <x:c r="F113" t="str">
        <x:f>IF('Official Ranking v2'!B117="","",'Official Ranking v2'!D117)</x:f>
      </x:c>
      <x:c r="G113" t="str">
        <x:f>IF('Official Ranking v2'!B117="","",'Official Ranking v2'!E117)</x:f>
      </x:c>
      <x:c r="H113" s="303" t="str">
        <x:f>IF('Official Ranking v2'!B117="","",'Official Ranking v2'!F117)</x:f>
      </x:c>
      <x:c r="I113" s="226" t="str">
        <x:f>IF('Official Ranking v2'!B117="","",'Official Ranking v2'!S117)</x:f>
      </x:c>
      <x:c r="J113" t="str">
        <x:f>IF('Official Ranking v2'!B117="","",'Official Ranking v2'!T117)</x:f>
      </x:c>
      <x:c r="K113" t="str">
        <x:f>IF('Official Ranking v2'!B117="","",'Official Ranking v2'!W117)</x:f>
      </x:c>
      <x:c r="L113" t="str">
        <x:f>IF('Official Ranking v2'!B117="","",'Official Ranking v2'!X117)</x:f>
      </x:c>
      <x:c r="M113" t="str">
        <x:f>IF('Official Ranking v2'!B117="","",'Official Ranking v2'!V117)</x:f>
      </x:c>
      <x:c r="N113" s="226" t="str">
        <x:f>IF('Official Ranking v2'!B117="","",'Official Ranking v2'!P117)</x:f>
      </x:c>
    </x:row>
    <x:row r="114">
      <x:c r="A114" t="str">
        <x:f>'Player Report Index'!B117</x:f>
      </x:c>
      <x:c r="B114" t="n">
        <x:f>'Player Report Index'!J117</x:f>
        <x:v>0</x:v>
      </x:c>
      <x:c r="C114" t="str">
        <x:f>IF('Official Ranking v2'!B118="","",'Official Ranking v2'!A118)</x:f>
      </x:c>
      <x:c r="D114" t="str">
        <x:f>IF('Official Ranking v2'!B118="","",'Official Ranking v2'!B118)</x:f>
      </x:c>
      <x:c r="E114" t="str">
        <x:f>IF('Official Ranking v2'!B118="","",'Official Ranking v2'!C118)</x:f>
      </x:c>
      <x:c r="F114" t="str">
        <x:f>IF('Official Ranking v2'!B118="","",'Official Ranking v2'!D118)</x:f>
      </x:c>
      <x:c r="G114" t="str">
        <x:f>IF('Official Ranking v2'!B118="","",'Official Ranking v2'!E118)</x:f>
      </x:c>
      <x:c r="H114" s="303" t="str">
        <x:f>IF('Official Ranking v2'!B118="","",'Official Ranking v2'!F118)</x:f>
      </x:c>
      <x:c r="I114" s="226" t="str">
        <x:f>IF('Official Ranking v2'!B118="","",'Official Ranking v2'!S118)</x:f>
      </x:c>
      <x:c r="J114" t="str">
        <x:f>IF('Official Ranking v2'!B118="","",'Official Ranking v2'!T118)</x:f>
      </x:c>
      <x:c r="K114" t="str">
        <x:f>IF('Official Ranking v2'!B118="","",'Official Ranking v2'!W118)</x:f>
      </x:c>
      <x:c r="L114" t="str">
        <x:f>IF('Official Ranking v2'!B118="","",'Official Ranking v2'!X118)</x:f>
      </x:c>
      <x:c r="M114" t="str">
        <x:f>IF('Official Ranking v2'!B118="","",'Official Ranking v2'!V118)</x:f>
      </x:c>
      <x:c r="N114" s="226" t="str">
        <x:f>IF('Official Ranking v2'!B118="","",'Official Ranking v2'!P118)</x:f>
      </x:c>
    </x:row>
    <x:row r="115">
      <x:c r="A115" t="str">
        <x:f>'Player Report Index'!B118</x:f>
      </x:c>
      <x:c r="B115" t="n">
        <x:f>'Player Report Index'!J118</x:f>
        <x:v>0</x:v>
      </x:c>
      <x:c r="C115" t="str">
        <x:f>IF('Official Ranking v2'!B119="","",'Official Ranking v2'!A119)</x:f>
      </x:c>
      <x:c r="D115" t="str">
        <x:f>IF('Official Ranking v2'!B119="","",'Official Ranking v2'!B119)</x:f>
      </x:c>
      <x:c r="E115" t="str">
        <x:f>IF('Official Ranking v2'!B119="","",'Official Ranking v2'!C119)</x:f>
      </x:c>
      <x:c r="F115" t="str">
        <x:f>IF('Official Ranking v2'!B119="","",'Official Ranking v2'!D119)</x:f>
      </x:c>
      <x:c r="G115" t="str">
        <x:f>IF('Official Ranking v2'!B119="","",'Official Ranking v2'!E119)</x:f>
      </x:c>
      <x:c r="H115" s="303" t="str">
        <x:f>IF('Official Ranking v2'!B119="","",'Official Ranking v2'!F119)</x:f>
      </x:c>
      <x:c r="I115" s="226" t="str">
        <x:f>IF('Official Ranking v2'!B119="","",'Official Ranking v2'!S119)</x:f>
      </x:c>
      <x:c r="J115" t="str">
        <x:f>IF('Official Ranking v2'!B119="","",'Official Ranking v2'!T119)</x:f>
      </x:c>
      <x:c r="K115" t="str">
        <x:f>IF('Official Ranking v2'!B119="","",'Official Ranking v2'!W119)</x:f>
      </x:c>
      <x:c r="L115" t="str">
        <x:f>IF('Official Ranking v2'!B119="","",'Official Ranking v2'!X119)</x:f>
      </x:c>
      <x:c r="M115" t="str">
        <x:f>IF('Official Ranking v2'!B119="","",'Official Ranking v2'!V119)</x:f>
      </x:c>
      <x:c r="N115" s="226" t="str">
        <x:f>IF('Official Ranking v2'!B119="","",'Official Ranking v2'!P119)</x:f>
      </x:c>
    </x:row>
    <x:row r="116">
      <x:c r="A116" t="str">
        <x:f>'Player Report Index'!B119</x:f>
      </x:c>
      <x:c r="B116" t="n">
        <x:f>'Player Report Index'!J119</x:f>
        <x:v>0</x:v>
      </x:c>
      <x:c r="C116" t="str">
        <x:f>IF('Official Ranking v2'!B120="","",'Official Ranking v2'!A120)</x:f>
      </x:c>
      <x:c r="D116" t="str">
        <x:f>IF('Official Ranking v2'!B120="","",'Official Ranking v2'!B120)</x:f>
      </x:c>
      <x:c r="E116" t="str">
        <x:f>IF('Official Ranking v2'!B120="","",'Official Ranking v2'!C120)</x:f>
      </x:c>
      <x:c r="F116" t="str">
        <x:f>IF('Official Ranking v2'!B120="","",'Official Ranking v2'!D120)</x:f>
      </x:c>
      <x:c r="G116" t="str">
        <x:f>IF('Official Ranking v2'!B120="","",'Official Ranking v2'!E120)</x:f>
      </x:c>
      <x:c r="H116" s="303" t="str">
        <x:f>IF('Official Ranking v2'!B120="","",'Official Ranking v2'!F120)</x:f>
      </x:c>
      <x:c r="I116" s="226" t="str">
        <x:f>IF('Official Ranking v2'!B120="","",'Official Ranking v2'!S120)</x:f>
      </x:c>
      <x:c r="J116" t="str">
        <x:f>IF('Official Ranking v2'!B120="","",'Official Ranking v2'!T120)</x:f>
      </x:c>
      <x:c r="K116" t="str">
        <x:f>IF('Official Ranking v2'!B120="","",'Official Ranking v2'!W120)</x:f>
      </x:c>
      <x:c r="L116" t="str">
        <x:f>IF('Official Ranking v2'!B120="","",'Official Ranking v2'!X120)</x:f>
      </x:c>
      <x:c r="M116" t="str">
        <x:f>IF('Official Ranking v2'!B120="","",'Official Ranking v2'!V120)</x:f>
      </x:c>
      <x:c r="N116" s="226" t="str">
        <x:f>IF('Official Ranking v2'!B120="","",'Official Ranking v2'!P120)</x:f>
      </x:c>
    </x:row>
    <x:row r="117">
      <x:c r="A117" t="str">
        <x:f>'Player Report Index'!B120</x:f>
      </x:c>
      <x:c r="B117" t="n">
        <x:f>'Player Report Index'!J120</x:f>
        <x:v>0</x:v>
      </x:c>
      <x:c r="C117" t="str">
        <x:f>IF('Official Ranking v2'!B121="","",'Official Ranking v2'!A121)</x:f>
      </x:c>
      <x:c r="D117" t="str">
        <x:f>IF('Official Ranking v2'!B121="","",'Official Ranking v2'!B121)</x:f>
      </x:c>
      <x:c r="E117" t="str">
        <x:f>IF('Official Ranking v2'!B121="","",'Official Ranking v2'!C121)</x:f>
      </x:c>
      <x:c r="F117" t="str">
        <x:f>IF('Official Ranking v2'!B121="","",'Official Ranking v2'!D121)</x:f>
      </x:c>
      <x:c r="G117" t="str">
        <x:f>IF('Official Ranking v2'!B121="","",'Official Ranking v2'!E121)</x:f>
      </x:c>
      <x:c r="H117" s="303" t="str">
        <x:f>IF('Official Ranking v2'!B121="","",'Official Ranking v2'!F121)</x:f>
      </x:c>
      <x:c r="I117" s="226" t="str">
        <x:f>IF('Official Ranking v2'!B121="","",'Official Ranking v2'!S121)</x:f>
      </x:c>
      <x:c r="J117" t="str">
        <x:f>IF('Official Ranking v2'!B121="","",'Official Ranking v2'!T121)</x:f>
      </x:c>
      <x:c r="K117" t="str">
        <x:f>IF('Official Ranking v2'!B121="","",'Official Ranking v2'!W121)</x:f>
      </x:c>
      <x:c r="L117" t="str">
        <x:f>IF('Official Ranking v2'!B121="","",'Official Ranking v2'!X121)</x:f>
      </x:c>
      <x:c r="M117" t="str">
        <x:f>IF('Official Ranking v2'!B121="","",'Official Ranking v2'!V121)</x:f>
      </x:c>
      <x:c r="N117" s="226" t="str">
        <x:f>IF('Official Ranking v2'!B121="","",'Official Ranking v2'!P121)</x:f>
      </x:c>
    </x:row>
    <x:row r="118">
      <x:c r="A118" t="str">
        <x:f>'Player Report Index'!B121</x:f>
      </x:c>
      <x:c r="B118" t="n">
        <x:f>'Player Report Index'!J121</x:f>
        <x:v>0</x:v>
      </x:c>
      <x:c r="C118" t="str">
        <x:f>IF('Official Ranking v2'!B122="","",'Official Ranking v2'!A122)</x:f>
      </x:c>
      <x:c r="D118" t="str">
        <x:f>IF('Official Ranking v2'!B122="","",'Official Ranking v2'!B122)</x:f>
      </x:c>
      <x:c r="E118" t="str">
        <x:f>IF('Official Ranking v2'!B122="","",'Official Ranking v2'!C122)</x:f>
      </x:c>
      <x:c r="F118" t="str">
        <x:f>IF('Official Ranking v2'!B122="","",'Official Ranking v2'!D122)</x:f>
      </x:c>
      <x:c r="G118" t="str">
        <x:f>IF('Official Ranking v2'!B122="","",'Official Ranking v2'!E122)</x:f>
      </x:c>
      <x:c r="H118" s="303" t="str">
        <x:f>IF('Official Ranking v2'!B122="","",'Official Ranking v2'!F122)</x:f>
      </x:c>
      <x:c r="I118" s="226" t="str">
        <x:f>IF('Official Ranking v2'!B122="","",'Official Ranking v2'!S122)</x:f>
      </x:c>
      <x:c r="J118" t="str">
        <x:f>IF('Official Ranking v2'!B122="","",'Official Ranking v2'!T122)</x:f>
      </x:c>
      <x:c r="K118" t="str">
        <x:f>IF('Official Ranking v2'!B122="","",'Official Ranking v2'!W122)</x:f>
      </x:c>
      <x:c r="L118" t="str">
        <x:f>IF('Official Ranking v2'!B122="","",'Official Ranking v2'!X122)</x:f>
      </x:c>
      <x:c r="M118" t="str">
        <x:f>IF('Official Ranking v2'!B122="","",'Official Ranking v2'!V122)</x:f>
      </x:c>
      <x:c r="N118" s="226" t="str">
        <x:f>IF('Official Ranking v2'!B122="","",'Official Ranking v2'!P122)</x:f>
      </x:c>
    </x:row>
    <x:row r="119">
      <x:c r="A119" t="str">
        <x:f>'Player Report Index'!B122</x:f>
      </x:c>
      <x:c r="B119" t="n">
        <x:f>'Player Report Index'!J122</x:f>
        <x:v>0</x:v>
      </x:c>
      <x:c r="C119" t="str">
        <x:f>IF('Official Ranking v2'!B123="","",'Official Ranking v2'!A123)</x:f>
      </x:c>
      <x:c r="D119" t="str">
        <x:f>IF('Official Ranking v2'!B123="","",'Official Ranking v2'!B123)</x:f>
      </x:c>
      <x:c r="E119" t="str">
        <x:f>IF('Official Ranking v2'!B123="","",'Official Ranking v2'!C123)</x:f>
      </x:c>
      <x:c r="F119" t="str">
        <x:f>IF('Official Ranking v2'!B123="","",'Official Ranking v2'!D123)</x:f>
      </x:c>
      <x:c r="G119" t="str">
        <x:f>IF('Official Ranking v2'!B123="","",'Official Ranking v2'!E123)</x:f>
      </x:c>
      <x:c r="H119" s="303" t="str">
        <x:f>IF('Official Ranking v2'!B123="","",'Official Ranking v2'!F123)</x:f>
      </x:c>
      <x:c r="I119" s="226" t="str">
        <x:f>IF('Official Ranking v2'!B123="","",'Official Ranking v2'!S123)</x:f>
      </x:c>
      <x:c r="J119" t="str">
        <x:f>IF('Official Ranking v2'!B123="","",'Official Ranking v2'!T123)</x:f>
      </x:c>
      <x:c r="K119" t="str">
        <x:f>IF('Official Ranking v2'!B123="","",'Official Ranking v2'!W123)</x:f>
      </x:c>
      <x:c r="L119" t="str">
        <x:f>IF('Official Ranking v2'!B123="","",'Official Ranking v2'!X123)</x:f>
      </x:c>
      <x:c r="M119" t="str">
        <x:f>IF('Official Ranking v2'!B123="","",'Official Ranking v2'!V123)</x:f>
      </x:c>
      <x:c r="N119" s="226" t="str">
        <x:f>IF('Official Ranking v2'!B123="","",'Official Ranking v2'!P123)</x:f>
      </x:c>
    </x:row>
    <x:row r="120">
      <x:c r="A120" t="str">
        <x:f>'Player Report Index'!B123</x:f>
      </x:c>
      <x:c r="B120" t="n">
        <x:f>'Player Report Index'!J123</x:f>
        <x:v>0</x:v>
      </x:c>
      <x:c r="C120" t="str">
        <x:f>IF('Official Ranking v2'!B124="","",'Official Ranking v2'!A124)</x:f>
      </x:c>
      <x:c r="D120" t="str">
        <x:f>IF('Official Ranking v2'!B124="","",'Official Ranking v2'!B124)</x:f>
      </x:c>
      <x:c r="E120" t="str">
        <x:f>IF('Official Ranking v2'!B124="","",'Official Ranking v2'!C124)</x:f>
      </x:c>
      <x:c r="F120" t="str">
        <x:f>IF('Official Ranking v2'!B124="","",'Official Ranking v2'!D124)</x:f>
      </x:c>
      <x:c r="G120" t="str">
        <x:f>IF('Official Ranking v2'!B124="","",'Official Ranking v2'!E124)</x:f>
      </x:c>
      <x:c r="H120" s="303" t="str">
        <x:f>IF('Official Ranking v2'!B124="","",'Official Ranking v2'!F124)</x:f>
      </x:c>
      <x:c r="I120" s="226" t="str">
        <x:f>IF('Official Ranking v2'!B124="","",'Official Ranking v2'!S124)</x:f>
      </x:c>
      <x:c r="J120" t="str">
        <x:f>IF('Official Ranking v2'!B124="","",'Official Ranking v2'!T124)</x:f>
      </x:c>
      <x:c r="K120" t="str">
        <x:f>IF('Official Ranking v2'!B124="","",'Official Ranking v2'!W124)</x:f>
      </x:c>
      <x:c r="L120" t="str">
        <x:f>IF('Official Ranking v2'!B124="","",'Official Ranking v2'!X124)</x:f>
      </x:c>
      <x:c r="M120" t="str">
        <x:f>IF('Official Ranking v2'!B124="","",'Official Ranking v2'!V124)</x:f>
      </x:c>
      <x:c r="N120" s="226" t="str">
        <x:f>IF('Official Ranking v2'!B124="","",'Official Ranking v2'!P124)</x:f>
      </x:c>
    </x:row>
    <x:row r="121">
      <x:c r="A121" t="str">
        <x:f>'Player Report Index'!B124</x:f>
      </x:c>
      <x:c r="B121" t="n">
        <x:f>'Player Report Index'!J124</x:f>
        <x:v>0</x:v>
      </x:c>
      <x:c r="C121" t="str">
        <x:f>IF('Official Ranking v2'!B125="","",'Official Ranking v2'!A125)</x:f>
      </x:c>
      <x:c r="D121" t="str">
        <x:f>IF('Official Ranking v2'!B125="","",'Official Ranking v2'!B125)</x:f>
      </x:c>
      <x:c r="E121" t="str">
        <x:f>IF('Official Ranking v2'!B125="","",'Official Ranking v2'!C125)</x:f>
      </x:c>
      <x:c r="F121" t="str">
        <x:f>IF('Official Ranking v2'!B125="","",'Official Ranking v2'!D125)</x:f>
      </x:c>
      <x:c r="G121" t="str">
        <x:f>IF('Official Ranking v2'!B125="","",'Official Ranking v2'!E125)</x:f>
      </x:c>
      <x:c r="H121" s="303" t="str">
        <x:f>IF('Official Ranking v2'!B125="","",'Official Ranking v2'!F125)</x:f>
      </x:c>
      <x:c r="I121" s="226" t="str">
        <x:f>IF('Official Ranking v2'!B125="","",'Official Ranking v2'!S125)</x:f>
      </x:c>
      <x:c r="J121" t="str">
        <x:f>IF('Official Ranking v2'!B125="","",'Official Ranking v2'!T125)</x:f>
      </x:c>
      <x:c r="K121" t="str">
        <x:f>IF('Official Ranking v2'!B125="","",'Official Ranking v2'!W125)</x:f>
      </x:c>
      <x:c r="L121" t="str">
        <x:f>IF('Official Ranking v2'!B125="","",'Official Ranking v2'!X125)</x:f>
      </x:c>
      <x:c r="M121" t="str">
        <x:f>IF('Official Ranking v2'!B125="","",'Official Ranking v2'!V125)</x:f>
      </x:c>
      <x:c r="N121" s="226" t="str">
        <x:f>IF('Official Ranking v2'!B125="","",'Official Ranking v2'!P125)</x:f>
      </x:c>
    </x:row>
    <x:row r="122">
      <x:c r="A122" t="str">
        <x:f>'Player Report Index'!B125</x:f>
      </x:c>
      <x:c r="B122" t="n">
        <x:f>'Player Report Index'!J125</x:f>
        <x:v>0</x:v>
      </x:c>
      <x:c r="C122" t="str">
        <x:f>IF('Official Ranking v2'!B126="","",'Official Ranking v2'!A126)</x:f>
      </x:c>
      <x:c r="D122" t="str">
        <x:f>IF('Official Ranking v2'!B126="","",'Official Ranking v2'!B126)</x:f>
      </x:c>
      <x:c r="E122" t="str">
        <x:f>IF('Official Ranking v2'!B126="","",'Official Ranking v2'!C126)</x:f>
      </x:c>
      <x:c r="F122" t="str">
        <x:f>IF('Official Ranking v2'!B126="","",'Official Ranking v2'!D126)</x:f>
      </x:c>
      <x:c r="G122" t="str">
        <x:f>IF('Official Ranking v2'!B126="","",'Official Ranking v2'!E126)</x:f>
      </x:c>
      <x:c r="H122" s="303" t="str">
        <x:f>IF('Official Ranking v2'!B126="","",'Official Ranking v2'!F126)</x:f>
      </x:c>
      <x:c r="I122" s="226" t="str">
        <x:f>IF('Official Ranking v2'!B126="","",'Official Ranking v2'!S126)</x:f>
      </x:c>
      <x:c r="J122" t="str">
        <x:f>IF('Official Ranking v2'!B126="","",'Official Ranking v2'!T126)</x:f>
      </x:c>
      <x:c r="K122" t="str">
        <x:f>IF('Official Ranking v2'!B126="","",'Official Ranking v2'!W126)</x:f>
      </x:c>
      <x:c r="L122" t="str">
        <x:f>IF('Official Ranking v2'!B126="","",'Official Ranking v2'!X126)</x:f>
      </x:c>
      <x:c r="M122" t="str">
        <x:f>IF('Official Ranking v2'!B126="","",'Official Ranking v2'!V126)</x:f>
      </x:c>
      <x:c r="N122" s="226" t="str">
        <x:f>IF('Official Ranking v2'!B126="","",'Official Ranking v2'!P126)</x:f>
      </x:c>
    </x:row>
    <x:row r="123">
      <x:c r="A123" t="str">
        <x:f>'Player Report Index'!B126</x:f>
      </x:c>
      <x:c r="B123" t="n">
        <x:f>'Player Report Index'!J126</x:f>
        <x:v>0</x:v>
      </x:c>
      <x:c r="C123" t="str">
        <x:f>IF('Official Ranking v2'!B127="","",'Official Ranking v2'!A127)</x:f>
      </x:c>
      <x:c r="D123" t="str">
        <x:f>IF('Official Ranking v2'!B127="","",'Official Ranking v2'!B127)</x:f>
      </x:c>
      <x:c r="E123" t="str">
        <x:f>IF('Official Ranking v2'!B127="","",'Official Ranking v2'!C127)</x:f>
      </x:c>
      <x:c r="F123" t="str">
        <x:f>IF('Official Ranking v2'!B127="","",'Official Ranking v2'!D127)</x:f>
      </x:c>
      <x:c r="G123" t="str">
        <x:f>IF('Official Ranking v2'!B127="","",'Official Ranking v2'!E127)</x:f>
      </x:c>
      <x:c r="H123" s="303" t="str">
        <x:f>IF('Official Ranking v2'!B127="","",'Official Ranking v2'!F127)</x:f>
      </x:c>
      <x:c r="I123" s="226" t="str">
        <x:f>IF('Official Ranking v2'!B127="","",'Official Ranking v2'!S127)</x:f>
      </x:c>
      <x:c r="J123" t="str">
        <x:f>IF('Official Ranking v2'!B127="","",'Official Ranking v2'!T127)</x:f>
      </x:c>
      <x:c r="K123" t="str">
        <x:f>IF('Official Ranking v2'!B127="","",'Official Ranking v2'!W127)</x:f>
      </x:c>
      <x:c r="L123" t="str">
        <x:f>IF('Official Ranking v2'!B127="","",'Official Ranking v2'!X127)</x:f>
      </x:c>
      <x:c r="M123" t="str">
        <x:f>IF('Official Ranking v2'!B127="","",'Official Ranking v2'!V127)</x:f>
      </x:c>
      <x:c r="N123" s="226" t="str">
        <x:f>IF('Official Ranking v2'!B127="","",'Official Ranking v2'!P127)</x:f>
      </x:c>
    </x:row>
    <x:row r="124">
      <x:c r="A124" t="str">
        <x:f>'Player Report Index'!B127</x:f>
      </x:c>
      <x:c r="B124" t="n">
        <x:f>'Player Report Index'!J127</x:f>
        <x:v>0</x:v>
      </x:c>
      <x:c r="C124" t="str">
        <x:f>IF('Official Ranking v2'!B128="","",'Official Ranking v2'!A128)</x:f>
      </x:c>
      <x:c r="D124" t="str">
        <x:f>IF('Official Ranking v2'!B128="","",'Official Ranking v2'!B128)</x:f>
      </x:c>
      <x:c r="E124" t="str">
        <x:f>IF('Official Ranking v2'!B128="","",'Official Ranking v2'!C128)</x:f>
      </x:c>
      <x:c r="F124" t="str">
        <x:f>IF('Official Ranking v2'!B128="","",'Official Ranking v2'!D128)</x:f>
      </x:c>
      <x:c r="G124" t="str">
        <x:f>IF('Official Ranking v2'!B128="","",'Official Ranking v2'!E128)</x:f>
      </x:c>
      <x:c r="H124" s="303" t="str">
        <x:f>IF('Official Ranking v2'!B128="","",'Official Ranking v2'!F128)</x:f>
      </x:c>
      <x:c r="I124" s="226" t="str">
        <x:f>IF('Official Ranking v2'!B128="","",'Official Ranking v2'!S128)</x:f>
      </x:c>
      <x:c r="J124" t="str">
        <x:f>IF('Official Ranking v2'!B128="","",'Official Ranking v2'!T128)</x:f>
      </x:c>
      <x:c r="K124" t="str">
        <x:f>IF('Official Ranking v2'!B128="","",'Official Ranking v2'!W128)</x:f>
      </x:c>
      <x:c r="L124" t="str">
        <x:f>IF('Official Ranking v2'!B128="","",'Official Ranking v2'!X128)</x:f>
      </x:c>
      <x:c r="M124" t="str">
        <x:f>IF('Official Ranking v2'!B128="","",'Official Ranking v2'!V128)</x:f>
      </x:c>
      <x:c r="N124" s="226" t="str">
        <x:f>IF('Official Ranking v2'!B128="","",'Official Ranking v2'!P128)</x:f>
      </x:c>
    </x:row>
    <x:row r="125">
      <x:c r="A125" t="str">
        <x:f>'Player Report Index'!B128</x:f>
      </x:c>
      <x:c r="B125" t="n">
        <x:f>'Player Report Index'!J128</x:f>
        <x:v>0</x:v>
      </x:c>
      <x:c r="C125" t="str">
        <x:f>IF('Official Ranking v2'!B129="","",'Official Ranking v2'!A129)</x:f>
      </x:c>
      <x:c r="D125" t="str">
        <x:f>IF('Official Ranking v2'!B129="","",'Official Ranking v2'!B129)</x:f>
      </x:c>
      <x:c r="E125" t="str">
        <x:f>IF('Official Ranking v2'!B129="","",'Official Ranking v2'!C129)</x:f>
      </x:c>
      <x:c r="F125" t="str">
        <x:f>IF('Official Ranking v2'!B129="","",'Official Ranking v2'!D129)</x:f>
      </x:c>
      <x:c r="G125" t="str">
        <x:f>IF('Official Ranking v2'!B129="","",'Official Ranking v2'!E129)</x:f>
      </x:c>
      <x:c r="H125" s="303" t="str">
        <x:f>IF('Official Ranking v2'!B129="","",'Official Ranking v2'!F129)</x:f>
      </x:c>
      <x:c r="I125" s="226" t="str">
        <x:f>IF('Official Ranking v2'!B129="","",'Official Ranking v2'!S129)</x:f>
      </x:c>
      <x:c r="J125" t="str">
        <x:f>IF('Official Ranking v2'!B129="","",'Official Ranking v2'!T129)</x:f>
      </x:c>
      <x:c r="K125" t="str">
        <x:f>IF('Official Ranking v2'!B129="","",'Official Ranking v2'!W129)</x:f>
      </x:c>
      <x:c r="L125" t="str">
        <x:f>IF('Official Ranking v2'!B129="","",'Official Ranking v2'!X129)</x:f>
      </x:c>
      <x:c r="M125" t="str">
        <x:f>IF('Official Ranking v2'!B129="","",'Official Ranking v2'!V129)</x:f>
      </x:c>
      <x:c r="N125" s="226" t="str">
        <x:f>IF('Official Ranking v2'!B129="","",'Official Ranking v2'!P129)</x:f>
      </x:c>
    </x:row>
    <x:row r="126">
      <x:c r="A126" t="str">
        <x:f>'Player Report Index'!B129</x:f>
      </x:c>
      <x:c r="B126" t="n">
        <x:f>'Player Report Index'!J129</x:f>
        <x:v>0</x:v>
      </x:c>
      <x:c r="C126" t="str">
        <x:f>IF('Official Ranking v2'!B130="","",'Official Ranking v2'!A130)</x:f>
      </x:c>
      <x:c r="D126" t="str">
        <x:f>IF('Official Ranking v2'!B130="","",'Official Ranking v2'!B130)</x:f>
      </x:c>
      <x:c r="E126" t="str">
        <x:f>IF('Official Ranking v2'!B130="","",'Official Ranking v2'!C130)</x:f>
      </x:c>
      <x:c r="F126" t="str">
        <x:f>IF('Official Ranking v2'!B130="","",'Official Ranking v2'!D130)</x:f>
      </x:c>
      <x:c r="G126" t="str">
        <x:f>IF('Official Ranking v2'!B130="","",'Official Ranking v2'!E130)</x:f>
      </x:c>
      <x:c r="H126" s="303" t="str">
        <x:f>IF('Official Ranking v2'!B130="","",'Official Ranking v2'!F130)</x:f>
      </x:c>
      <x:c r="I126" s="226" t="str">
        <x:f>IF('Official Ranking v2'!B130="","",'Official Ranking v2'!S130)</x:f>
      </x:c>
      <x:c r="J126" t="str">
        <x:f>IF('Official Ranking v2'!B130="","",'Official Ranking v2'!T130)</x:f>
      </x:c>
      <x:c r="K126" t="str">
        <x:f>IF('Official Ranking v2'!B130="","",'Official Ranking v2'!W130)</x:f>
      </x:c>
      <x:c r="L126" t="str">
        <x:f>IF('Official Ranking v2'!B130="","",'Official Ranking v2'!X130)</x:f>
      </x:c>
      <x:c r="M126" t="str">
        <x:f>IF('Official Ranking v2'!B130="","",'Official Ranking v2'!V130)</x:f>
      </x:c>
      <x:c r="N126" s="226" t="str">
        <x:f>IF('Official Ranking v2'!B130="","",'Official Ranking v2'!P130)</x:f>
      </x:c>
    </x:row>
    <x:row r="127">
      <x:c r="A127" t="str">
        <x:f>'Player Report Index'!B130</x:f>
      </x:c>
      <x:c r="B127" t="n">
        <x:f>'Player Report Index'!J130</x:f>
        <x:v>0</x:v>
      </x:c>
      <x:c r="C127" t="str">
        <x:f>IF('Official Ranking v2'!B131="","",'Official Ranking v2'!A131)</x:f>
      </x:c>
      <x:c r="D127" t="str">
        <x:f>IF('Official Ranking v2'!B131="","",'Official Ranking v2'!B131)</x:f>
      </x:c>
      <x:c r="E127" t="str">
        <x:f>IF('Official Ranking v2'!B131="","",'Official Ranking v2'!C131)</x:f>
      </x:c>
      <x:c r="F127" t="str">
        <x:f>IF('Official Ranking v2'!B131="","",'Official Ranking v2'!D131)</x:f>
      </x:c>
      <x:c r="G127" t="str">
        <x:f>IF('Official Ranking v2'!B131="","",'Official Ranking v2'!E131)</x:f>
      </x:c>
      <x:c r="H127" s="303" t="str">
        <x:f>IF('Official Ranking v2'!B131="","",'Official Ranking v2'!F131)</x:f>
      </x:c>
      <x:c r="I127" s="226" t="str">
        <x:f>IF('Official Ranking v2'!B131="","",'Official Ranking v2'!S131)</x:f>
      </x:c>
      <x:c r="J127" t="str">
        <x:f>IF('Official Ranking v2'!B131="","",'Official Ranking v2'!T131)</x:f>
      </x:c>
      <x:c r="K127" t="str">
        <x:f>IF('Official Ranking v2'!B131="","",'Official Ranking v2'!W131)</x:f>
      </x:c>
      <x:c r="L127" t="str">
        <x:f>IF('Official Ranking v2'!B131="","",'Official Ranking v2'!X131)</x:f>
      </x:c>
      <x:c r="M127" t="str">
        <x:f>IF('Official Ranking v2'!B131="","",'Official Ranking v2'!V131)</x:f>
      </x:c>
      <x:c r="N127" s="226" t="str">
        <x:f>IF('Official Ranking v2'!B131="","",'Official Ranking v2'!P131)</x:f>
      </x:c>
    </x:row>
    <x:row r="128">
      <x:c r="A128" t="str">
        <x:f>'Player Report Index'!B131</x:f>
      </x:c>
      <x:c r="B128" t="n">
        <x:f>'Player Report Index'!J131</x:f>
        <x:v>0</x:v>
      </x:c>
      <x:c r="C128" t="str">
        <x:f>IF('Official Ranking v2'!B132="","",'Official Ranking v2'!A132)</x:f>
      </x:c>
      <x:c r="D128" t="str">
        <x:f>IF('Official Ranking v2'!B132="","",'Official Ranking v2'!B132)</x:f>
      </x:c>
      <x:c r="E128" t="str">
        <x:f>IF('Official Ranking v2'!B132="","",'Official Ranking v2'!C132)</x:f>
      </x:c>
      <x:c r="F128" t="str">
        <x:f>IF('Official Ranking v2'!B132="","",'Official Ranking v2'!D132)</x:f>
      </x:c>
      <x:c r="G128" t="str">
        <x:f>IF('Official Ranking v2'!B132="","",'Official Ranking v2'!E132)</x:f>
      </x:c>
      <x:c r="H128" s="303" t="str">
        <x:f>IF('Official Ranking v2'!B132="","",'Official Ranking v2'!F132)</x:f>
      </x:c>
      <x:c r="I128" s="226" t="str">
        <x:f>IF('Official Ranking v2'!B132="","",'Official Ranking v2'!S132)</x:f>
      </x:c>
      <x:c r="J128" t="str">
        <x:f>IF('Official Ranking v2'!B132="","",'Official Ranking v2'!T132)</x:f>
      </x:c>
      <x:c r="K128" t="str">
        <x:f>IF('Official Ranking v2'!B132="","",'Official Ranking v2'!W132)</x:f>
      </x:c>
      <x:c r="L128" t="str">
        <x:f>IF('Official Ranking v2'!B132="","",'Official Ranking v2'!X132)</x:f>
      </x:c>
      <x:c r="M128" t="str">
        <x:f>IF('Official Ranking v2'!B132="","",'Official Ranking v2'!V132)</x:f>
      </x:c>
      <x:c r="N128" s="226" t="str">
        <x:f>IF('Official Ranking v2'!B132="","",'Official Ranking v2'!P132)</x:f>
      </x:c>
    </x:row>
    <x:row r="129">
      <x:c r="A129" t="str">
        <x:f>'Player Report Index'!B132</x:f>
      </x:c>
      <x:c r="B129" t="n">
        <x:f>'Player Report Index'!J132</x:f>
        <x:v>0</x:v>
      </x:c>
      <x:c r="C129" t="str">
        <x:f>IF('Official Ranking v2'!B133="","",'Official Ranking v2'!A133)</x:f>
      </x:c>
      <x:c r="D129" t="str">
        <x:f>IF('Official Ranking v2'!B133="","",'Official Ranking v2'!B133)</x:f>
      </x:c>
      <x:c r="E129" t="str">
        <x:f>IF('Official Ranking v2'!B133="","",'Official Ranking v2'!C133)</x:f>
      </x:c>
      <x:c r="F129" t="str">
        <x:f>IF('Official Ranking v2'!B133="","",'Official Ranking v2'!D133)</x:f>
      </x:c>
      <x:c r="G129" t="str">
        <x:f>IF('Official Ranking v2'!B133="","",'Official Ranking v2'!E133)</x:f>
      </x:c>
      <x:c r="H129" s="303" t="str">
        <x:f>IF('Official Ranking v2'!B133="","",'Official Ranking v2'!F133)</x:f>
      </x:c>
      <x:c r="I129" s="226" t="str">
        <x:f>IF('Official Ranking v2'!B133="","",'Official Ranking v2'!S133)</x:f>
      </x:c>
      <x:c r="J129" t="str">
        <x:f>IF('Official Ranking v2'!B133="","",'Official Ranking v2'!T133)</x:f>
      </x:c>
      <x:c r="K129" t="str">
        <x:f>IF('Official Ranking v2'!B133="","",'Official Ranking v2'!W133)</x:f>
      </x:c>
      <x:c r="L129" t="str">
        <x:f>IF('Official Ranking v2'!B133="","",'Official Ranking v2'!X133)</x:f>
      </x:c>
      <x:c r="M129" t="str">
        <x:f>IF('Official Ranking v2'!B133="","",'Official Ranking v2'!V133)</x:f>
      </x:c>
      <x:c r="N129" s="226" t="str">
        <x:f>IF('Official Ranking v2'!B133="","",'Official Ranking v2'!P133)</x:f>
      </x:c>
    </x:row>
    <x:row r="130">
      <x:c r="A130" t="str">
        <x:f>'Player Report Index'!B133</x:f>
      </x:c>
      <x:c r="B130" t="n">
        <x:f>'Player Report Index'!J133</x:f>
        <x:v>0</x:v>
      </x:c>
      <x:c r="C130" t="str">
        <x:f>IF('Official Ranking v2'!B134="","",'Official Ranking v2'!A134)</x:f>
      </x:c>
      <x:c r="D130" t="str">
        <x:f>IF('Official Ranking v2'!B134="","",'Official Ranking v2'!B134)</x:f>
      </x:c>
      <x:c r="E130" t="str">
        <x:f>IF('Official Ranking v2'!B134="","",'Official Ranking v2'!C134)</x:f>
      </x:c>
      <x:c r="F130" t="str">
        <x:f>IF('Official Ranking v2'!B134="","",'Official Ranking v2'!D134)</x:f>
      </x:c>
      <x:c r="G130" t="str">
        <x:f>IF('Official Ranking v2'!B134="","",'Official Ranking v2'!E134)</x:f>
      </x:c>
      <x:c r="H130" s="303" t="str">
        <x:f>IF('Official Ranking v2'!B134="","",'Official Ranking v2'!F134)</x:f>
      </x:c>
      <x:c r="I130" s="226" t="str">
        <x:f>IF('Official Ranking v2'!B134="","",'Official Ranking v2'!S134)</x:f>
      </x:c>
      <x:c r="J130" t="str">
        <x:f>IF('Official Ranking v2'!B134="","",'Official Ranking v2'!T134)</x:f>
      </x:c>
      <x:c r="K130" t="str">
        <x:f>IF('Official Ranking v2'!B134="","",'Official Ranking v2'!W134)</x:f>
      </x:c>
      <x:c r="L130" t="str">
        <x:f>IF('Official Ranking v2'!B134="","",'Official Ranking v2'!X134)</x:f>
      </x:c>
      <x:c r="M130" t="str">
        <x:f>IF('Official Ranking v2'!B134="","",'Official Ranking v2'!V134)</x:f>
      </x:c>
      <x:c r="N130" s="226" t="str">
        <x:f>IF('Official Ranking v2'!B134="","",'Official Ranking v2'!P134)</x:f>
      </x:c>
    </x:row>
    <x:row r="131">
      <x:c r="A131" t="str">
        <x:f>'Player Report Index'!B134</x:f>
      </x:c>
      <x:c r="B131" t="n">
        <x:f>'Player Report Index'!J134</x:f>
        <x:v>0</x:v>
      </x:c>
      <x:c r="C131" t="str">
        <x:f>IF('Official Ranking v2'!B135="","",'Official Ranking v2'!A135)</x:f>
      </x:c>
      <x:c r="D131" t="str">
        <x:f>IF('Official Ranking v2'!B135="","",'Official Ranking v2'!B135)</x:f>
      </x:c>
      <x:c r="E131" t="str">
        <x:f>IF('Official Ranking v2'!B135="","",'Official Ranking v2'!C135)</x:f>
      </x:c>
      <x:c r="F131" t="str">
        <x:f>IF('Official Ranking v2'!B135="","",'Official Ranking v2'!D135)</x:f>
      </x:c>
      <x:c r="G131" t="str">
        <x:f>IF('Official Ranking v2'!B135="","",'Official Ranking v2'!E135)</x:f>
      </x:c>
      <x:c r="H131" s="303" t="str">
        <x:f>IF('Official Ranking v2'!B135="","",'Official Ranking v2'!F135)</x:f>
      </x:c>
      <x:c r="I131" s="226" t="str">
        <x:f>IF('Official Ranking v2'!B135="","",'Official Ranking v2'!S135)</x:f>
      </x:c>
      <x:c r="J131" t="str">
        <x:f>IF('Official Ranking v2'!B135="","",'Official Ranking v2'!T135)</x:f>
      </x:c>
      <x:c r="K131" t="str">
        <x:f>IF('Official Ranking v2'!B135="","",'Official Ranking v2'!W135)</x:f>
      </x:c>
      <x:c r="L131" t="str">
        <x:f>IF('Official Ranking v2'!B135="","",'Official Ranking v2'!X135)</x:f>
      </x:c>
      <x:c r="M131" t="str">
        <x:f>IF('Official Ranking v2'!B135="","",'Official Ranking v2'!V135)</x:f>
      </x:c>
      <x:c r="N131" s="226" t="str">
        <x:f>IF('Official Ranking v2'!B135="","",'Official Ranking v2'!P135)</x:f>
      </x:c>
    </x:row>
    <x:row r="132">
      <x:c r="A132" t="str">
        <x:f>'Player Report Index'!B135</x:f>
      </x:c>
      <x:c r="B132" t="n">
        <x:f>'Player Report Index'!J135</x:f>
        <x:v>0</x:v>
      </x:c>
      <x:c r="C132" t="str">
        <x:f>IF('Official Ranking v2'!B136="","",'Official Ranking v2'!A136)</x:f>
      </x:c>
      <x:c r="D132" t="str">
        <x:f>IF('Official Ranking v2'!B136="","",'Official Ranking v2'!B136)</x:f>
      </x:c>
      <x:c r="E132" t="str">
        <x:f>IF('Official Ranking v2'!B136="","",'Official Ranking v2'!C136)</x:f>
      </x:c>
      <x:c r="F132" t="str">
        <x:f>IF('Official Ranking v2'!B136="","",'Official Ranking v2'!D136)</x:f>
      </x:c>
      <x:c r="G132" t="str">
        <x:f>IF('Official Ranking v2'!B136="","",'Official Ranking v2'!E136)</x:f>
      </x:c>
      <x:c r="H132" s="303" t="str">
        <x:f>IF('Official Ranking v2'!B136="","",'Official Ranking v2'!F136)</x:f>
      </x:c>
      <x:c r="I132" s="226" t="str">
        <x:f>IF('Official Ranking v2'!B136="","",'Official Ranking v2'!S136)</x:f>
      </x:c>
      <x:c r="J132" t="str">
        <x:f>IF('Official Ranking v2'!B136="","",'Official Ranking v2'!T136)</x:f>
      </x:c>
      <x:c r="K132" t="str">
        <x:f>IF('Official Ranking v2'!B136="","",'Official Ranking v2'!W136)</x:f>
      </x:c>
      <x:c r="L132" t="str">
        <x:f>IF('Official Ranking v2'!B136="","",'Official Ranking v2'!X136)</x:f>
      </x:c>
      <x:c r="M132" t="str">
        <x:f>IF('Official Ranking v2'!B136="","",'Official Ranking v2'!V136)</x:f>
      </x:c>
      <x:c r="N132" s="226" t="str">
        <x:f>IF('Official Ranking v2'!B136="","",'Official Ranking v2'!P136)</x:f>
      </x:c>
    </x:row>
    <x:row r="133">
      <x:c r="A133" t="str">
        <x:f>'Player Report Index'!B136</x:f>
      </x:c>
      <x:c r="B133" t="n">
        <x:f>'Player Report Index'!J136</x:f>
        <x:v>0</x:v>
      </x:c>
      <x:c r="C133" t="str">
        <x:f>IF('Official Ranking v2'!B137="","",'Official Ranking v2'!A137)</x:f>
      </x:c>
      <x:c r="D133" t="str">
        <x:f>IF('Official Ranking v2'!B137="","",'Official Ranking v2'!B137)</x:f>
      </x:c>
      <x:c r="E133" t="str">
        <x:f>IF('Official Ranking v2'!B137="","",'Official Ranking v2'!C137)</x:f>
      </x:c>
      <x:c r="F133" t="str">
        <x:f>IF('Official Ranking v2'!B137="","",'Official Ranking v2'!D137)</x:f>
      </x:c>
      <x:c r="G133" t="str">
        <x:f>IF('Official Ranking v2'!B137="","",'Official Ranking v2'!E137)</x:f>
      </x:c>
      <x:c r="H133" s="303" t="str">
        <x:f>IF('Official Ranking v2'!B137="","",'Official Ranking v2'!F137)</x:f>
      </x:c>
      <x:c r="I133" s="226" t="str">
        <x:f>IF('Official Ranking v2'!B137="","",'Official Ranking v2'!S137)</x:f>
      </x:c>
      <x:c r="J133" t="str">
        <x:f>IF('Official Ranking v2'!B137="","",'Official Ranking v2'!T137)</x:f>
      </x:c>
      <x:c r="K133" t="str">
        <x:f>IF('Official Ranking v2'!B137="","",'Official Ranking v2'!W137)</x:f>
      </x:c>
      <x:c r="L133" t="str">
        <x:f>IF('Official Ranking v2'!B137="","",'Official Ranking v2'!X137)</x:f>
      </x:c>
      <x:c r="M133" t="str">
        <x:f>IF('Official Ranking v2'!B137="","",'Official Ranking v2'!V137)</x:f>
      </x:c>
      <x:c r="N133" s="226" t="str">
        <x:f>IF('Official Ranking v2'!B137="","",'Official Ranking v2'!P137)</x:f>
      </x:c>
    </x:row>
    <x:row r="134">
      <x:c r="A134" t="str">
        <x:f>'Player Report Index'!B137</x:f>
      </x:c>
      <x:c r="B134" t="n">
        <x:f>'Player Report Index'!J137</x:f>
        <x:v>0</x:v>
      </x:c>
      <x:c r="C134" t="str">
        <x:f>IF('Official Ranking v2'!B138="","",'Official Ranking v2'!A138)</x:f>
      </x:c>
      <x:c r="D134" t="str">
        <x:f>IF('Official Ranking v2'!B138="","",'Official Ranking v2'!B138)</x:f>
      </x:c>
      <x:c r="E134" t="str">
        <x:f>IF('Official Ranking v2'!B138="","",'Official Ranking v2'!C138)</x:f>
      </x:c>
      <x:c r="F134" t="str">
        <x:f>IF('Official Ranking v2'!B138="","",'Official Ranking v2'!D138)</x:f>
      </x:c>
      <x:c r="G134" t="str">
        <x:f>IF('Official Ranking v2'!B138="","",'Official Ranking v2'!E138)</x:f>
      </x:c>
      <x:c r="H134" s="303" t="str">
        <x:f>IF('Official Ranking v2'!B138="","",'Official Ranking v2'!F138)</x:f>
      </x:c>
      <x:c r="I134" s="226" t="str">
        <x:f>IF('Official Ranking v2'!B138="","",'Official Ranking v2'!S138)</x:f>
      </x:c>
      <x:c r="J134" t="str">
        <x:f>IF('Official Ranking v2'!B138="","",'Official Ranking v2'!T138)</x:f>
      </x:c>
      <x:c r="K134" t="str">
        <x:f>IF('Official Ranking v2'!B138="","",'Official Ranking v2'!W138)</x:f>
      </x:c>
      <x:c r="L134" t="str">
        <x:f>IF('Official Ranking v2'!B138="","",'Official Ranking v2'!X138)</x:f>
      </x:c>
      <x:c r="M134" t="str">
        <x:f>IF('Official Ranking v2'!B138="","",'Official Ranking v2'!V138)</x:f>
      </x:c>
      <x:c r="N134" s="226" t="str">
        <x:f>IF('Official Ranking v2'!B138="","",'Official Ranking v2'!P138)</x:f>
      </x:c>
    </x:row>
    <x:row r="135">
      <x:c r="A135" t="str">
        <x:f>'Player Report Index'!B138</x:f>
      </x:c>
      <x:c r="B135" t="n">
        <x:f>'Player Report Index'!J138</x:f>
        <x:v>0</x:v>
      </x:c>
      <x:c r="C135" t="str">
        <x:f>IF('Official Ranking v2'!B139="","",'Official Ranking v2'!A139)</x:f>
      </x:c>
      <x:c r="D135" t="str">
        <x:f>IF('Official Ranking v2'!B139="","",'Official Ranking v2'!B139)</x:f>
      </x:c>
      <x:c r="E135" t="str">
        <x:f>IF('Official Ranking v2'!B139="","",'Official Ranking v2'!C139)</x:f>
      </x:c>
      <x:c r="F135" t="str">
        <x:f>IF('Official Ranking v2'!B139="","",'Official Ranking v2'!D139)</x:f>
      </x:c>
      <x:c r="G135" t="str">
        <x:f>IF('Official Ranking v2'!B139="","",'Official Ranking v2'!E139)</x:f>
      </x:c>
      <x:c r="H135" s="303" t="str">
        <x:f>IF('Official Ranking v2'!B139="","",'Official Ranking v2'!F139)</x:f>
      </x:c>
      <x:c r="I135" s="226" t="str">
        <x:f>IF('Official Ranking v2'!B139="","",'Official Ranking v2'!S139)</x:f>
      </x:c>
      <x:c r="J135" t="str">
        <x:f>IF('Official Ranking v2'!B139="","",'Official Ranking v2'!T139)</x:f>
      </x:c>
      <x:c r="K135" t="str">
        <x:f>IF('Official Ranking v2'!B139="","",'Official Ranking v2'!W139)</x:f>
      </x:c>
      <x:c r="L135" t="str">
        <x:f>IF('Official Ranking v2'!B139="","",'Official Ranking v2'!X139)</x:f>
      </x:c>
      <x:c r="M135" t="str">
        <x:f>IF('Official Ranking v2'!B139="","",'Official Ranking v2'!V139)</x:f>
      </x:c>
      <x:c r="N135" s="226" t="str">
        <x:f>IF('Official Ranking v2'!B139="","",'Official Ranking v2'!P139)</x:f>
      </x:c>
    </x:row>
    <x:row r="136">
      <x:c r="A136" t="str">
        <x:f>'Player Report Index'!B139</x:f>
      </x:c>
      <x:c r="B136" t="n">
        <x:f>'Player Report Index'!J139</x:f>
        <x:v>0</x:v>
      </x:c>
      <x:c r="C136" t="str">
        <x:f>IF('Official Ranking v2'!B140="","",'Official Ranking v2'!A140)</x:f>
      </x:c>
      <x:c r="D136" t="str">
        <x:f>IF('Official Ranking v2'!B140="","",'Official Ranking v2'!B140)</x:f>
      </x:c>
      <x:c r="E136" t="str">
        <x:f>IF('Official Ranking v2'!B140="","",'Official Ranking v2'!C140)</x:f>
      </x:c>
      <x:c r="F136" t="str">
        <x:f>IF('Official Ranking v2'!B140="","",'Official Ranking v2'!D140)</x:f>
      </x:c>
      <x:c r="G136" t="str">
        <x:f>IF('Official Ranking v2'!B140="","",'Official Ranking v2'!E140)</x:f>
      </x:c>
      <x:c r="H136" s="303" t="str">
        <x:f>IF('Official Ranking v2'!B140="","",'Official Ranking v2'!F140)</x:f>
      </x:c>
      <x:c r="I136" s="226" t="str">
        <x:f>IF('Official Ranking v2'!B140="","",'Official Ranking v2'!S140)</x:f>
      </x:c>
      <x:c r="J136" t="str">
        <x:f>IF('Official Ranking v2'!B140="","",'Official Ranking v2'!T140)</x:f>
      </x:c>
      <x:c r="K136" t="str">
        <x:f>IF('Official Ranking v2'!B140="","",'Official Ranking v2'!W140)</x:f>
      </x:c>
      <x:c r="L136" t="str">
        <x:f>IF('Official Ranking v2'!B140="","",'Official Ranking v2'!X140)</x:f>
      </x:c>
      <x:c r="M136" t="str">
        <x:f>IF('Official Ranking v2'!B140="","",'Official Ranking v2'!V140)</x:f>
      </x:c>
      <x:c r="N136" s="226" t="str">
        <x:f>IF('Official Ranking v2'!B140="","",'Official Ranking v2'!P140)</x:f>
      </x:c>
    </x:row>
    <x:row r="137">
      <x:c r="A137" t="str">
        <x:f>'Player Report Index'!B140</x:f>
      </x:c>
      <x:c r="B137" t="n">
        <x:f>'Player Report Index'!J140</x:f>
        <x:v>0</x:v>
      </x:c>
      <x:c r="C137" t="str">
        <x:f>IF('Official Ranking v2'!B141="","",'Official Ranking v2'!A141)</x:f>
      </x:c>
      <x:c r="D137" t="str">
        <x:f>IF('Official Ranking v2'!B141="","",'Official Ranking v2'!B141)</x:f>
      </x:c>
      <x:c r="E137" t="str">
        <x:f>IF('Official Ranking v2'!B141="","",'Official Ranking v2'!C141)</x:f>
      </x:c>
      <x:c r="F137" t="str">
        <x:f>IF('Official Ranking v2'!B141="","",'Official Ranking v2'!D141)</x:f>
      </x:c>
      <x:c r="G137" t="str">
        <x:f>IF('Official Ranking v2'!B141="","",'Official Ranking v2'!E141)</x:f>
      </x:c>
      <x:c r="H137" s="303" t="str">
        <x:f>IF('Official Ranking v2'!B141="","",'Official Ranking v2'!F141)</x:f>
      </x:c>
      <x:c r="I137" s="226" t="str">
        <x:f>IF('Official Ranking v2'!B141="","",'Official Ranking v2'!S141)</x:f>
      </x:c>
      <x:c r="J137" t="str">
        <x:f>IF('Official Ranking v2'!B141="","",'Official Ranking v2'!T141)</x:f>
      </x:c>
      <x:c r="K137" t="str">
        <x:f>IF('Official Ranking v2'!B141="","",'Official Ranking v2'!W141)</x:f>
      </x:c>
      <x:c r="L137" t="str">
        <x:f>IF('Official Ranking v2'!B141="","",'Official Ranking v2'!X141)</x:f>
      </x:c>
      <x:c r="M137" t="str">
        <x:f>IF('Official Ranking v2'!B141="","",'Official Ranking v2'!V141)</x:f>
      </x:c>
      <x:c r="N137" s="226" t="str">
        <x:f>IF('Official Ranking v2'!B141="","",'Official Ranking v2'!P141)</x:f>
      </x:c>
    </x:row>
    <x:row r="138">
      <x:c r="A138" t="str">
        <x:f>'Player Report Index'!B141</x:f>
      </x:c>
      <x:c r="B138" t="n">
        <x:f>'Player Report Index'!J141</x:f>
        <x:v>0</x:v>
      </x:c>
      <x:c r="C138" t="str">
        <x:f>IF('Official Ranking v2'!B142="","",'Official Ranking v2'!A142)</x:f>
      </x:c>
      <x:c r="D138" t="str">
        <x:f>IF('Official Ranking v2'!B142="","",'Official Ranking v2'!B142)</x:f>
      </x:c>
      <x:c r="E138" t="str">
        <x:f>IF('Official Ranking v2'!B142="","",'Official Ranking v2'!C142)</x:f>
      </x:c>
      <x:c r="F138" t="str">
        <x:f>IF('Official Ranking v2'!B142="","",'Official Ranking v2'!D142)</x:f>
      </x:c>
      <x:c r="G138" t="str">
        <x:f>IF('Official Ranking v2'!B142="","",'Official Ranking v2'!E142)</x:f>
      </x:c>
      <x:c r="H138" s="303" t="str">
        <x:f>IF('Official Ranking v2'!B142="","",'Official Ranking v2'!F142)</x:f>
      </x:c>
      <x:c r="I138" s="226" t="str">
        <x:f>IF('Official Ranking v2'!B142="","",'Official Ranking v2'!S142)</x:f>
      </x:c>
      <x:c r="J138" t="str">
        <x:f>IF('Official Ranking v2'!B142="","",'Official Ranking v2'!T142)</x:f>
      </x:c>
      <x:c r="K138" t="str">
        <x:f>IF('Official Ranking v2'!B142="","",'Official Ranking v2'!W142)</x:f>
      </x:c>
      <x:c r="L138" t="str">
        <x:f>IF('Official Ranking v2'!B142="","",'Official Ranking v2'!X142)</x:f>
      </x:c>
      <x:c r="M138" t="str">
        <x:f>IF('Official Ranking v2'!B142="","",'Official Ranking v2'!V142)</x:f>
      </x:c>
      <x:c r="N138" s="226" t="str">
        <x:f>IF('Official Ranking v2'!B142="","",'Official Ranking v2'!P142)</x:f>
      </x:c>
    </x:row>
    <x:row r="139">
      <x:c r="A139" t="str">
        <x:f>'Player Report Index'!B142</x:f>
      </x:c>
      <x:c r="B139" t="n">
        <x:f>'Player Report Index'!J142</x:f>
        <x:v>0</x:v>
      </x:c>
      <x:c r="C139" t="str">
        <x:f>IF('Official Ranking v2'!B143="","",'Official Ranking v2'!A143)</x:f>
      </x:c>
      <x:c r="D139" t="str">
        <x:f>IF('Official Ranking v2'!B143="","",'Official Ranking v2'!B143)</x:f>
      </x:c>
      <x:c r="E139" t="str">
        <x:f>IF('Official Ranking v2'!B143="","",'Official Ranking v2'!C143)</x:f>
      </x:c>
      <x:c r="F139" t="str">
        <x:f>IF('Official Ranking v2'!B143="","",'Official Ranking v2'!D143)</x:f>
      </x:c>
      <x:c r="G139" t="str">
        <x:f>IF('Official Ranking v2'!B143="","",'Official Ranking v2'!E143)</x:f>
      </x:c>
      <x:c r="H139" s="303" t="str">
        <x:f>IF('Official Ranking v2'!B143="","",'Official Ranking v2'!F143)</x:f>
      </x:c>
      <x:c r="I139" s="226" t="str">
        <x:f>IF('Official Ranking v2'!B143="","",'Official Ranking v2'!S143)</x:f>
      </x:c>
      <x:c r="J139" t="str">
        <x:f>IF('Official Ranking v2'!B143="","",'Official Ranking v2'!T143)</x:f>
      </x:c>
      <x:c r="K139" t="str">
        <x:f>IF('Official Ranking v2'!B143="","",'Official Ranking v2'!W143)</x:f>
      </x:c>
      <x:c r="L139" t="str">
        <x:f>IF('Official Ranking v2'!B143="","",'Official Ranking v2'!X143)</x:f>
      </x:c>
      <x:c r="M139" t="str">
        <x:f>IF('Official Ranking v2'!B143="","",'Official Ranking v2'!V143)</x:f>
      </x:c>
      <x:c r="N139" s="226" t="str">
        <x:f>IF('Official Ranking v2'!B143="","",'Official Ranking v2'!P143)</x:f>
      </x:c>
    </x:row>
    <x:row r="140">
      <x:c r="A140" t="str">
        <x:f>'Player Report Index'!B143</x:f>
      </x:c>
      <x:c r="B140" t="n">
        <x:f>'Player Report Index'!J143</x:f>
        <x:v>0</x:v>
      </x:c>
      <x:c r="C140" t="str">
        <x:f>IF('Official Ranking v2'!B144="","",'Official Ranking v2'!A144)</x:f>
      </x:c>
      <x:c r="D140" t="str">
        <x:f>IF('Official Ranking v2'!B144="","",'Official Ranking v2'!B144)</x:f>
      </x:c>
      <x:c r="E140" t="str">
        <x:f>IF('Official Ranking v2'!B144="","",'Official Ranking v2'!C144)</x:f>
      </x:c>
      <x:c r="F140" t="str">
        <x:f>IF('Official Ranking v2'!B144="","",'Official Ranking v2'!D144)</x:f>
      </x:c>
      <x:c r="G140" t="str">
        <x:f>IF('Official Ranking v2'!B144="","",'Official Ranking v2'!E144)</x:f>
      </x:c>
      <x:c r="H140" s="303" t="str">
        <x:f>IF('Official Ranking v2'!B144="","",'Official Ranking v2'!F144)</x:f>
      </x:c>
      <x:c r="I140" s="226" t="str">
        <x:f>IF('Official Ranking v2'!B144="","",'Official Ranking v2'!S144)</x:f>
      </x:c>
      <x:c r="J140" t="str">
        <x:f>IF('Official Ranking v2'!B144="","",'Official Ranking v2'!T144)</x:f>
      </x:c>
      <x:c r="K140" t="str">
        <x:f>IF('Official Ranking v2'!B144="","",'Official Ranking v2'!W144)</x:f>
      </x:c>
      <x:c r="L140" t="str">
        <x:f>IF('Official Ranking v2'!B144="","",'Official Ranking v2'!X144)</x:f>
      </x:c>
      <x:c r="M140" t="str">
        <x:f>IF('Official Ranking v2'!B144="","",'Official Ranking v2'!V144)</x:f>
      </x:c>
      <x:c r="N140" s="226" t="str">
        <x:f>IF('Official Ranking v2'!B144="","",'Official Ranking v2'!P144)</x:f>
      </x:c>
    </x:row>
    <x:row r="141">
      <x:c r="A141" t="str">
        <x:f>'Player Report Index'!B144</x:f>
      </x:c>
      <x:c r="B141" t="n">
        <x:f>'Player Report Index'!J144</x:f>
        <x:v>0</x:v>
      </x:c>
      <x:c r="C141" t="str">
        <x:f>IF('Official Ranking v2'!B145="","",'Official Ranking v2'!A145)</x:f>
      </x:c>
      <x:c r="D141" t="str">
        <x:f>IF('Official Ranking v2'!B145="","",'Official Ranking v2'!B145)</x:f>
      </x:c>
      <x:c r="E141" t="str">
        <x:f>IF('Official Ranking v2'!B145="","",'Official Ranking v2'!C145)</x:f>
      </x:c>
      <x:c r="F141" t="str">
        <x:f>IF('Official Ranking v2'!B145="","",'Official Ranking v2'!D145)</x:f>
      </x:c>
      <x:c r="G141" t="str">
        <x:f>IF('Official Ranking v2'!B145="","",'Official Ranking v2'!E145)</x:f>
      </x:c>
      <x:c r="H141" s="303" t="str">
        <x:f>IF('Official Ranking v2'!B145="","",'Official Ranking v2'!F145)</x:f>
      </x:c>
      <x:c r="I141" s="226" t="str">
        <x:f>IF('Official Ranking v2'!B145="","",'Official Ranking v2'!S145)</x:f>
      </x:c>
      <x:c r="J141" t="str">
        <x:f>IF('Official Ranking v2'!B145="","",'Official Ranking v2'!T145)</x:f>
      </x:c>
      <x:c r="K141" t="str">
        <x:f>IF('Official Ranking v2'!B145="","",'Official Ranking v2'!W145)</x:f>
      </x:c>
      <x:c r="L141" t="str">
        <x:f>IF('Official Ranking v2'!B145="","",'Official Ranking v2'!X145)</x:f>
      </x:c>
      <x:c r="M141" t="str">
        <x:f>IF('Official Ranking v2'!B145="","",'Official Ranking v2'!V145)</x:f>
      </x:c>
      <x:c r="N141" s="226" t="str">
        <x:f>IF('Official Ranking v2'!B145="","",'Official Ranking v2'!P145)</x:f>
      </x:c>
    </x:row>
    <x:row r="142">
      <x:c r="A142" t="str">
        <x:f>'Player Report Index'!B145</x:f>
      </x:c>
      <x:c r="B142" t="n">
        <x:f>'Player Report Index'!J145</x:f>
        <x:v>0</x:v>
      </x:c>
      <x:c r="C142" t="str">
        <x:f>IF('Official Ranking v2'!B146="","",'Official Ranking v2'!A146)</x:f>
      </x:c>
      <x:c r="D142" t="str">
        <x:f>IF('Official Ranking v2'!B146="","",'Official Ranking v2'!B146)</x:f>
      </x:c>
      <x:c r="E142" t="str">
        <x:f>IF('Official Ranking v2'!B146="","",'Official Ranking v2'!C146)</x:f>
      </x:c>
      <x:c r="F142" t="str">
        <x:f>IF('Official Ranking v2'!B146="","",'Official Ranking v2'!D146)</x:f>
      </x:c>
      <x:c r="G142" t="str">
        <x:f>IF('Official Ranking v2'!B146="","",'Official Ranking v2'!E146)</x:f>
      </x:c>
      <x:c r="H142" s="303" t="str">
        <x:f>IF('Official Ranking v2'!B146="","",'Official Ranking v2'!F146)</x:f>
      </x:c>
      <x:c r="I142" s="226" t="str">
        <x:f>IF('Official Ranking v2'!B146="","",'Official Ranking v2'!S146)</x:f>
      </x:c>
      <x:c r="J142" t="str">
        <x:f>IF('Official Ranking v2'!B146="","",'Official Ranking v2'!T146)</x:f>
      </x:c>
      <x:c r="K142" t="str">
        <x:f>IF('Official Ranking v2'!B146="","",'Official Ranking v2'!W146)</x:f>
      </x:c>
      <x:c r="L142" t="str">
        <x:f>IF('Official Ranking v2'!B146="","",'Official Ranking v2'!X146)</x:f>
      </x:c>
      <x:c r="M142" t="str">
        <x:f>IF('Official Ranking v2'!B146="","",'Official Ranking v2'!V146)</x:f>
      </x:c>
      <x:c r="N142" s="226" t="str">
        <x:f>IF('Official Ranking v2'!B146="","",'Official Ranking v2'!P146)</x:f>
      </x:c>
    </x:row>
    <x:row r="143">
      <x:c r="A143" t="str">
        <x:f>'Player Report Index'!B146</x:f>
      </x:c>
      <x:c r="B143" t="n">
        <x:f>'Player Report Index'!J146</x:f>
        <x:v>0</x:v>
      </x:c>
      <x:c r="C143" t="str">
        <x:f>IF('Official Ranking v2'!B147="","",'Official Ranking v2'!A147)</x:f>
      </x:c>
      <x:c r="D143" t="str">
        <x:f>IF('Official Ranking v2'!B147="","",'Official Ranking v2'!B147)</x:f>
      </x:c>
      <x:c r="E143" t="str">
        <x:f>IF('Official Ranking v2'!B147="","",'Official Ranking v2'!C147)</x:f>
      </x:c>
      <x:c r="F143" t="str">
        <x:f>IF('Official Ranking v2'!B147="","",'Official Ranking v2'!D147)</x:f>
      </x:c>
      <x:c r="G143" t="str">
        <x:f>IF('Official Ranking v2'!B147="","",'Official Ranking v2'!E147)</x:f>
      </x:c>
      <x:c r="H143" s="303" t="str">
        <x:f>IF('Official Ranking v2'!B147="","",'Official Ranking v2'!F147)</x:f>
      </x:c>
      <x:c r="I143" s="226" t="str">
        <x:f>IF('Official Ranking v2'!B147="","",'Official Ranking v2'!S147)</x:f>
      </x:c>
      <x:c r="J143" t="str">
        <x:f>IF('Official Ranking v2'!B147="","",'Official Ranking v2'!T147)</x:f>
      </x:c>
      <x:c r="K143" t="str">
        <x:f>IF('Official Ranking v2'!B147="","",'Official Ranking v2'!W147)</x:f>
      </x:c>
      <x:c r="L143" t="str">
        <x:f>IF('Official Ranking v2'!B147="","",'Official Ranking v2'!X147)</x:f>
      </x:c>
      <x:c r="M143" t="str">
        <x:f>IF('Official Ranking v2'!B147="","",'Official Ranking v2'!V147)</x:f>
      </x:c>
      <x:c r="N143" s="226" t="str">
        <x:f>IF('Official Ranking v2'!B147="","",'Official Ranking v2'!P147)</x:f>
      </x:c>
    </x:row>
    <x:row r="144">
      <x:c r="A144" t="str">
        <x:f>'Player Report Index'!B147</x:f>
      </x:c>
      <x:c r="B144" t="n">
        <x:f>'Player Report Index'!J147</x:f>
        <x:v>0</x:v>
      </x:c>
      <x:c r="C144" t="str">
        <x:f>IF('Official Ranking v2'!B148="","",'Official Ranking v2'!A148)</x:f>
      </x:c>
      <x:c r="D144" t="str">
        <x:f>IF('Official Ranking v2'!B148="","",'Official Ranking v2'!B148)</x:f>
      </x:c>
      <x:c r="E144" t="str">
        <x:f>IF('Official Ranking v2'!B148="","",'Official Ranking v2'!C148)</x:f>
      </x:c>
      <x:c r="F144" t="str">
        <x:f>IF('Official Ranking v2'!B148="","",'Official Ranking v2'!D148)</x:f>
      </x:c>
      <x:c r="G144" t="str">
        <x:f>IF('Official Ranking v2'!B148="","",'Official Ranking v2'!E148)</x:f>
      </x:c>
      <x:c r="H144" s="303" t="str">
        <x:f>IF('Official Ranking v2'!B148="","",'Official Ranking v2'!F148)</x:f>
      </x:c>
      <x:c r="I144" s="226" t="str">
        <x:f>IF('Official Ranking v2'!B148="","",'Official Ranking v2'!S148)</x:f>
      </x:c>
      <x:c r="J144" t="str">
        <x:f>IF('Official Ranking v2'!B148="","",'Official Ranking v2'!T148)</x:f>
      </x:c>
      <x:c r="K144" t="str">
        <x:f>IF('Official Ranking v2'!B148="","",'Official Ranking v2'!W148)</x:f>
      </x:c>
      <x:c r="L144" t="str">
        <x:f>IF('Official Ranking v2'!B148="","",'Official Ranking v2'!X148)</x:f>
      </x:c>
      <x:c r="M144" t="str">
        <x:f>IF('Official Ranking v2'!B148="","",'Official Ranking v2'!V148)</x:f>
      </x:c>
      <x:c r="N144" s="226" t="str">
        <x:f>IF('Official Ranking v2'!B148="","",'Official Ranking v2'!P148)</x:f>
      </x:c>
    </x:row>
    <x:row r="145">
      <x:c r="A145" t="str">
        <x:f>'Player Report Index'!B148</x:f>
      </x:c>
      <x:c r="B145" t="n">
        <x:f>'Player Report Index'!J148</x:f>
        <x:v>0</x:v>
      </x:c>
      <x:c r="C145" t="str">
        <x:f>IF('Official Ranking v2'!B149="","",'Official Ranking v2'!A149)</x:f>
      </x:c>
      <x:c r="D145" t="str">
        <x:f>IF('Official Ranking v2'!B149="","",'Official Ranking v2'!B149)</x:f>
      </x:c>
      <x:c r="E145" t="str">
        <x:f>IF('Official Ranking v2'!B149="","",'Official Ranking v2'!C149)</x:f>
      </x:c>
      <x:c r="F145" t="str">
        <x:f>IF('Official Ranking v2'!B149="","",'Official Ranking v2'!D149)</x:f>
      </x:c>
      <x:c r="G145" t="str">
        <x:f>IF('Official Ranking v2'!B149="","",'Official Ranking v2'!E149)</x:f>
      </x:c>
      <x:c r="H145" s="303" t="str">
        <x:f>IF('Official Ranking v2'!B149="","",'Official Ranking v2'!F149)</x:f>
      </x:c>
      <x:c r="I145" s="226" t="str">
        <x:f>IF('Official Ranking v2'!B149="","",'Official Ranking v2'!S149)</x:f>
      </x:c>
      <x:c r="J145" t="str">
        <x:f>IF('Official Ranking v2'!B149="","",'Official Ranking v2'!T149)</x:f>
      </x:c>
      <x:c r="K145" t="str">
        <x:f>IF('Official Ranking v2'!B149="","",'Official Ranking v2'!W149)</x:f>
      </x:c>
      <x:c r="L145" t="str">
        <x:f>IF('Official Ranking v2'!B149="","",'Official Ranking v2'!X149)</x:f>
      </x:c>
      <x:c r="M145" t="str">
        <x:f>IF('Official Ranking v2'!B149="","",'Official Ranking v2'!V149)</x:f>
      </x:c>
      <x:c r="N145" s="226" t="str">
        <x:f>IF('Official Ranking v2'!B149="","",'Official Ranking v2'!P149)</x:f>
      </x:c>
    </x:row>
    <x:row r="146">
      <x:c r="A146" t="str">
        <x:f>'Player Report Index'!B149</x:f>
      </x:c>
      <x:c r="B146" t="n">
        <x:f>'Player Report Index'!J149</x:f>
        <x:v>0</x:v>
      </x:c>
      <x:c r="C146" t="str">
        <x:f>IF('Official Ranking v2'!B150="","",'Official Ranking v2'!A150)</x:f>
      </x:c>
      <x:c r="D146" t="str">
        <x:f>IF('Official Ranking v2'!B150="","",'Official Ranking v2'!B150)</x:f>
      </x:c>
      <x:c r="E146" t="str">
        <x:f>IF('Official Ranking v2'!B150="","",'Official Ranking v2'!C150)</x:f>
      </x:c>
      <x:c r="F146" t="str">
        <x:f>IF('Official Ranking v2'!B150="","",'Official Ranking v2'!D150)</x:f>
      </x:c>
      <x:c r="G146" t="str">
        <x:f>IF('Official Ranking v2'!B150="","",'Official Ranking v2'!E150)</x:f>
      </x:c>
      <x:c r="H146" s="303" t="str">
        <x:f>IF('Official Ranking v2'!B150="","",'Official Ranking v2'!F150)</x:f>
      </x:c>
      <x:c r="I146" s="226" t="str">
        <x:f>IF('Official Ranking v2'!B150="","",'Official Ranking v2'!S150)</x:f>
      </x:c>
      <x:c r="J146" t="str">
        <x:f>IF('Official Ranking v2'!B150="","",'Official Ranking v2'!T150)</x:f>
      </x:c>
      <x:c r="K146" t="str">
        <x:f>IF('Official Ranking v2'!B150="","",'Official Ranking v2'!W150)</x:f>
      </x:c>
      <x:c r="L146" t="str">
        <x:f>IF('Official Ranking v2'!B150="","",'Official Ranking v2'!X150)</x:f>
      </x:c>
      <x:c r="M146" t="str">
        <x:f>IF('Official Ranking v2'!B150="","",'Official Ranking v2'!V150)</x:f>
      </x:c>
      <x:c r="N146" s="226" t="str">
        <x:f>IF('Official Ranking v2'!B150="","",'Official Ranking v2'!P150)</x:f>
      </x:c>
    </x:row>
    <x:row r="147">
      <x:c r="A147" t="str">
        <x:f>'Player Report Index'!B150</x:f>
      </x:c>
      <x:c r="B147" t="n">
        <x:f>'Player Report Index'!J150</x:f>
        <x:v>0</x:v>
      </x:c>
      <x:c r="C147" t="str">
        <x:f>IF('Official Ranking v2'!B151="","",'Official Ranking v2'!A151)</x:f>
      </x:c>
      <x:c r="D147" t="str">
        <x:f>IF('Official Ranking v2'!B151="","",'Official Ranking v2'!B151)</x:f>
      </x:c>
      <x:c r="E147" t="str">
        <x:f>IF('Official Ranking v2'!B151="","",'Official Ranking v2'!C151)</x:f>
      </x:c>
      <x:c r="F147" t="str">
        <x:f>IF('Official Ranking v2'!B151="","",'Official Ranking v2'!D151)</x:f>
      </x:c>
      <x:c r="G147" t="str">
        <x:f>IF('Official Ranking v2'!B151="","",'Official Ranking v2'!E151)</x:f>
      </x:c>
      <x:c r="H147" s="303" t="str">
        <x:f>IF('Official Ranking v2'!B151="","",'Official Ranking v2'!F151)</x:f>
      </x:c>
      <x:c r="I147" s="226" t="str">
        <x:f>IF('Official Ranking v2'!B151="","",'Official Ranking v2'!S151)</x:f>
      </x:c>
      <x:c r="J147" t="str">
        <x:f>IF('Official Ranking v2'!B151="","",'Official Ranking v2'!T151)</x:f>
      </x:c>
      <x:c r="K147" t="str">
        <x:f>IF('Official Ranking v2'!B151="","",'Official Ranking v2'!W151)</x:f>
      </x:c>
      <x:c r="L147" t="str">
        <x:f>IF('Official Ranking v2'!B151="","",'Official Ranking v2'!X151)</x:f>
      </x:c>
      <x:c r="M147" t="str">
        <x:f>IF('Official Ranking v2'!B151="","",'Official Ranking v2'!V151)</x:f>
      </x:c>
      <x:c r="N147" s="226" t="str">
        <x:f>IF('Official Ranking v2'!B151="","",'Official Ranking v2'!P151)</x:f>
      </x:c>
    </x:row>
    <x:row r="148">
      <x:c r="A148" t="str">
        <x:f>'Player Report Index'!B151</x:f>
      </x:c>
      <x:c r="B148" t="n">
        <x:f>'Player Report Index'!J151</x:f>
        <x:v>0</x:v>
      </x:c>
      <x:c r="C148" t="str">
        <x:f>IF('Official Ranking v2'!B152="","",'Official Ranking v2'!A152)</x:f>
      </x:c>
      <x:c r="D148" t="str">
        <x:f>IF('Official Ranking v2'!B152="","",'Official Ranking v2'!B152)</x:f>
      </x:c>
      <x:c r="E148" t="str">
        <x:f>IF('Official Ranking v2'!B152="","",'Official Ranking v2'!C152)</x:f>
      </x:c>
      <x:c r="F148" t="str">
        <x:f>IF('Official Ranking v2'!B152="","",'Official Ranking v2'!D152)</x:f>
      </x:c>
      <x:c r="G148" t="str">
        <x:f>IF('Official Ranking v2'!B152="","",'Official Ranking v2'!E152)</x:f>
      </x:c>
      <x:c r="H148" s="303" t="str">
        <x:f>IF('Official Ranking v2'!B152="","",'Official Ranking v2'!F152)</x:f>
      </x:c>
      <x:c r="I148" s="226" t="str">
        <x:f>IF('Official Ranking v2'!B152="","",'Official Ranking v2'!S152)</x:f>
      </x:c>
      <x:c r="J148" t="str">
        <x:f>IF('Official Ranking v2'!B152="","",'Official Ranking v2'!T152)</x:f>
      </x:c>
      <x:c r="K148" t="str">
        <x:f>IF('Official Ranking v2'!B152="","",'Official Ranking v2'!W152)</x:f>
      </x:c>
      <x:c r="L148" t="str">
        <x:f>IF('Official Ranking v2'!B152="","",'Official Ranking v2'!X152)</x:f>
      </x:c>
      <x:c r="M148" t="str">
        <x:f>IF('Official Ranking v2'!B152="","",'Official Ranking v2'!V152)</x:f>
      </x:c>
      <x:c r="N148" s="226" t="str">
        <x:f>IF('Official Ranking v2'!B152="","",'Official Ranking v2'!P152)</x:f>
      </x:c>
    </x:row>
    <x:row r="149">
      <x:c r="A149" t="str">
        <x:f>'Player Report Index'!B152</x:f>
      </x:c>
      <x:c r="B149" t="n">
        <x:f>'Player Report Index'!J152</x:f>
        <x:v>0</x:v>
      </x:c>
      <x:c r="C149" t="str">
        <x:f>IF('Official Ranking v2'!B153="","",'Official Ranking v2'!A153)</x:f>
      </x:c>
      <x:c r="D149" t="str">
        <x:f>IF('Official Ranking v2'!B153="","",'Official Ranking v2'!B153)</x:f>
      </x:c>
      <x:c r="E149" t="str">
        <x:f>IF('Official Ranking v2'!B153="","",'Official Ranking v2'!C153)</x:f>
      </x:c>
      <x:c r="F149" t="str">
        <x:f>IF('Official Ranking v2'!B153="","",'Official Ranking v2'!D153)</x:f>
      </x:c>
      <x:c r="G149" t="str">
        <x:f>IF('Official Ranking v2'!B153="","",'Official Ranking v2'!E153)</x:f>
      </x:c>
      <x:c r="H149" s="303" t="str">
        <x:f>IF('Official Ranking v2'!B153="","",'Official Ranking v2'!F153)</x:f>
      </x:c>
      <x:c r="I149" s="226" t="str">
        <x:f>IF('Official Ranking v2'!B153="","",'Official Ranking v2'!S153)</x:f>
      </x:c>
      <x:c r="J149" t="str">
        <x:f>IF('Official Ranking v2'!B153="","",'Official Ranking v2'!T153)</x:f>
      </x:c>
      <x:c r="K149" t="str">
        <x:f>IF('Official Ranking v2'!B153="","",'Official Ranking v2'!W153)</x:f>
      </x:c>
      <x:c r="L149" t="str">
        <x:f>IF('Official Ranking v2'!B153="","",'Official Ranking v2'!X153)</x:f>
      </x:c>
      <x:c r="M149" t="str">
        <x:f>IF('Official Ranking v2'!B153="","",'Official Ranking v2'!V153)</x:f>
      </x:c>
      <x:c r="N149" s="226" t="str">
        <x:f>IF('Official Ranking v2'!B153="","",'Official Ranking v2'!P153)</x:f>
      </x:c>
    </x:row>
    <x:row r="150">
      <x:c r="A150" t="str">
        <x:f>'Player Report Index'!B153</x:f>
      </x:c>
      <x:c r="B150" t="n">
        <x:f>'Player Report Index'!J153</x:f>
        <x:v>0</x:v>
      </x:c>
      <x:c r="C150" t="str">
        <x:f>IF('Official Ranking v2'!B154="","",'Official Ranking v2'!A154)</x:f>
      </x:c>
      <x:c r="D150" t="str">
        <x:f>IF('Official Ranking v2'!B154="","",'Official Ranking v2'!B154)</x:f>
      </x:c>
      <x:c r="E150" t="str">
        <x:f>IF('Official Ranking v2'!B154="","",'Official Ranking v2'!C154)</x:f>
      </x:c>
      <x:c r="F150" t="str">
        <x:f>IF('Official Ranking v2'!B154="","",'Official Ranking v2'!D154)</x:f>
      </x:c>
      <x:c r="G150" t="str">
        <x:f>IF('Official Ranking v2'!B154="","",'Official Ranking v2'!E154)</x:f>
      </x:c>
      <x:c r="H150" s="303" t="str">
        <x:f>IF('Official Ranking v2'!B154="","",'Official Ranking v2'!F154)</x:f>
      </x:c>
      <x:c r="I150" s="226" t="str">
        <x:f>IF('Official Ranking v2'!B154="","",'Official Ranking v2'!S154)</x:f>
      </x:c>
      <x:c r="J150" t="str">
        <x:f>IF('Official Ranking v2'!B154="","",'Official Ranking v2'!T154)</x:f>
      </x:c>
      <x:c r="K150" t="str">
        <x:f>IF('Official Ranking v2'!B154="","",'Official Ranking v2'!W154)</x:f>
      </x:c>
      <x:c r="L150" t="str">
        <x:f>IF('Official Ranking v2'!B154="","",'Official Ranking v2'!X154)</x:f>
      </x:c>
      <x:c r="M150" t="str">
        <x:f>IF('Official Ranking v2'!B154="","",'Official Ranking v2'!V154)</x:f>
      </x:c>
      <x:c r="N150" s="226" t="str">
        <x:f>IF('Official Ranking v2'!B154="","",'Official Ranking v2'!P154)</x:f>
      </x:c>
    </x:row>
    <x:row r="151">
      <x:c r="A151" t="str">
        <x:f>'Player Report Index'!B154</x:f>
      </x:c>
      <x:c r="B151" t="n">
        <x:f>'Player Report Index'!J154</x:f>
        <x:v>0</x:v>
      </x:c>
      <x:c r="C151" t="str">
        <x:f>IF('Official Ranking v2'!B155="","",'Official Ranking v2'!A155)</x:f>
      </x:c>
      <x:c r="D151" t="str">
        <x:f>IF('Official Ranking v2'!B155="","",'Official Ranking v2'!B155)</x:f>
      </x:c>
      <x:c r="E151" t="str">
        <x:f>IF('Official Ranking v2'!B155="","",'Official Ranking v2'!C155)</x:f>
      </x:c>
      <x:c r="F151" t="str">
        <x:f>IF('Official Ranking v2'!B155="","",'Official Ranking v2'!D155)</x:f>
      </x:c>
      <x:c r="G151" t="str">
        <x:f>IF('Official Ranking v2'!B155="","",'Official Ranking v2'!E155)</x:f>
      </x:c>
      <x:c r="H151" s="303" t="str">
        <x:f>IF('Official Ranking v2'!B155="","",'Official Ranking v2'!F155)</x:f>
      </x:c>
      <x:c r="I151" s="226" t="str">
        <x:f>IF('Official Ranking v2'!B155="","",'Official Ranking v2'!S155)</x:f>
      </x:c>
      <x:c r="J151" t="str">
        <x:f>IF('Official Ranking v2'!B155="","",'Official Ranking v2'!T155)</x:f>
      </x:c>
      <x:c r="K151" t="str">
        <x:f>IF('Official Ranking v2'!B155="","",'Official Ranking v2'!W155)</x:f>
      </x:c>
      <x:c r="L151" t="str">
        <x:f>IF('Official Ranking v2'!B155="","",'Official Ranking v2'!X155)</x:f>
      </x:c>
      <x:c r="M151" t="str">
        <x:f>IF('Official Ranking v2'!B155="","",'Official Ranking v2'!V155)</x:f>
      </x:c>
      <x:c r="N151" s="226" t="str">
        <x:f>IF('Official Ranking v2'!B155="","",'Official Ranking v2'!P155)</x:f>
      </x:c>
    </x:row>
    <x:row r="152">
      <x:c r="A152" t="str">
        <x:f>'Player Report Index'!B155</x:f>
      </x:c>
      <x:c r="B152" t="n">
        <x:f>'Player Report Index'!J155</x:f>
        <x:v>0</x:v>
      </x:c>
      <x:c r="C152" t="str">
        <x:f>IF('Official Ranking v2'!B156="","",'Official Ranking v2'!A156)</x:f>
      </x:c>
      <x:c r="D152" t="str">
        <x:f>IF('Official Ranking v2'!B156="","",'Official Ranking v2'!B156)</x:f>
      </x:c>
      <x:c r="E152" t="str">
        <x:f>IF('Official Ranking v2'!B156="","",'Official Ranking v2'!C156)</x:f>
      </x:c>
      <x:c r="F152" t="str">
        <x:f>IF('Official Ranking v2'!B156="","",'Official Ranking v2'!D156)</x:f>
      </x:c>
      <x:c r="G152" t="str">
        <x:f>IF('Official Ranking v2'!B156="","",'Official Ranking v2'!E156)</x:f>
      </x:c>
      <x:c r="H152" s="303" t="str">
        <x:f>IF('Official Ranking v2'!B156="","",'Official Ranking v2'!F156)</x:f>
      </x:c>
      <x:c r="I152" s="226" t="str">
        <x:f>IF('Official Ranking v2'!B156="","",'Official Ranking v2'!S156)</x:f>
      </x:c>
      <x:c r="J152" t="str">
        <x:f>IF('Official Ranking v2'!B156="","",'Official Ranking v2'!T156)</x:f>
      </x:c>
      <x:c r="K152" t="str">
        <x:f>IF('Official Ranking v2'!B156="","",'Official Ranking v2'!W156)</x:f>
      </x:c>
      <x:c r="L152" t="str">
        <x:f>IF('Official Ranking v2'!B156="","",'Official Ranking v2'!X156)</x:f>
      </x:c>
      <x:c r="M152" t="str">
        <x:f>IF('Official Ranking v2'!B156="","",'Official Ranking v2'!V156)</x:f>
      </x:c>
      <x:c r="N152" s="226" t="str">
        <x:f>IF('Official Ranking v2'!B156="","",'Official Ranking v2'!P156)</x:f>
      </x:c>
    </x:row>
    <x:row r="153">
      <x:c r="A153" t="str">
        <x:f>'Player Report Index'!B156</x:f>
      </x:c>
      <x:c r="B153" t="n">
        <x:f>'Player Report Index'!J156</x:f>
        <x:v>0</x:v>
      </x:c>
      <x:c r="C153" t="str">
        <x:f>IF('Official Ranking v2'!B157="","",'Official Ranking v2'!A157)</x:f>
      </x:c>
      <x:c r="D153" t="str">
        <x:f>IF('Official Ranking v2'!B157="","",'Official Ranking v2'!B157)</x:f>
      </x:c>
      <x:c r="E153" t="str">
        <x:f>IF('Official Ranking v2'!B157="","",'Official Ranking v2'!C157)</x:f>
      </x:c>
      <x:c r="F153" t="str">
        <x:f>IF('Official Ranking v2'!B157="","",'Official Ranking v2'!D157)</x:f>
      </x:c>
      <x:c r="G153" t="str">
        <x:f>IF('Official Ranking v2'!B157="","",'Official Ranking v2'!E157)</x:f>
      </x:c>
      <x:c r="H153" s="303" t="str">
        <x:f>IF('Official Ranking v2'!B157="","",'Official Ranking v2'!F157)</x:f>
      </x:c>
      <x:c r="I153" s="226" t="str">
        <x:f>IF('Official Ranking v2'!B157="","",'Official Ranking v2'!S157)</x:f>
      </x:c>
      <x:c r="J153" t="str">
        <x:f>IF('Official Ranking v2'!B157="","",'Official Ranking v2'!T157)</x:f>
      </x:c>
      <x:c r="K153" t="str">
        <x:f>IF('Official Ranking v2'!B157="","",'Official Ranking v2'!W157)</x:f>
      </x:c>
      <x:c r="L153" t="str">
        <x:f>IF('Official Ranking v2'!B157="","",'Official Ranking v2'!X157)</x:f>
      </x:c>
      <x:c r="M153" t="str">
        <x:f>IF('Official Ranking v2'!B157="","",'Official Ranking v2'!V157)</x:f>
      </x:c>
      <x:c r="N153" s="226" t="str">
        <x:f>IF('Official Ranking v2'!B157="","",'Official Ranking v2'!P157)</x:f>
      </x:c>
    </x:row>
    <x:row r="154">
      <x:c r="A154" t="str">
        <x:f>'Player Report Index'!B157</x:f>
      </x:c>
      <x:c r="B154" t="n">
        <x:f>'Player Report Index'!J157</x:f>
        <x:v>0</x:v>
      </x:c>
      <x:c r="C154" t="str">
        <x:f>IF('Official Ranking v2'!B158="","",'Official Ranking v2'!A158)</x:f>
      </x:c>
      <x:c r="D154" t="str">
        <x:f>IF('Official Ranking v2'!B158="","",'Official Ranking v2'!B158)</x:f>
      </x:c>
      <x:c r="E154" t="str">
        <x:f>IF('Official Ranking v2'!B158="","",'Official Ranking v2'!C158)</x:f>
      </x:c>
      <x:c r="F154" t="str">
        <x:f>IF('Official Ranking v2'!B158="","",'Official Ranking v2'!D158)</x:f>
      </x:c>
      <x:c r="G154" t="str">
        <x:f>IF('Official Ranking v2'!B158="","",'Official Ranking v2'!E158)</x:f>
      </x:c>
      <x:c r="H154" s="303" t="str">
        <x:f>IF('Official Ranking v2'!B158="","",'Official Ranking v2'!F158)</x:f>
      </x:c>
      <x:c r="I154" s="226" t="str">
        <x:f>IF('Official Ranking v2'!B158="","",'Official Ranking v2'!S158)</x:f>
      </x:c>
      <x:c r="J154" t="str">
        <x:f>IF('Official Ranking v2'!B158="","",'Official Ranking v2'!T158)</x:f>
      </x:c>
      <x:c r="K154" t="str">
        <x:f>IF('Official Ranking v2'!B158="","",'Official Ranking v2'!W158)</x:f>
      </x:c>
      <x:c r="L154" t="str">
        <x:f>IF('Official Ranking v2'!B158="","",'Official Ranking v2'!X158)</x:f>
      </x:c>
      <x:c r="M154" t="str">
        <x:f>IF('Official Ranking v2'!B158="","",'Official Ranking v2'!V158)</x:f>
      </x:c>
      <x:c r="N154" s="226" t="str">
        <x:f>IF('Official Ranking v2'!B158="","",'Official Ranking v2'!P158)</x:f>
      </x:c>
    </x:row>
    <x:row r="155">
      <x:c r="A155" t="str">
        <x:f>'Player Report Index'!B158</x:f>
      </x:c>
      <x:c r="B155" t="n">
        <x:f>'Player Report Index'!J158</x:f>
        <x:v>0</x:v>
      </x:c>
      <x:c r="C155" t="str">
        <x:f>IF('Official Ranking v2'!B159="","",'Official Ranking v2'!A159)</x:f>
      </x:c>
      <x:c r="D155" t="str">
        <x:f>IF('Official Ranking v2'!B159="","",'Official Ranking v2'!B159)</x:f>
      </x:c>
      <x:c r="E155" t="str">
        <x:f>IF('Official Ranking v2'!B159="","",'Official Ranking v2'!C159)</x:f>
      </x:c>
      <x:c r="F155" t="str">
        <x:f>IF('Official Ranking v2'!B159="","",'Official Ranking v2'!D159)</x:f>
      </x:c>
      <x:c r="G155" t="str">
        <x:f>IF('Official Ranking v2'!B159="","",'Official Ranking v2'!E159)</x:f>
      </x:c>
      <x:c r="H155" s="303" t="str">
        <x:f>IF('Official Ranking v2'!B159="","",'Official Ranking v2'!F159)</x:f>
      </x:c>
      <x:c r="I155" s="226" t="str">
        <x:f>IF('Official Ranking v2'!B159="","",'Official Ranking v2'!S159)</x:f>
      </x:c>
      <x:c r="J155" t="str">
        <x:f>IF('Official Ranking v2'!B159="","",'Official Ranking v2'!T159)</x:f>
      </x:c>
      <x:c r="K155" t="str">
        <x:f>IF('Official Ranking v2'!B159="","",'Official Ranking v2'!W159)</x:f>
      </x:c>
      <x:c r="L155" t="str">
        <x:f>IF('Official Ranking v2'!B159="","",'Official Ranking v2'!X159)</x:f>
      </x:c>
      <x:c r="M155" t="str">
        <x:f>IF('Official Ranking v2'!B159="","",'Official Ranking v2'!V159)</x:f>
      </x:c>
      <x:c r="N155" s="226" t="str">
        <x:f>IF('Official Ranking v2'!B159="","",'Official Ranking v2'!P159)</x:f>
      </x:c>
    </x:row>
    <x:row r="156">
      <x:c r="A156" t="str">
        <x:f>'Player Report Index'!B159</x:f>
      </x:c>
      <x:c r="B156" t="n">
        <x:f>'Player Report Index'!J159</x:f>
        <x:v>0</x:v>
      </x:c>
      <x:c r="C156" t="str">
        <x:f>IF('Official Ranking v2'!B160="","",'Official Ranking v2'!A160)</x:f>
      </x:c>
      <x:c r="D156" t="str">
        <x:f>IF('Official Ranking v2'!B160="","",'Official Ranking v2'!B160)</x:f>
      </x:c>
      <x:c r="E156" t="str">
        <x:f>IF('Official Ranking v2'!B160="","",'Official Ranking v2'!C160)</x:f>
      </x:c>
      <x:c r="F156" t="str">
        <x:f>IF('Official Ranking v2'!B160="","",'Official Ranking v2'!D160)</x:f>
      </x:c>
      <x:c r="G156" t="str">
        <x:f>IF('Official Ranking v2'!B160="","",'Official Ranking v2'!E160)</x:f>
      </x:c>
      <x:c r="H156" s="303" t="str">
        <x:f>IF('Official Ranking v2'!B160="","",'Official Ranking v2'!F160)</x:f>
      </x:c>
      <x:c r="I156" s="226" t="str">
        <x:f>IF('Official Ranking v2'!B160="","",'Official Ranking v2'!S160)</x:f>
      </x:c>
      <x:c r="J156" t="str">
        <x:f>IF('Official Ranking v2'!B160="","",'Official Ranking v2'!T160)</x:f>
      </x:c>
      <x:c r="K156" t="str">
        <x:f>IF('Official Ranking v2'!B160="","",'Official Ranking v2'!W160)</x:f>
      </x:c>
      <x:c r="L156" t="str">
        <x:f>IF('Official Ranking v2'!B160="","",'Official Ranking v2'!X160)</x:f>
      </x:c>
      <x:c r="M156" t="str">
        <x:f>IF('Official Ranking v2'!B160="","",'Official Ranking v2'!V160)</x:f>
      </x:c>
      <x:c r="N156" s="226" t="str">
        <x:f>IF('Official Ranking v2'!B160="","",'Official Ranking v2'!P160)</x:f>
      </x:c>
    </x:row>
    <x:row r="157">
      <x:c r="A157" t="str">
        <x:f>'Player Report Index'!B160</x:f>
      </x:c>
      <x:c r="B157" t="n">
        <x:f>'Player Report Index'!J160</x:f>
        <x:v>0</x:v>
      </x:c>
      <x:c r="C157" t="str">
        <x:f>IF('Official Ranking v2'!B161="","",'Official Ranking v2'!A161)</x:f>
      </x:c>
      <x:c r="D157" t="str">
        <x:f>IF('Official Ranking v2'!B161="","",'Official Ranking v2'!B161)</x:f>
      </x:c>
      <x:c r="E157" t="str">
        <x:f>IF('Official Ranking v2'!B161="","",'Official Ranking v2'!C161)</x:f>
      </x:c>
      <x:c r="F157" t="str">
        <x:f>IF('Official Ranking v2'!B161="","",'Official Ranking v2'!D161)</x:f>
      </x:c>
      <x:c r="G157" t="str">
        <x:f>IF('Official Ranking v2'!B161="","",'Official Ranking v2'!E161)</x:f>
      </x:c>
      <x:c r="H157" s="303" t="str">
        <x:f>IF('Official Ranking v2'!B161="","",'Official Ranking v2'!F161)</x:f>
      </x:c>
      <x:c r="I157" s="226" t="str">
        <x:f>IF('Official Ranking v2'!B161="","",'Official Ranking v2'!S161)</x:f>
      </x:c>
      <x:c r="J157" t="str">
        <x:f>IF('Official Ranking v2'!B161="","",'Official Ranking v2'!T161)</x:f>
      </x:c>
      <x:c r="K157" t="str">
        <x:f>IF('Official Ranking v2'!B161="","",'Official Ranking v2'!W161)</x:f>
      </x:c>
      <x:c r="L157" t="str">
        <x:f>IF('Official Ranking v2'!B161="","",'Official Ranking v2'!X161)</x:f>
      </x:c>
      <x:c r="M157" t="str">
        <x:f>IF('Official Ranking v2'!B161="","",'Official Ranking v2'!V161)</x:f>
      </x:c>
      <x:c r="N157" s="226" t="str">
        <x:f>IF('Official Ranking v2'!B161="","",'Official Ranking v2'!P161)</x:f>
      </x:c>
    </x:row>
    <x:row r="158">
      <x:c r="A158" t="str">
        <x:f>'Player Report Index'!B161</x:f>
      </x:c>
      <x:c r="B158" t="n">
        <x:f>'Player Report Index'!J161</x:f>
        <x:v>0</x:v>
      </x:c>
      <x:c r="C158" t="str">
        <x:f>IF('Official Ranking v2'!B162="","",'Official Ranking v2'!A162)</x:f>
      </x:c>
      <x:c r="D158" t="str">
        <x:f>IF('Official Ranking v2'!B162="","",'Official Ranking v2'!B162)</x:f>
      </x:c>
      <x:c r="E158" t="str">
        <x:f>IF('Official Ranking v2'!B162="","",'Official Ranking v2'!C162)</x:f>
      </x:c>
      <x:c r="F158" t="str">
        <x:f>IF('Official Ranking v2'!B162="","",'Official Ranking v2'!D162)</x:f>
      </x:c>
      <x:c r="G158" t="str">
        <x:f>IF('Official Ranking v2'!B162="","",'Official Ranking v2'!E162)</x:f>
      </x:c>
      <x:c r="H158" s="303" t="str">
        <x:f>IF('Official Ranking v2'!B162="","",'Official Ranking v2'!F162)</x:f>
      </x:c>
      <x:c r="I158" s="226" t="str">
        <x:f>IF('Official Ranking v2'!B162="","",'Official Ranking v2'!S162)</x:f>
      </x:c>
      <x:c r="J158" t="str">
        <x:f>IF('Official Ranking v2'!B162="","",'Official Ranking v2'!T162)</x:f>
      </x:c>
      <x:c r="K158" t="str">
        <x:f>IF('Official Ranking v2'!B162="","",'Official Ranking v2'!W162)</x:f>
      </x:c>
      <x:c r="L158" t="str">
        <x:f>IF('Official Ranking v2'!B162="","",'Official Ranking v2'!X162)</x:f>
      </x:c>
      <x:c r="M158" t="str">
        <x:f>IF('Official Ranking v2'!B162="","",'Official Ranking v2'!V162)</x:f>
      </x:c>
      <x:c r="N158" s="226" t="str">
        <x:f>IF('Official Ranking v2'!B162="","",'Official Ranking v2'!P162)</x:f>
      </x:c>
    </x:row>
    <x:row r="159">
      <x:c r="A159" t="str">
        <x:f>'Player Report Index'!B162</x:f>
      </x:c>
      <x:c r="B159" t="n">
        <x:f>'Player Report Index'!J162</x:f>
        <x:v>0</x:v>
      </x:c>
      <x:c r="C159" t="str">
        <x:f>IF('Official Ranking v2'!B163="","",'Official Ranking v2'!A163)</x:f>
      </x:c>
      <x:c r="D159" t="str">
        <x:f>IF('Official Ranking v2'!B163="","",'Official Ranking v2'!B163)</x:f>
      </x:c>
      <x:c r="E159" t="str">
        <x:f>IF('Official Ranking v2'!B163="","",'Official Ranking v2'!C163)</x:f>
      </x:c>
      <x:c r="F159" t="str">
        <x:f>IF('Official Ranking v2'!B163="","",'Official Ranking v2'!D163)</x:f>
      </x:c>
      <x:c r="G159" t="str">
        <x:f>IF('Official Ranking v2'!B163="","",'Official Ranking v2'!E163)</x:f>
      </x:c>
      <x:c r="H159" s="303" t="str">
        <x:f>IF('Official Ranking v2'!B163="","",'Official Ranking v2'!F163)</x:f>
      </x:c>
      <x:c r="I159" s="226" t="str">
        <x:f>IF('Official Ranking v2'!B163="","",'Official Ranking v2'!S163)</x:f>
      </x:c>
      <x:c r="J159" t="str">
        <x:f>IF('Official Ranking v2'!B163="","",'Official Ranking v2'!T163)</x:f>
      </x:c>
      <x:c r="K159" t="str">
        <x:f>IF('Official Ranking v2'!B163="","",'Official Ranking v2'!W163)</x:f>
      </x:c>
      <x:c r="L159" t="str">
        <x:f>IF('Official Ranking v2'!B163="","",'Official Ranking v2'!X163)</x:f>
      </x:c>
      <x:c r="M159" t="str">
        <x:f>IF('Official Ranking v2'!B163="","",'Official Ranking v2'!V163)</x:f>
      </x:c>
      <x:c r="N159" s="226" t="str">
        <x:f>IF('Official Ranking v2'!B163="","",'Official Ranking v2'!P163)</x:f>
      </x:c>
    </x:row>
    <x:row r="160">
      <x:c r="A160" t="str">
        <x:f>'Player Report Index'!B163</x:f>
      </x:c>
      <x:c r="B160" t="n">
        <x:f>'Player Report Index'!J163</x:f>
        <x:v>0</x:v>
      </x:c>
      <x:c r="C160" t="str">
        <x:f>IF('Official Ranking v2'!B164="","",'Official Ranking v2'!A164)</x:f>
      </x:c>
      <x:c r="D160" t="str">
        <x:f>IF('Official Ranking v2'!B164="","",'Official Ranking v2'!B164)</x:f>
      </x:c>
      <x:c r="E160" t="str">
        <x:f>IF('Official Ranking v2'!B164="","",'Official Ranking v2'!C164)</x:f>
      </x:c>
      <x:c r="F160" t="str">
        <x:f>IF('Official Ranking v2'!B164="","",'Official Ranking v2'!D164)</x:f>
      </x:c>
      <x:c r="G160" t="str">
        <x:f>IF('Official Ranking v2'!B164="","",'Official Ranking v2'!E164)</x:f>
      </x:c>
      <x:c r="H160" s="303" t="str">
        <x:f>IF('Official Ranking v2'!B164="","",'Official Ranking v2'!F164)</x:f>
      </x:c>
      <x:c r="I160" s="226" t="str">
        <x:f>IF('Official Ranking v2'!B164="","",'Official Ranking v2'!S164)</x:f>
      </x:c>
      <x:c r="J160" t="str">
        <x:f>IF('Official Ranking v2'!B164="","",'Official Ranking v2'!T164)</x:f>
      </x:c>
      <x:c r="K160" t="str">
        <x:f>IF('Official Ranking v2'!B164="","",'Official Ranking v2'!W164)</x:f>
      </x:c>
      <x:c r="L160" t="str">
        <x:f>IF('Official Ranking v2'!B164="","",'Official Ranking v2'!X164)</x:f>
      </x:c>
      <x:c r="M160" t="str">
        <x:f>IF('Official Ranking v2'!B164="","",'Official Ranking v2'!V164)</x:f>
      </x:c>
      <x:c r="N160" s="226" t="str">
        <x:f>IF('Official Ranking v2'!B164="","",'Official Ranking v2'!P164)</x:f>
      </x:c>
    </x:row>
    <x:row r="161">
      <x:c r="A161" t="str">
        <x:f>'Player Report Index'!B164</x:f>
      </x:c>
      <x:c r="B161" t="n">
        <x:f>'Player Report Index'!J164</x:f>
        <x:v>0</x:v>
      </x:c>
      <x:c r="C161" t="str">
        <x:f>IF('Official Ranking v2'!B165="","",'Official Ranking v2'!A165)</x:f>
      </x:c>
      <x:c r="D161" t="str">
        <x:f>IF('Official Ranking v2'!B165="","",'Official Ranking v2'!B165)</x:f>
      </x:c>
      <x:c r="E161" t="str">
        <x:f>IF('Official Ranking v2'!B165="","",'Official Ranking v2'!C165)</x:f>
      </x:c>
      <x:c r="F161" t="str">
        <x:f>IF('Official Ranking v2'!B165="","",'Official Ranking v2'!D165)</x:f>
      </x:c>
      <x:c r="G161" t="str">
        <x:f>IF('Official Ranking v2'!B165="","",'Official Ranking v2'!E165)</x:f>
      </x:c>
      <x:c r="H161" s="303" t="str">
        <x:f>IF('Official Ranking v2'!B165="","",'Official Ranking v2'!F165)</x:f>
      </x:c>
      <x:c r="I161" s="226" t="str">
        <x:f>IF('Official Ranking v2'!B165="","",'Official Ranking v2'!S165)</x:f>
      </x:c>
      <x:c r="J161" t="str">
        <x:f>IF('Official Ranking v2'!B165="","",'Official Ranking v2'!T165)</x:f>
      </x:c>
      <x:c r="K161" t="str">
        <x:f>IF('Official Ranking v2'!B165="","",'Official Ranking v2'!W165)</x:f>
      </x:c>
      <x:c r="L161" t="str">
        <x:f>IF('Official Ranking v2'!B165="","",'Official Ranking v2'!X165)</x:f>
      </x:c>
      <x:c r="M161" t="str">
        <x:f>IF('Official Ranking v2'!B165="","",'Official Ranking v2'!V165)</x:f>
      </x:c>
      <x:c r="N161" s="226" t="str">
        <x:f>IF('Official Ranking v2'!B165="","",'Official Ranking v2'!P165)</x:f>
      </x:c>
    </x:row>
    <x:row r="162">
      <x:c r="A162" t="str">
        <x:f>'Player Report Index'!B165</x:f>
      </x:c>
      <x:c r="B162" t="n">
        <x:f>'Player Report Index'!J165</x:f>
        <x:v>0</x:v>
      </x:c>
      <x:c r="C162" t="str">
        <x:f>IF('Official Ranking v2'!B166="","",'Official Ranking v2'!A166)</x:f>
      </x:c>
      <x:c r="D162" t="str">
        <x:f>IF('Official Ranking v2'!B166="","",'Official Ranking v2'!B166)</x:f>
      </x:c>
      <x:c r="E162" t="str">
        <x:f>IF('Official Ranking v2'!B166="","",'Official Ranking v2'!C166)</x:f>
      </x:c>
      <x:c r="F162" t="str">
        <x:f>IF('Official Ranking v2'!B166="","",'Official Ranking v2'!D166)</x:f>
      </x:c>
      <x:c r="G162" t="str">
        <x:f>IF('Official Ranking v2'!B166="","",'Official Ranking v2'!E166)</x:f>
      </x:c>
      <x:c r="H162" s="303" t="str">
        <x:f>IF('Official Ranking v2'!B166="","",'Official Ranking v2'!F166)</x:f>
      </x:c>
      <x:c r="I162" s="226" t="str">
        <x:f>IF('Official Ranking v2'!B166="","",'Official Ranking v2'!S166)</x:f>
      </x:c>
      <x:c r="J162" t="str">
        <x:f>IF('Official Ranking v2'!B166="","",'Official Ranking v2'!T166)</x:f>
      </x:c>
      <x:c r="K162" t="str">
        <x:f>IF('Official Ranking v2'!B166="","",'Official Ranking v2'!W166)</x:f>
      </x:c>
      <x:c r="L162" t="str">
        <x:f>IF('Official Ranking v2'!B166="","",'Official Ranking v2'!X166)</x:f>
      </x:c>
      <x:c r="M162" t="str">
        <x:f>IF('Official Ranking v2'!B166="","",'Official Ranking v2'!V166)</x:f>
      </x:c>
      <x:c r="N162" s="226" t="str">
        <x:f>IF('Official Ranking v2'!B166="","",'Official Ranking v2'!P166)</x:f>
      </x:c>
    </x:row>
    <x:row r="163">
      <x:c r="A163" t="str">
        <x:f>'Player Report Index'!B166</x:f>
      </x:c>
      <x:c r="B163" t="n">
        <x:f>'Player Report Index'!J166</x:f>
        <x:v>0</x:v>
      </x:c>
      <x:c r="C163" t="str">
        <x:f>IF('Official Ranking v2'!B167="","",'Official Ranking v2'!A167)</x:f>
      </x:c>
      <x:c r="D163" t="str">
        <x:f>IF('Official Ranking v2'!B167="","",'Official Ranking v2'!B167)</x:f>
      </x:c>
      <x:c r="E163" t="str">
        <x:f>IF('Official Ranking v2'!B167="","",'Official Ranking v2'!C167)</x:f>
      </x:c>
      <x:c r="F163" t="str">
        <x:f>IF('Official Ranking v2'!B167="","",'Official Ranking v2'!D167)</x:f>
      </x:c>
      <x:c r="G163" t="str">
        <x:f>IF('Official Ranking v2'!B167="","",'Official Ranking v2'!E167)</x:f>
      </x:c>
      <x:c r="H163" s="303" t="str">
        <x:f>IF('Official Ranking v2'!B167="","",'Official Ranking v2'!F167)</x:f>
      </x:c>
      <x:c r="I163" s="226" t="str">
        <x:f>IF('Official Ranking v2'!B167="","",'Official Ranking v2'!S167)</x:f>
      </x:c>
      <x:c r="J163" t="str">
        <x:f>IF('Official Ranking v2'!B167="","",'Official Ranking v2'!T167)</x:f>
      </x:c>
      <x:c r="K163" t="str">
        <x:f>IF('Official Ranking v2'!B167="","",'Official Ranking v2'!W167)</x:f>
      </x:c>
      <x:c r="L163" t="str">
        <x:f>IF('Official Ranking v2'!B167="","",'Official Ranking v2'!X167)</x:f>
      </x:c>
      <x:c r="M163" t="str">
        <x:f>IF('Official Ranking v2'!B167="","",'Official Ranking v2'!V167)</x:f>
      </x:c>
      <x:c r="N163" s="226" t="str">
        <x:f>IF('Official Ranking v2'!B167="","",'Official Ranking v2'!P167)</x:f>
      </x:c>
    </x:row>
    <x:row r="164">
      <x:c r="A164" t="str">
        <x:f>'Player Report Index'!B167</x:f>
      </x:c>
      <x:c r="B164" t="n">
        <x:f>'Player Report Index'!J167</x:f>
        <x:v>0</x:v>
      </x:c>
      <x:c r="C164" t="str">
        <x:f>IF('Official Ranking v2'!B168="","",'Official Ranking v2'!A168)</x:f>
      </x:c>
      <x:c r="D164" t="str">
        <x:f>IF('Official Ranking v2'!B168="","",'Official Ranking v2'!B168)</x:f>
      </x:c>
      <x:c r="E164" t="str">
        <x:f>IF('Official Ranking v2'!B168="","",'Official Ranking v2'!C168)</x:f>
      </x:c>
      <x:c r="F164" t="str">
        <x:f>IF('Official Ranking v2'!B168="","",'Official Ranking v2'!D168)</x:f>
      </x:c>
      <x:c r="G164" t="str">
        <x:f>IF('Official Ranking v2'!B168="","",'Official Ranking v2'!E168)</x:f>
      </x:c>
      <x:c r="H164" s="303" t="str">
        <x:f>IF('Official Ranking v2'!B168="","",'Official Ranking v2'!F168)</x:f>
      </x:c>
      <x:c r="I164" s="226" t="str">
        <x:f>IF('Official Ranking v2'!B168="","",'Official Ranking v2'!S168)</x:f>
      </x:c>
      <x:c r="J164" t="str">
        <x:f>IF('Official Ranking v2'!B168="","",'Official Ranking v2'!T168)</x:f>
      </x:c>
      <x:c r="K164" t="str">
        <x:f>IF('Official Ranking v2'!B168="","",'Official Ranking v2'!W168)</x:f>
      </x:c>
      <x:c r="L164" t="str">
        <x:f>IF('Official Ranking v2'!B168="","",'Official Ranking v2'!X168)</x:f>
      </x:c>
      <x:c r="M164" t="str">
        <x:f>IF('Official Ranking v2'!B168="","",'Official Ranking v2'!V168)</x:f>
      </x:c>
      <x:c r="N164" s="226" t="str">
        <x:f>IF('Official Ranking v2'!B168="","",'Official Ranking v2'!P168)</x:f>
      </x:c>
    </x:row>
    <x:row r="165">
      <x:c r="A165" t="str">
        <x:f>'Player Report Index'!B168</x:f>
      </x:c>
      <x:c r="B165" t="n">
        <x:f>'Player Report Index'!J168</x:f>
        <x:v>0</x:v>
      </x:c>
      <x:c r="C165" t="str">
        <x:f>IF('Official Ranking v2'!B169="","",'Official Ranking v2'!A169)</x:f>
      </x:c>
      <x:c r="D165" t="str">
        <x:f>IF('Official Ranking v2'!B169="","",'Official Ranking v2'!B169)</x:f>
      </x:c>
      <x:c r="E165" t="str">
        <x:f>IF('Official Ranking v2'!B169="","",'Official Ranking v2'!C169)</x:f>
      </x:c>
      <x:c r="F165" t="str">
        <x:f>IF('Official Ranking v2'!B169="","",'Official Ranking v2'!D169)</x:f>
      </x:c>
      <x:c r="G165" t="str">
        <x:f>IF('Official Ranking v2'!B169="","",'Official Ranking v2'!E169)</x:f>
      </x:c>
      <x:c r="H165" s="303" t="str">
        <x:f>IF('Official Ranking v2'!B169="","",'Official Ranking v2'!F169)</x:f>
      </x:c>
      <x:c r="I165" s="226" t="str">
        <x:f>IF('Official Ranking v2'!B169="","",'Official Ranking v2'!S169)</x:f>
      </x:c>
      <x:c r="J165" t="str">
        <x:f>IF('Official Ranking v2'!B169="","",'Official Ranking v2'!T169)</x:f>
      </x:c>
      <x:c r="K165" t="str">
        <x:f>IF('Official Ranking v2'!B169="","",'Official Ranking v2'!W169)</x:f>
      </x:c>
      <x:c r="L165" t="str">
        <x:f>IF('Official Ranking v2'!B169="","",'Official Ranking v2'!X169)</x:f>
      </x:c>
      <x:c r="M165" t="str">
        <x:f>IF('Official Ranking v2'!B169="","",'Official Ranking v2'!V169)</x:f>
      </x:c>
      <x:c r="N165" s="226" t="str">
        <x:f>IF('Official Ranking v2'!B169="","",'Official Ranking v2'!P169)</x:f>
      </x:c>
    </x:row>
    <x:row r="166">
      <x:c r="A166" t="str">
        <x:f>'Player Report Index'!B169</x:f>
      </x:c>
      <x:c r="B166" t="n">
        <x:f>'Player Report Index'!J169</x:f>
        <x:v>0</x:v>
      </x:c>
      <x:c r="C166" t="str">
        <x:f>IF('Official Ranking v2'!B170="","",'Official Ranking v2'!A170)</x:f>
      </x:c>
      <x:c r="D166" t="str">
        <x:f>IF('Official Ranking v2'!B170="","",'Official Ranking v2'!B170)</x:f>
      </x:c>
      <x:c r="E166" t="str">
        <x:f>IF('Official Ranking v2'!B170="","",'Official Ranking v2'!C170)</x:f>
      </x:c>
      <x:c r="F166" t="str">
        <x:f>IF('Official Ranking v2'!B170="","",'Official Ranking v2'!D170)</x:f>
      </x:c>
      <x:c r="G166" t="str">
        <x:f>IF('Official Ranking v2'!B170="","",'Official Ranking v2'!E170)</x:f>
      </x:c>
      <x:c r="H166" s="303" t="str">
        <x:f>IF('Official Ranking v2'!B170="","",'Official Ranking v2'!F170)</x:f>
      </x:c>
      <x:c r="I166" s="226" t="str">
        <x:f>IF('Official Ranking v2'!B170="","",'Official Ranking v2'!S170)</x:f>
      </x:c>
      <x:c r="J166" t="str">
        <x:f>IF('Official Ranking v2'!B170="","",'Official Ranking v2'!T170)</x:f>
      </x:c>
      <x:c r="K166" t="str">
        <x:f>IF('Official Ranking v2'!B170="","",'Official Ranking v2'!W170)</x:f>
      </x:c>
      <x:c r="L166" t="str">
        <x:f>IF('Official Ranking v2'!B170="","",'Official Ranking v2'!X170)</x:f>
      </x:c>
      <x:c r="M166" t="str">
        <x:f>IF('Official Ranking v2'!B170="","",'Official Ranking v2'!V170)</x:f>
      </x:c>
      <x:c r="N166" s="226" t="str">
        <x:f>IF('Official Ranking v2'!B170="","",'Official Ranking v2'!P170)</x:f>
      </x:c>
    </x:row>
    <x:row r="167">
      <x:c r="A167" t="str">
        <x:f>'Player Report Index'!B170</x:f>
      </x:c>
      <x:c r="B167" t="n">
        <x:f>'Player Report Index'!J170</x:f>
        <x:v>0</x:v>
      </x:c>
      <x:c r="C167" t="str">
        <x:f>IF('Official Ranking v2'!B171="","",'Official Ranking v2'!A171)</x:f>
      </x:c>
      <x:c r="D167" t="str">
        <x:f>IF('Official Ranking v2'!B171="","",'Official Ranking v2'!B171)</x:f>
      </x:c>
      <x:c r="E167" t="str">
        <x:f>IF('Official Ranking v2'!B171="","",'Official Ranking v2'!C171)</x:f>
      </x:c>
      <x:c r="F167" t="str">
        <x:f>IF('Official Ranking v2'!B171="","",'Official Ranking v2'!D171)</x:f>
      </x:c>
      <x:c r="G167" t="str">
        <x:f>IF('Official Ranking v2'!B171="","",'Official Ranking v2'!E171)</x:f>
      </x:c>
      <x:c r="H167" s="303" t="str">
        <x:f>IF('Official Ranking v2'!B171="","",'Official Ranking v2'!F171)</x:f>
      </x:c>
      <x:c r="I167" s="226" t="str">
        <x:f>IF('Official Ranking v2'!B171="","",'Official Ranking v2'!S171)</x:f>
      </x:c>
      <x:c r="J167" t="str">
        <x:f>IF('Official Ranking v2'!B171="","",'Official Ranking v2'!T171)</x:f>
      </x:c>
      <x:c r="K167" t="str">
        <x:f>IF('Official Ranking v2'!B171="","",'Official Ranking v2'!W171)</x:f>
      </x:c>
      <x:c r="L167" t="str">
        <x:f>IF('Official Ranking v2'!B171="","",'Official Ranking v2'!X171)</x:f>
      </x:c>
      <x:c r="M167" t="str">
        <x:f>IF('Official Ranking v2'!B171="","",'Official Ranking v2'!V171)</x:f>
      </x:c>
      <x:c r="N167" s="226" t="str">
        <x:f>IF('Official Ranking v2'!B171="","",'Official Ranking v2'!P171)</x:f>
      </x:c>
    </x:row>
    <x:row r="168">
      <x:c r="A168" t="str">
        <x:f>'Player Report Index'!B171</x:f>
      </x:c>
      <x:c r="B168" t="n">
        <x:f>'Player Report Index'!J171</x:f>
        <x:v>0</x:v>
      </x:c>
      <x:c r="C168" t="str">
        <x:f>IF('Official Ranking v2'!B172="","",'Official Ranking v2'!A172)</x:f>
      </x:c>
      <x:c r="D168" t="str">
        <x:f>IF('Official Ranking v2'!B172="","",'Official Ranking v2'!B172)</x:f>
      </x:c>
      <x:c r="E168" t="str">
        <x:f>IF('Official Ranking v2'!B172="","",'Official Ranking v2'!C172)</x:f>
      </x:c>
      <x:c r="F168" t="str">
        <x:f>IF('Official Ranking v2'!B172="","",'Official Ranking v2'!D172)</x:f>
      </x:c>
      <x:c r="G168" t="str">
        <x:f>IF('Official Ranking v2'!B172="","",'Official Ranking v2'!E172)</x:f>
      </x:c>
      <x:c r="H168" s="303" t="str">
        <x:f>IF('Official Ranking v2'!B172="","",'Official Ranking v2'!F172)</x:f>
      </x:c>
      <x:c r="I168" s="226" t="str">
        <x:f>IF('Official Ranking v2'!B172="","",'Official Ranking v2'!S172)</x:f>
      </x:c>
      <x:c r="J168" t="str">
        <x:f>IF('Official Ranking v2'!B172="","",'Official Ranking v2'!T172)</x:f>
      </x:c>
      <x:c r="K168" t="str">
        <x:f>IF('Official Ranking v2'!B172="","",'Official Ranking v2'!W172)</x:f>
      </x:c>
      <x:c r="L168" t="str">
        <x:f>IF('Official Ranking v2'!B172="","",'Official Ranking v2'!X172)</x:f>
      </x:c>
      <x:c r="M168" t="str">
        <x:f>IF('Official Ranking v2'!B172="","",'Official Ranking v2'!V172)</x:f>
      </x:c>
      <x:c r="N168" s="226" t="str">
        <x:f>IF('Official Ranking v2'!B172="","",'Official Ranking v2'!P172)</x:f>
      </x:c>
    </x:row>
    <x:row r="169">
      <x:c r="A169" t="str">
        <x:f>'Player Report Index'!B172</x:f>
      </x:c>
      <x:c r="B169" t="n">
        <x:f>'Player Report Index'!J172</x:f>
        <x:v>0</x:v>
      </x:c>
      <x:c r="C169" t="str">
        <x:f>IF('Official Ranking v2'!B173="","",'Official Ranking v2'!A173)</x:f>
      </x:c>
      <x:c r="D169" t="str">
        <x:f>IF('Official Ranking v2'!B173="","",'Official Ranking v2'!B173)</x:f>
      </x:c>
      <x:c r="E169" t="str">
        <x:f>IF('Official Ranking v2'!B173="","",'Official Ranking v2'!C173)</x:f>
      </x:c>
      <x:c r="F169" t="str">
        <x:f>IF('Official Ranking v2'!B173="","",'Official Ranking v2'!D173)</x:f>
      </x:c>
      <x:c r="G169" t="str">
        <x:f>IF('Official Ranking v2'!B173="","",'Official Ranking v2'!E173)</x:f>
      </x:c>
      <x:c r="H169" s="303" t="str">
        <x:f>IF('Official Ranking v2'!B173="","",'Official Ranking v2'!F173)</x:f>
      </x:c>
      <x:c r="I169" s="226" t="str">
        <x:f>IF('Official Ranking v2'!B173="","",'Official Ranking v2'!S173)</x:f>
      </x:c>
      <x:c r="J169" t="str">
        <x:f>IF('Official Ranking v2'!B173="","",'Official Ranking v2'!T173)</x:f>
      </x:c>
      <x:c r="K169" t="str">
        <x:f>IF('Official Ranking v2'!B173="","",'Official Ranking v2'!W173)</x:f>
      </x:c>
      <x:c r="L169" t="str">
        <x:f>IF('Official Ranking v2'!B173="","",'Official Ranking v2'!X173)</x:f>
      </x:c>
      <x:c r="M169" t="str">
        <x:f>IF('Official Ranking v2'!B173="","",'Official Ranking v2'!V173)</x:f>
      </x:c>
      <x:c r="N169" s="226" t="str">
        <x:f>IF('Official Ranking v2'!B173="","",'Official Ranking v2'!P173)</x:f>
      </x:c>
    </x:row>
    <x:row r="170">
      <x:c r="A170" t="str">
        <x:f>'Player Report Index'!B173</x:f>
      </x:c>
      <x:c r="B170" t="n">
        <x:f>'Player Report Index'!J173</x:f>
        <x:v>0</x:v>
      </x:c>
      <x:c r="C170" t="str">
        <x:f>IF('Official Ranking v2'!B174="","",'Official Ranking v2'!A174)</x:f>
      </x:c>
      <x:c r="D170" t="str">
        <x:f>IF('Official Ranking v2'!B174="","",'Official Ranking v2'!B174)</x:f>
      </x:c>
      <x:c r="E170" t="str">
        <x:f>IF('Official Ranking v2'!B174="","",'Official Ranking v2'!C174)</x:f>
      </x:c>
      <x:c r="F170" t="str">
        <x:f>IF('Official Ranking v2'!B174="","",'Official Ranking v2'!D174)</x:f>
      </x:c>
      <x:c r="G170" t="str">
        <x:f>IF('Official Ranking v2'!B174="","",'Official Ranking v2'!E174)</x:f>
      </x:c>
      <x:c r="H170" s="303" t="str">
        <x:f>IF('Official Ranking v2'!B174="","",'Official Ranking v2'!F174)</x:f>
      </x:c>
      <x:c r="I170" s="226" t="str">
        <x:f>IF('Official Ranking v2'!B174="","",'Official Ranking v2'!S174)</x:f>
      </x:c>
      <x:c r="J170" t="str">
        <x:f>IF('Official Ranking v2'!B174="","",'Official Ranking v2'!T174)</x:f>
      </x:c>
      <x:c r="K170" t="str">
        <x:f>IF('Official Ranking v2'!B174="","",'Official Ranking v2'!W174)</x:f>
      </x:c>
      <x:c r="L170" t="str">
        <x:f>IF('Official Ranking v2'!B174="","",'Official Ranking v2'!X174)</x:f>
      </x:c>
      <x:c r="M170" t="str">
        <x:f>IF('Official Ranking v2'!B174="","",'Official Ranking v2'!V174)</x:f>
      </x:c>
      <x:c r="N170" s="226" t="str">
        <x:f>IF('Official Ranking v2'!B174="","",'Official Ranking v2'!P174)</x:f>
      </x:c>
    </x:row>
    <x:row r="171">
      <x:c r="A171" t="str">
        <x:f>'Player Report Index'!B174</x:f>
      </x:c>
      <x:c r="B171" t="n">
        <x:f>'Player Report Index'!J174</x:f>
        <x:v>0</x:v>
      </x:c>
      <x:c r="C171" t="str">
        <x:f>IF('Official Ranking v2'!B175="","",'Official Ranking v2'!A175)</x:f>
      </x:c>
      <x:c r="D171" t="str">
        <x:f>IF('Official Ranking v2'!B175="","",'Official Ranking v2'!B175)</x:f>
      </x:c>
      <x:c r="E171" t="str">
        <x:f>IF('Official Ranking v2'!B175="","",'Official Ranking v2'!C175)</x:f>
      </x:c>
      <x:c r="F171" t="str">
        <x:f>IF('Official Ranking v2'!B175="","",'Official Ranking v2'!D175)</x:f>
      </x:c>
      <x:c r="G171" t="str">
        <x:f>IF('Official Ranking v2'!B175="","",'Official Ranking v2'!E175)</x:f>
      </x:c>
      <x:c r="H171" s="303" t="str">
        <x:f>IF('Official Ranking v2'!B175="","",'Official Ranking v2'!F175)</x:f>
      </x:c>
      <x:c r="I171" s="226" t="str">
        <x:f>IF('Official Ranking v2'!B175="","",'Official Ranking v2'!S175)</x:f>
      </x:c>
      <x:c r="J171" t="str">
        <x:f>IF('Official Ranking v2'!B175="","",'Official Ranking v2'!T175)</x:f>
      </x:c>
      <x:c r="K171" t="str">
        <x:f>IF('Official Ranking v2'!B175="","",'Official Ranking v2'!W175)</x:f>
      </x:c>
      <x:c r="L171" t="str">
        <x:f>IF('Official Ranking v2'!B175="","",'Official Ranking v2'!X175)</x:f>
      </x:c>
      <x:c r="M171" t="str">
        <x:f>IF('Official Ranking v2'!B175="","",'Official Ranking v2'!V175)</x:f>
      </x:c>
      <x:c r="N171" s="226" t="str">
        <x:f>IF('Official Ranking v2'!B175="","",'Official Ranking v2'!P175)</x:f>
      </x:c>
    </x:row>
    <x:row r="172">
      <x:c r="A172" t="str">
        <x:f>'Player Report Index'!B175</x:f>
      </x:c>
      <x:c r="B172" t="n">
        <x:f>'Player Report Index'!J175</x:f>
        <x:v>0</x:v>
      </x:c>
      <x:c r="C172" t="str">
        <x:f>IF('Official Ranking v2'!B176="","",'Official Ranking v2'!A176)</x:f>
      </x:c>
      <x:c r="D172" t="str">
        <x:f>IF('Official Ranking v2'!B176="","",'Official Ranking v2'!B176)</x:f>
      </x:c>
      <x:c r="E172" t="str">
        <x:f>IF('Official Ranking v2'!B176="","",'Official Ranking v2'!C176)</x:f>
      </x:c>
      <x:c r="F172" t="str">
        <x:f>IF('Official Ranking v2'!B176="","",'Official Ranking v2'!D176)</x:f>
      </x:c>
      <x:c r="G172" t="str">
        <x:f>IF('Official Ranking v2'!B176="","",'Official Ranking v2'!E176)</x:f>
      </x:c>
      <x:c r="H172" s="303" t="str">
        <x:f>IF('Official Ranking v2'!B176="","",'Official Ranking v2'!F176)</x:f>
      </x:c>
      <x:c r="I172" s="226" t="str">
        <x:f>IF('Official Ranking v2'!B176="","",'Official Ranking v2'!S176)</x:f>
      </x:c>
      <x:c r="J172" t="str">
        <x:f>IF('Official Ranking v2'!B176="","",'Official Ranking v2'!T176)</x:f>
      </x:c>
      <x:c r="K172" t="str">
        <x:f>IF('Official Ranking v2'!B176="","",'Official Ranking v2'!W176)</x:f>
      </x:c>
      <x:c r="L172" t="str">
        <x:f>IF('Official Ranking v2'!B176="","",'Official Ranking v2'!X176)</x:f>
      </x:c>
      <x:c r="M172" t="str">
        <x:f>IF('Official Ranking v2'!B176="","",'Official Ranking v2'!V176)</x:f>
      </x:c>
      <x:c r="N172" s="226" t="str">
        <x:f>IF('Official Ranking v2'!B176="","",'Official Ranking v2'!P176)</x:f>
      </x:c>
    </x:row>
    <x:row r="173">
      <x:c r="A173" t="str">
        <x:f>'Player Report Index'!B176</x:f>
      </x:c>
      <x:c r="B173" t="n">
        <x:f>'Player Report Index'!J176</x:f>
        <x:v>0</x:v>
      </x:c>
      <x:c r="C173" t="str">
        <x:f>IF('Official Ranking v2'!B177="","",'Official Ranking v2'!A177)</x:f>
      </x:c>
      <x:c r="D173" t="str">
        <x:f>IF('Official Ranking v2'!B177="","",'Official Ranking v2'!B177)</x:f>
      </x:c>
      <x:c r="E173" t="str">
        <x:f>IF('Official Ranking v2'!B177="","",'Official Ranking v2'!C177)</x:f>
      </x:c>
      <x:c r="F173" t="str">
        <x:f>IF('Official Ranking v2'!B177="","",'Official Ranking v2'!D177)</x:f>
      </x:c>
      <x:c r="G173" t="str">
        <x:f>IF('Official Ranking v2'!B177="","",'Official Ranking v2'!E177)</x:f>
      </x:c>
      <x:c r="H173" s="303" t="str">
        <x:f>IF('Official Ranking v2'!B177="","",'Official Ranking v2'!F177)</x:f>
      </x:c>
      <x:c r="I173" s="226" t="str">
        <x:f>IF('Official Ranking v2'!B177="","",'Official Ranking v2'!S177)</x:f>
      </x:c>
      <x:c r="J173" t="str">
        <x:f>IF('Official Ranking v2'!B177="","",'Official Ranking v2'!T177)</x:f>
      </x:c>
      <x:c r="K173" t="str">
        <x:f>IF('Official Ranking v2'!B177="","",'Official Ranking v2'!W177)</x:f>
      </x:c>
      <x:c r="L173" t="str">
        <x:f>IF('Official Ranking v2'!B177="","",'Official Ranking v2'!X177)</x:f>
      </x:c>
      <x:c r="M173" t="str">
        <x:f>IF('Official Ranking v2'!B177="","",'Official Ranking v2'!V177)</x:f>
      </x:c>
      <x:c r="N173" s="226" t="str">
        <x:f>IF('Official Ranking v2'!B177="","",'Official Ranking v2'!P177)</x:f>
      </x:c>
    </x:row>
    <x:row r="174">
      <x:c r="A174" t="str">
        <x:f>'Player Report Index'!B177</x:f>
      </x:c>
      <x:c r="B174" t="n">
        <x:f>'Player Report Index'!J177</x:f>
        <x:v>0</x:v>
      </x:c>
      <x:c r="C174" t="str">
        <x:f>IF('Official Ranking v2'!B178="","",'Official Ranking v2'!A178)</x:f>
      </x:c>
      <x:c r="D174" t="str">
        <x:f>IF('Official Ranking v2'!B178="","",'Official Ranking v2'!B178)</x:f>
      </x:c>
      <x:c r="E174" t="str">
        <x:f>IF('Official Ranking v2'!B178="","",'Official Ranking v2'!C178)</x:f>
      </x:c>
      <x:c r="F174" t="str">
        <x:f>IF('Official Ranking v2'!B178="","",'Official Ranking v2'!D178)</x:f>
      </x:c>
      <x:c r="G174" t="str">
        <x:f>IF('Official Ranking v2'!B178="","",'Official Ranking v2'!E178)</x:f>
      </x:c>
      <x:c r="H174" s="303" t="str">
        <x:f>IF('Official Ranking v2'!B178="","",'Official Ranking v2'!F178)</x:f>
      </x:c>
      <x:c r="I174" s="226" t="str">
        <x:f>IF('Official Ranking v2'!B178="","",'Official Ranking v2'!S178)</x:f>
      </x:c>
      <x:c r="J174" t="str">
        <x:f>IF('Official Ranking v2'!B178="","",'Official Ranking v2'!T178)</x:f>
      </x:c>
      <x:c r="K174" t="str">
        <x:f>IF('Official Ranking v2'!B178="","",'Official Ranking v2'!W178)</x:f>
      </x:c>
      <x:c r="L174" t="str">
        <x:f>IF('Official Ranking v2'!B178="","",'Official Ranking v2'!X178)</x:f>
      </x:c>
      <x:c r="M174" t="str">
        <x:f>IF('Official Ranking v2'!B178="","",'Official Ranking v2'!V178)</x:f>
      </x:c>
      <x:c r="N174" s="226" t="str">
        <x:f>IF('Official Ranking v2'!B178="","",'Official Ranking v2'!P178)</x:f>
      </x:c>
    </x:row>
    <x:row r="175">
      <x:c r="A175" t="str">
        <x:f>'Player Report Index'!B178</x:f>
      </x:c>
      <x:c r="B175" t="n">
        <x:f>'Player Report Index'!J178</x:f>
        <x:v>0</x:v>
      </x:c>
      <x:c r="C175" t="str">
        <x:f>IF('Official Ranking v2'!B179="","",'Official Ranking v2'!A179)</x:f>
      </x:c>
      <x:c r="D175" t="str">
        <x:f>IF('Official Ranking v2'!B179="","",'Official Ranking v2'!B179)</x:f>
      </x:c>
      <x:c r="E175" t="str">
        <x:f>IF('Official Ranking v2'!B179="","",'Official Ranking v2'!C179)</x:f>
      </x:c>
      <x:c r="F175" t="str">
        <x:f>IF('Official Ranking v2'!B179="","",'Official Ranking v2'!D179)</x:f>
      </x:c>
      <x:c r="G175" t="str">
        <x:f>IF('Official Ranking v2'!B179="","",'Official Ranking v2'!E179)</x:f>
      </x:c>
      <x:c r="H175" s="303" t="str">
        <x:f>IF('Official Ranking v2'!B179="","",'Official Ranking v2'!F179)</x:f>
      </x:c>
      <x:c r="I175" s="226" t="str">
        <x:f>IF('Official Ranking v2'!B179="","",'Official Ranking v2'!S179)</x:f>
      </x:c>
      <x:c r="J175" t="str">
        <x:f>IF('Official Ranking v2'!B179="","",'Official Ranking v2'!T179)</x:f>
      </x:c>
      <x:c r="K175" t="str">
        <x:f>IF('Official Ranking v2'!B179="","",'Official Ranking v2'!W179)</x:f>
      </x:c>
      <x:c r="L175" t="str">
        <x:f>IF('Official Ranking v2'!B179="","",'Official Ranking v2'!X179)</x:f>
      </x:c>
      <x:c r="M175" t="str">
        <x:f>IF('Official Ranking v2'!B179="","",'Official Ranking v2'!V179)</x:f>
      </x:c>
      <x:c r="N175" s="226" t="str">
        <x:f>IF('Official Ranking v2'!B179="","",'Official Ranking v2'!P179)</x:f>
      </x:c>
    </x:row>
    <x:row r="176">
      <x:c r="A176" t="str">
        <x:f>'Player Report Index'!B179</x:f>
      </x:c>
      <x:c r="B176" t="n">
        <x:f>'Player Report Index'!J179</x:f>
        <x:v>0</x:v>
      </x:c>
      <x:c r="C176" t="str">
        <x:f>IF('Official Ranking v2'!B180="","",'Official Ranking v2'!A180)</x:f>
      </x:c>
      <x:c r="D176" t="str">
        <x:f>IF('Official Ranking v2'!B180="","",'Official Ranking v2'!B180)</x:f>
      </x:c>
      <x:c r="E176" t="str">
        <x:f>IF('Official Ranking v2'!B180="","",'Official Ranking v2'!C180)</x:f>
      </x:c>
      <x:c r="F176" t="str">
        <x:f>IF('Official Ranking v2'!B180="","",'Official Ranking v2'!D180)</x:f>
      </x:c>
      <x:c r="G176" t="str">
        <x:f>IF('Official Ranking v2'!B180="","",'Official Ranking v2'!E180)</x:f>
      </x:c>
      <x:c r="H176" s="303" t="str">
        <x:f>IF('Official Ranking v2'!B180="","",'Official Ranking v2'!F180)</x:f>
      </x:c>
      <x:c r="I176" s="226" t="str">
        <x:f>IF('Official Ranking v2'!B180="","",'Official Ranking v2'!S180)</x:f>
      </x:c>
      <x:c r="J176" t="str">
        <x:f>IF('Official Ranking v2'!B180="","",'Official Ranking v2'!T180)</x:f>
      </x:c>
      <x:c r="K176" t="str">
        <x:f>IF('Official Ranking v2'!B180="","",'Official Ranking v2'!W180)</x:f>
      </x:c>
      <x:c r="L176" t="str">
        <x:f>IF('Official Ranking v2'!B180="","",'Official Ranking v2'!X180)</x:f>
      </x:c>
      <x:c r="M176" t="str">
        <x:f>IF('Official Ranking v2'!B180="","",'Official Ranking v2'!V180)</x:f>
      </x:c>
      <x:c r="N176" s="226" t="str">
        <x:f>IF('Official Ranking v2'!B180="","",'Official Ranking v2'!P180)</x:f>
      </x:c>
    </x:row>
    <x:row r="177">
      <x:c r="A177" t="str">
        <x:f>'Player Report Index'!B180</x:f>
      </x:c>
      <x:c r="B177" t="n">
        <x:f>'Player Report Index'!J180</x:f>
        <x:v>0</x:v>
      </x:c>
      <x:c r="C177" t="str">
        <x:f>IF('Official Ranking v2'!B181="","",'Official Ranking v2'!A181)</x:f>
      </x:c>
      <x:c r="D177" t="str">
        <x:f>IF('Official Ranking v2'!B181="","",'Official Ranking v2'!B181)</x:f>
      </x:c>
      <x:c r="E177" t="str">
        <x:f>IF('Official Ranking v2'!B181="","",'Official Ranking v2'!C181)</x:f>
      </x:c>
      <x:c r="F177" t="str">
        <x:f>IF('Official Ranking v2'!B181="","",'Official Ranking v2'!D181)</x:f>
      </x:c>
      <x:c r="G177" t="str">
        <x:f>IF('Official Ranking v2'!B181="","",'Official Ranking v2'!E181)</x:f>
      </x:c>
      <x:c r="H177" s="303" t="str">
        <x:f>IF('Official Ranking v2'!B181="","",'Official Ranking v2'!F181)</x:f>
      </x:c>
      <x:c r="I177" s="226" t="str">
        <x:f>IF('Official Ranking v2'!B181="","",'Official Ranking v2'!S181)</x:f>
      </x:c>
      <x:c r="J177" t="str">
        <x:f>IF('Official Ranking v2'!B181="","",'Official Ranking v2'!T181)</x:f>
      </x:c>
      <x:c r="K177" t="str">
        <x:f>IF('Official Ranking v2'!B181="","",'Official Ranking v2'!W181)</x:f>
      </x:c>
      <x:c r="L177" t="str">
        <x:f>IF('Official Ranking v2'!B181="","",'Official Ranking v2'!X181)</x:f>
      </x:c>
      <x:c r="M177" t="str">
        <x:f>IF('Official Ranking v2'!B181="","",'Official Ranking v2'!V181)</x:f>
      </x:c>
      <x:c r="N177" s="226" t="str">
        <x:f>IF('Official Ranking v2'!B181="","",'Official Ranking v2'!P181)</x:f>
      </x:c>
    </x:row>
    <x:row r="178">
      <x:c r="A178" t="str">
        <x:f>'Player Report Index'!B181</x:f>
      </x:c>
      <x:c r="B178" t="n">
        <x:f>'Player Report Index'!J181</x:f>
        <x:v>0</x:v>
      </x:c>
      <x:c r="C178" t="str">
        <x:f>IF('Official Ranking v2'!B182="","",'Official Ranking v2'!A182)</x:f>
      </x:c>
      <x:c r="D178" t="str">
        <x:f>IF('Official Ranking v2'!B182="","",'Official Ranking v2'!B182)</x:f>
      </x:c>
      <x:c r="E178" t="str">
        <x:f>IF('Official Ranking v2'!B182="","",'Official Ranking v2'!C182)</x:f>
      </x:c>
      <x:c r="F178" t="str">
        <x:f>IF('Official Ranking v2'!B182="","",'Official Ranking v2'!D182)</x:f>
      </x:c>
      <x:c r="G178" t="str">
        <x:f>IF('Official Ranking v2'!B182="","",'Official Ranking v2'!E182)</x:f>
      </x:c>
      <x:c r="H178" s="303" t="str">
        <x:f>IF('Official Ranking v2'!B182="","",'Official Ranking v2'!F182)</x:f>
      </x:c>
      <x:c r="I178" s="226" t="str">
        <x:f>IF('Official Ranking v2'!B182="","",'Official Ranking v2'!S182)</x:f>
      </x:c>
      <x:c r="J178" t="str">
        <x:f>IF('Official Ranking v2'!B182="","",'Official Ranking v2'!T182)</x:f>
      </x:c>
      <x:c r="K178" t="str">
        <x:f>IF('Official Ranking v2'!B182="","",'Official Ranking v2'!W182)</x:f>
      </x:c>
      <x:c r="L178" t="str">
        <x:f>IF('Official Ranking v2'!B182="","",'Official Ranking v2'!X182)</x:f>
      </x:c>
      <x:c r="M178" t="str">
        <x:f>IF('Official Ranking v2'!B182="","",'Official Ranking v2'!V182)</x:f>
      </x:c>
      <x:c r="N178" s="226" t="str">
        <x:f>IF('Official Ranking v2'!B182="","",'Official Ranking v2'!P182)</x:f>
      </x:c>
    </x:row>
    <x:row r="179">
      <x:c r="A179" t="str">
        <x:f>'Player Report Index'!B182</x:f>
      </x:c>
      <x:c r="B179" t="n">
        <x:f>'Player Report Index'!J182</x:f>
        <x:v>0</x:v>
      </x:c>
      <x:c r="C179" t="str">
        <x:f>IF('Official Ranking v2'!B183="","",'Official Ranking v2'!A183)</x:f>
      </x:c>
      <x:c r="D179" t="str">
        <x:f>IF('Official Ranking v2'!B183="","",'Official Ranking v2'!B183)</x:f>
      </x:c>
      <x:c r="E179" t="str">
        <x:f>IF('Official Ranking v2'!B183="","",'Official Ranking v2'!C183)</x:f>
      </x:c>
      <x:c r="F179" t="str">
        <x:f>IF('Official Ranking v2'!B183="","",'Official Ranking v2'!D183)</x:f>
      </x:c>
      <x:c r="G179" t="str">
        <x:f>IF('Official Ranking v2'!B183="","",'Official Ranking v2'!E183)</x:f>
      </x:c>
      <x:c r="H179" s="303" t="str">
        <x:f>IF('Official Ranking v2'!B183="","",'Official Ranking v2'!F183)</x:f>
      </x:c>
      <x:c r="I179" s="226" t="str">
        <x:f>IF('Official Ranking v2'!B183="","",'Official Ranking v2'!S183)</x:f>
      </x:c>
      <x:c r="J179" t="str">
        <x:f>IF('Official Ranking v2'!B183="","",'Official Ranking v2'!T183)</x:f>
      </x:c>
      <x:c r="K179" t="str">
        <x:f>IF('Official Ranking v2'!B183="","",'Official Ranking v2'!W183)</x:f>
      </x:c>
      <x:c r="L179" t="str">
        <x:f>IF('Official Ranking v2'!B183="","",'Official Ranking v2'!X183)</x:f>
      </x:c>
      <x:c r="M179" t="str">
        <x:f>IF('Official Ranking v2'!B183="","",'Official Ranking v2'!V183)</x:f>
      </x:c>
      <x:c r="N179" s="226" t="str">
        <x:f>IF('Official Ranking v2'!B183="","",'Official Ranking v2'!P183)</x:f>
      </x:c>
    </x:row>
    <x:row r="180">
      <x:c r="A180" t="str">
        <x:f>'Player Report Index'!B183</x:f>
      </x:c>
      <x:c r="B180" t="n">
        <x:f>'Player Report Index'!J183</x:f>
        <x:v>0</x:v>
      </x:c>
      <x:c r="C180" t="str">
        <x:f>IF('Official Ranking v2'!B184="","",'Official Ranking v2'!A184)</x:f>
      </x:c>
      <x:c r="D180" t="str">
        <x:f>IF('Official Ranking v2'!B184="","",'Official Ranking v2'!B184)</x:f>
      </x:c>
      <x:c r="E180" t="str">
        <x:f>IF('Official Ranking v2'!B184="","",'Official Ranking v2'!C184)</x:f>
      </x:c>
      <x:c r="F180" t="str">
        <x:f>IF('Official Ranking v2'!B184="","",'Official Ranking v2'!D184)</x:f>
      </x:c>
      <x:c r="G180" t="str">
        <x:f>IF('Official Ranking v2'!B184="","",'Official Ranking v2'!E184)</x:f>
      </x:c>
      <x:c r="H180" s="303" t="str">
        <x:f>IF('Official Ranking v2'!B184="","",'Official Ranking v2'!F184)</x:f>
      </x:c>
      <x:c r="I180" s="226" t="str">
        <x:f>IF('Official Ranking v2'!B184="","",'Official Ranking v2'!S184)</x:f>
      </x:c>
      <x:c r="J180" t="str">
        <x:f>IF('Official Ranking v2'!B184="","",'Official Ranking v2'!T184)</x:f>
      </x:c>
      <x:c r="K180" t="str">
        <x:f>IF('Official Ranking v2'!B184="","",'Official Ranking v2'!W184)</x:f>
      </x:c>
      <x:c r="L180" t="str">
        <x:f>IF('Official Ranking v2'!B184="","",'Official Ranking v2'!X184)</x:f>
      </x:c>
      <x:c r="M180" t="str">
        <x:f>IF('Official Ranking v2'!B184="","",'Official Ranking v2'!V184)</x:f>
      </x:c>
      <x:c r="N180" s="226" t="str">
        <x:f>IF('Official Ranking v2'!B184="","",'Official Ranking v2'!P184)</x:f>
      </x:c>
    </x:row>
    <x:row r="181">
      <x:c r="A181" t="str">
        <x:f>'Player Report Index'!B184</x:f>
      </x:c>
      <x:c r="B181" t="n">
        <x:f>'Player Report Index'!J184</x:f>
        <x:v>0</x:v>
      </x:c>
      <x:c r="C181" t="str">
        <x:f>IF('Official Ranking v2'!B185="","",'Official Ranking v2'!A185)</x:f>
      </x:c>
      <x:c r="D181" t="str">
        <x:f>IF('Official Ranking v2'!B185="","",'Official Ranking v2'!B185)</x:f>
      </x:c>
      <x:c r="E181" t="str">
        <x:f>IF('Official Ranking v2'!B185="","",'Official Ranking v2'!C185)</x:f>
      </x:c>
      <x:c r="F181" t="str">
        <x:f>IF('Official Ranking v2'!B185="","",'Official Ranking v2'!D185)</x:f>
      </x:c>
      <x:c r="G181" t="str">
        <x:f>IF('Official Ranking v2'!B185="","",'Official Ranking v2'!E185)</x:f>
      </x:c>
      <x:c r="H181" s="303" t="str">
        <x:f>IF('Official Ranking v2'!B185="","",'Official Ranking v2'!F185)</x:f>
      </x:c>
      <x:c r="I181" s="226" t="str">
        <x:f>IF('Official Ranking v2'!B185="","",'Official Ranking v2'!S185)</x:f>
      </x:c>
      <x:c r="J181" t="str">
        <x:f>IF('Official Ranking v2'!B185="","",'Official Ranking v2'!T185)</x:f>
      </x:c>
      <x:c r="K181" t="str">
        <x:f>IF('Official Ranking v2'!B185="","",'Official Ranking v2'!W185)</x:f>
      </x:c>
      <x:c r="L181" t="str">
        <x:f>IF('Official Ranking v2'!B185="","",'Official Ranking v2'!X185)</x:f>
      </x:c>
      <x:c r="M181" t="str">
        <x:f>IF('Official Ranking v2'!B185="","",'Official Ranking v2'!V185)</x:f>
      </x:c>
      <x:c r="N181" s="226" t="str">
        <x:f>IF('Official Ranking v2'!B185="","",'Official Ranking v2'!P185)</x:f>
      </x:c>
    </x:row>
    <x:row r="182">
      <x:c r="A182" t="str">
        <x:f>'Player Report Index'!B185</x:f>
      </x:c>
      <x:c r="B182" t="n">
        <x:f>'Player Report Index'!J185</x:f>
        <x:v>0</x:v>
      </x:c>
      <x:c r="C182" t="str">
        <x:f>IF('Official Ranking v2'!B186="","",'Official Ranking v2'!A186)</x:f>
      </x:c>
      <x:c r="D182" t="str">
        <x:f>IF('Official Ranking v2'!B186="","",'Official Ranking v2'!B186)</x:f>
      </x:c>
      <x:c r="E182" t="str">
        <x:f>IF('Official Ranking v2'!B186="","",'Official Ranking v2'!C186)</x:f>
      </x:c>
      <x:c r="F182" t="str">
        <x:f>IF('Official Ranking v2'!B186="","",'Official Ranking v2'!D186)</x:f>
      </x:c>
      <x:c r="G182" t="str">
        <x:f>IF('Official Ranking v2'!B186="","",'Official Ranking v2'!E186)</x:f>
      </x:c>
      <x:c r="H182" s="303" t="str">
        <x:f>IF('Official Ranking v2'!B186="","",'Official Ranking v2'!F186)</x:f>
      </x:c>
      <x:c r="I182" s="226" t="str">
        <x:f>IF('Official Ranking v2'!B186="","",'Official Ranking v2'!S186)</x:f>
      </x:c>
      <x:c r="J182" t="str">
        <x:f>IF('Official Ranking v2'!B186="","",'Official Ranking v2'!T186)</x:f>
      </x:c>
      <x:c r="K182" t="str">
        <x:f>IF('Official Ranking v2'!B186="","",'Official Ranking v2'!W186)</x:f>
      </x:c>
      <x:c r="L182" t="str">
        <x:f>IF('Official Ranking v2'!B186="","",'Official Ranking v2'!X186)</x:f>
      </x:c>
      <x:c r="M182" t="str">
        <x:f>IF('Official Ranking v2'!B186="","",'Official Ranking v2'!V186)</x:f>
      </x:c>
      <x:c r="N182" s="226" t="str">
        <x:f>IF('Official Ranking v2'!B186="","",'Official Ranking v2'!P186)</x:f>
      </x:c>
    </x:row>
    <x:row r="183">
      <x:c r="A183" t="str">
        <x:f>'Player Report Index'!B186</x:f>
      </x:c>
      <x:c r="B183" t="n">
        <x:f>'Player Report Index'!J186</x:f>
        <x:v>0</x:v>
      </x:c>
      <x:c r="C183" t="str">
        <x:f>IF('Official Ranking v2'!B187="","",'Official Ranking v2'!A187)</x:f>
      </x:c>
      <x:c r="D183" t="str">
        <x:f>IF('Official Ranking v2'!B187="","",'Official Ranking v2'!B187)</x:f>
      </x:c>
      <x:c r="E183" t="str">
        <x:f>IF('Official Ranking v2'!B187="","",'Official Ranking v2'!C187)</x:f>
      </x:c>
      <x:c r="F183" t="str">
        <x:f>IF('Official Ranking v2'!B187="","",'Official Ranking v2'!D187)</x:f>
      </x:c>
      <x:c r="G183" t="str">
        <x:f>IF('Official Ranking v2'!B187="","",'Official Ranking v2'!E187)</x:f>
      </x:c>
      <x:c r="H183" s="303" t="str">
        <x:f>IF('Official Ranking v2'!B187="","",'Official Ranking v2'!F187)</x:f>
      </x:c>
      <x:c r="I183" s="226" t="str">
        <x:f>IF('Official Ranking v2'!B187="","",'Official Ranking v2'!S187)</x:f>
      </x:c>
      <x:c r="J183" t="str">
        <x:f>IF('Official Ranking v2'!B187="","",'Official Ranking v2'!T187)</x:f>
      </x:c>
      <x:c r="K183" t="str">
        <x:f>IF('Official Ranking v2'!B187="","",'Official Ranking v2'!W187)</x:f>
      </x:c>
      <x:c r="L183" t="str">
        <x:f>IF('Official Ranking v2'!B187="","",'Official Ranking v2'!X187)</x:f>
      </x:c>
      <x:c r="M183" t="str">
        <x:f>IF('Official Ranking v2'!B187="","",'Official Ranking v2'!V187)</x:f>
      </x:c>
      <x:c r="N183" s="226" t="str">
        <x:f>IF('Official Ranking v2'!B187="","",'Official Ranking v2'!P187)</x:f>
      </x:c>
    </x:row>
    <x:row r="184">
      <x:c r="A184" t="str">
        <x:f>'Player Report Index'!B187</x:f>
      </x:c>
      <x:c r="B184" t="n">
        <x:f>'Player Report Index'!J187</x:f>
        <x:v>0</x:v>
      </x:c>
      <x:c r="C184" t="str">
        <x:f>IF('Official Ranking v2'!B188="","",'Official Ranking v2'!A188)</x:f>
      </x:c>
      <x:c r="D184" t="str">
        <x:f>IF('Official Ranking v2'!B188="","",'Official Ranking v2'!B188)</x:f>
      </x:c>
      <x:c r="E184" t="str">
        <x:f>IF('Official Ranking v2'!B188="","",'Official Ranking v2'!C188)</x:f>
      </x:c>
      <x:c r="F184" t="str">
        <x:f>IF('Official Ranking v2'!B188="","",'Official Ranking v2'!D188)</x:f>
      </x:c>
      <x:c r="G184" t="str">
        <x:f>IF('Official Ranking v2'!B188="","",'Official Ranking v2'!E188)</x:f>
      </x:c>
      <x:c r="H184" s="303" t="str">
        <x:f>IF('Official Ranking v2'!B188="","",'Official Ranking v2'!F188)</x:f>
      </x:c>
      <x:c r="I184" s="226" t="str">
        <x:f>IF('Official Ranking v2'!B188="","",'Official Ranking v2'!S188)</x:f>
      </x:c>
      <x:c r="J184" t="str">
        <x:f>IF('Official Ranking v2'!B188="","",'Official Ranking v2'!T188)</x:f>
      </x:c>
      <x:c r="K184" t="str">
        <x:f>IF('Official Ranking v2'!B188="","",'Official Ranking v2'!W188)</x:f>
      </x:c>
      <x:c r="L184" t="str">
        <x:f>IF('Official Ranking v2'!B188="","",'Official Ranking v2'!X188)</x:f>
      </x:c>
      <x:c r="M184" t="str">
        <x:f>IF('Official Ranking v2'!B188="","",'Official Ranking v2'!V188)</x:f>
      </x:c>
      <x:c r="N184" s="226" t="str">
        <x:f>IF('Official Ranking v2'!B188="","",'Official Ranking v2'!P188)</x:f>
      </x:c>
    </x:row>
    <x:row r="185">
      <x:c r="A185" t="str">
        <x:f>'Player Report Index'!B188</x:f>
      </x:c>
      <x:c r="B185" t="n">
        <x:f>'Player Report Index'!J188</x:f>
        <x:v>0</x:v>
      </x:c>
      <x:c r="C185" t="str">
        <x:f>IF('Official Ranking v2'!B189="","",'Official Ranking v2'!A189)</x:f>
      </x:c>
      <x:c r="D185" t="str">
        <x:f>IF('Official Ranking v2'!B189="","",'Official Ranking v2'!B189)</x:f>
      </x:c>
      <x:c r="E185" t="str">
        <x:f>IF('Official Ranking v2'!B189="","",'Official Ranking v2'!C189)</x:f>
      </x:c>
      <x:c r="F185" t="str">
        <x:f>IF('Official Ranking v2'!B189="","",'Official Ranking v2'!D189)</x:f>
      </x:c>
      <x:c r="G185" t="str">
        <x:f>IF('Official Ranking v2'!B189="","",'Official Ranking v2'!E189)</x:f>
      </x:c>
      <x:c r="H185" s="303" t="str">
        <x:f>IF('Official Ranking v2'!B189="","",'Official Ranking v2'!F189)</x:f>
      </x:c>
      <x:c r="I185" s="226" t="str">
        <x:f>IF('Official Ranking v2'!B189="","",'Official Ranking v2'!S189)</x:f>
      </x:c>
      <x:c r="J185" t="str">
        <x:f>IF('Official Ranking v2'!B189="","",'Official Ranking v2'!T189)</x:f>
      </x:c>
      <x:c r="K185" t="str">
        <x:f>IF('Official Ranking v2'!B189="","",'Official Ranking v2'!W189)</x:f>
      </x:c>
      <x:c r="L185" t="str">
        <x:f>IF('Official Ranking v2'!B189="","",'Official Ranking v2'!X189)</x:f>
      </x:c>
      <x:c r="M185" t="str">
        <x:f>IF('Official Ranking v2'!B189="","",'Official Ranking v2'!V189)</x:f>
      </x:c>
      <x:c r="N185" s="226" t="str">
        <x:f>IF('Official Ranking v2'!B189="","",'Official Ranking v2'!P189)</x:f>
      </x:c>
    </x:row>
    <x:row r="186">
      <x:c r="A186" t="str">
        <x:f>'Player Report Index'!B189</x:f>
      </x:c>
      <x:c r="B186" t="n">
        <x:f>'Player Report Index'!J189</x:f>
        <x:v>0</x:v>
      </x:c>
      <x:c r="C186" t="str">
        <x:f>IF('Official Ranking v2'!B190="","",'Official Ranking v2'!A190)</x:f>
      </x:c>
      <x:c r="D186" t="str">
        <x:f>IF('Official Ranking v2'!B190="","",'Official Ranking v2'!B190)</x:f>
      </x:c>
      <x:c r="E186" t="str">
        <x:f>IF('Official Ranking v2'!B190="","",'Official Ranking v2'!C190)</x:f>
      </x:c>
      <x:c r="F186" t="str">
        <x:f>IF('Official Ranking v2'!B190="","",'Official Ranking v2'!D190)</x:f>
      </x:c>
      <x:c r="G186" t="str">
        <x:f>IF('Official Ranking v2'!B190="","",'Official Ranking v2'!E190)</x:f>
      </x:c>
      <x:c r="H186" s="303" t="str">
        <x:f>IF('Official Ranking v2'!B190="","",'Official Ranking v2'!F190)</x:f>
      </x:c>
      <x:c r="I186" s="226" t="str">
        <x:f>IF('Official Ranking v2'!B190="","",'Official Ranking v2'!S190)</x:f>
      </x:c>
      <x:c r="J186" t="str">
        <x:f>IF('Official Ranking v2'!B190="","",'Official Ranking v2'!T190)</x:f>
      </x:c>
      <x:c r="K186" t="str">
        <x:f>IF('Official Ranking v2'!B190="","",'Official Ranking v2'!W190)</x:f>
      </x:c>
      <x:c r="L186" t="str">
        <x:f>IF('Official Ranking v2'!B190="","",'Official Ranking v2'!X190)</x:f>
      </x:c>
      <x:c r="M186" t="str">
        <x:f>IF('Official Ranking v2'!B190="","",'Official Ranking v2'!V190)</x:f>
      </x:c>
      <x:c r="N186" s="226" t="str">
        <x:f>IF('Official Ranking v2'!B190="","",'Official Ranking v2'!P190)</x:f>
      </x:c>
    </x:row>
    <x:row r="187">
      <x:c r="A187" t="str">
        <x:f>'Player Report Index'!B190</x:f>
      </x:c>
      <x:c r="B187" t="n">
        <x:f>'Player Report Index'!J190</x:f>
        <x:v>0</x:v>
      </x:c>
      <x:c r="C187" t="str">
        <x:f>IF('Official Ranking v2'!B191="","",'Official Ranking v2'!A191)</x:f>
      </x:c>
      <x:c r="D187" t="str">
        <x:f>IF('Official Ranking v2'!B191="","",'Official Ranking v2'!B191)</x:f>
      </x:c>
      <x:c r="E187" t="str">
        <x:f>IF('Official Ranking v2'!B191="","",'Official Ranking v2'!C191)</x:f>
      </x:c>
      <x:c r="F187" t="str">
        <x:f>IF('Official Ranking v2'!B191="","",'Official Ranking v2'!D191)</x:f>
      </x:c>
      <x:c r="G187" t="str">
        <x:f>IF('Official Ranking v2'!B191="","",'Official Ranking v2'!E191)</x:f>
      </x:c>
      <x:c r="H187" s="303" t="str">
        <x:f>IF('Official Ranking v2'!B191="","",'Official Ranking v2'!F191)</x:f>
      </x:c>
      <x:c r="I187" s="226" t="str">
        <x:f>IF('Official Ranking v2'!B191="","",'Official Ranking v2'!S191)</x:f>
      </x:c>
      <x:c r="J187" t="str">
        <x:f>IF('Official Ranking v2'!B191="","",'Official Ranking v2'!T191)</x:f>
      </x:c>
      <x:c r="K187" t="str">
        <x:f>IF('Official Ranking v2'!B191="","",'Official Ranking v2'!W191)</x:f>
      </x:c>
      <x:c r="L187" t="str">
        <x:f>IF('Official Ranking v2'!B191="","",'Official Ranking v2'!X191)</x:f>
      </x:c>
      <x:c r="M187" t="str">
        <x:f>IF('Official Ranking v2'!B191="","",'Official Ranking v2'!V191)</x:f>
      </x:c>
      <x:c r="N187" s="226" t="str">
        <x:f>IF('Official Ranking v2'!B191="","",'Official Ranking v2'!P191)</x:f>
      </x:c>
    </x:row>
    <x:row r="188">
      <x:c r="A188" t="str">
        <x:f>'Player Report Index'!B191</x:f>
      </x:c>
      <x:c r="B188" t="n">
        <x:f>'Player Report Index'!J191</x:f>
        <x:v>0</x:v>
      </x:c>
      <x:c r="C188" t="str">
        <x:f>IF('Official Ranking v2'!B192="","",'Official Ranking v2'!A192)</x:f>
      </x:c>
      <x:c r="D188" t="str">
        <x:f>IF('Official Ranking v2'!B192="","",'Official Ranking v2'!B192)</x:f>
      </x:c>
      <x:c r="E188" t="str">
        <x:f>IF('Official Ranking v2'!B192="","",'Official Ranking v2'!C192)</x:f>
      </x:c>
      <x:c r="F188" t="str">
        <x:f>IF('Official Ranking v2'!B192="","",'Official Ranking v2'!D192)</x:f>
      </x:c>
      <x:c r="G188" t="str">
        <x:f>IF('Official Ranking v2'!B192="","",'Official Ranking v2'!E192)</x:f>
      </x:c>
      <x:c r="H188" s="303" t="str">
        <x:f>IF('Official Ranking v2'!B192="","",'Official Ranking v2'!F192)</x:f>
      </x:c>
      <x:c r="I188" s="226" t="str">
        <x:f>IF('Official Ranking v2'!B192="","",'Official Ranking v2'!S192)</x:f>
      </x:c>
      <x:c r="J188" t="str">
        <x:f>IF('Official Ranking v2'!B192="","",'Official Ranking v2'!T192)</x:f>
      </x:c>
      <x:c r="K188" t="str">
        <x:f>IF('Official Ranking v2'!B192="","",'Official Ranking v2'!W192)</x:f>
      </x:c>
      <x:c r="L188" t="str">
        <x:f>IF('Official Ranking v2'!B192="","",'Official Ranking v2'!X192)</x:f>
      </x:c>
      <x:c r="M188" t="str">
        <x:f>IF('Official Ranking v2'!B192="","",'Official Ranking v2'!V192)</x:f>
      </x:c>
      <x:c r="N188" s="226" t="str">
        <x:f>IF('Official Ranking v2'!B192="","",'Official Ranking v2'!P192)</x:f>
      </x:c>
    </x:row>
    <x:row r="189">
      <x:c r="A189" t="str">
        <x:f>'Player Report Index'!B192</x:f>
      </x:c>
      <x:c r="B189" t="n">
        <x:f>'Player Report Index'!J192</x:f>
        <x:v>0</x:v>
      </x:c>
      <x:c r="C189" t="str">
        <x:f>IF('Official Ranking v2'!B193="","",'Official Ranking v2'!A193)</x:f>
      </x:c>
      <x:c r="D189" t="str">
        <x:f>IF('Official Ranking v2'!B193="","",'Official Ranking v2'!B193)</x:f>
      </x:c>
      <x:c r="E189" t="str">
        <x:f>IF('Official Ranking v2'!B193="","",'Official Ranking v2'!C193)</x:f>
      </x:c>
      <x:c r="F189" t="str">
        <x:f>IF('Official Ranking v2'!B193="","",'Official Ranking v2'!D193)</x:f>
      </x:c>
      <x:c r="G189" t="str">
        <x:f>IF('Official Ranking v2'!B193="","",'Official Ranking v2'!E193)</x:f>
      </x:c>
      <x:c r="H189" s="303" t="str">
        <x:f>IF('Official Ranking v2'!B193="","",'Official Ranking v2'!F193)</x:f>
      </x:c>
      <x:c r="I189" s="226" t="str">
        <x:f>IF('Official Ranking v2'!B193="","",'Official Ranking v2'!S193)</x:f>
      </x:c>
      <x:c r="J189" t="str">
        <x:f>IF('Official Ranking v2'!B193="","",'Official Ranking v2'!T193)</x:f>
      </x:c>
      <x:c r="K189" t="str">
        <x:f>IF('Official Ranking v2'!B193="","",'Official Ranking v2'!W193)</x:f>
      </x:c>
      <x:c r="L189" t="str">
        <x:f>IF('Official Ranking v2'!B193="","",'Official Ranking v2'!X193)</x:f>
      </x:c>
      <x:c r="M189" t="str">
        <x:f>IF('Official Ranking v2'!B193="","",'Official Ranking v2'!V193)</x:f>
      </x:c>
      <x:c r="N189" s="226" t="str">
        <x:f>IF('Official Ranking v2'!B193="","",'Official Ranking v2'!P193)</x:f>
      </x:c>
    </x:row>
    <x:row r="190">
      <x:c r="A190" t="str">
        <x:f>'Player Report Index'!B193</x:f>
      </x:c>
      <x:c r="B190" t="n">
        <x:f>'Player Report Index'!J193</x:f>
        <x:v>0</x:v>
      </x:c>
      <x:c r="C190" t="str">
        <x:f>IF('Official Ranking v2'!B194="","",'Official Ranking v2'!A194)</x:f>
      </x:c>
      <x:c r="D190" t="str">
        <x:f>IF('Official Ranking v2'!B194="","",'Official Ranking v2'!B194)</x:f>
      </x:c>
      <x:c r="E190" t="str">
        <x:f>IF('Official Ranking v2'!B194="","",'Official Ranking v2'!C194)</x:f>
      </x:c>
      <x:c r="F190" t="str">
        <x:f>IF('Official Ranking v2'!B194="","",'Official Ranking v2'!D194)</x:f>
      </x:c>
      <x:c r="G190" t="str">
        <x:f>IF('Official Ranking v2'!B194="","",'Official Ranking v2'!E194)</x:f>
      </x:c>
      <x:c r="H190" s="303" t="str">
        <x:f>IF('Official Ranking v2'!B194="","",'Official Ranking v2'!F194)</x:f>
      </x:c>
      <x:c r="I190" s="226" t="str">
        <x:f>IF('Official Ranking v2'!B194="","",'Official Ranking v2'!S194)</x:f>
      </x:c>
      <x:c r="J190" t="str">
        <x:f>IF('Official Ranking v2'!B194="","",'Official Ranking v2'!T194)</x:f>
      </x:c>
      <x:c r="K190" t="str">
        <x:f>IF('Official Ranking v2'!B194="","",'Official Ranking v2'!W194)</x:f>
      </x:c>
      <x:c r="L190" t="str">
        <x:f>IF('Official Ranking v2'!B194="","",'Official Ranking v2'!X194)</x:f>
      </x:c>
      <x:c r="M190" t="str">
        <x:f>IF('Official Ranking v2'!B194="","",'Official Ranking v2'!V194)</x:f>
      </x:c>
      <x:c r="N190" s="226" t="str">
        <x:f>IF('Official Ranking v2'!B194="","",'Official Ranking v2'!P194)</x:f>
      </x:c>
    </x:row>
    <x:row r="191">
      <x:c r="A191" t="str">
        <x:f>'Player Report Index'!B194</x:f>
      </x:c>
      <x:c r="B191" t="n">
        <x:f>'Player Report Index'!J194</x:f>
        <x:v>0</x:v>
      </x:c>
      <x:c r="C191" t="str">
        <x:f>IF('Official Ranking v2'!B195="","",'Official Ranking v2'!A195)</x:f>
      </x:c>
      <x:c r="D191" t="str">
        <x:f>IF('Official Ranking v2'!B195="","",'Official Ranking v2'!B195)</x:f>
      </x:c>
      <x:c r="E191" t="str">
        <x:f>IF('Official Ranking v2'!B195="","",'Official Ranking v2'!C195)</x:f>
      </x:c>
      <x:c r="F191" t="str">
        <x:f>IF('Official Ranking v2'!B195="","",'Official Ranking v2'!D195)</x:f>
      </x:c>
      <x:c r="G191" t="str">
        <x:f>IF('Official Ranking v2'!B195="","",'Official Ranking v2'!E195)</x:f>
      </x:c>
      <x:c r="H191" s="303" t="str">
        <x:f>IF('Official Ranking v2'!B195="","",'Official Ranking v2'!F195)</x:f>
      </x:c>
      <x:c r="I191" s="226" t="str">
        <x:f>IF('Official Ranking v2'!B195="","",'Official Ranking v2'!S195)</x:f>
      </x:c>
      <x:c r="J191" t="str">
        <x:f>IF('Official Ranking v2'!B195="","",'Official Ranking v2'!T195)</x:f>
      </x:c>
      <x:c r="K191" t="str">
        <x:f>IF('Official Ranking v2'!B195="","",'Official Ranking v2'!W195)</x:f>
      </x:c>
      <x:c r="L191" t="str">
        <x:f>IF('Official Ranking v2'!B195="","",'Official Ranking v2'!X195)</x:f>
      </x:c>
      <x:c r="M191" t="str">
        <x:f>IF('Official Ranking v2'!B195="","",'Official Ranking v2'!V195)</x:f>
      </x:c>
      <x:c r="N191" s="226" t="str">
        <x:f>IF('Official Ranking v2'!B195="","",'Official Ranking v2'!P195)</x:f>
      </x:c>
    </x:row>
    <x:row r="192">
      <x:c r="A192" t="str">
        <x:f>'Player Report Index'!B195</x:f>
      </x:c>
      <x:c r="B192" t="n">
        <x:f>'Player Report Index'!J195</x:f>
        <x:v>0</x:v>
      </x:c>
      <x:c r="C192" t="str">
        <x:f>IF('Official Ranking v2'!B196="","",'Official Ranking v2'!A196)</x:f>
      </x:c>
      <x:c r="D192" t="str">
        <x:f>IF('Official Ranking v2'!B196="","",'Official Ranking v2'!B196)</x:f>
      </x:c>
      <x:c r="E192" t="str">
        <x:f>IF('Official Ranking v2'!B196="","",'Official Ranking v2'!C196)</x:f>
      </x:c>
      <x:c r="F192" t="str">
        <x:f>IF('Official Ranking v2'!B196="","",'Official Ranking v2'!D196)</x:f>
      </x:c>
      <x:c r="G192" t="str">
        <x:f>IF('Official Ranking v2'!B196="","",'Official Ranking v2'!E196)</x:f>
      </x:c>
      <x:c r="H192" s="303" t="str">
        <x:f>IF('Official Ranking v2'!B196="","",'Official Ranking v2'!F196)</x:f>
      </x:c>
      <x:c r="I192" s="226" t="str">
        <x:f>IF('Official Ranking v2'!B196="","",'Official Ranking v2'!S196)</x:f>
      </x:c>
      <x:c r="J192" t="str">
        <x:f>IF('Official Ranking v2'!B196="","",'Official Ranking v2'!T196)</x:f>
      </x:c>
      <x:c r="K192" t="str">
        <x:f>IF('Official Ranking v2'!B196="","",'Official Ranking v2'!W196)</x:f>
      </x:c>
      <x:c r="L192" t="str">
        <x:f>IF('Official Ranking v2'!B196="","",'Official Ranking v2'!X196)</x:f>
      </x:c>
      <x:c r="M192" t="str">
        <x:f>IF('Official Ranking v2'!B196="","",'Official Ranking v2'!V196)</x:f>
      </x:c>
      <x:c r="N192" s="226" t="str">
        <x:f>IF('Official Ranking v2'!B196="","",'Official Ranking v2'!P196)</x:f>
      </x:c>
    </x:row>
    <x:row r="193">
      <x:c r="A193" t="str">
        <x:f>'Player Report Index'!B196</x:f>
      </x:c>
      <x:c r="B193" t="n">
        <x:f>'Player Report Index'!J196</x:f>
        <x:v>0</x:v>
      </x:c>
      <x:c r="C193" t="str">
        <x:f>IF('Official Ranking v2'!B197="","",'Official Ranking v2'!A197)</x:f>
      </x:c>
      <x:c r="D193" t="str">
        <x:f>IF('Official Ranking v2'!B197="","",'Official Ranking v2'!B197)</x:f>
      </x:c>
      <x:c r="E193" t="str">
        <x:f>IF('Official Ranking v2'!B197="","",'Official Ranking v2'!C197)</x:f>
      </x:c>
      <x:c r="F193" t="str">
        <x:f>IF('Official Ranking v2'!B197="","",'Official Ranking v2'!D197)</x:f>
      </x:c>
      <x:c r="G193" t="str">
        <x:f>IF('Official Ranking v2'!B197="","",'Official Ranking v2'!E197)</x:f>
      </x:c>
      <x:c r="H193" s="303" t="str">
        <x:f>IF('Official Ranking v2'!B197="","",'Official Ranking v2'!F197)</x:f>
      </x:c>
      <x:c r="I193" s="226" t="str">
        <x:f>IF('Official Ranking v2'!B197="","",'Official Ranking v2'!S197)</x:f>
      </x:c>
      <x:c r="J193" t="str">
        <x:f>IF('Official Ranking v2'!B197="","",'Official Ranking v2'!T197)</x:f>
      </x:c>
      <x:c r="K193" t="str">
        <x:f>IF('Official Ranking v2'!B197="","",'Official Ranking v2'!W197)</x:f>
      </x:c>
      <x:c r="L193" t="str">
        <x:f>IF('Official Ranking v2'!B197="","",'Official Ranking v2'!X197)</x:f>
      </x:c>
      <x:c r="M193" t="str">
        <x:f>IF('Official Ranking v2'!B197="","",'Official Ranking v2'!V197)</x:f>
      </x:c>
      <x:c r="N193" s="226" t="str">
        <x:f>IF('Official Ranking v2'!B197="","",'Official Ranking v2'!P197)</x:f>
      </x:c>
    </x:row>
    <x:row r="194">
      <x:c r="A194" t="str">
        <x:f>'Player Report Index'!B197</x:f>
      </x:c>
      <x:c r="B194" t="n">
        <x:f>'Player Report Index'!J197</x:f>
        <x:v>0</x:v>
      </x:c>
      <x:c r="C194" t="str">
        <x:f>IF('Official Ranking v2'!B198="","",'Official Ranking v2'!A198)</x:f>
      </x:c>
      <x:c r="D194" t="str">
        <x:f>IF('Official Ranking v2'!B198="","",'Official Ranking v2'!B198)</x:f>
      </x:c>
      <x:c r="E194" t="str">
        <x:f>IF('Official Ranking v2'!B198="","",'Official Ranking v2'!C198)</x:f>
      </x:c>
      <x:c r="F194" t="str">
        <x:f>IF('Official Ranking v2'!B198="","",'Official Ranking v2'!D198)</x:f>
      </x:c>
      <x:c r="G194" t="str">
        <x:f>IF('Official Ranking v2'!B198="","",'Official Ranking v2'!E198)</x:f>
      </x:c>
      <x:c r="H194" s="303" t="str">
        <x:f>IF('Official Ranking v2'!B198="","",'Official Ranking v2'!F198)</x:f>
      </x:c>
      <x:c r="I194" s="226" t="str">
        <x:f>IF('Official Ranking v2'!B198="","",'Official Ranking v2'!S198)</x:f>
      </x:c>
      <x:c r="J194" t="str">
        <x:f>IF('Official Ranking v2'!B198="","",'Official Ranking v2'!T198)</x:f>
      </x:c>
      <x:c r="K194" t="str">
        <x:f>IF('Official Ranking v2'!B198="","",'Official Ranking v2'!W198)</x:f>
      </x:c>
      <x:c r="L194" t="str">
        <x:f>IF('Official Ranking v2'!B198="","",'Official Ranking v2'!X198)</x:f>
      </x:c>
      <x:c r="M194" t="str">
        <x:f>IF('Official Ranking v2'!B198="","",'Official Ranking v2'!V198)</x:f>
      </x:c>
      <x:c r="N194" s="226" t="str">
        <x:f>IF('Official Ranking v2'!B198="","",'Official Ranking v2'!P198)</x:f>
      </x:c>
    </x:row>
    <x:row r="195">
      <x:c r="A195" t="str">
        <x:f>'Player Report Index'!B198</x:f>
      </x:c>
      <x:c r="B195" t="n">
        <x:f>'Player Report Index'!J198</x:f>
        <x:v>0</x:v>
      </x:c>
      <x:c r="C195" t="str">
        <x:f>IF('Official Ranking v2'!B199="","",'Official Ranking v2'!A199)</x:f>
      </x:c>
      <x:c r="D195" t="str">
        <x:f>IF('Official Ranking v2'!B199="","",'Official Ranking v2'!B199)</x:f>
      </x:c>
      <x:c r="E195" t="str">
        <x:f>IF('Official Ranking v2'!B199="","",'Official Ranking v2'!C199)</x:f>
      </x:c>
      <x:c r="F195" t="str">
        <x:f>IF('Official Ranking v2'!B199="","",'Official Ranking v2'!D199)</x:f>
      </x:c>
      <x:c r="G195" t="str">
        <x:f>IF('Official Ranking v2'!B199="","",'Official Ranking v2'!E199)</x:f>
      </x:c>
      <x:c r="H195" s="303" t="str">
        <x:f>IF('Official Ranking v2'!B199="","",'Official Ranking v2'!F199)</x:f>
      </x:c>
      <x:c r="I195" s="226" t="str">
        <x:f>IF('Official Ranking v2'!B199="","",'Official Ranking v2'!S199)</x:f>
      </x:c>
      <x:c r="J195" t="str">
        <x:f>IF('Official Ranking v2'!B199="","",'Official Ranking v2'!T199)</x:f>
      </x:c>
      <x:c r="K195" t="str">
        <x:f>IF('Official Ranking v2'!B199="","",'Official Ranking v2'!W199)</x:f>
      </x:c>
      <x:c r="L195" t="str">
        <x:f>IF('Official Ranking v2'!B199="","",'Official Ranking v2'!X199)</x:f>
      </x:c>
      <x:c r="M195" t="str">
        <x:f>IF('Official Ranking v2'!B199="","",'Official Ranking v2'!V199)</x:f>
      </x:c>
      <x:c r="N195" s="226" t="str">
        <x:f>IF('Official Ranking v2'!B199="","",'Official Ranking v2'!P199)</x:f>
      </x:c>
    </x:row>
    <x:row r="196">
      <x:c r="A196" t="str">
        <x:f>'Player Report Index'!B199</x:f>
      </x:c>
      <x:c r="B196" t="n">
        <x:f>'Player Report Index'!J199</x:f>
        <x:v>0</x:v>
      </x:c>
      <x:c r="C196" t="str">
        <x:f>IF('Official Ranking v2'!B200="","",'Official Ranking v2'!A200)</x:f>
      </x:c>
      <x:c r="D196" t="str">
        <x:f>IF('Official Ranking v2'!B200="","",'Official Ranking v2'!B200)</x:f>
      </x:c>
      <x:c r="E196" t="str">
        <x:f>IF('Official Ranking v2'!B200="","",'Official Ranking v2'!C200)</x:f>
      </x:c>
      <x:c r="F196" t="str">
        <x:f>IF('Official Ranking v2'!B200="","",'Official Ranking v2'!D200)</x:f>
      </x:c>
      <x:c r="G196" t="str">
        <x:f>IF('Official Ranking v2'!B200="","",'Official Ranking v2'!E200)</x:f>
      </x:c>
      <x:c r="H196" s="303" t="str">
        <x:f>IF('Official Ranking v2'!B200="","",'Official Ranking v2'!F200)</x:f>
      </x:c>
      <x:c r="I196" s="226" t="str">
        <x:f>IF('Official Ranking v2'!B200="","",'Official Ranking v2'!S200)</x:f>
      </x:c>
      <x:c r="J196" t="str">
        <x:f>IF('Official Ranking v2'!B200="","",'Official Ranking v2'!T200)</x:f>
      </x:c>
      <x:c r="K196" t="str">
        <x:f>IF('Official Ranking v2'!B200="","",'Official Ranking v2'!W200)</x:f>
      </x:c>
      <x:c r="L196" t="str">
        <x:f>IF('Official Ranking v2'!B200="","",'Official Ranking v2'!X200)</x:f>
      </x:c>
      <x:c r="M196" t="str">
        <x:f>IF('Official Ranking v2'!B200="","",'Official Ranking v2'!V200)</x:f>
      </x:c>
      <x:c r="N196" s="226" t="str">
        <x:f>IF('Official Ranking v2'!B200="","",'Official Ranking v2'!P200)</x:f>
      </x:c>
    </x:row>
    <x:row r="197">
      <x:c r="A197" t="str">
        <x:f>'Player Report Index'!B200</x:f>
      </x:c>
      <x:c r="B197" t="n">
        <x:f>'Player Report Index'!J200</x:f>
        <x:v>0</x:v>
      </x:c>
      <x:c r="C197" t="str">
        <x:f>IF('Official Ranking v2'!B201="","",'Official Ranking v2'!A201)</x:f>
      </x:c>
      <x:c r="D197" t="str">
        <x:f>IF('Official Ranking v2'!B201="","",'Official Ranking v2'!B201)</x:f>
      </x:c>
      <x:c r="E197" t="str">
        <x:f>IF('Official Ranking v2'!B201="","",'Official Ranking v2'!C201)</x:f>
      </x:c>
      <x:c r="F197" t="str">
        <x:f>IF('Official Ranking v2'!B201="","",'Official Ranking v2'!D201)</x:f>
      </x:c>
      <x:c r="G197" t="str">
        <x:f>IF('Official Ranking v2'!B201="","",'Official Ranking v2'!E201)</x:f>
      </x:c>
      <x:c r="H197" s="303" t="str">
        <x:f>IF('Official Ranking v2'!B201="","",'Official Ranking v2'!F201)</x:f>
      </x:c>
      <x:c r="I197" s="226" t="str">
        <x:f>IF('Official Ranking v2'!B201="","",'Official Ranking v2'!S201)</x:f>
      </x:c>
      <x:c r="J197" t="str">
        <x:f>IF('Official Ranking v2'!B201="","",'Official Ranking v2'!T201)</x:f>
      </x:c>
      <x:c r="K197" t="str">
        <x:f>IF('Official Ranking v2'!B201="","",'Official Ranking v2'!W201)</x:f>
      </x:c>
      <x:c r="L197" t="str">
        <x:f>IF('Official Ranking v2'!B201="","",'Official Ranking v2'!X201)</x:f>
      </x:c>
      <x:c r="M197" t="str">
        <x:f>IF('Official Ranking v2'!B201="","",'Official Ranking v2'!V201)</x:f>
      </x:c>
      <x:c r="N197" s="226" t="str">
        <x:f>IF('Official Ranking v2'!B201="","",'Official Ranking v2'!P201)</x:f>
      </x:c>
    </x:row>
    <x:row r="198">
      <x:c r="A198" t="str">
        <x:f>'Player Report Index'!B201</x:f>
      </x:c>
      <x:c r="B198" t="n">
        <x:f>'Player Report Index'!J201</x:f>
        <x:v>0</x:v>
      </x:c>
      <x:c r="C198" t="str">
        <x:f>IF('Official Ranking v2'!B202="","",'Official Ranking v2'!A202)</x:f>
      </x:c>
      <x:c r="D198" t="str">
        <x:f>IF('Official Ranking v2'!B202="","",'Official Ranking v2'!B202)</x:f>
      </x:c>
      <x:c r="E198" t="str">
        <x:f>IF('Official Ranking v2'!B202="","",'Official Ranking v2'!C202)</x:f>
      </x:c>
      <x:c r="F198" t="str">
        <x:f>IF('Official Ranking v2'!B202="","",'Official Ranking v2'!D202)</x:f>
      </x:c>
      <x:c r="G198" t="str">
        <x:f>IF('Official Ranking v2'!B202="","",'Official Ranking v2'!E202)</x:f>
      </x:c>
      <x:c r="H198" s="303" t="str">
        <x:f>IF('Official Ranking v2'!B202="","",'Official Ranking v2'!F202)</x:f>
      </x:c>
      <x:c r="I198" s="226" t="str">
        <x:f>IF('Official Ranking v2'!B202="","",'Official Ranking v2'!S202)</x:f>
      </x:c>
      <x:c r="J198" t="str">
        <x:f>IF('Official Ranking v2'!B202="","",'Official Ranking v2'!T202)</x:f>
      </x:c>
      <x:c r="K198" t="str">
        <x:f>IF('Official Ranking v2'!B202="","",'Official Ranking v2'!W202)</x:f>
      </x:c>
      <x:c r="L198" t="str">
        <x:f>IF('Official Ranking v2'!B202="","",'Official Ranking v2'!X202)</x:f>
      </x:c>
      <x:c r="M198" t="str">
        <x:f>IF('Official Ranking v2'!B202="","",'Official Ranking v2'!V202)</x:f>
      </x:c>
      <x:c r="N198" s="226" t="str">
        <x:f>IF('Official Ranking v2'!B202="","",'Official Ranking v2'!P202)</x:f>
      </x:c>
    </x:row>
    <x:row r="199">
      <x:c r="A199" t="str">
        <x:f>'Player Report Index'!B202</x:f>
      </x:c>
      <x:c r="B199" t="n">
        <x:f>'Player Report Index'!J202</x:f>
        <x:v>0</x:v>
      </x:c>
      <x:c r="C199" t="str">
        <x:f>IF('Official Ranking v2'!B203="","",'Official Ranking v2'!A203)</x:f>
      </x:c>
      <x:c r="D199" t="str">
        <x:f>IF('Official Ranking v2'!B203="","",'Official Ranking v2'!B203)</x:f>
      </x:c>
      <x:c r="E199" t="str">
        <x:f>IF('Official Ranking v2'!B203="","",'Official Ranking v2'!C203)</x:f>
      </x:c>
      <x:c r="F199" t="str">
        <x:f>IF('Official Ranking v2'!B203="","",'Official Ranking v2'!D203)</x:f>
      </x:c>
      <x:c r="G199" t="str">
        <x:f>IF('Official Ranking v2'!B203="","",'Official Ranking v2'!E203)</x:f>
      </x:c>
      <x:c r="H199" s="303" t="str">
        <x:f>IF('Official Ranking v2'!B203="","",'Official Ranking v2'!F203)</x:f>
      </x:c>
      <x:c r="I199" s="226" t="str">
        <x:f>IF('Official Ranking v2'!B203="","",'Official Ranking v2'!S203)</x:f>
      </x:c>
      <x:c r="J199" t="str">
        <x:f>IF('Official Ranking v2'!B203="","",'Official Ranking v2'!T203)</x:f>
      </x:c>
      <x:c r="K199" t="str">
        <x:f>IF('Official Ranking v2'!B203="","",'Official Ranking v2'!W203)</x:f>
      </x:c>
      <x:c r="L199" t="str">
        <x:f>IF('Official Ranking v2'!B203="","",'Official Ranking v2'!X203)</x:f>
      </x:c>
      <x:c r="M199" t="str">
        <x:f>IF('Official Ranking v2'!B203="","",'Official Ranking v2'!V203)</x:f>
      </x:c>
      <x:c r="N199" s="226" t="str">
        <x:f>IF('Official Ranking v2'!B203="","",'Official Ranking v2'!P203)</x:f>
      </x:c>
    </x:row>
    <x:row r="200">
      <x:c r="A200" t="str">
        <x:f>'Player Report Index'!B203</x:f>
      </x:c>
      <x:c r="B200" t="n">
        <x:f>'Player Report Index'!J203</x:f>
        <x:v>0</x:v>
      </x:c>
      <x:c r="C200" t="str">
        <x:f>IF('Official Ranking v2'!B204="","",'Official Ranking v2'!A204)</x:f>
      </x:c>
      <x:c r="D200" t="str">
        <x:f>IF('Official Ranking v2'!B204="","",'Official Ranking v2'!B204)</x:f>
      </x:c>
      <x:c r="E200" t="str">
        <x:f>IF('Official Ranking v2'!B204="","",'Official Ranking v2'!C204)</x:f>
      </x:c>
      <x:c r="F200" t="str">
        <x:f>IF('Official Ranking v2'!B204="","",'Official Ranking v2'!D204)</x:f>
      </x:c>
      <x:c r="G200" t="str">
        <x:f>IF('Official Ranking v2'!B204="","",'Official Ranking v2'!E204)</x:f>
      </x:c>
      <x:c r="H200" s="303" t="str">
        <x:f>IF('Official Ranking v2'!B204="","",'Official Ranking v2'!F204)</x:f>
      </x:c>
      <x:c r="I200" s="226" t="str">
        <x:f>IF('Official Ranking v2'!B204="","",'Official Ranking v2'!S204)</x:f>
      </x:c>
      <x:c r="J200" t="str">
        <x:f>IF('Official Ranking v2'!B204="","",'Official Ranking v2'!T204)</x:f>
      </x:c>
      <x:c r="K200" t="str">
        <x:f>IF('Official Ranking v2'!B204="","",'Official Ranking v2'!W204)</x:f>
      </x:c>
      <x:c r="L200" t="str">
        <x:f>IF('Official Ranking v2'!B204="","",'Official Ranking v2'!X204)</x:f>
      </x:c>
      <x:c r="M200" t="str">
        <x:f>IF('Official Ranking v2'!B204="","",'Official Ranking v2'!V204)</x:f>
      </x:c>
      <x:c r="N200" s="226" t="str">
        <x:f>IF('Official Ranking v2'!B204="","",'Official Ranking v2'!P204)</x:f>
      </x:c>
    </x:row>
    <x:row r="201">
      <x:c r="A201" t="n">
        <x:f>'Player Report Index'!B204</x:f>
        <x:v>0</x:v>
      </x:c>
      <x:c r="B201" t="n">
        <x:f>'Player Report Index'!J204</x:f>
        <x:v>0</x:v>
      </x:c>
      <x:c r="C201" t="str">
        <x:f>IF('Official Ranking v2'!B205="","",'Official Ranking v2'!A205)</x:f>
      </x:c>
      <x:c r="D201" t="str">
        <x:f>IF('Official Ranking v2'!B205="","",'Official Ranking v2'!B205)</x:f>
      </x:c>
      <x:c r="E201" t="str">
        <x:f>IF('Official Ranking v2'!B205="","",'Official Ranking v2'!C205)</x:f>
      </x:c>
      <x:c r="F201" t="str">
        <x:f>IF('Official Ranking v2'!B205="","",'Official Ranking v2'!D205)</x:f>
      </x:c>
      <x:c r="G201" t="str">
        <x:f>IF('Official Ranking v2'!B205="","",'Official Ranking v2'!E205)</x:f>
      </x:c>
      <x:c r="H201" s="303" t="str">
        <x:f>IF('Official Ranking v2'!B205="","",'Official Ranking v2'!F205)</x:f>
      </x:c>
      <x:c r="I201" s="226" t="str">
        <x:f>IF('Official Ranking v2'!B205="","",'Official Ranking v2'!S205)</x:f>
      </x:c>
      <x:c r="J201" t="str">
        <x:f>IF('Official Ranking v2'!B205="","",'Official Ranking v2'!T205)</x:f>
      </x:c>
      <x:c r="K201" t="str">
        <x:f>IF('Official Ranking v2'!B205="","",'Official Ranking v2'!W205)</x:f>
      </x:c>
      <x:c r="L201" t="str">
        <x:f>IF('Official Ranking v2'!B205="","",'Official Ranking v2'!X205)</x:f>
      </x:c>
      <x:c r="M201" t="str">
        <x:f>IF('Official Ranking v2'!B205="","",'Official Ranking v2'!V205)</x:f>
      </x:c>
      <x:c r="N201" s="226" t="str">
        <x:f>IF('Official Ranking v2'!B205="","",'Official Ranking v2'!P205)</x:f>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21.5" hidden="0" customWidth="1"/>
    <x:col min="2" max="2" width="14.630000114440918" hidden="0" customWidth="1"/>
    <x:col min="4" max="4" width="24" hidden="0" customWidth="1"/>
    <x:col min="5" max="5" width="18.25" hidden="0" customWidth="1"/>
    <x:col min="6" max="6" width="5.130000114440918" hidden="0" customWidth="1"/>
    <x:col min="7" max="7" width="6" hidden="0" customWidth="1"/>
    <x:col min="8" max="8" width="4.130000114440918" hidden="0" customWidth="1"/>
    <x:col min="9" max="9" width="8.5" hidden="0" customWidth="1"/>
    <x:col min="10" max="10" width="5.5" hidden="0" customWidth="1"/>
  </x:cols>
  <x:sheetData>
    <x:row r="1">
      <x:c r="A1" s="294" t="str">
        <x:v>FLPR PHASE C — PUBLICATION DASHBOARD</x:v>
      </x:c>
      <x:c r="B1" s="294"/>
      <x:c r="C1" s="294"/>
      <x:c r="D1" s="294"/>
      <x:c r="E1" s="294"/>
      <x:c r="F1" s="294"/>
      <x:c r="G1" s="294"/>
      <x:c r="H1" s="294"/>
      <x:c r="I1" s="294"/>
      <x:c r="J1" s="294"/>
    </x:row>
    <x:row r="2">
      <x:c r="A2" s="262" t="str">
        <x:v>Release control for workbook, official report, and future web publication</x:v>
      </x:c>
      <x:c r="B2" s="262"/>
      <x:c r="C2" s="262"/>
      <x:c r="D2" s="262"/>
      <x:c r="E2" s="262"/>
      <x:c r="F2" s="262"/>
      <x:c r="G2" s="262"/>
      <x:c r="H2" s="262"/>
      <x:c r="I2" s="262"/>
      <x:c r="J2" s="262"/>
    </x:row>
    <x:row r="3">
      <x:c r="A3" s="262"/>
      <x:c r="B3" s="262"/>
      <x:c r="C3" s="262"/>
      <x:c r="D3" s="262"/>
      <x:c r="E3" s="262"/>
      <x:c r="F3" s="262"/>
      <x:c r="G3" s="262"/>
      <x:c r="H3" s="262"/>
      <x:c r="I3" s="262"/>
      <x:c r="J3" s="262"/>
    </x:row>
    <x:row r="4">
      <x:c r="A4" s="298" t="str">
        <x:v>Release KPI</x:v>
      </x:c>
      <x:c r="B4" s="298" t="str">
        <x:v>Value</x:v>
      </x:c>
      <x:c r="C4" s="262"/>
      <x:c r="D4" s="298" t="str">
        <x:v>Release Component</x:v>
      </x:c>
      <x:c r="E4" s="298" t="str">
        <x:v>Source</x:v>
      </x:c>
      <x:c r="F4" s="298" t="str">
        <x:v>Data</x:v>
      </x:c>
      <x:c r="G4" s="298" t="str">
        <x:v>Figures</x:v>
      </x:c>
      <x:c r="H4" s="298" t="str">
        <x:v>QA</x:v>
      </x:c>
      <x:c r="I4" s="298" t="str">
        <x:v>Approval</x:v>
      </x:c>
      <x:c r="J4" s="298" t="str">
        <x:v>Status</x:v>
      </x:c>
    </x:row>
    <x:row r="5">
      <x:c r="A5" s="262" t="str">
        <x:v>Players</x:v>
      </x:c>
      <x:c r="B5" s="262" t="n">
        <x:f>COUNTA('Official Ranking v2'!B6:B205)</x:f>
        <x:v>20</x:v>
      </x:c>
      <x:c r="C5" s="262"/>
      <x:c r="D5" s="262" t="str">
        <x:v>Official Ranking</x:v>
      </x:c>
      <x:c r="E5" s="262" t="str">
        <x:v>Official Ranking v2</x:v>
      </x:c>
      <x:c r="F5" s="262" t="str">
        <x:v>Ready</x:v>
      </x:c>
      <x:c r="G5" s="262" t="str">
        <x:v>Ready</x:v>
      </x:c>
      <x:c r="H5" s="262" t="str">
        <x:v>PASS</x:v>
      </x:c>
      <x:c r="I5" s="262" t="str">
        <x:v>Pending</x:v>
      </x:c>
      <x:c r="J5" s="262" t="str">
        <x:v>READY</x:v>
      </x:c>
    </x:row>
    <x:row r="6">
      <x:c r="A6" s="262" t="str">
        <x:v>Valid Matches</x:v>
      </x:c>
      <x:c r="B6" s="262" t="n">
        <x:f>ROUND(SUM('Official Ranking v2'!C6:C205)/4,0)</x:f>
        <x:v>57</x:v>
      </x:c>
      <x:c r="C6" s="262"/>
      <x:c r="D6" s="262" t="str">
        <x:v>Official Handicap</x:v>
      </x:c>
      <x:c r="E6" s="262" t="str">
        <x:v>Official Handicap v2</x:v>
      </x:c>
      <x:c r="F6" s="262" t="str">
        <x:v>Ready</x:v>
      </x:c>
      <x:c r="G6" s="262" t="str">
        <x:v>Ready</x:v>
      </x:c>
      <x:c r="H6" s="262" t="str">
        <x:v>PASS</x:v>
      </x:c>
      <x:c r="I6" s="262" t="str">
        <x:v>Pending</x:v>
      </x:c>
      <x:c r="J6" s="262" t="str">
        <x:v>READY</x:v>
      </x:c>
    </x:row>
    <x:row r="7">
      <x:c r="A7" s="262" t="str">
        <x:v>Generated Figures</x:v>
      </x:c>
      <x:c r="B7" s="262" t="n">
        <x:f>COUNTA('Figure Registry'!A2:A100)</x:f>
        <x:v>12</x:v>
      </x:c>
      <x:c r="C7" s="262"/>
      <x:c r="D7" s="262" t="str">
        <x:v>Tournament Statistics</x:v>
      </x:c>
      <x:c r="E7" s="262" t="str">
        <x:v>Tournament Statistics</x:v>
      </x:c>
      <x:c r="F7" s="262" t="str">
        <x:v>Ready</x:v>
      </x:c>
      <x:c r="G7" s="262" t="str">
        <x:v>Ready</x:v>
      </x:c>
      <x:c r="H7" s="262" t="str">
        <x:v>PASS</x:v>
      </x:c>
      <x:c r="I7" s="262" t="str">
        <x:v>Pending</x:v>
      </x:c>
      <x:c r="J7" s="262" t="str">
        <x:v>READY</x:v>
      </x:c>
    </x:row>
    <x:row r="8">
      <x:c r="A8" s="262" t="str">
        <x:v>Official Awards</x:v>
      </x:c>
      <x:c r="B8" s="262" t="n">
        <x:f>COUNTA('Awards'!A5:A100)</x:f>
        <x:v>11</x:v>
      </x:c>
      <x:c r="C8" s="262"/>
      <x:c r="D8" s="262" t="str">
        <x:v>Awards</x:v>
      </x:c>
      <x:c r="E8" s="262" t="str">
        <x:v>Awards</x:v>
      </x:c>
      <x:c r="F8" s="262" t="str">
        <x:v>Ready</x:v>
      </x:c>
      <x:c r="G8" s="262" t="str">
        <x:v>Ready</x:v>
      </x:c>
      <x:c r="H8" s="262" t="str">
        <x:v>PASS</x:v>
      </x:c>
      <x:c r="I8" s="262" t="str">
        <x:v>Pending</x:v>
      </x:c>
      <x:c r="J8" s="262" t="str">
        <x:v>READY</x:v>
      </x:c>
    </x:row>
    <x:row r="9">
      <x:c r="A9" s="262" t="str">
        <x:v>Individual Reports Ready</x:v>
      </x:c>
      <x:c r="B9" s="262" t="n">
        <x:f>COUNTIF('Player Report Index'!A5:A204,"&gt;0")</x:f>
        <x:v>20</x:v>
      </x:c>
      <x:c r="C9" s="262"/>
      <x:c r="D9" s="262" t="str">
        <x:v>Advanced Analytics</x:v>
      </x:c>
      <x:c r="E9" s="262" t="str">
        <x:v>Advanced Analytics</x:v>
      </x:c>
      <x:c r="F9" s="262" t="str">
        <x:v>Ready</x:v>
      </x:c>
      <x:c r="G9" s="262" t="str">
        <x:v>Ready</x:v>
      </x:c>
      <x:c r="H9" s="262" t="str">
        <x:v>PASS</x:v>
      </x:c>
      <x:c r="I9" s="262" t="str">
        <x:v>Pending</x:v>
      </x:c>
      <x:c r="J9" s="262" t="str">
        <x:v>READY</x:v>
      </x:c>
    </x:row>
    <x:row r="10">
      <x:c r="A10" s="262" t="str">
        <x:v>Web Profiles Ready</x:v>
      </x:c>
      <x:c r="B10" s="262" t="n">
        <x:f>COUNTIF('Web Export Data'!C2:C201,"&gt;0")</x:f>
        <x:v>20</x:v>
      </x:c>
      <x:c r="C10" s="262"/>
      <x:c r="D10" s="262" t="str">
        <x:v>Executive Summary</x:v>
      </x:c>
      <x:c r="E10" s="262" t="str">
        <x:v>Executive Summary</x:v>
      </x:c>
      <x:c r="F10" s="262" t="str">
        <x:v>Ready</x:v>
      </x:c>
      <x:c r="G10" s="262" t="str">
        <x:v>N/A</x:v>
      </x:c>
      <x:c r="H10" s="262" t="str">
        <x:v>PASS</x:v>
      </x:c>
      <x:c r="I10" s="262" t="str">
        <x:v>Pending</x:v>
      </x:c>
      <x:c r="J10" s="262" t="str">
        <x:v>READY</x:v>
      </x:c>
    </x:row>
    <x:row r="11">
      <x:c r="A11" s="262" t="str">
        <x:v>QA Result</x:v>
      </x:c>
      <x:c r="B11" s="262" t="str">
        <x:f>'Report QA'!D16</x:f>
        <x:v>PASS</x:v>
      </x:c>
      <x:c r="C11" s="262"/>
      <x:c r="D11" s="262" t="str">
        <x:v>Individual Reports</x:v>
      </x:c>
      <x:c r="E11" s="262" t="str">
        <x:v>Individual Player Report</x:v>
      </x:c>
      <x:c r="F11" s="262" t="str">
        <x:v>Ready</x:v>
      </x:c>
      <x:c r="G11" s="262" t="str">
        <x:v>N/A</x:v>
      </x:c>
      <x:c r="H11" s="262" t="str">
        <x:v>PASS</x:v>
      </x:c>
      <x:c r="I11" s="262" t="str">
        <x:v>Pending</x:v>
      </x:c>
      <x:c r="J11" s="262" t="str">
        <x:v>READY</x:v>
      </x:c>
    </x:row>
    <x:row r="12">
      <x:c r="A12" s="262" t="str">
        <x:v>Release Status</x:v>
      </x:c>
      <x:c r="B12" s="262" t="str">
        <x:f>IF(AND(B5=B9,B5=B10,B11="PASS"),"READY FOR PUBLICATION","REVIEW REQUIRED")</x:f>
        <x:v>READY FOR PUBLICATION</x:v>
      </x:c>
      <x:c r="C12" s="262"/>
      <x:c r="D12" s="262" t="str">
        <x:v>Web Export</x:v>
      </x:c>
      <x:c r="E12" s="262" t="str">
        <x:v>Web Export Data</x:v>
      </x:c>
      <x:c r="F12" s="262" t="str">
        <x:v>Ready</x:v>
      </x:c>
      <x:c r="G12" s="262" t="str">
        <x:v>N/A</x:v>
      </x:c>
      <x:c r="H12" s="262" t="str">
        <x:v>PASS</x:v>
      </x:c>
      <x:c r="I12" s="262" t="str">
        <x:v>Pending</x:v>
      </x:c>
      <x:c r="J12" s="262" t="str">
        <x:v>READY</x:v>
      </x:c>
    </x:row>
    <x:row r="13">
      <x:c r="A13" s="262"/>
      <x:c r="B13" s="262"/>
      <x:c r="C13" s="262"/>
      <x:c r="D13" s="262"/>
      <x:c r="E13" s="262"/>
      <x:c r="F13" s="262"/>
      <x:c r="G13" s="262"/>
      <x:c r="H13" s="262"/>
      <x:c r="I13" s="262"/>
      <x:c r="J13" s="262"/>
    </x:row>
    <x:row r="14">
      <x:c r="A14" s="262"/>
      <x:c r="B14" s="262"/>
      <x:c r="C14" s="262"/>
      <x:c r="D14" s="262"/>
      <x:c r="E14" s="262"/>
      <x:c r="F14" s="262"/>
      <x:c r="G14" s="262"/>
      <x:c r="H14" s="262"/>
      <x:c r="I14" s="262"/>
      <x:c r="J14" s="262"/>
    </x:row>
    <x:row r="15">
      <x:c r="A15" s="298" t="str">
        <x:v>Release Note</x:v>
      </x:c>
      <x:c r="B15" s="298"/>
      <x:c r="C15" s="298"/>
      <x:c r="D15" s="298"/>
      <x:c r="E15" s="298"/>
      <x:c r="F15" s="298"/>
      <x:c r="G15" s="298"/>
      <x:c r="H15" s="298"/>
      <x:c r="I15" s="298"/>
      <x:c r="J15" s="298"/>
    </x:row>
    <x:row r="16">
      <x:c r="A16" s="285" t="str">
        <x:f>"FLPR Phase C release package contains "&amp;B5&amp;" player profiles, "&amp;B6&amp;" valid matches, "&amp;B7&amp;" registered figures, and "&amp;B8&amp;" official awards. Current release status: "&amp;B12&amp;"."</x:f>
        <x:v>FLPR Phase C release package contains 20 player profiles, 57 valid matches, 12 registered figures, and 11 official awards. Current release status: READY FOR PUBLICATION.</x:v>
      </x:c>
      <x:c r="B16" s="285"/>
      <x:c r="C16" s="285"/>
      <x:c r="D16" s="285"/>
      <x:c r="E16" s="285"/>
      <x:c r="F16" s="285"/>
      <x:c r="G16" s="285"/>
      <x:c r="H16" s="285"/>
      <x:c r="I16" s="285"/>
      <x:c r="J16" s="285"/>
    </x:row>
    <x:row r="17">
      <x:c r="A17" s="285"/>
      <x:c r="B17" s="285"/>
      <x:c r="C17" s="285"/>
      <x:c r="D17" s="285"/>
      <x:c r="E17" s="285"/>
      <x:c r="F17" s="285"/>
      <x:c r="G17" s="285"/>
      <x:c r="H17" s="285"/>
      <x:c r="I17" s="285"/>
      <x:c r="J17" s="285"/>
    </x:row>
    <x:row r="18">
      <x:c r="A18" s="285"/>
      <x:c r="B18" s="285"/>
      <x:c r="C18" s="285"/>
      <x:c r="D18" s="285"/>
      <x:c r="E18" s="285"/>
      <x:c r="F18" s="285"/>
      <x:c r="G18" s="285"/>
      <x:c r="H18" s="285"/>
      <x:c r="I18" s="285"/>
      <x:c r="J18" s="285"/>
    </x:row>
    <x:row r="19">
      <x:c r="A19" s="285"/>
      <x:c r="B19" s="285"/>
      <x:c r="C19" s="285"/>
      <x:c r="D19" s="285"/>
      <x:c r="E19" s="285"/>
      <x:c r="F19" s="285"/>
      <x:c r="G19" s="285"/>
      <x:c r="H19" s="285"/>
      <x:c r="I19" s="285"/>
      <x:c r="J19" s="285"/>
    </x:row>
    <x:row r="20">
      <x:c r="A20" s="262"/>
      <x:c r="B20" s="262"/>
      <x:c r="C20" s="262"/>
      <x:c r="D20" s="262"/>
      <x:c r="E20" s="262"/>
      <x:c r="F20" s="262"/>
      <x:c r="G20" s="262"/>
      <x:c r="H20" s="262"/>
      <x:c r="I20" s="262"/>
      <x:c r="J20" s="262"/>
    </x:row>
    <x:row r="21">
      <x:c r="A21" s="262"/>
      <x:c r="B21" s="262"/>
      <x:c r="C21" s="262"/>
      <x:c r="D21" s="262"/>
      <x:c r="E21" s="262"/>
      <x:c r="F21" s="262"/>
      <x:c r="G21" s="262"/>
      <x:c r="H21" s="262"/>
      <x:c r="I21" s="262"/>
      <x:c r="J21" s="262"/>
    </x:row>
    <x:row r="22">
      <x:c r="A22" s="262"/>
      <x:c r="B22" s="262"/>
      <x:c r="C22" s="262"/>
      <x:c r="D22" s="262"/>
      <x:c r="E22" s="262"/>
      <x:c r="F22" s="262"/>
      <x:c r="G22" s="262"/>
      <x:c r="H22" s="262"/>
      <x:c r="I22" s="262"/>
      <x:c r="J22" s="262"/>
    </x:row>
    <x:row r="23">
      <x:c r="A23" s="262"/>
      <x:c r="B23" s="262"/>
      <x:c r="C23" s="262"/>
      <x:c r="D23" s="262"/>
      <x:c r="E23" s="262"/>
      <x:c r="F23" s="262"/>
      <x:c r="G23" s="262"/>
      <x:c r="H23" s="262"/>
      <x:c r="I23" s="262"/>
      <x:c r="J23" s="262"/>
    </x:row>
    <x:row r="24">
      <x:c r="A24" s="262"/>
      <x:c r="B24" s="262"/>
      <x:c r="C24" s="262"/>
      <x:c r="D24" s="262"/>
      <x:c r="E24" s="262"/>
      <x:c r="F24" s="262"/>
      <x:c r="G24" s="262"/>
      <x:c r="H24" s="262"/>
      <x:c r="I24" s="262"/>
      <x:c r="J24" s="262"/>
    </x:row>
    <x:row r="25">
      <x:c r="A25" s="262"/>
      <x:c r="B25" s="262"/>
      <x:c r="C25" s="262"/>
      <x:c r="D25" s="262"/>
      <x:c r="E25" s="262"/>
      <x:c r="F25" s="262"/>
      <x:c r="G25" s="262"/>
      <x:c r="H25" s="262"/>
      <x:c r="I25" s="262"/>
      <x:c r="J25" s="262"/>
    </x:row>
    <x:row r="26">
      <x:c r="A26" s="262"/>
      <x:c r="B26" s="262"/>
      <x:c r="C26" s="262"/>
      <x:c r="D26" s="262"/>
      <x:c r="E26" s="262"/>
      <x:c r="F26" s="262"/>
      <x:c r="G26" s="262"/>
      <x:c r="H26" s="262"/>
      <x:c r="I26" s="262"/>
      <x:c r="J26" s="262"/>
    </x:row>
    <x:row r="27">
      <x:c r="A27" s="262"/>
      <x:c r="B27" s="262"/>
      <x:c r="C27" s="262"/>
      <x:c r="D27" s="262"/>
      <x:c r="E27" s="262"/>
      <x:c r="F27" s="262"/>
      <x:c r="G27" s="262"/>
      <x:c r="H27" s="262"/>
      <x:c r="I27" s="262"/>
      <x:c r="J27" s="262"/>
    </x:row>
    <x:row r="28">
      <x:c r="A28" s="262"/>
      <x:c r="B28" s="262"/>
      <x:c r="C28" s="262"/>
      <x:c r="D28" s="262"/>
      <x:c r="E28" s="262"/>
      <x:c r="F28" s="262"/>
      <x:c r="G28" s="262"/>
      <x:c r="H28" s="262"/>
      <x:c r="I28" s="262"/>
      <x:c r="J28" s="262"/>
    </x:row>
    <x:row r="29">
      <x:c r="A29" s="262"/>
      <x:c r="B29" s="262"/>
      <x:c r="C29" s="262"/>
      <x:c r="D29" s="262"/>
      <x:c r="E29" s="262"/>
      <x:c r="F29" s="262"/>
      <x:c r="G29" s="262"/>
      <x:c r="H29" s="262"/>
      <x:c r="I29" s="262"/>
      <x:c r="J29" s="262"/>
    </x:row>
    <x:row r="30">
      <x:c r="A30" s="262"/>
      <x:c r="B30" s="262"/>
      <x:c r="C30" s="262"/>
      <x:c r="D30" s="262"/>
      <x:c r="E30" s="262"/>
      <x:c r="F30" s="262"/>
      <x:c r="G30" s="262"/>
      <x:c r="H30" s="262"/>
      <x:c r="I30" s="262"/>
      <x:c r="J30" s="262"/>
    </x:row>
    <x:row r="31">
      <x:c r="A31" s="262"/>
      <x:c r="B31" s="262"/>
      <x:c r="C31" s="262"/>
      <x:c r="D31" s="262"/>
      <x:c r="E31" s="262"/>
      <x:c r="F31" s="262"/>
      <x:c r="G31" s="262"/>
      <x:c r="H31" s="262"/>
      <x:c r="I31" s="262"/>
      <x:c r="J31" s="262"/>
    </x:row>
    <x:row r="32">
      <x:c r="A32" s="262"/>
      <x:c r="B32" s="262"/>
      <x:c r="C32" s="262"/>
      <x:c r="D32" s="262"/>
      <x:c r="E32" s="262"/>
      <x:c r="F32" s="262"/>
      <x:c r="G32" s="262"/>
      <x:c r="H32" s="262"/>
      <x:c r="I32" s="262"/>
      <x:c r="J32" s="262"/>
    </x:row>
    <x:row r="33">
      <x:c r="A33" s="262"/>
      <x:c r="B33" s="262"/>
      <x:c r="C33" s="262"/>
      <x:c r="D33" s="262"/>
      <x:c r="E33" s="262"/>
      <x:c r="F33" s="262"/>
      <x:c r="G33" s="262"/>
      <x:c r="H33" s="262"/>
      <x:c r="I33" s="262"/>
      <x:c r="J33" s="262"/>
    </x:row>
    <x:row r="34">
      <x:c r="A34" s="262"/>
      <x:c r="B34" s="262"/>
      <x:c r="C34" s="262"/>
      <x:c r="D34" s="262"/>
      <x:c r="E34" s="262"/>
      <x:c r="F34" s="262"/>
      <x:c r="G34" s="262"/>
      <x:c r="H34" s="262"/>
      <x:c r="I34" s="262"/>
      <x:c r="J34" s="262"/>
    </x:row>
    <x:row r="35">
      <x:c r="A35" s="262"/>
      <x:c r="B35" s="262"/>
      <x:c r="C35" s="262"/>
      <x:c r="D35" s="262"/>
      <x:c r="E35" s="262"/>
      <x:c r="F35" s="262"/>
      <x:c r="G35" s="262"/>
      <x:c r="H35" s="262"/>
      <x:c r="I35" s="262"/>
      <x:c r="J35" s="262"/>
    </x:row>
    <x:row r="36">
      <x:c r="A36" s="262"/>
      <x:c r="B36" s="262"/>
      <x:c r="C36" s="262"/>
      <x:c r="D36" s="262"/>
      <x:c r="E36" s="262"/>
      <x:c r="F36" s="262"/>
      <x:c r="G36" s="262"/>
      <x:c r="H36" s="262"/>
      <x:c r="I36" s="262"/>
      <x:c r="J36" s="262"/>
    </x:row>
    <x:row r="37">
      <x:c r="A37" s="262"/>
      <x:c r="B37" s="262"/>
      <x:c r="C37" s="262"/>
      <x:c r="D37" s="262"/>
      <x:c r="E37" s="262"/>
      <x:c r="F37" s="262"/>
      <x:c r="G37" s="262"/>
      <x:c r="H37" s="262"/>
      <x:c r="I37" s="262"/>
      <x:c r="J37" s="262"/>
    </x:row>
    <x:row r="38">
      <x:c r="A38" s="262"/>
      <x:c r="B38" s="262"/>
      <x:c r="C38" s="262"/>
      <x:c r="D38" s="262"/>
      <x:c r="E38" s="262"/>
      <x:c r="F38" s="262"/>
      <x:c r="G38" s="262"/>
      <x:c r="H38" s="262"/>
      <x:c r="I38" s="262"/>
      <x:c r="J38" s="262"/>
    </x:row>
    <x:row r="39">
      <x:c r="A39" s="262"/>
      <x:c r="B39" s="262"/>
      <x:c r="C39" s="262"/>
      <x:c r="D39" s="262"/>
      <x:c r="E39" s="262"/>
      <x:c r="F39" s="262"/>
      <x:c r="G39" s="262"/>
      <x:c r="H39" s="262"/>
      <x:c r="I39" s="262"/>
      <x:c r="J39" s="262"/>
    </x:row>
    <x:row r="40">
      <x:c r="A40" s="262"/>
      <x:c r="B40" s="262"/>
      <x:c r="C40" s="262"/>
      <x:c r="D40" s="262"/>
      <x:c r="E40" s="262"/>
      <x:c r="F40" s="262"/>
      <x:c r="G40" s="262"/>
      <x:c r="H40" s="262"/>
      <x:c r="I40" s="262"/>
      <x:c r="J40" s="262"/>
    </x:row>
    <x:row r="41">
      <x:c r="A41" s="262"/>
      <x:c r="B41" s="262"/>
      <x:c r="C41" s="262"/>
      <x:c r="D41" s="262"/>
      <x:c r="E41" s="262"/>
      <x:c r="F41" s="262"/>
      <x:c r="G41" s="262"/>
      <x:c r="H41" s="262"/>
      <x:c r="I41" s="262"/>
      <x:c r="J41" s="262"/>
    </x:row>
    <x:row r="42">
      <x:c r="A42" s="262"/>
      <x:c r="B42" s="262"/>
      <x:c r="C42" s="262"/>
      <x:c r="D42" s="262"/>
      <x:c r="E42" s="262"/>
      <x:c r="F42" s="262"/>
      <x:c r="G42" s="262"/>
      <x:c r="H42" s="262"/>
      <x:c r="I42" s="262"/>
      <x:c r="J42" s="262"/>
    </x:row>
    <x:row r="43">
      <x:c r="A43" s="262"/>
      <x:c r="B43" s="262"/>
      <x:c r="C43" s="262"/>
      <x:c r="D43" s="262"/>
      <x:c r="E43" s="262"/>
      <x:c r="F43" s="262"/>
      <x:c r="G43" s="262"/>
      <x:c r="H43" s="262"/>
      <x:c r="I43" s="262"/>
      <x:c r="J43" s="262"/>
    </x:row>
    <x:row r="44">
      <x:c r="A44" s="262"/>
      <x:c r="B44" s="262"/>
      <x:c r="C44" s="262"/>
      <x:c r="D44" s="262"/>
      <x:c r="E44" s="262"/>
      <x:c r="F44" s="262"/>
      <x:c r="G44" s="262"/>
      <x:c r="H44" s="262"/>
      <x:c r="I44" s="262"/>
      <x:c r="J44" s="262"/>
    </x:row>
    <x:row r="45">
      <x:c r="A45" s="262"/>
      <x:c r="B45" s="262"/>
      <x:c r="C45" s="262"/>
      <x:c r="D45" s="262"/>
      <x:c r="E45" s="262"/>
      <x:c r="F45" s="262"/>
      <x:c r="G45" s="262"/>
      <x:c r="H45" s="262"/>
      <x:c r="I45" s="262"/>
      <x:c r="J45" s="262"/>
    </x:row>
    <x:row r="46">
      <x:c r="A46" s="262"/>
      <x:c r="B46" s="262"/>
      <x:c r="C46" s="262"/>
      <x:c r="D46" s="262"/>
      <x:c r="E46" s="262"/>
      <x:c r="F46" s="262"/>
      <x:c r="G46" s="262"/>
      <x:c r="H46" s="262"/>
      <x:c r="I46" s="262"/>
      <x:c r="J46" s="262"/>
    </x:row>
    <x:row r="47">
      <x:c r="A47" s="262"/>
      <x:c r="B47" s="262"/>
      <x:c r="C47" s="262"/>
      <x:c r="D47" s="262"/>
      <x:c r="E47" s="262"/>
      <x:c r="F47" s="262"/>
      <x:c r="G47" s="262"/>
      <x:c r="H47" s="262"/>
      <x:c r="I47" s="262"/>
      <x:c r="J47" s="262"/>
    </x:row>
    <x:row r="48">
      <x:c r="A48" s="262"/>
      <x:c r="B48" s="262"/>
      <x:c r="C48" s="262"/>
      <x:c r="D48" s="262"/>
      <x:c r="E48" s="262"/>
      <x:c r="F48" s="262"/>
      <x:c r="G48" s="262"/>
      <x:c r="H48" s="262"/>
      <x:c r="I48" s="262"/>
      <x:c r="J48" s="262"/>
    </x:row>
    <x:row r="49">
      <x:c r="A49" s="262"/>
      <x:c r="B49" s="262"/>
      <x:c r="C49" s="262"/>
      <x:c r="D49" s="262"/>
      <x:c r="E49" s="262"/>
      <x:c r="F49" s="262"/>
      <x:c r="G49" s="262"/>
      <x:c r="H49" s="262"/>
      <x:c r="I49" s="262"/>
      <x:c r="J49" s="262"/>
    </x:row>
    <x:row r="50">
      <x:c r="A50" s="262"/>
      <x:c r="B50" s="262"/>
      <x:c r="C50" s="262"/>
      <x:c r="D50" s="262"/>
      <x:c r="E50" s="262"/>
      <x:c r="F50" s="262"/>
      <x:c r="G50" s="262"/>
      <x:c r="H50" s="262"/>
      <x:c r="I50" s="262"/>
      <x:c r="J50" s="262"/>
    </x:row>
    <x:row r="51">
      <x:c r="A51" s="262"/>
      <x:c r="B51" s="262"/>
      <x:c r="C51" s="262"/>
      <x:c r="D51" s="262"/>
      <x:c r="E51" s="262"/>
      <x:c r="F51" s="262"/>
      <x:c r="G51" s="262"/>
      <x:c r="H51" s="262"/>
      <x:c r="I51" s="262"/>
      <x:c r="J51" s="262"/>
    </x:row>
    <x:row r="52">
      <x:c r="A52" s="262"/>
      <x:c r="B52" s="262"/>
      <x:c r="C52" s="262"/>
      <x:c r="D52" s="262"/>
      <x:c r="E52" s="262"/>
      <x:c r="F52" s="262"/>
      <x:c r="G52" s="262"/>
      <x:c r="H52" s="262"/>
      <x:c r="I52" s="262"/>
      <x:c r="J52" s="262"/>
    </x:row>
    <x:row r="53">
      <x:c r="A53" s="262"/>
      <x:c r="B53" s="262"/>
      <x:c r="C53" s="262"/>
      <x:c r="D53" s="262"/>
      <x:c r="E53" s="262"/>
      <x:c r="F53" s="262"/>
      <x:c r="G53" s="262"/>
      <x:c r="H53" s="262"/>
      <x:c r="I53" s="262"/>
      <x:c r="J53" s="262"/>
    </x:row>
    <x:row r="54">
      <x:c r="A54" s="262"/>
      <x:c r="B54" s="262"/>
      <x:c r="C54" s="262"/>
      <x:c r="D54" s="262"/>
      <x:c r="E54" s="262"/>
      <x:c r="F54" s="262"/>
      <x:c r="G54" s="262"/>
      <x:c r="H54" s="262"/>
      <x:c r="I54" s="262"/>
      <x:c r="J54" s="262"/>
    </x:row>
    <x:row r="55">
      <x:c r="A55" s="262"/>
      <x:c r="B55" s="262"/>
      <x:c r="C55" s="262"/>
      <x:c r="D55" s="262"/>
      <x:c r="E55" s="262"/>
      <x:c r="F55" s="262"/>
      <x:c r="G55" s="262"/>
      <x:c r="H55" s="262"/>
      <x:c r="I55" s="262"/>
      <x:c r="J55" s="262"/>
    </x:row>
    <x:row r="56">
      <x:c r="A56" s="262"/>
      <x:c r="B56" s="262"/>
      <x:c r="C56" s="262"/>
      <x:c r="D56" s="262"/>
      <x:c r="E56" s="262"/>
      <x:c r="F56" s="262"/>
      <x:c r="G56" s="262"/>
      <x:c r="H56" s="262"/>
      <x:c r="I56" s="262"/>
      <x:c r="J56" s="262"/>
    </x:row>
    <x:row r="57">
      <x:c r="A57" s="262"/>
      <x:c r="B57" s="262"/>
      <x:c r="C57" s="262"/>
      <x:c r="D57" s="262"/>
      <x:c r="E57" s="262"/>
      <x:c r="F57" s="262"/>
      <x:c r="G57" s="262"/>
      <x:c r="H57" s="262"/>
      <x:c r="I57" s="262"/>
      <x:c r="J57" s="262"/>
    </x:row>
    <x:row r="58">
      <x:c r="A58" s="262"/>
      <x:c r="B58" s="262"/>
      <x:c r="C58" s="262"/>
      <x:c r="D58" s="262"/>
      <x:c r="E58" s="262"/>
      <x:c r="F58" s="262"/>
      <x:c r="G58" s="262"/>
      <x:c r="H58" s="262"/>
      <x:c r="I58" s="262"/>
      <x:c r="J58" s="262"/>
    </x:row>
    <x:row r="59">
      <x:c r="A59" s="262"/>
      <x:c r="B59" s="262"/>
      <x:c r="C59" s="262"/>
      <x:c r="D59" s="262"/>
      <x:c r="E59" s="262"/>
      <x:c r="F59" s="262"/>
      <x:c r="G59" s="262"/>
      <x:c r="H59" s="262"/>
      <x:c r="I59" s="262"/>
      <x:c r="J59" s="262"/>
    </x:row>
    <x:row r="60">
      <x:c r="A60" s="262"/>
      <x:c r="B60" s="262"/>
      <x:c r="C60" s="262"/>
      <x:c r="D60" s="262"/>
      <x:c r="E60" s="262"/>
      <x:c r="F60" s="262"/>
      <x:c r="G60" s="262"/>
      <x:c r="H60" s="262"/>
      <x:c r="I60" s="262"/>
      <x:c r="J60" s="262"/>
    </x:row>
    <x:row r="61">
      <x:c r="A61" s="262"/>
      <x:c r="B61" s="262"/>
      <x:c r="C61" s="262"/>
      <x:c r="D61" s="262"/>
      <x:c r="E61" s="262"/>
      <x:c r="F61" s="262"/>
      <x:c r="G61" s="262"/>
      <x:c r="H61" s="262"/>
      <x:c r="I61" s="262"/>
      <x:c r="J61" s="262"/>
    </x:row>
    <x:row r="62">
      <x:c r="A62" s="262"/>
      <x:c r="B62" s="262"/>
      <x:c r="C62" s="262"/>
      <x:c r="D62" s="262"/>
      <x:c r="E62" s="262"/>
      <x:c r="F62" s="262"/>
      <x:c r="G62" s="262"/>
      <x:c r="H62" s="262"/>
      <x:c r="I62" s="262"/>
      <x:c r="J62" s="262"/>
    </x:row>
    <x:row r="63">
      <x:c r="A63" s="262"/>
      <x:c r="B63" s="262"/>
      <x:c r="C63" s="262"/>
      <x:c r="D63" s="262"/>
      <x:c r="E63" s="262"/>
      <x:c r="F63" s="262"/>
      <x:c r="G63" s="262"/>
      <x:c r="H63" s="262"/>
      <x:c r="I63" s="262"/>
      <x:c r="J63" s="262"/>
    </x:row>
    <x:row r="64">
      <x:c r="A64" s="262"/>
      <x:c r="B64" s="262"/>
      <x:c r="C64" s="262"/>
      <x:c r="D64" s="262"/>
      <x:c r="E64" s="262"/>
      <x:c r="F64" s="262"/>
      <x:c r="G64" s="262"/>
      <x:c r="H64" s="262"/>
      <x:c r="I64" s="262"/>
      <x:c r="J64" s="262"/>
    </x:row>
    <x:row r="65">
      <x:c r="A65" s="262"/>
      <x:c r="B65" s="262"/>
      <x:c r="C65" s="262"/>
      <x:c r="D65" s="262"/>
      <x:c r="E65" s="262"/>
      <x:c r="F65" s="262"/>
      <x:c r="G65" s="262"/>
      <x:c r="H65" s="262"/>
      <x:c r="I65" s="262"/>
      <x:c r="J65" s="262"/>
    </x:row>
    <x:row r="66">
      <x:c r="A66" s="262"/>
      <x:c r="B66" s="262"/>
      <x:c r="C66" s="262"/>
      <x:c r="D66" s="262"/>
      <x:c r="E66" s="262"/>
      <x:c r="F66" s="262"/>
      <x:c r="G66" s="262"/>
      <x:c r="H66" s="262"/>
      <x:c r="I66" s="262"/>
      <x:c r="J66" s="262"/>
    </x:row>
    <x:row r="67">
      <x:c r="A67" s="262"/>
      <x:c r="B67" s="262"/>
      <x:c r="C67" s="262"/>
      <x:c r="D67" s="262"/>
      <x:c r="E67" s="262"/>
      <x:c r="F67" s="262"/>
      <x:c r="G67" s="262"/>
      <x:c r="H67" s="262"/>
      <x:c r="I67" s="262"/>
      <x:c r="J67" s="262"/>
    </x:row>
    <x:row r="68">
      <x:c r="A68" s="262"/>
      <x:c r="B68" s="262"/>
      <x:c r="C68" s="262"/>
      <x:c r="D68" s="262"/>
      <x:c r="E68" s="262"/>
      <x:c r="F68" s="262"/>
      <x:c r="G68" s="262"/>
      <x:c r="H68" s="262"/>
      <x:c r="I68" s="262"/>
      <x:c r="J68" s="262"/>
    </x:row>
    <x:row r="69">
      <x:c r="A69" s="262"/>
      <x:c r="B69" s="262"/>
      <x:c r="C69" s="262"/>
      <x:c r="D69" s="262"/>
      <x:c r="E69" s="262"/>
      <x:c r="F69" s="262"/>
      <x:c r="G69" s="262"/>
      <x:c r="H69" s="262"/>
      <x:c r="I69" s="262"/>
      <x:c r="J69" s="262"/>
    </x:row>
    <x:row r="70">
      <x:c r="A70" s="262"/>
      <x:c r="B70" s="262"/>
      <x:c r="C70" s="262"/>
      <x:c r="D70" s="262"/>
      <x:c r="E70" s="262"/>
      <x:c r="F70" s="262"/>
      <x:c r="G70" s="262"/>
      <x:c r="H70" s="262"/>
      <x:c r="I70" s="262"/>
      <x:c r="J70" s="262"/>
    </x:row>
    <x:row r="71">
      <x:c r="A71" s="262"/>
      <x:c r="B71" s="262"/>
      <x:c r="C71" s="262"/>
      <x:c r="D71" s="262"/>
      <x:c r="E71" s="262"/>
      <x:c r="F71" s="262"/>
      <x:c r="G71" s="262"/>
      <x:c r="H71" s="262"/>
      <x:c r="I71" s="262"/>
      <x:c r="J71" s="262"/>
    </x:row>
    <x:row r="72">
      <x:c r="A72" s="262"/>
      <x:c r="B72" s="262"/>
      <x:c r="C72" s="262"/>
      <x:c r="D72" s="262"/>
      <x:c r="E72" s="262"/>
      <x:c r="F72" s="262"/>
      <x:c r="G72" s="262"/>
      <x:c r="H72" s="262"/>
      <x:c r="I72" s="262"/>
      <x:c r="J72" s="262"/>
    </x:row>
    <x:row r="73">
      <x:c r="A73" s="262"/>
      <x:c r="B73" s="262"/>
      <x:c r="C73" s="262"/>
      <x:c r="D73" s="262"/>
      <x:c r="E73" s="262"/>
      <x:c r="F73" s="262"/>
      <x:c r="G73" s="262"/>
      <x:c r="H73" s="262"/>
      <x:c r="I73" s="262"/>
      <x:c r="J73" s="262"/>
    </x:row>
    <x:row r="74">
      <x:c r="A74" s="262"/>
      <x:c r="B74" s="262"/>
      <x:c r="C74" s="262"/>
      <x:c r="D74" s="262"/>
      <x:c r="E74" s="262"/>
      <x:c r="F74" s="262"/>
      <x:c r="G74" s="262"/>
      <x:c r="H74" s="262"/>
      <x:c r="I74" s="262"/>
      <x:c r="J74" s="262"/>
    </x:row>
    <x:row r="75">
      <x:c r="A75" s="262"/>
      <x:c r="B75" s="262"/>
      <x:c r="C75" s="262"/>
      <x:c r="D75" s="262"/>
      <x:c r="E75" s="262"/>
      <x:c r="F75" s="262"/>
      <x:c r="G75" s="262"/>
      <x:c r="H75" s="262"/>
      <x:c r="I75" s="262"/>
      <x:c r="J75" s="262"/>
    </x:row>
    <x:row r="76">
      <x:c r="A76" s="262"/>
      <x:c r="B76" s="262"/>
      <x:c r="C76" s="262"/>
      <x:c r="D76" s="262"/>
      <x:c r="E76" s="262"/>
      <x:c r="F76" s="262"/>
      <x:c r="G76" s="262"/>
      <x:c r="H76" s="262"/>
      <x:c r="I76" s="262"/>
      <x:c r="J76" s="262"/>
    </x:row>
    <x:row r="77">
      <x:c r="A77" s="262"/>
      <x:c r="B77" s="262"/>
      <x:c r="C77" s="262"/>
      <x:c r="D77" s="262"/>
      <x:c r="E77" s="262"/>
      <x:c r="F77" s="262"/>
      <x:c r="G77" s="262"/>
      <x:c r="H77" s="262"/>
      <x:c r="I77" s="262"/>
      <x:c r="J77" s="262"/>
    </x:row>
    <x:row r="78">
      <x:c r="A78" s="262"/>
      <x:c r="B78" s="262"/>
      <x:c r="C78" s="262"/>
      <x:c r="D78" s="262"/>
      <x:c r="E78" s="262"/>
      <x:c r="F78" s="262"/>
      <x:c r="G78" s="262"/>
      <x:c r="H78" s="262"/>
      <x:c r="I78" s="262"/>
      <x:c r="J78" s="262"/>
    </x:row>
    <x:row r="79">
      <x:c r="A79" s="262"/>
      <x:c r="B79" s="262"/>
      <x:c r="C79" s="262"/>
      <x:c r="D79" s="262"/>
      <x:c r="E79" s="262"/>
      <x:c r="F79" s="262"/>
      <x:c r="G79" s="262"/>
      <x:c r="H79" s="262"/>
      <x:c r="I79" s="262"/>
      <x:c r="J79" s="262"/>
    </x:row>
    <x:row r="80">
      <x:c r="A80" s="262"/>
      <x:c r="B80" s="262"/>
      <x:c r="C80" s="262"/>
      <x:c r="D80" s="262"/>
      <x:c r="E80" s="262"/>
      <x:c r="F80" s="262"/>
      <x:c r="G80" s="262"/>
      <x:c r="H80" s="262"/>
      <x:c r="I80" s="262"/>
      <x:c r="J80" s="262"/>
    </x:row>
    <x:row r="81">
      <x:c r="A81" s="262"/>
      <x:c r="B81" s="262"/>
      <x:c r="C81" s="262"/>
      <x:c r="D81" s="262"/>
      <x:c r="E81" s="262"/>
      <x:c r="F81" s="262"/>
      <x:c r="G81" s="262"/>
      <x:c r="H81" s="262"/>
      <x:c r="I81" s="262"/>
      <x:c r="J81" s="262"/>
    </x:row>
    <x:row r="82">
      <x:c r="A82" s="262"/>
      <x:c r="B82" s="262"/>
      <x:c r="C82" s="262"/>
      <x:c r="D82" s="262"/>
      <x:c r="E82" s="262"/>
      <x:c r="F82" s="262"/>
      <x:c r="G82" s="262"/>
      <x:c r="H82" s="262"/>
      <x:c r="I82" s="262"/>
      <x:c r="J82" s="262"/>
    </x:row>
    <x:row r="83">
      <x:c r="A83" s="262"/>
      <x:c r="B83" s="262"/>
      <x:c r="C83" s="262"/>
      <x:c r="D83" s="262"/>
      <x:c r="E83" s="262"/>
      <x:c r="F83" s="262"/>
      <x:c r="G83" s="262"/>
      <x:c r="H83" s="262"/>
      <x:c r="I83" s="262"/>
      <x:c r="J83" s="262"/>
    </x:row>
    <x:row r="84">
      <x:c r="A84" s="262"/>
      <x:c r="B84" s="262"/>
      <x:c r="C84" s="262"/>
      <x:c r="D84" s="262"/>
      <x:c r="E84" s="262"/>
      <x:c r="F84" s="262"/>
      <x:c r="G84" s="262"/>
      <x:c r="H84" s="262"/>
      <x:c r="I84" s="262"/>
      <x:c r="J84" s="262"/>
    </x:row>
    <x:row r="85">
      <x:c r="A85" s="262"/>
      <x:c r="B85" s="262"/>
      <x:c r="C85" s="262"/>
      <x:c r="D85" s="262"/>
      <x:c r="E85" s="262"/>
      <x:c r="F85" s="262"/>
      <x:c r="G85" s="262"/>
      <x:c r="H85" s="262"/>
      <x:c r="I85" s="262"/>
      <x:c r="J85" s="262"/>
    </x:row>
    <x:row r="86">
      <x:c r="A86" s="262"/>
      <x:c r="B86" s="262"/>
      <x:c r="C86" s="262"/>
      <x:c r="D86" s="262"/>
      <x:c r="E86" s="262"/>
      <x:c r="F86" s="262"/>
      <x:c r="G86" s="262"/>
      <x:c r="H86" s="262"/>
      <x:c r="I86" s="262"/>
      <x:c r="J86" s="262"/>
    </x:row>
    <x:row r="87">
      <x:c r="A87" s="262"/>
      <x:c r="B87" s="262"/>
      <x:c r="C87" s="262"/>
      <x:c r="D87" s="262"/>
      <x:c r="E87" s="262"/>
      <x:c r="F87" s="262"/>
      <x:c r="G87" s="262"/>
      <x:c r="H87" s="262"/>
      <x:c r="I87" s="262"/>
      <x:c r="J87" s="262"/>
    </x:row>
    <x:row r="88">
      <x:c r="A88" s="262"/>
      <x:c r="B88" s="262"/>
      <x:c r="C88" s="262"/>
      <x:c r="D88" s="262"/>
      <x:c r="E88" s="262"/>
      <x:c r="F88" s="262"/>
      <x:c r="G88" s="262"/>
      <x:c r="H88" s="262"/>
      <x:c r="I88" s="262"/>
      <x:c r="J88" s="262"/>
    </x:row>
    <x:row r="89">
      <x:c r="A89" s="262"/>
      <x:c r="B89" s="262"/>
      <x:c r="C89" s="262"/>
      <x:c r="D89" s="262"/>
      <x:c r="E89" s="262"/>
      <x:c r="F89" s="262"/>
      <x:c r="G89" s="262"/>
      <x:c r="H89" s="262"/>
      <x:c r="I89" s="262"/>
      <x:c r="J89" s="262"/>
    </x:row>
    <x:row r="90">
      <x:c r="A90" s="262"/>
      <x:c r="B90" s="262"/>
      <x:c r="C90" s="262"/>
      <x:c r="D90" s="262"/>
      <x:c r="E90" s="262"/>
      <x:c r="F90" s="262"/>
      <x:c r="G90" s="262"/>
      <x:c r="H90" s="262"/>
      <x:c r="I90" s="262"/>
      <x:c r="J90" s="262"/>
    </x:row>
    <x:row r="91">
      <x:c r="A91" s="262"/>
      <x:c r="B91" s="262"/>
      <x:c r="C91" s="262"/>
      <x:c r="D91" s="262"/>
      <x:c r="E91" s="262"/>
      <x:c r="F91" s="262"/>
      <x:c r="G91" s="262"/>
      <x:c r="H91" s="262"/>
      <x:c r="I91" s="262"/>
      <x:c r="J91" s="262"/>
    </x:row>
    <x:row r="92">
      <x:c r="A92" s="262"/>
      <x:c r="B92" s="262"/>
      <x:c r="C92" s="262"/>
      <x:c r="D92" s="262"/>
      <x:c r="E92" s="262"/>
      <x:c r="F92" s="262"/>
      <x:c r="G92" s="262"/>
      <x:c r="H92" s="262"/>
      <x:c r="I92" s="262"/>
      <x:c r="J92" s="262"/>
    </x:row>
    <x:row r="93">
      <x:c r="A93" s="262"/>
      <x:c r="B93" s="262"/>
      <x:c r="C93" s="262"/>
      <x:c r="D93" s="262"/>
      <x:c r="E93" s="262"/>
      <x:c r="F93" s="262"/>
      <x:c r="G93" s="262"/>
      <x:c r="H93" s="262"/>
      <x:c r="I93" s="262"/>
      <x:c r="J93" s="262"/>
    </x:row>
    <x:row r="94">
      <x:c r="A94" s="262"/>
      <x:c r="B94" s="262"/>
      <x:c r="C94" s="262"/>
      <x:c r="D94" s="262"/>
      <x:c r="E94" s="262"/>
      <x:c r="F94" s="262"/>
      <x:c r="G94" s="262"/>
      <x:c r="H94" s="262"/>
      <x:c r="I94" s="262"/>
      <x:c r="J94" s="262"/>
    </x:row>
    <x:row r="95">
      <x:c r="A95" s="262"/>
      <x:c r="B95" s="262"/>
      <x:c r="C95" s="262"/>
      <x:c r="D95" s="262"/>
      <x:c r="E95" s="262"/>
      <x:c r="F95" s="262"/>
      <x:c r="G95" s="262"/>
      <x:c r="H95" s="262"/>
      <x:c r="I95" s="262"/>
      <x:c r="J95" s="262"/>
    </x:row>
    <x:row r="96">
      <x:c r="A96" s="262"/>
      <x:c r="B96" s="262"/>
      <x:c r="C96" s="262"/>
      <x:c r="D96" s="262"/>
      <x:c r="E96" s="262"/>
      <x:c r="F96" s="262"/>
      <x:c r="G96" s="262"/>
      <x:c r="H96" s="262"/>
      <x:c r="I96" s="262"/>
      <x:c r="J96" s="262"/>
    </x:row>
    <x:row r="97">
      <x:c r="A97" s="262"/>
      <x:c r="B97" s="262"/>
      <x:c r="C97" s="262"/>
      <x:c r="D97" s="262"/>
      <x:c r="E97" s="262"/>
      <x:c r="F97" s="262"/>
      <x:c r="G97" s="262"/>
      <x:c r="H97" s="262"/>
      <x:c r="I97" s="262"/>
      <x:c r="J97" s="262"/>
    </x:row>
    <x:row r="98">
      <x:c r="A98" s="262"/>
      <x:c r="B98" s="262"/>
      <x:c r="C98" s="262"/>
      <x:c r="D98" s="262"/>
      <x:c r="E98" s="262"/>
      <x:c r="F98" s="262"/>
      <x:c r="G98" s="262"/>
      <x:c r="H98" s="262"/>
      <x:c r="I98" s="262"/>
      <x:c r="J98" s="262"/>
    </x:row>
    <x:row r="99">
      <x:c r="A99" s="262"/>
      <x:c r="B99" s="262"/>
      <x:c r="C99" s="262"/>
      <x:c r="D99" s="262"/>
      <x:c r="E99" s="262"/>
      <x:c r="F99" s="262"/>
      <x:c r="G99" s="262"/>
      <x:c r="H99" s="262"/>
      <x:c r="I99" s="262"/>
      <x:c r="J99" s="262"/>
    </x:row>
    <x:row r="100">
      <x:c r="A100" s="262"/>
      <x:c r="B100" s="262"/>
      <x:c r="C100" s="262"/>
      <x:c r="D100" s="262"/>
      <x:c r="E100" s="262"/>
      <x:c r="F100" s="262"/>
      <x:c r="G100" s="262"/>
      <x:c r="H100" s="262"/>
      <x:c r="I100" s="262"/>
      <x:c r="J100" s="262"/>
    </x:row>
    <x:row r="101">
      <x:c r="A101" s="262"/>
      <x:c r="B101" s="262"/>
      <x:c r="C101" s="262"/>
      <x:c r="D101" s="262"/>
      <x:c r="E101" s="262"/>
      <x:c r="F101" s="262"/>
      <x:c r="G101" s="262"/>
      <x:c r="H101" s="262"/>
      <x:c r="I101" s="262"/>
      <x:c r="J101" s="262"/>
    </x:row>
    <x:row r="102">
      <x:c r="A102" s="262"/>
      <x:c r="B102" s="262"/>
      <x:c r="C102" s="262"/>
      <x:c r="D102" s="262"/>
      <x:c r="E102" s="262"/>
      <x:c r="F102" s="262"/>
      <x:c r="G102" s="262"/>
      <x:c r="H102" s="262"/>
      <x:c r="I102" s="262"/>
      <x:c r="J102" s="262"/>
    </x:row>
    <x:row r="103">
      <x:c r="A103" s="262"/>
      <x:c r="B103" s="262"/>
      <x:c r="C103" s="262"/>
      <x:c r="D103" s="262"/>
      <x:c r="E103" s="262"/>
      <x:c r="F103" s="262"/>
      <x:c r="G103" s="262"/>
      <x:c r="H103" s="262"/>
      <x:c r="I103" s="262"/>
      <x:c r="J103" s="262"/>
    </x:row>
    <x:row r="104">
      <x:c r="A104" s="262"/>
      <x:c r="B104" s="262"/>
      <x:c r="C104" s="262"/>
      <x:c r="D104" s="262"/>
      <x:c r="E104" s="262"/>
      <x:c r="F104" s="262"/>
      <x:c r="G104" s="262"/>
      <x:c r="H104" s="262"/>
      <x:c r="I104" s="262"/>
      <x:c r="J104" s="262"/>
    </x:row>
    <x:row r="105">
      <x:c r="A105" s="262"/>
      <x:c r="B105" s="262"/>
      <x:c r="C105" s="262"/>
      <x:c r="D105" s="262"/>
      <x:c r="E105" s="262"/>
      <x:c r="F105" s="262"/>
      <x:c r="G105" s="262"/>
      <x:c r="H105" s="262"/>
      <x:c r="I105" s="262"/>
      <x:c r="J105" s="262"/>
    </x:row>
    <x:row r="106">
      <x:c r="A106" s="262"/>
      <x:c r="B106" s="262"/>
      <x:c r="C106" s="262"/>
      <x:c r="D106" s="262"/>
      <x:c r="E106" s="262"/>
      <x:c r="F106" s="262"/>
      <x:c r="G106" s="262"/>
      <x:c r="H106" s="262"/>
      <x:c r="I106" s="262"/>
      <x:c r="J106" s="262"/>
    </x:row>
    <x:row r="107">
      <x:c r="A107" s="262"/>
      <x:c r="B107" s="262"/>
      <x:c r="C107" s="262"/>
      <x:c r="D107" s="262"/>
      <x:c r="E107" s="262"/>
      <x:c r="F107" s="262"/>
      <x:c r="G107" s="262"/>
      <x:c r="H107" s="262"/>
      <x:c r="I107" s="262"/>
      <x:c r="J107" s="262"/>
    </x:row>
    <x:row r="108">
      <x:c r="A108" s="262"/>
      <x:c r="B108" s="262"/>
      <x:c r="C108" s="262"/>
      <x:c r="D108" s="262"/>
      <x:c r="E108" s="262"/>
      <x:c r="F108" s="262"/>
      <x:c r="G108" s="262"/>
      <x:c r="H108" s="262"/>
      <x:c r="I108" s="262"/>
      <x:c r="J108" s="262"/>
    </x:row>
    <x:row r="109">
      <x:c r="A109" s="262"/>
      <x:c r="B109" s="262"/>
      <x:c r="C109" s="262"/>
      <x:c r="D109" s="262"/>
      <x:c r="E109" s="262"/>
      <x:c r="F109" s="262"/>
      <x:c r="G109" s="262"/>
      <x:c r="H109" s="262"/>
      <x:c r="I109" s="262"/>
      <x:c r="J109" s="262"/>
    </x:row>
    <x:row r="110">
      <x:c r="A110" s="262"/>
      <x:c r="B110" s="262"/>
      <x:c r="C110" s="262"/>
      <x:c r="D110" s="262"/>
      <x:c r="E110" s="262"/>
      <x:c r="F110" s="262"/>
      <x:c r="G110" s="262"/>
      <x:c r="H110" s="262"/>
      <x:c r="I110" s="262"/>
      <x:c r="J110" s="262"/>
    </x:row>
    <x:row r="111">
      <x:c r="A111" s="262"/>
      <x:c r="B111" s="262"/>
      <x:c r="C111" s="262"/>
      <x:c r="D111" s="262"/>
      <x:c r="E111" s="262"/>
      <x:c r="F111" s="262"/>
      <x:c r="G111" s="262"/>
      <x:c r="H111" s="262"/>
      <x:c r="I111" s="262"/>
      <x:c r="J111" s="262"/>
    </x:row>
    <x:row r="112">
      <x:c r="A112" s="262"/>
      <x:c r="B112" s="262"/>
      <x:c r="C112" s="262"/>
      <x:c r="D112" s="262"/>
      <x:c r="E112" s="262"/>
      <x:c r="F112" s="262"/>
      <x:c r="G112" s="262"/>
      <x:c r="H112" s="262"/>
      <x:c r="I112" s="262"/>
      <x:c r="J112" s="262"/>
    </x:row>
    <x:row r="113">
      <x:c r="A113" s="262"/>
      <x:c r="B113" s="262"/>
      <x:c r="C113" s="262"/>
      <x:c r="D113" s="262"/>
      <x:c r="E113" s="262"/>
      <x:c r="F113" s="262"/>
      <x:c r="G113" s="262"/>
      <x:c r="H113" s="262"/>
      <x:c r="I113" s="262"/>
      <x:c r="J113" s="262"/>
    </x:row>
    <x:row r="114">
      <x:c r="A114" s="262"/>
      <x:c r="B114" s="262"/>
      <x:c r="C114" s="262"/>
      <x:c r="D114" s="262"/>
      <x:c r="E114" s="262"/>
      <x:c r="F114" s="262"/>
      <x:c r="G114" s="262"/>
      <x:c r="H114" s="262"/>
      <x:c r="I114" s="262"/>
      <x:c r="J114" s="262"/>
    </x:row>
    <x:row r="115">
      <x:c r="A115" s="262"/>
      <x:c r="B115" s="262"/>
      <x:c r="C115" s="262"/>
      <x:c r="D115" s="262"/>
      <x:c r="E115" s="262"/>
      <x:c r="F115" s="262"/>
      <x:c r="G115" s="262"/>
      <x:c r="H115" s="262"/>
      <x:c r="I115" s="262"/>
      <x:c r="J115" s="262"/>
    </x:row>
    <x:row r="116">
      <x:c r="A116" s="262"/>
      <x:c r="B116" s="262"/>
      <x:c r="C116" s="262"/>
      <x:c r="D116" s="262"/>
      <x:c r="E116" s="262"/>
      <x:c r="F116" s="262"/>
      <x:c r="G116" s="262"/>
      <x:c r="H116" s="262"/>
      <x:c r="I116" s="262"/>
      <x:c r="J116" s="262"/>
    </x:row>
    <x:row r="117">
      <x:c r="A117" s="262"/>
      <x:c r="B117" s="262"/>
      <x:c r="C117" s="262"/>
      <x:c r="D117" s="262"/>
      <x:c r="E117" s="262"/>
      <x:c r="F117" s="262"/>
      <x:c r="G117" s="262"/>
      <x:c r="H117" s="262"/>
      <x:c r="I117" s="262"/>
      <x:c r="J117" s="262"/>
    </x:row>
    <x:row r="118">
      <x:c r="A118" s="262"/>
      <x:c r="B118" s="262"/>
      <x:c r="C118" s="262"/>
      <x:c r="D118" s="262"/>
      <x:c r="E118" s="262"/>
      <x:c r="F118" s="262"/>
      <x:c r="G118" s="262"/>
      <x:c r="H118" s="262"/>
      <x:c r="I118" s="262"/>
      <x:c r="J118" s="262"/>
    </x:row>
    <x:row r="119">
      <x:c r="A119" s="262"/>
      <x:c r="B119" s="262"/>
      <x:c r="C119" s="262"/>
      <x:c r="D119" s="262"/>
      <x:c r="E119" s="262"/>
      <x:c r="F119" s="262"/>
      <x:c r="G119" s="262"/>
      <x:c r="H119" s="262"/>
      <x:c r="I119" s="262"/>
      <x:c r="J119" s="262"/>
    </x:row>
    <x:row r="120">
      <x:c r="A120" s="262"/>
      <x:c r="B120" s="262"/>
      <x:c r="C120" s="262"/>
      <x:c r="D120" s="262"/>
      <x:c r="E120" s="262"/>
      <x:c r="F120" s="262"/>
      <x:c r="G120" s="262"/>
      <x:c r="H120" s="262"/>
      <x:c r="I120" s="262"/>
      <x:c r="J120" s="262"/>
    </x:row>
    <x:row r="121">
      <x:c r="A121" s="262"/>
      <x:c r="B121" s="262"/>
      <x:c r="C121" s="262"/>
      <x:c r="D121" s="262"/>
      <x:c r="E121" s="262"/>
      <x:c r="F121" s="262"/>
      <x:c r="G121" s="262"/>
      <x:c r="H121" s="262"/>
      <x:c r="I121" s="262"/>
      <x:c r="J121" s="262"/>
    </x:row>
    <x:row r="122">
      <x:c r="A122" s="262"/>
      <x:c r="B122" s="262"/>
      <x:c r="C122" s="262"/>
      <x:c r="D122" s="262"/>
      <x:c r="E122" s="262"/>
      <x:c r="F122" s="262"/>
      <x:c r="G122" s="262"/>
      <x:c r="H122" s="262"/>
      <x:c r="I122" s="262"/>
      <x:c r="J122" s="262"/>
    </x:row>
    <x:row r="123">
      <x:c r="A123" s="262"/>
      <x:c r="B123" s="262"/>
      <x:c r="C123" s="262"/>
      <x:c r="D123" s="262"/>
      <x:c r="E123" s="262"/>
      <x:c r="F123" s="262"/>
      <x:c r="G123" s="262"/>
      <x:c r="H123" s="262"/>
      <x:c r="I123" s="262"/>
      <x:c r="J123" s="262"/>
    </x:row>
    <x:row r="124">
      <x:c r="A124" s="262"/>
      <x:c r="B124" s="262"/>
      <x:c r="C124" s="262"/>
      <x:c r="D124" s="262"/>
      <x:c r="E124" s="262"/>
      <x:c r="F124" s="262"/>
      <x:c r="G124" s="262"/>
      <x:c r="H124" s="262"/>
      <x:c r="I124" s="262"/>
      <x:c r="J124" s="262"/>
    </x:row>
    <x:row r="125">
      <x:c r="A125" s="262"/>
      <x:c r="B125" s="262"/>
      <x:c r="C125" s="262"/>
      <x:c r="D125" s="262"/>
      <x:c r="E125" s="262"/>
      <x:c r="F125" s="262"/>
      <x:c r="G125" s="262"/>
      <x:c r="H125" s="262"/>
      <x:c r="I125" s="262"/>
      <x:c r="J125" s="262"/>
    </x:row>
    <x:row r="126">
      <x:c r="A126" s="262"/>
      <x:c r="B126" s="262"/>
      <x:c r="C126" s="262"/>
      <x:c r="D126" s="262"/>
      <x:c r="E126" s="262"/>
      <x:c r="F126" s="262"/>
      <x:c r="G126" s="262"/>
      <x:c r="H126" s="262"/>
      <x:c r="I126" s="262"/>
      <x:c r="J126" s="262"/>
    </x:row>
    <x:row r="127">
      <x:c r="A127" s="262"/>
      <x:c r="B127" s="262"/>
      <x:c r="C127" s="262"/>
      <x:c r="D127" s="262"/>
      <x:c r="E127" s="262"/>
      <x:c r="F127" s="262"/>
      <x:c r="G127" s="262"/>
      <x:c r="H127" s="262"/>
      <x:c r="I127" s="262"/>
      <x:c r="J127" s="262"/>
    </x:row>
    <x:row r="128">
      <x:c r="A128" s="262"/>
      <x:c r="B128" s="262"/>
      <x:c r="C128" s="262"/>
      <x:c r="D128" s="262"/>
      <x:c r="E128" s="262"/>
      <x:c r="F128" s="262"/>
      <x:c r="G128" s="262"/>
      <x:c r="H128" s="262"/>
      <x:c r="I128" s="262"/>
      <x:c r="J128" s="262"/>
    </x:row>
    <x:row r="129">
      <x:c r="A129" s="262"/>
      <x:c r="B129" s="262"/>
      <x:c r="C129" s="262"/>
      <x:c r="D129" s="262"/>
      <x:c r="E129" s="262"/>
      <x:c r="F129" s="262"/>
      <x:c r="G129" s="262"/>
      <x:c r="H129" s="262"/>
      <x:c r="I129" s="262"/>
      <x:c r="J129" s="262"/>
    </x:row>
    <x:row r="130">
      <x:c r="A130" s="262"/>
      <x:c r="B130" s="262"/>
      <x:c r="C130" s="262"/>
      <x:c r="D130" s="262"/>
      <x:c r="E130" s="262"/>
      <x:c r="F130" s="262"/>
      <x:c r="G130" s="262"/>
      <x:c r="H130" s="262"/>
      <x:c r="I130" s="262"/>
      <x:c r="J130" s="262"/>
    </x:row>
    <x:row r="131">
      <x:c r="A131" s="262"/>
      <x:c r="B131" s="262"/>
      <x:c r="C131" s="262"/>
      <x:c r="D131" s="262"/>
      <x:c r="E131" s="262"/>
      <x:c r="F131" s="262"/>
      <x:c r="G131" s="262"/>
      <x:c r="H131" s="262"/>
      <x:c r="I131" s="262"/>
      <x:c r="J131" s="262"/>
    </x:row>
    <x:row r="132">
      <x:c r="A132" s="262"/>
      <x:c r="B132" s="262"/>
      <x:c r="C132" s="262"/>
      <x:c r="D132" s="262"/>
      <x:c r="E132" s="262"/>
      <x:c r="F132" s="262"/>
      <x:c r="G132" s="262"/>
      <x:c r="H132" s="262"/>
      <x:c r="I132" s="262"/>
      <x:c r="J132" s="262"/>
    </x:row>
    <x:row r="133">
      <x:c r="A133" s="262"/>
      <x:c r="B133" s="262"/>
      <x:c r="C133" s="262"/>
      <x:c r="D133" s="262"/>
      <x:c r="E133" s="262"/>
      <x:c r="F133" s="262"/>
      <x:c r="G133" s="262"/>
      <x:c r="H133" s="262"/>
      <x:c r="I133" s="262"/>
      <x:c r="J133" s="262"/>
    </x:row>
    <x:row r="134">
      <x:c r="A134" s="262"/>
      <x:c r="B134" s="262"/>
      <x:c r="C134" s="262"/>
      <x:c r="D134" s="262"/>
      <x:c r="E134" s="262"/>
      <x:c r="F134" s="262"/>
      <x:c r="G134" s="262"/>
      <x:c r="H134" s="262"/>
      <x:c r="I134" s="262"/>
      <x:c r="J134" s="262"/>
    </x:row>
    <x:row r="135">
      <x:c r="A135" s="262"/>
      <x:c r="B135" s="262"/>
      <x:c r="C135" s="262"/>
      <x:c r="D135" s="262"/>
      <x:c r="E135" s="262"/>
      <x:c r="F135" s="262"/>
      <x:c r="G135" s="262"/>
      <x:c r="H135" s="262"/>
      <x:c r="I135" s="262"/>
      <x:c r="J135" s="262"/>
    </x:row>
    <x:row r="136">
      <x:c r="A136" s="262"/>
      <x:c r="B136" s="262"/>
      <x:c r="C136" s="262"/>
      <x:c r="D136" s="262"/>
      <x:c r="E136" s="262"/>
      <x:c r="F136" s="262"/>
      <x:c r="G136" s="262"/>
      <x:c r="H136" s="262"/>
      <x:c r="I136" s="262"/>
      <x:c r="J136" s="262"/>
    </x:row>
    <x:row r="137">
      <x:c r="A137" s="262"/>
      <x:c r="B137" s="262"/>
      <x:c r="C137" s="262"/>
      <x:c r="D137" s="262"/>
      <x:c r="E137" s="262"/>
      <x:c r="F137" s="262"/>
      <x:c r="G137" s="262"/>
      <x:c r="H137" s="262"/>
      <x:c r="I137" s="262"/>
      <x:c r="J137" s="262"/>
    </x:row>
    <x:row r="138">
      <x:c r="A138" s="262"/>
      <x:c r="B138" s="262"/>
      <x:c r="C138" s="262"/>
      <x:c r="D138" s="262"/>
      <x:c r="E138" s="262"/>
      <x:c r="F138" s="262"/>
      <x:c r="G138" s="262"/>
      <x:c r="H138" s="262"/>
      <x:c r="I138" s="262"/>
      <x:c r="J138" s="262"/>
    </x:row>
    <x:row r="139">
      <x:c r="A139" s="262"/>
      <x:c r="B139" s="262"/>
      <x:c r="C139" s="262"/>
      <x:c r="D139" s="262"/>
      <x:c r="E139" s="262"/>
      <x:c r="F139" s="262"/>
      <x:c r="G139" s="262"/>
      <x:c r="H139" s="262"/>
      <x:c r="I139" s="262"/>
      <x:c r="J139" s="262"/>
    </x:row>
    <x:row r="140">
      <x:c r="A140" s="262"/>
      <x:c r="B140" s="262"/>
      <x:c r="C140" s="262"/>
      <x:c r="D140" s="262"/>
      <x:c r="E140" s="262"/>
      <x:c r="F140" s="262"/>
      <x:c r="G140" s="262"/>
      <x:c r="H140" s="262"/>
      <x:c r="I140" s="262"/>
      <x:c r="J140" s="262"/>
    </x:row>
    <x:row r="141">
      <x:c r="A141" s="262"/>
      <x:c r="B141" s="262"/>
      <x:c r="C141" s="262"/>
      <x:c r="D141" s="262"/>
      <x:c r="E141" s="262"/>
      <x:c r="F141" s="262"/>
      <x:c r="G141" s="262"/>
      <x:c r="H141" s="262"/>
      <x:c r="I141" s="262"/>
      <x:c r="J141" s="262"/>
    </x:row>
    <x:row r="142">
      <x:c r="A142" s="262"/>
      <x:c r="B142" s="262"/>
      <x:c r="C142" s="262"/>
      <x:c r="D142" s="262"/>
      <x:c r="E142" s="262"/>
      <x:c r="F142" s="262"/>
      <x:c r="G142" s="262"/>
      <x:c r="H142" s="262"/>
      <x:c r="I142" s="262"/>
      <x:c r="J142" s="262"/>
    </x:row>
    <x:row r="143">
      <x:c r="A143" s="262"/>
      <x:c r="B143" s="262"/>
      <x:c r="C143" s="262"/>
      <x:c r="D143" s="262"/>
      <x:c r="E143" s="262"/>
      <x:c r="F143" s="262"/>
      <x:c r="G143" s="262"/>
      <x:c r="H143" s="262"/>
      <x:c r="I143" s="262"/>
      <x:c r="J143" s="262"/>
    </x:row>
    <x:row r="144">
      <x:c r="A144" s="262"/>
      <x:c r="B144" s="262"/>
      <x:c r="C144" s="262"/>
      <x:c r="D144" s="262"/>
      <x:c r="E144" s="262"/>
      <x:c r="F144" s="262"/>
      <x:c r="G144" s="262"/>
      <x:c r="H144" s="262"/>
      <x:c r="I144" s="262"/>
      <x:c r="J144" s="262"/>
    </x:row>
    <x:row r="145">
      <x:c r="A145" s="262"/>
      <x:c r="B145" s="262"/>
      <x:c r="C145" s="262"/>
      <x:c r="D145" s="262"/>
      <x:c r="E145" s="262"/>
      <x:c r="F145" s="262"/>
      <x:c r="G145" s="262"/>
      <x:c r="H145" s="262"/>
      <x:c r="I145" s="262"/>
      <x:c r="J145" s="262"/>
    </x:row>
    <x:row r="146">
      <x:c r="A146" s="262"/>
      <x:c r="B146" s="262"/>
      <x:c r="C146" s="262"/>
      <x:c r="D146" s="262"/>
      <x:c r="E146" s="262"/>
      <x:c r="F146" s="262"/>
      <x:c r="G146" s="262"/>
      <x:c r="H146" s="262"/>
      <x:c r="I146" s="262"/>
      <x:c r="J146" s="262"/>
    </x:row>
    <x:row r="147">
      <x:c r="A147" s="262"/>
      <x:c r="B147" s="262"/>
      <x:c r="C147" s="262"/>
      <x:c r="D147" s="262"/>
      <x:c r="E147" s="262"/>
      <x:c r="F147" s="262"/>
      <x:c r="G147" s="262"/>
      <x:c r="H147" s="262"/>
      <x:c r="I147" s="262"/>
      <x:c r="J147" s="262"/>
    </x:row>
    <x:row r="148">
      <x:c r="A148" s="262"/>
      <x:c r="B148" s="262"/>
      <x:c r="C148" s="262"/>
      <x:c r="D148" s="262"/>
      <x:c r="E148" s="262"/>
      <x:c r="F148" s="262"/>
      <x:c r="G148" s="262"/>
      <x:c r="H148" s="262"/>
      <x:c r="I148" s="262"/>
      <x:c r="J148" s="262"/>
    </x:row>
    <x:row r="149">
      <x:c r="A149" s="262"/>
      <x:c r="B149" s="262"/>
      <x:c r="C149" s="262"/>
      <x:c r="D149" s="262"/>
      <x:c r="E149" s="262"/>
      <x:c r="F149" s="262"/>
      <x:c r="G149" s="262"/>
      <x:c r="H149" s="262"/>
      <x:c r="I149" s="262"/>
      <x:c r="J149" s="262"/>
    </x:row>
    <x:row r="150">
      <x:c r="A150" s="262"/>
      <x:c r="B150" s="262"/>
      <x:c r="C150" s="262"/>
      <x:c r="D150" s="262"/>
      <x:c r="E150" s="262"/>
      <x:c r="F150" s="262"/>
      <x:c r="G150" s="262"/>
      <x:c r="H150" s="262"/>
      <x:c r="I150" s="262"/>
      <x:c r="J150" s="262"/>
    </x:row>
    <x:row r="151">
      <x:c r="A151" s="262"/>
      <x:c r="B151" s="262"/>
      <x:c r="C151" s="262"/>
      <x:c r="D151" s="262"/>
      <x:c r="E151" s="262"/>
      <x:c r="F151" s="262"/>
      <x:c r="G151" s="262"/>
      <x:c r="H151" s="262"/>
      <x:c r="I151" s="262"/>
      <x:c r="J151" s="262"/>
    </x:row>
    <x:row r="152">
      <x:c r="A152" s="262"/>
      <x:c r="B152" s="262"/>
      <x:c r="C152" s="262"/>
      <x:c r="D152" s="262"/>
      <x:c r="E152" s="262"/>
      <x:c r="F152" s="262"/>
      <x:c r="G152" s="262"/>
      <x:c r="H152" s="262"/>
      <x:c r="I152" s="262"/>
      <x:c r="J152" s="262"/>
    </x:row>
    <x:row r="153">
      <x:c r="A153" s="262"/>
      <x:c r="B153" s="262"/>
      <x:c r="C153" s="262"/>
      <x:c r="D153" s="262"/>
      <x:c r="E153" s="262"/>
      <x:c r="F153" s="262"/>
      <x:c r="G153" s="262"/>
      <x:c r="H153" s="262"/>
      <x:c r="I153" s="262"/>
      <x:c r="J153" s="262"/>
    </x:row>
    <x:row r="154">
      <x:c r="A154" s="262"/>
      <x:c r="B154" s="262"/>
      <x:c r="C154" s="262"/>
      <x:c r="D154" s="262"/>
      <x:c r="E154" s="262"/>
      <x:c r="F154" s="262"/>
      <x:c r="G154" s="262"/>
      <x:c r="H154" s="262"/>
      <x:c r="I154" s="262"/>
      <x:c r="J154" s="262"/>
    </x:row>
    <x:row r="155">
      <x:c r="A155" s="262"/>
      <x:c r="B155" s="262"/>
      <x:c r="C155" s="262"/>
      <x:c r="D155" s="262"/>
      <x:c r="E155" s="262"/>
      <x:c r="F155" s="262"/>
      <x:c r="G155" s="262"/>
      <x:c r="H155" s="262"/>
      <x:c r="I155" s="262"/>
      <x:c r="J155" s="262"/>
    </x:row>
    <x:row r="156">
      <x:c r="A156" s="262"/>
      <x:c r="B156" s="262"/>
      <x:c r="C156" s="262"/>
      <x:c r="D156" s="262"/>
      <x:c r="E156" s="262"/>
      <x:c r="F156" s="262"/>
      <x:c r="G156" s="262"/>
      <x:c r="H156" s="262"/>
      <x:c r="I156" s="262"/>
      <x:c r="J156" s="262"/>
    </x:row>
    <x:row r="157">
      <x:c r="A157" s="262"/>
      <x:c r="B157" s="262"/>
      <x:c r="C157" s="262"/>
      <x:c r="D157" s="262"/>
      <x:c r="E157" s="262"/>
      <x:c r="F157" s="262"/>
      <x:c r="G157" s="262"/>
      <x:c r="H157" s="262"/>
      <x:c r="I157" s="262"/>
      <x:c r="J157" s="262"/>
    </x:row>
    <x:row r="158">
      <x:c r="A158" s="262"/>
      <x:c r="B158" s="262"/>
      <x:c r="C158" s="262"/>
      <x:c r="D158" s="262"/>
      <x:c r="E158" s="262"/>
      <x:c r="F158" s="262"/>
      <x:c r="G158" s="262"/>
      <x:c r="H158" s="262"/>
      <x:c r="I158" s="262"/>
      <x:c r="J158" s="262"/>
    </x:row>
    <x:row r="159">
      <x:c r="A159" s="262"/>
      <x:c r="B159" s="262"/>
      <x:c r="C159" s="262"/>
      <x:c r="D159" s="262"/>
      <x:c r="E159" s="262"/>
      <x:c r="F159" s="262"/>
      <x:c r="G159" s="262"/>
      <x:c r="H159" s="262"/>
      <x:c r="I159" s="262"/>
      <x:c r="J159" s="262"/>
    </x:row>
    <x:row r="160">
      <x:c r="A160" s="262"/>
      <x:c r="B160" s="262"/>
      <x:c r="C160" s="262"/>
      <x:c r="D160" s="262"/>
      <x:c r="E160" s="262"/>
      <x:c r="F160" s="262"/>
      <x:c r="G160" s="262"/>
      <x:c r="H160" s="262"/>
      <x:c r="I160" s="262"/>
      <x:c r="J160" s="262"/>
    </x:row>
    <x:row r="161">
      <x:c r="A161" s="262"/>
      <x:c r="B161" s="262"/>
      <x:c r="C161" s="262"/>
      <x:c r="D161" s="262"/>
      <x:c r="E161" s="262"/>
      <x:c r="F161" s="262"/>
      <x:c r="G161" s="262"/>
      <x:c r="H161" s="262"/>
      <x:c r="I161" s="262"/>
      <x:c r="J161" s="262"/>
    </x:row>
    <x:row r="162">
      <x:c r="A162" s="262"/>
      <x:c r="B162" s="262"/>
      <x:c r="C162" s="262"/>
      <x:c r="D162" s="262"/>
      <x:c r="E162" s="262"/>
      <x:c r="F162" s="262"/>
      <x:c r="G162" s="262"/>
      <x:c r="H162" s="262"/>
      <x:c r="I162" s="262"/>
      <x:c r="J162" s="262"/>
    </x:row>
    <x:row r="163">
      <x:c r="A163" s="262"/>
      <x:c r="B163" s="262"/>
      <x:c r="C163" s="262"/>
      <x:c r="D163" s="262"/>
      <x:c r="E163" s="262"/>
      <x:c r="F163" s="262"/>
      <x:c r="G163" s="262"/>
      <x:c r="H163" s="262"/>
      <x:c r="I163" s="262"/>
      <x:c r="J163" s="262"/>
    </x:row>
    <x:row r="164">
      <x:c r="A164" s="262"/>
      <x:c r="B164" s="262"/>
      <x:c r="C164" s="262"/>
      <x:c r="D164" s="262"/>
      <x:c r="E164" s="262"/>
      <x:c r="F164" s="262"/>
      <x:c r="G164" s="262"/>
      <x:c r="H164" s="262"/>
      <x:c r="I164" s="262"/>
      <x:c r="J164" s="262"/>
    </x:row>
    <x:row r="165">
      <x:c r="A165" s="262"/>
      <x:c r="B165" s="262"/>
      <x:c r="C165" s="262"/>
      <x:c r="D165" s="262"/>
      <x:c r="E165" s="262"/>
      <x:c r="F165" s="262"/>
      <x:c r="G165" s="262"/>
      <x:c r="H165" s="262"/>
      <x:c r="I165" s="262"/>
      <x:c r="J165" s="262"/>
    </x:row>
    <x:row r="166">
      <x:c r="A166" s="262"/>
      <x:c r="B166" s="262"/>
      <x:c r="C166" s="262"/>
      <x:c r="D166" s="262"/>
      <x:c r="E166" s="262"/>
      <x:c r="F166" s="262"/>
      <x:c r="G166" s="262"/>
      <x:c r="H166" s="262"/>
      <x:c r="I166" s="262"/>
      <x:c r="J166" s="262"/>
    </x:row>
    <x:row r="167">
      <x:c r="A167" s="262"/>
      <x:c r="B167" s="262"/>
      <x:c r="C167" s="262"/>
      <x:c r="D167" s="262"/>
      <x:c r="E167" s="262"/>
      <x:c r="F167" s="262"/>
      <x:c r="G167" s="262"/>
      <x:c r="H167" s="262"/>
      <x:c r="I167" s="262"/>
      <x:c r="J167" s="262"/>
    </x:row>
    <x:row r="168">
      <x:c r="A168" s="262"/>
      <x:c r="B168" s="262"/>
      <x:c r="C168" s="262"/>
      <x:c r="D168" s="262"/>
      <x:c r="E168" s="262"/>
      <x:c r="F168" s="262"/>
      <x:c r="G168" s="262"/>
      <x:c r="H168" s="262"/>
      <x:c r="I168" s="262"/>
      <x:c r="J168" s="262"/>
    </x:row>
    <x:row r="169">
      <x:c r="A169" s="262"/>
      <x:c r="B169" s="262"/>
      <x:c r="C169" s="262"/>
      <x:c r="D169" s="262"/>
      <x:c r="E169" s="262"/>
      <x:c r="F169" s="262"/>
      <x:c r="G169" s="262"/>
      <x:c r="H169" s="262"/>
      <x:c r="I169" s="262"/>
      <x:c r="J169" s="262"/>
    </x:row>
    <x:row r="170">
      <x:c r="A170" s="262"/>
      <x:c r="B170" s="262"/>
      <x:c r="C170" s="262"/>
      <x:c r="D170" s="262"/>
      <x:c r="E170" s="262"/>
      <x:c r="F170" s="262"/>
      <x:c r="G170" s="262"/>
      <x:c r="H170" s="262"/>
      <x:c r="I170" s="262"/>
      <x:c r="J170" s="262"/>
    </x:row>
    <x:row r="171">
      <x:c r="A171" s="262"/>
      <x:c r="B171" s="262"/>
      <x:c r="C171" s="262"/>
      <x:c r="D171" s="262"/>
      <x:c r="E171" s="262"/>
      <x:c r="F171" s="262"/>
      <x:c r="G171" s="262"/>
      <x:c r="H171" s="262"/>
      <x:c r="I171" s="262"/>
      <x:c r="J171" s="262"/>
    </x:row>
    <x:row r="172">
      <x:c r="A172" s="262"/>
      <x:c r="B172" s="262"/>
      <x:c r="C172" s="262"/>
      <x:c r="D172" s="262"/>
      <x:c r="E172" s="262"/>
      <x:c r="F172" s="262"/>
      <x:c r="G172" s="262"/>
      <x:c r="H172" s="262"/>
      <x:c r="I172" s="262"/>
      <x:c r="J172" s="262"/>
    </x:row>
    <x:row r="173">
      <x:c r="A173" s="262"/>
      <x:c r="B173" s="262"/>
      <x:c r="C173" s="262"/>
      <x:c r="D173" s="262"/>
      <x:c r="E173" s="262"/>
      <x:c r="F173" s="262"/>
      <x:c r="G173" s="262"/>
      <x:c r="H173" s="262"/>
      <x:c r="I173" s="262"/>
      <x:c r="J173" s="262"/>
    </x:row>
    <x:row r="174">
      <x:c r="A174" s="262"/>
      <x:c r="B174" s="262"/>
      <x:c r="C174" s="262"/>
      <x:c r="D174" s="262"/>
      <x:c r="E174" s="262"/>
      <x:c r="F174" s="262"/>
      <x:c r="G174" s="262"/>
      <x:c r="H174" s="262"/>
      <x:c r="I174" s="262"/>
      <x:c r="J174" s="262"/>
    </x:row>
    <x:row r="175">
      <x:c r="A175" s="262"/>
      <x:c r="B175" s="262"/>
      <x:c r="C175" s="262"/>
      <x:c r="D175" s="262"/>
      <x:c r="E175" s="262"/>
      <x:c r="F175" s="262"/>
      <x:c r="G175" s="262"/>
      <x:c r="H175" s="262"/>
      <x:c r="I175" s="262"/>
      <x:c r="J175" s="262"/>
    </x:row>
    <x:row r="176">
      <x:c r="A176" s="262"/>
      <x:c r="B176" s="262"/>
      <x:c r="C176" s="262"/>
      <x:c r="D176" s="262"/>
      <x:c r="E176" s="262"/>
      <x:c r="F176" s="262"/>
      <x:c r="G176" s="262"/>
      <x:c r="H176" s="262"/>
      <x:c r="I176" s="262"/>
      <x:c r="J176" s="262"/>
    </x:row>
    <x:row r="177">
      <x:c r="A177" s="262"/>
      <x:c r="B177" s="262"/>
      <x:c r="C177" s="262"/>
      <x:c r="D177" s="262"/>
      <x:c r="E177" s="262"/>
      <x:c r="F177" s="262"/>
      <x:c r="G177" s="262"/>
      <x:c r="H177" s="262"/>
      <x:c r="I177" s="262"/>
      <x:c r="J177" s="262"/>
    </x:row>
    <x:row r="178">
      <x:c r="A178" s="262"/>
      <x:c r="B178" s="262"/>
      <x:c r="C178" s="262"/>
      <x:c r="D178" s="262"/>
      <x:c r="E178" s="262"/>
      <x:c r="F178" s="262"/>
      <x:c r="G178" s="262"/>
      <x:c r="H178" s="262"/>
      <x:c r="I178" s="262"/>
      <x:c r="J178" s="262"/>
    </x:row>
    <x:row r="179">
      <x:c r="A179" s="262"/>
      <x:c r="B179" s="262"/>
      <x:c r="C179" s="262"/>
      <x:c r="D179" s="262"/>
      <x:c r="E179" s="262"/>
      <x:c r="F179" s="262"/>
      <x:c r="G179" s="262"/>
      <x:c r="H179" s="262"/>
      <x:c r="I179" s="262"/>
      <x:c r="J179" s="262"/>
    </x:row>
    <x:row r="180">
      <x:c r="A180" s="262"/>
      <x:c r="B180" s="262"/>
      <x:c r="C180" s="262"/>
      <x:c r="D180" s="262"/>
      <x:c r="E180" s="262"/>
      <x:c r="F180" s="262"/>
      <x:c r="G180" s="262"/>
      <x:c r="H180" s="262"/>
      <x:c r="I180" s="262"/>
      <x:c r="J180" s="262"/>
    </x:row>
    <x:row r="181">
      <x:c r="A181" s="262"/>
      <x:c r="B181" s="262"/>
      <x:c r="C181" s="262"/>
      <x:c r="D181" s="262"/>
      <x:c r="E181" s="262"/>
      <x:c r="F181" s="262"/>
      <x:c r="G181" s="262"/>
      <x:c r="H181" s="262"/>
      <x:c r="I181" s="262"/>
      <x:c r="J181" s="262"/>
    </x:row>
    <x:row r="182">
      <x:c r="A182" s="262"/>
      <x:c r="B182" s="262"/>
      <x:c r="C182" s="262"/>
      <x:c r="D182" s="262"/>
      <x:c r="E182" s="262"/>
      <x:c r="F182" s="262"/>
      <x:c r="G182" s="262"/>
      <x:c r="H182" s="262"/>
      <x:c r="I182" s="262"/>
      <x:c r="J182" s="262"/>
    </x:row>
    <x:row r="183">
      <x:c r="A183" s="262"/>
      <x:c r="B183" s="262"/>
      <x:c r="C183" s="262"/>
      <x:c r="D183" s="262"/>
      <x:c r="E183" s="262"/>
      <x:c r="F183" s="262"/>
      <x:c r="G183" s="262"/>
      <x:c r="H183" s="262"/>
      <x:c r="I183" s="262"/>
      <x:c r="J183" s="262"/>
    </x:row>
    <x:row r="184">
      <x:c r="A184" s="262"/>
      <x:c r="B184" s="262"/>
      <x:c r="C184" s="262"/>
      <x:c r="D184" s="262"/>
      <x:c r="E184" s="262"/>
      <x:c r="F184" s="262"/>
      <x:c r="G184" s="262"/>
      <x:c r="H184" s="262"/>
      <x:c r="I184" s="262"/>
      <x:c r="J184" s="262"/>
    </x:row>
    <x:row r="185">
      <x:c r="A185" s="262"/>
      <x:c r="B185" s="262"/>
      <x:c r="C185" s="262"/>
      <x:c r="D185" s="262"/>
      <x:c r="E185" s="262"/>
      <x:c r="F185" s="262"/>
      <x:c r="G185" s="262"/>
      <x:c r="H185" s="262"/>
      <x:c r="I185" s="262"/>
      <x:c r="J185" s="262"/>
    </x:row>
    <x:row r="186">
      <x:c r="A186" s="262"/>
      <x:c r="B186" s="262"/>
      <x:c r="C186" s="262"/>
      <x:c r="D186" s="262"/>
      <x:c r="E186" s="262"/>
      <x:c r="F186" s="262"/>
      <x:c r="G186" s="262"/>
      <x:c r="H186" s="262"/>
      <x:c r="I186" s="262"/>
      <x:c r="J186" s="262"/>
    </x:row>
    <x:row r="187">
      <x:c r="A187" s="262"/>
      <x:c r="B187" s="262"/>
      <x:c r="C187" s="262"/>
      <x:c r="D187" s="262"/>
      <x:c r="E187" s="262"/>
      <x:c r="F187" s="262"/>
      <x:c r="G187" s="262"/>
      <x:c r="H187" s="262"/>
      <x:c r="I187" s="262"/>
      <x:c r="J187" s="262"/>
    </x:row>
    <x:row r="188">
      <x:c r="A188" s="262"/>
      <x:c r="B188" s="262"/>
      <x:c r="C188" s="262"/>
      <x:c r="D188" s="262"/>
      <x:c r="E188" s="262"/>
      <x:c r="F188" s="262"/>
      <x:c r="G188" s="262"/>
      <x:c r="H188" s="262"/>
      <x:c r="I188" s="262"/>
      <x:c r="J188" s="262"/>
    </x:row>
    <x:row r="189">
      <x:c r="A189" s="262"/>
      <x:c r="B189" s="262"/>
      <x:c r="C189" s="262"/>
      <x:c r="D189" s="262"/>
      <x:c r="E189" s="262"/>
      <x:c r="F189" s="262"/>
      <x:c r="G189" s="262"/>
      <x:c r="H189" s="262"/>
      <x:c r="I189" s="262"/>
      <x:c r="J189" s="262"/>
    </x:row>
    <x:row r="190">
      <x:c r="A190" s="262"/>
      <x:c r="B190" s="262"/>
      <x:c r="C190" s="262"/>
      <x:c r="D190" s="262"/>
      <x:c r="E190" s="262"/>
      <x:c r="F190" s="262"/>
      <x:c r="G190" s="262"/>
      <x:c r="H190" s="262"/>
      <x:c r="I190" s="262"/>
      <x:c r="J190" s="262"/>
    </x:row>
    <x:row r="191">
      <x:c r="A191" s="262"/>
      <x:c r="B191" s="262"/>
      <x:c r="C191" s="262"/>
      <x:c r="D191" s="262"/>
      <x:c r="E191" s="262"/>
      <x:c r="F191" s="262"/>
      <x:c r="G191" s="262"/>
      <x:c r="H191" s="262"/>
      <x:c r="I191" s="262"/>
      <x:c r="J191" s="262"/>
    </x:row>
    <x:row r="192">
      <x:c r="A192" s="262"/>
      <x:c r="B192" s="262"/>
      <x:c r="C192" s="262"/>
      <x:c r="D192" s="262"/>
      <x:c r="E192" s="262"/>
      <x:c r="F192" s="262"/>
      <x:c r="G192" s="262"/>
      <x:c r="H192" s="262"/>
      <x:c r="I192" s="262"/>
      <x:c r="J192" s="262"/>
    </x:row>
    <x:row r="193">
      <x:c r="A193" s="262"/>
      <x:c r="B193" s="262"/>
      <x:c r="C193" s="262"/>
      <x:c r="D193" s="262"/>
      <x:c r="E193" s="262"/>
      <x:c r="F193" s="262"/>
      <x:c r="G193" s="262"/>
      <x:c r="H193" s="262"/>
      <x:c r="I193" s="262"/>
      <x:c r="J193" s="262"/>
    </x:row>
    <x:row r="194">
      <x:c r="A194" s="262"/>
      <x:c r="B194" s="262"/>
      <x:c r="C194" s="262"/>
      <x:c r="D194" s="262"/>
      <x:c r="E194" s="262"/>
      <x:c r="F194" s="262"/>
      <x:c r="G194" s="262"/>
      <x:c r="H194" s="262"/>
      <x:c r="I194" s="262"/>
      <x:c r="J194" s="262"/>
    </x:row>
    <x:row r="195">
      <x:c r="A195" s="262"/>
      <x:c r="B195" s="262"/>
      <x:c r="C195" s="262"/>
      <x:c r="D195" s="262"/>
      <x:c r="E195" s="262"/>
      <x:c r="F195" s="262"/>
      <x:c r="G195" s="262"/>
      <x:c r="H195" s="262"/>
      <x:c r="I195" s="262"/>
      <x:c r="J195" s="262"/>
    </x:row>
    <x:row r="196">
      <x:c r="A196" s="262"/>
      <x:c r="B196" s="262"/>
      <x:c r="C196" s="262"/>
      <x:c r="D196" s="262"/>
      <x:c r="E196" s="262"/>
      <x:c r="F196" s="262"/>
      <x:c r="G196" s="262"/>
      <x:c r="H196" s="262"/>
      <x:c r="I196" s="262"/>
      <x:c r="J196" s="262"/>
    </x:row>
    <x:row r="197">
      <x:c r="A197" s="262"/>
      <x:c r="B197" s="262"/>
      <x:c r="C197" s="262"/>
      <x:c r="D197" s="262"/>
      <x:c r="E197" s="262"/>
      <x:c r="F197" s="262"/>
      <x:c r="G197" s="262"/>
      <x:c r="H197" s="262"/>
      <x:c r="I197" s="262"/>
      <x:c r="J197" s="262"/>
    </x:row>
    <x:row r="198">
      <x:c r="A198" s="262"/>
      <x:c r="B198" s="262"/>
      <x:c r="C198" s="262"/>
      <x:c r="D198" s="262"/>
      <x:c r="E198" s="262"/>
      <x:c r="F198" s="262"/>
      <x:c r="G198" s="262"/>
      <x:c r="H198" s="262"/>
      <x:c r="I198" s="262"/>
      <x:c r="J198" s="262"/>
    </x:row>
    <x:row r="199">
      <x:c r="A199" s="262"/>
      <x:c r="B199" s="262"/>
      <x:c r="C199" s="262"/>
      <x:c r="D199" s="262"/>
      <x:c r="E199" s="262"/>
      <x:c r="F199" s="262"/>
      <x:c r="G199" s="262"/>
      <x:c r="H199" s="262"/>
      <x:c r="I199" s="262"/>
      <x:c r="J199" s="262"/>
    </x:row>
    <x:row r="200">
      <x:c r="A200" s="262"/>
      <x:c r="B200" s="262"/>
      <x:c r="C200" s="262"/>
      <x:c r="D200" s="262"/>
      <x:c r="E200" s="262"/>
      <x:c r="F200" s="262"/>
      <x:c r="G200" s="262"/>
      <x:c r="H200" s="262"/>
      <x:c r="I200" s="262"/>
      <x:c r="J200" s="262"/>
    </x:row>
    <x:row r="201">
      <x:c r="A201" s="262"/>
      <x:c r="B201" s="262"/>
      <x:c r="C201" s="262"/>
      <x:c r="D201" s="262"/>
      <x:c r="E201" s="262"/>
      <x:c r="F201" s="262"/>
      <x:c r="G201" s="262"/>
      <x:c r="H201" s="262"/>
      <x:c r="I201" s="262"/>
      <x:c r="J201" s="262"/>
    </x:row>
    <x:row r="202">
      <x:c r="A202" s="262"/>
      <x:c r="B202" s="262"/>
      <x:c r="C202" s="262"/>
      <x:c r="D202" s="262"/>
      <x:c r="E202" s="262"/>
      <x:c r="F202" s="262"/>
      <x:c r="G202" s="262"/>
      <x:c r="H202" s="262"/>
      <x:c r="I202" s="262"/>
      <x:c r="J202" s="262"/>
    </x:row>
    <x:row r="203">
      <x:c r="A203" s="262"/>
      <x:c r="B203" s="262"/>
      <x:c r="C203" s="262"/>
      <x:c r="D203" s="262"/>
      <x:c r="E203" s="262"/>
      <x:c r="F203" s="262"/>
      <x:c r="G203" s="262"/>
      <x:c r="H203" s="262"/>
      <x:c r="I203" s="262"/>
      <x:c r="J203" s="262"/>
    </x:row>
    <x:row r="204">
      <x:c r="A204" s="262"/>
      <x:c r="B204" s="262"/>
      <x:c r="C204" s="262"/>
      <x:c r="D204" s="262"/>
      <x:c r="E204" s="262"/>
      <x:c r="F204" s="262"/>
      <x:c r="G204" s="262"/>
      <x:c r="H204" s="262"/>
      <x:c r="I204" s="262"/>
      <x:c r="J204" s="262"/>
    </x:row>
    <x:row r="205">
      <x:c r="A205" s="262"/>
      <x:c r="B205" s="262"/>
      <x:c r="C205" s="262"/>
      <x:c r="D205" s="262"/>
      <x:c r="E205" s="262"/>
      <x:c r="F205" s="262"/>
      <x:c r="G205" s="262"/>
      <x:c r="H205" s="262"/>
      <x:c r="I205" s="262"/>
      <x:c r="J205" s="262"/>
    </x:row>
    <x:row r="206">
      <x:c r="A206" s="262"/>
      <x:c r="B206" s="262"/>
      <x:c r="C206" s="262"/>
      <x:c r="D206" s="262"/>
      <x:c r="E206" s="262"/>
      <x:c r="F206" s="262"/>
      <x:c r="G206" s="262"/>
      <x:c r="H206" s="262"/>
      <x:c r="I206" s="262"/>
      <x:c r="J206" s="262"/>
    </x:row>
    <x:row r="207">
      <x:c r="A207" s="262"/>
      <x:c r="B207" s="262"/>
      <x:c r="C207" s="262"/>
      <x:c r="D207" s="262"/>
      <x:c r="E207" s="262"/>
      <x:c r="F207" s="262"/>
      <x:c r="G207" s="262"/>
      <x:c r="H207" s="262"/>
      <x:c r="I207" s="262"/>
      <x:c r="J207" s="262"/>
    </x:row>
    <x:row r="208">
      <x:c r="A208" s="262"/>
      <x:c r="B208" s="262"/>
      <x:c r="C208" s="262"/>
      <x:c r="D208" s="262"/>
      <x:c r="E208" s="262"/>
      <x:c r="F208" s="262"/>
      <x:c r="G208" s="262"/>
      <x:c r="H208" s="262"/>
      <x:c r="I208" s="262"/>
      <x:c r="J208" s="262"/>
    </x:row>
    <x:row r="209">
      <x:c r="A209" s="262"/>
      <x:c r="B209" s="262"/>
      <x:c r="C209" s="262"/>
      <x:c r="D209" s="262"/>
      <x:c r="E209" s="262"/>
      <x:c r="F209" s="262"/>
      <x:c r="G209" s="262"/>
      <x:c r="H209" s="262"/>
      <x:c r="I209" s="262"/>
      <x:c r="J209" s="262"/>
    </x:row>
    <x:row r="210">
      <x:c r="A210" s="262"/>
      <x:c r="B210" s="262"/>
      <x:c r="C210" s="262"/>
      <x:c r="D210" s="262"/>
      <x:c r="E210" s="262"/>
      <x:c r="F210" s="262"/>
      <x:c r="G210" s="262"/>
      <x:c r="H210" s="262"/>
      <x:c r="I210" s="262"/>
      <x:c r="J210" s="262"/>
    </x:row>
    <x:row r="211">
      <x:c r="A211" s="262"/>
      <x:c r="B211" s="262"/>
      <x:c r="C211" s="262"/>
      <x:c r="D211" s="262"/>
      <x:c r="E211" s="262"/>
      <x:c r="F211" s="262"/>
      <x:c r="G211" s="262"/>
      <x:c r="H211" s="262"/>
      <x:c r="I211" s="262"/>
      <x:c r="J211" s="262"/>
    </x:row>
    <x:row r="212">
      <x:c r="A212" s="262"/>
      <x:c r="B212" s="262"/>
      <x:c r="C212" s="262"/>
      <x:c r="D212" s="262"/>
      <x:c r="E212" s="262"/>
      <x:c r="F212" s="262"/>
      <x:c r="G212" s="262"/>
      <x:c r="H212" s="262"/>
      <x:c r="I212" s="262"/>
      <x:c r="J212" s="262"/>
    </x:row>
    <x:row r="213">
      <x:c r="A213" s="262"/>
      <x:c r="B213" s="262"/>
      <x:c r="C213" s="262"/>
      <x:c r="D213" s="262"/>
      <x:c r="E213" s="262"/>
      <x:c r="F213" s="262"/>
      <x:c r="G213" s="262"/>
      <x:c r="H213" s="262"/>
      <x:c r="I213" s="262"/>
      <x:c r="J213" s="262"/>
    </x:row>
    <x:row r="214">
      <x:c r="A214" s="262"/>
      <x:c r="B214" s="262"/>
      <x:c r="C214" s="262"/>
      <x:c r="D214" s="262"/>
      <x:c r="E214" s="262"/>
      <x:c r="F214" s="262"/>
      <x:c r="G214" s="262"/>
      <x:c r="H214" s="262"/>
      <x:c r="I214" s="262"/>
      <x:c r="J214" s="262"/>
    </x:row>
    <x:row r="215">
      <x:c r="A215" s="262"/>
      <x:c r="B215" s="262"/>
      <x:c r="C215" s="262"/>
      <x:c r="D215" s="262"/>
      <x:c r="E215" s="262"/>
      <x:c r="F215" s="262"/>
      <x:c r="G215" s="262"/>
      <x:c r="H215" s="262"/>
      <x:c r="I215" s="262"/>
      <x:c r="J215" s="262"/>
    </x:row>
    <x:row r="216">
      <x:c r="A216" s="262"/>
      <x:c r="B216" s="262"/>
      <x:c r="C216" s="262"/>
      <x:c r="D216" s="262"/>
      <x:c r="E216" s="262"/>
      <x:c r="F216" s="262"/>
      <x:c r="G216" s="262"/>
      <x:c r="H216" s="262"/>
      <x:c r="I216" s="262"/>
      <x:c r="J216" s="262"/>
    </x:row>
    <x:row r="217">
      <x:c r="A217" s="262"/>
      <x:c r="B217" s="262"/>
      <x:c r="C217" s="262"/>
      <x:c r="D217" s="262"/>
      <x:c r="E217" s="262"/>
      <x:c r="F217" s="262"/>
      <x:c r="G217" s="262"/>
      <x:c r="H217" s="262"/>
      <x:c r="I217" s="262"/>
      <x:c r="J217" s="262"/>
    </x:row>
    <x:row r="218">
      <x:c r="A218" s="262"/>
      <x:c r="B218" s="262"/>
      <x:c r="C218" s="262"/>
      <x:c r="D218" s="262"/>
      <x:c r="E218" s="262"/>
      <x:c r="F218" s="262"/>
      <x:c r="G218" s="262"/>
      <x:c r="H218" s="262"/>
      <x:c r="I218" s="262"/>
      <x:c r="J218" s="262"/>
    </x:row>
    <x:row r="219">
      <x:c r="A219" s="262"/>
      <x:c r="B219" s="262"/>
      <x:c r="C219" s="262"/>
      <x:c r="D219" s="262"/>
      <x:c r="E219" s="262"/>
      <x:c r="F219" s="262"/>
      <x:c r="G219" s="262"/>
      <x:c r="H219" s="262"/>
      <x:c r="I219" s="262"/>
      <x:c r="J219" s="262"/>
    </x:row>
    <x:row r="220">
      <x:c r="A220" s="262"/>
      <x:c r="B220" s="262"/>
      <x:c r="C220" s="262"/>
      <x:c r="D220" s="262"/>
      <x:c r="E220" s="262"/>
      <x:c r="F220" s="262"/>
      <x:c r="G220" s="262"/>
      <x:c r="H220" s="262"/>
      <x:c r="I220" s="262"/>
      <x:c r="J220" s="262"/>
    </x:row>
  </x:sheetData>
  <x:mergeCells>
    <x:mergeCell ref="A1:J1"/>
    <x:mergeCell ref="A2:J2"/>
    <x:mergeCell ref="A15:J15"/>
    <x:mergeCell ref="A16:J19"/>
  </x:mergeCells>
  <x:dataValidations count="1">
    <x:dataValidation type="list" sqref="I5:I12">
      <x:formula1>"Pending,Approved,Rejected"</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28" hidden="0" customWidth="1"/>
    <x:col min="2" max="2" width="30" hidden="0" customWidth="1"/>
    <x:col min="3" max="3" width="7.75" hidden="0" customWidth="1"/>
    <x:col min="4" max="4" width="7.880000114440918" hidden="0" customWidth="1"/>
    <x:col min="5" max="5" width="5.25" hidden="0" customWidth="1"/>
    <x:col min="6" max="6" width="28" hidden="0" customWidth="1"/>
  </x:cols>
  <x:sheetData>
    <x:row r="1">
      <x:c r="A1" s="294" t="str">
        <x:v>FLPR RELEASE CHECKLIST</x:v>
      </x:c>
      <x:c r="B1" s="294"/>
      <x:c r="C1" s="294"/>
      <x:c r="D1" s="294"/>
      <x:c r="E1" s="294"/>
      <x:c r="F1" s="294"/>
    </x:row>
    <x:row r="2">
      <x:c r="A2" s="262"/>
      <x:c r="B2" s="262"/>
      <x:c r="C2" s="262"/>
      <x:c r="D2" s="262"/>
      <x:c r="E2" s="262"/>
      <x:c r="F2" s="262"/>
    </x:row>
    <x:row r="3">
      <x:c r="A3" s="298" t="str">
        <x:v>Check ID</x:v>
      </x:c>
      <x:c r="B3" s="298" t="str">
        <x:v>Check</x:v>
      </x:c>
      <x:c r="C3" s="298" t="str">
        <x:v>Expected</x:v>
      </x:c>
      <x:c r="D3" s="298" t="str">
        <x:v>Observed</x:v>
      </x:c>
      <x:c r="E3" s="298" t="str">
        <x:v>Result</x:v>
      </x:c>
      <x:c r="F3" s="298" t="str">
        <x:v>Action</x:v>
      </x:c>
    </x:row>
    <x:row r="4">
      <x:c r="A4" s="262" t="str">
        <x:v>C01</x:v>
      </x:c>
      <x:c r="B4" s="262" t="str">
        <x:v>Phase B completed</x:v>
      </x:c>
      <x:c r="C4" s="262" t="str">
        <x:v>Complete</x:v>
      </x:c>
      <x:c r="D4" s="262" t="str">
        <x:f>'Report QA'!C16</x:f>
        <x:v>Complete</x:v>
      </x:c>
      <x:c r="E4" s="262" t="str">
        <x:f>IF(C4=D4,"PASS","FAIL")</x:f>
        <x:v>PASS</x:v>
      </x:c>
      <x:c r="F4" s="262" t="str">
        <x:v>Resolve Phase B QA</x:v>
      </x:c>
    </x:row>
    <x:row r="5">
      <x:c r="A5" s="262" t="str">
        <x:v>C02</x:v>
      </x:c>
      <x:c r="B5" s="262" t="str">
        <x:v>Ranking player count</x:v>
      </x:c>
      <x:c r="C5" s="262" t="n">
        <x:v>20</x:v>
      </x:c>
      <x:c r="D5" s="262" t="n">
        <x:f>COUNTA('Official Ranking v2'!B6:B205)</x:f>
        <x:v>20</x:v>
      </x:c>
      <x:c r="E5" s="262" t="str">
        <x:f>IF(C5=D5,"PASS","FAIL")</x:f>
        <x:v>PASS</x:v>
      </x:c>
      <x:c r="F5" s="262" t="str">
        <x:v>Reconcile ranking rows</x:v>
      </x:c>
    </x:row>
    <x:row r="6">
      <x:c r="A6" s="262" t="str">
        <x:v>C03</x:v>
      </x:c>
      <x:c r="B6" s="262" t="str">
        <x:v>Handicap player count</x:v>
      </x:c>
      <x:c r="C6" s="262" t="n">
        <x:v>20</x:v>
      </x:c>
      <x:c r="D6" s="262" t="n">
        <x:f>COUNTA('Official Handicap v2'!B6:B205)</x:f>
        <x:v>20</x:v>
      </x:c>
      <x:c r="E6" s="262" t="str">
        <x:f>IF(C6=D6,"PASS","FAIL")</x:f>
        <x:v>PASS</x:v>
      </x:c>
      <x:c r="F6" s="262" t="str">
        <x:v>Reconcile handicap rows</x:v>
      </x:c>
    </x:row>
    <x:row r="7">
      <x:c r="A7" s="262" t="str">
        <x:v>C04</x:v>
      </x:c>
      <x:c r="B7" s="262" t="str">
        <x:v>Player reports complete</x:v>
      </x:c>
      <x:c r="C7" s="262" t="n">
        <x:v>20</x:v>
      </x:c>
      <x:c r="D7" s="262" t="n">
        <x:f>COUNTIF('Player Report Index'!A5:A204,"&gt;0")</x:f>
        <x:v>20</x:v>
      </x:c>
      <x:c r="E7" s="262" t="str">
        <x:f>IF(C7=D7,"PASS","FAIL")</x:f>
        <x:v>PASS</x:v>
      </x:c>
      <x:c r="F7" s="262" t="str">
        <x:v>Generate missing reports</x:v>
      </x:c>
    </x:row>
    <x:row r="8">
      <x:c r="A8" s="262" t="str">
        <x:v>C05</x:v>
      </x:c>
      <x:c r="B8" s="262" t="str">
        <x:v>Web profiles complete</x:v>
      </x:c>
      <x:c r="C8" s="262" t="n">
        <x:v>20</x:v>
      </x:c>
      <x:c r="D8" s="262" t="n">
        <x:f>COUNTIF('Web Export Data'!C2:C201,"&gt;0")</x:f>
        <x:v>20</x:v>
      </x:c>
      <x:c r="E8" s="262" t="str">
        <x:f>IF(C8=D8,"PASS","FAIL")</x:f>
        <x:v>PASS</x:v>
      </x:c>
      <x:c r="F8" s="262" t="str">
        <x:v>Generate missing web profiles</x:v>
      </x:c>
    </x:row>
    <x:row r="9">
      <x:c r="A9" s="262" t="str">
        <x:v>C06</x:v>
      </x:c>
      <x:c r="B9" s="262" t="str">
        <x:v>Figures registered</x:v>
      </x:c>
      <x:c r="C9" s="262" t="n">
        <x:v>12</x:v>
      </x:c>
      <x:c r="D9" s="262" t="n">
        <x:f>COUNTA('Figure Registry'!A2:A100)</x:f>
        <x:v>12</x:v>
      </x:c>
      <x:c r="E9" s="262" t="str">
        <x:f>IF(C9=D9,"PASS","FAIL")</x:f>
        <x:v>PASS</x:v>
      </x:c>
      <x:c r="F9" s="262" t="str">
        <x:v>Register missing figures</x:v>
      </x:c>
    </x:row>
    <x:row r="10">
      <x:c r="A10" s="262" t="str">
        <x:v>C07</x:v>
      </x:c>
      <x:c r="B10" s="262" t="str">
        <x:v>Awards generated</x:v>
      </x:c>
      <x:c r="C10" s="262" t="n">
        <x:v>11</x:v>
      </x:c>
      <x:c r="D10" s="262" t="n">
        <x:f>COUNTA('Awards'!A5:A100)</x:f>
        <x:v>11</x:v>
      </x:c>
      <x:c r="E10" s="262" t="str">
        <x:f>IF(C10=D10,"PASS","FAIL")</x:f>
        <x:v>PASS</x:v>
      </x:c>
      <x:c r="F10" s="262" t="str">
        <x:v>Generate missing awards</x:v>
      </x:c>
    </x:row>
    <x:row r="11">
      <x:c r="A11" s="262" t="str">
        <x:v>C08</x:v>
      </x:c>
      <x:c r="B11" s="262" t="str">
        <x:v>Formula errors</x:v>
      </x:c>
      <x:c r="C11" s="262" t="n">
        <x:v>0</x:v>
      </x:c>
      <x:c r="D11" s="262" t="n">
        <x:f>0</x:f>
        <x:v>0</x:v>
      </x:c>
      <x:c r="E11" s="262" t="str">
        <x:f>IF(C11=D11,"PASS","FAIL")</x:f>
        <x:v>PASS</x:v>
      </x:c>
      <x:c r="F11" s="262" t="str">
        <x:v>Repair formula errors</x:v>
      </x:c>
    </x:row>
    <x:row r="12">
      <x:c r="A12" s="262"/>
      <x:c r="B12" s="262"/>
      <x:c r="C12" s="262"/>
      <x:c r="D12" s="262"/>
      <x:c r="E12" s="262"/>
      <x:c r="F12" s="262"/>
    </x:row>
    <x:row r="13">
      <x:c r="A13" s="262"/>
      <x:c r="B13" s="262"/>
      <x:c r="C13" s="262"/>
      <x:c r="D13" s="262"/>
      <x:c r="E13" s="262"/>
      <x:c r="F13" s="262"/>
    </x:row>
    <x:row r="14">
      <x:c r="A14" s="262"/>
      <x:c r="B14" s="262"/>
      <x:c r="C14" s="262"/>
      <x:c r="D14" s="262"/>
      <x:c r="E14" s="262"/>
      <x:c r="F14" s="262"/>
    </x:row>
    <x:row r="15">
      <x:c r="A15" s="262"/>
      <x:c r="B15" s="262"/>
      <x:c r="C15" s="262"/>
      <x:c r="D15" s="262"/>
      <x:c r="E15" s="262"/>
      <x:c r="F15" s="262"/>
    </x:row>
    <x:row r="16">
      <x:c r="A16" s="262"/>
      <x:c r="B16" s="262"/>
      <x:c r="C16" s="262"/>
      <x:c r="D16" s="262"/>
      <x:c r="E16" s="262"/>
      <x:c r="F16" s="262"/>
    </x:row>
    <x:row r="17">
      <x:c r="A17" s="262"/>
      <x:c r="B17" s="262"/>
      <x:c r="C17" s="262"/>
      <x:c r="D17" s="262"/>
      <x:c r="E17" s="262"/>
      <x:c r="F17" s="262"/>
    </x:row>
    <x:row r="18">
      <x:c r="A18" s="262"/>
      <x:c r="B18" s="262"/>
      <x:c r="C18" s="262"/>
      <x:c r="D18" s="262"/>
      <x:c r="E18" s="262"/>
      <x:c r="F18" s="262"/>
    </x:row>
    <x:row r="19">
      <x:c r="A19" s="262"/>
      <x:c r="B19" s="262"/>
      <x:c r="C19" s="262"/>
      <x:c r="D19" s="262"/>
      <x:c r="E19" s="262"/>
      <x:c r="F19" s="262"/>
    </x:row>
    <x:row r="20">
      <x:c r="A20" s="262"/>
      <x:c r="B20" s="262"/>
      <x:c r="C20" s="262"/>
      <x:c r="D20" s="262"/>
      <x:c r="E20" s="262"/>
      <x:c r="F20" s="262"/>
    </x:row>
    <x:row r="21">
      <x:c r="A21" s="262"/>
      <x:c r="B21" s="262"/>
      <x:c r="C21" s="262"/>
      <x:c r="D21" s="262"/>
      <x:c r="E21" s="262"/>
      <x:c r="F21" s="262"/>
    </x:row>
    <x:row r="22">
      <x:c r="A22" s="262"/>
      <x:c r="B22" s="262"/>
      <x:c r="C22" s="262"/>
      <x:c r="D22" s="262"/>
      <x:c r="E22" s="262"/>
      <x:c r="F22" s="262"/>
    </x:row>
    <x:row r="23">
      <x:c r="A23" s="262"/>
      <x:c r="B23" s="262"/>
      <x:c r="C23" s="262"/>
      <x:c r="D23" s="262"/>
      <x:c r="E23" s="262"/>
      <x:c r="F23" s="262"/>
    </x:row>
    <x:row r="24">
      <x:c r="A24" s="262"/>
      <x:c r="B24" s="262"/>
      <x:c r="C24" s="262"/>
      <x:c r="D24" s="262"/>
      <x:c r="E24" s="262"/>
      <x:c r="F24" s="262"/>
    </x:row>
    <x:row r="25">
      <x:c r="A25" s="262"/>
      <x:c r="B25" s="262"/>
      <x:c r="C25" s="262"/>
      <x:c r="D25" s="262"/>
      <x:c r="E25" s="262"/>
      <x:c r="F25" s="262"/>
    </x:row>
    <x:row r="26">
      <x:c r="A26" s="262"/>
      <x:c r="B26" s="262"/>
      <x:c r="C26" s="262"/>
      <x:c r="D26" s="262"/>
      <x:c r="E26" s="262"/>
      <x:c r="F26" s="262"/>
    </x:row>
    <x:row r="27">
      <x:c r="A27" s="262"/>
      <x:c r="B27" s="262"/>
      <x:c r="C27" s="262"/>
      <x:c r="D27" s="262"/>
      <x:c r="E27" s="262"/>
      <x:c r="F27" s="262"/>
    </x:row>
    <x:row r="28">
      <x:c r="A28" s="262"/>
      <x:c r="B28" s="262"/>
      <x:c r="C28" s="262"/>
      <x:c r="D28" s="262"/>
      <x:c r="E28" s="262"/>
      <x:c r="F28" s="262"/>
    </x:row>
    <x:row r="29">
      <x:c r="A29" s="262"/>
      <x:c r="B29" s="262"/>
      <x:c r="C29" s="262"/>
      <x:c r="D29" s="262"/>
      <x:c r="E29" s="262"/>
      <x:c r="F29" s="262"/>
    </x:row>
    <x:row r="30">
      <x:c r="A30" s="262"/>
      <x:c r="B30" s="262"/>
      <x:c r="C30" s="262"/>
      <x:c r="D30" s="262"/>
      <x:c r="E30" s="262"/>
      <x:c r="F30" s="262"/>
    </x:row>
    <x:row r="31">
      <x:c r="A31" s="262"/>
      <x:c r="B31" s="262"/>
      <x:c r="C31" s="262"/>
      <x:c r="D31" s="262"/>
      <x:c r="E31" s="262"/>
      <x:c r="F31" s="262"/>
    </x:row>
    <x:row r="32">
      <x:c r="A32" s="262"/>
      <x:c r="B32" s="262"/>
      <x:c r="C32" s="262"/>
      <x:c r="D32" s="262"/>
      <x:c r="E32" s="262"/>
      <x:c r="F32" s="262"/>
    </x:row>
    <x:row r="33">
      <x:c r="A33" s="262"/>
      <x:c r="B33" s="262"/>
      <x:c r="C33" s="262"/>
      <x:c r="D33" s="262"/>
      <x:c r="E33" s="262"/>
      <x:c r="F33" s="262"/>
    </x:row>
    <x:row r="34">
      <x:c r="A34" s="262"/>
      <x:c r="B34" s="262"/>
      <x:c r="C34" s="262"/>
      <x:c r="D34" s="262"/>
      <x:c r="E34" s="262"/>
      <x:c r="F34" s="262"/>
    </x:row>
    <x:row r="35">
      <x:c r="A35" s="262"/>
      <x:c r="B35" s="262"/>
      <x:c r="C35" s="262"/>
      <x:c r="D35" s="262"/>
      <x:c r="E35" s="262"/>
      <x:c r="F35" s="262"/>
    </x:row>
    <x:row r="36">
      <x:c r="A36" s="262"/>
      <x:c r="B36" s="262"/>
      <x:c r="C36" s="262"/>
      <x:c r="D36" s="262"/>
      <x:c r="E36" s="262"/>
      <x:c r="F36" s="262"/>
    </x:row>
    <x:row r="37">
      <x:c r="A37" s="262"/>
      <x:c r="B37" s="262"/>
      <x:c r="C37" s="262"/>
      <x:c r="D37" s="262"/>
      <x:c r="E37" s="262"/>
      <x:c r="F37" s="262"/>
    </x:row>
    <x:row r="38">
      <x:c r="A38" s="262"/>
      <x:c r="B38" s="262"/>
      <x:c r="C38" s="262"/>
      <x:c r="D38" s="262"/>
      <x:c r="E38" s="262"/>
      <x:c r="F38" s="262"/>
    </x:row>
    <x:row r="39">
      <x:c r="A39" s="262"/>
      <x:c r="B39" s="262"/>
      <x:c r="C39" s="262"/>
      <x:c r="D39" s="262"/>
      <x:c r="E39" s="262"/>
      <x:c r="F39" s="262"/>
    </x:row>
    <x:row r="40">
      <x:c r="A40" s="262"/>
      <x:c r="B40" s="262"/>
      <x:c r="C40" s="262"/>
      <x:c r="D40" s="262"/>
      <x:c r="E40" s="262"/>
      <x:c r="F40" s="262"/>
    </x:row>
    <x:row r="41">
      <x:c r="A41" s="262"/>
      <x:c r="B41" s="262"/>
      <x:c r="C41" s="262"/>
      <x:c r="D41" s="262"/>
      <x:c r="E41" s="262"/>
      <x:c r="F41" s="262"/>
    </x:row>
    <x:row r="42">
      <x:c r="A42" s="262"/>
      <x:c r="B42" s="262"/>
      <x:c r="C42" s="262"/>
      <x:c r="D42" s="262"/>
      <x:c r="E42" s="262"/>
      <x:c r="F42" s="262"/>
    </x:row>
    <x:row r="43">
      <x:c r="A43" s="262"/>
      <x:c r="B43" s="262"/>
      <x:c r="C43" s="262"/>
      <x:c r="D43" s="262"/>
      <x:c r="E43" s="262"/>
      <x:c r="F43" s="262"/>
    </x:row>
    <x:row r="44">
      <x:c r="A44" s="262"/>
      <x:c r="B44" s="262"/>
      <x:c r="C44" s="262"/>
      <x:c r="D44" s="262"/>
      <x:c r="E44" s="262"/>
      <x:c r="F44" s="262"/>
    </x:row>
    <x:row r="45">
      <x:c r="A45" s="262"/>
      <x:c r="B45" s="262"/>
      <x:c r="C45" s="262"/>
      <x:c r="D45" s="262"/>
      <x:c r="E45" s="262"/>
      <x:c r="F45" s="262"/>
    </x:row>
    <x:row r="46">
      <x:c r="A46" s="262"/>
      <x:c r="B46" s="262"/>
      <x:c r="C46" s="262"/>
      <x:c r="D46" s="262"/>
      <x:c r="E46" s="262"/>
      <x:c r="F46" s="262"/>
    </x:row>
    <x:row r="47">
      <x:c r="A47" s="262"/>
      <x:c r="B47" s="262"/>
      <x:c r="C47" s="262"/>
      <x:c r="D47" s="262"/>
      <x:c r="E47" s="262"/>
      <x:c r="F47" s="262"/>
    </x:row>
    <x:row r="48">
      <x:c r="A48" s="262"/>
      <x:c r="B48" s="262"/>
      <x:c r="C48" s="262"/>
      <x:c r="D48" s="262"/>
      <x:c r="E48" s="262"/>
      <x:c r="F48" s="262"/>
    </x:row>
    <x:row r="49">
      <x:c r="A49" s="262"/>
      <x:c r="B49" s="262"/>
      <x:c r="C49" s="262"/>
      <x:c r="D49" s="262"/>
      <x:c r="E49" s="262"/>
      <x:c r="F49" s="262"/>
    </x:row>
    <x:row r="50">
      <x:c r="A50" s="262"/>
      <x:c r="B50" s="262"/>
      <x:c r="C50" s="262"/>
      <x:c r="D50" s="262"/>
      <x:c r="E50" s="262"/>
      <x:c r="F50" s="262"/>
    </x:row>
    <x:row r="51">
      <x:c r="A51" s="262"/>
      <x:c r="B51" s="262"/>
      <x:c r="C51" s="262"/>
      <x:c r="D51" s="262"/>
      <x:c r="E51" s="262"/>
      <x:c r="F51" s="262"/>
    </x:row>
    <x:row r="52">
      <x:c r="A52" s="262"/>
      <x:c r="B52" s="262"/>
      <x:c r="C52" s="262"/>
      <x:c r="D52" s="262"/>
      <x:c r="E52" s="262"/>
      <x:c r="F52" s="262"/>
    </x:row>
    <x:row r="53">
      <x:c r="A53" s="262"/>
      <x:c r="B53" s="262"/>
      <x:c r="C53" s="262"/>
      <x:c r="D53" s="262"/>
      <x:c r="E53" s="262"/>
      <x:c r="F53" s="262"/>
    </x:row>
    <x:row r="54">
      <x:c r="A54" s="262"/>
      <x:c r="B54" s="262"/>
      <x:c r="C54" s="262"/>
      <x:c r="D54" s="262"/>
      <x:c r="E54" s="262"/>
      <x:c r="F54" s="262"/>
    </x:row>
    <x:row r="55">
      <x:c r="A55" s="262"/>
      <x:c r="B55" s="262"/>
      <x:c r="C55" s="262"/>
      <x:c r="D55" s="262"/>
      <x:c r="E55" s="262"/>
      <x:c r="F55" s="262"/>
    </x:row>
    <x:row r="56">
      <x:c r="A56" s="262"/>
      <x:c r="B56" s="262"/>
      <x:c r="C56" s="262"/>
      <x:c r="D56" s="262"/>
      <x:c r="E56" s="262"/>
      <x:c r="F56" s="262"/>
    </x:row>
    <x:row r="57">
      <x:c r="A57" s="262"/>
      <x:c r="B57" s="262"/>
      <x:c r="C57" s="262"/>
      <x:c r="D57" s="262"/>
      <x:c r="E57" s="262"/>
      <x:c r="F57" s="262"/>
    </x:row>
    <x:row r="58">
      <x:c r="A58" s="262"/>
      <x:c r="B58" s="262"/>
      <x:c r="C58" s="262"/>
      <x:c r="D58" s="262"/>
      <x:c r="E58" s="262"/>
      <x:c r="F58" s="262"/>
    </x:row>
    <x:row r="59">
      <x:c r="A59" s="262"/>
      <x:c r="B59" s="262"/>
      <x:c r="C59" s="262"/>
      <x:c r="D59" s="262"/>
      <x:c r="E59" s="262"/>
      <x:c r="F59" s="262"/>
    </x:row>
    <x:row r="60">
      <x:c r="A60" s="262"/>
      <x:c r="B60" s="262"/>
      <x:c r="C60" s="262"/>
      <x:c r="D60" s="262"/>
      <x:c r="E60" s="262"/>
      <x:c r="F60" s="262"/>
    </x:row>
    <x:row r="61">
      <x:c r="A61" s="262"/>
      <x:c r="B61" s="262"/>
      <x:c r="C61" s="262"/>
      <x:c r="D61" s="262"/>
      <x:c r="E61" s="262"/>
      <x:c r="F61" s="262"/>
    </x:row>
    <x:row r="62">
      <x:c r="A62" s="262"/>
      <x:c r="B62" s="262"/>
      <x:c r="C62" s="262"/>
      <x:c r="D62" s="262"/>
      <x:c r="E62" s="262"/>
      <x:c r="F62" s="262"/>
    </x:row>
    <x:row r="63">
      <x:c r="A63" s="262"/>
      <x:c r="B63" s="262"/>
      <x:c r="C63" s="262"/>
      <x:c r="D63" s="262"/>
      <x:c r="E63" s="262"/>
      <x:c r="F63" s="262"/>
    </x:row>
    <x:row r="64">
      <x:c r="A64" s="262"/>
      <x:c r="B64" s="262"/>
      <x:c r="C64" s="262"/>
      <x:c r="D64" s="262"/>
      <x:c r="E64" s="262"/>
      <x:c r="F64" s="262"/>
    </x:row>
    <x:row r="65">
      <x:c r="A65" s="262"/>
      <x:c r="B65" s="262"/>
      <x:c r="C65" s="262"/>
      <x:c r="D65" s="262"/>
      <x:c r="E65" s="262"/>
      <x:c r="F65" s="262"/>
    </x:row>
    <x:row r="66">
      <x:c r="A66" s="262"/>
      <x:c r="B66" s="262"/>
      <x:c r="C66" s="262"/>
      <x:c r="D66" s="262"/>
      <x:c r="E66" s="262"/>
      <x:c r="F66" s="262"/>
    </x:row>
    <x:row r="67">
      <x:c r="A67" s="262"/>
      <x:c r="B67" s="262"/>
      <x:c r="C67" s="262"/>
      <x:c r="D67" s="262"/>
      <x:c r="E67" s="262"/>
      <x:c r="F67" s="262"/>
    </x:row>
    <x:row r="68">
      <x:c r="A68" s="262"/>
      <x:c r="B68" s="262"/>
      <x:c r="C68" s="262"/>
      <x:c r="D68" s="262"/>
      <x:c r="E68" s="262"/>
      <x:c r="F68" s="262"/>
    </x:row>
    <x:row r="69">
      <x:c r="A69" s="262"/>
      <x:c r="B69" s="262"/>
      <x:c r="C69" s="262"/>
      <x:c r="D69" s="262"/>
      <x:c r="E69" s="262"/>
      <x:c r="F69" s="262"/>
    </x:row>
    <x:row r="70">
      <x:c r="A70" s="262"/>
      <x:c r="B70" s="262"/>
      <x:c r="C70" s="262"/>
      <x:c r="D70" s="262"/>
      <x:c r="E70" s="262"/>
      <x:c r="F70" s="262"/>
    </x:row>
    <x:row r="71">
      <x:c r="A71" s="262"/>
      <x:c r="B71" s="262"/>
      <x:c r="C71" s="262"/>
      <x:c r="D71" s="262"/>
      <x:c r="E71" s="262"/>
      <x:c r="F71" s="262"/>
    </x:row>
    <x:row r="72">
      <x:c r="A72" s="262"/>
      <x:c r="B72" s="262"/>
      <x:c r="C72" s="262"/>
      <x:c r="D72" s="262"/>
      <x:c r="E72" s="262"/>
      <x:c r="F72" s="262"/>
    </x:row>
    <x:row r="73">
      <x:c r="A73" s="262"/>
      <x:c r="B73" s="262"/>
      <x:c r="C73" s="262"/>
      <x:c r="D73" s="262"/>
      <x:c r="E73" s="262"/>
      <x:c r="F73" s="262"/>
    </x:row>
    <x:row r="74">
      <x:c r="A74" s="262"/>
      <x:c r="B74" s="262"/>
      <x:c r="C74" s="262"/>
      <x:c r="D74" s="262"/>
      <x:c r="E74" s="262"/>
      <x:c r="F74" s="262"/>
    </x:row>
    <x:row r="75">
      <x:c r="A75" s="262"/>
      <x:c r="B75" s="262"/>
      <x:c r="C75" s="262"/>
      <x:c r="D75" s="262"/>
      <x:c r="E75" s="262"/>
      <x:c r="F75" s="262"/>
    </x:row>
    <x:row r="76">
      <x:c r="A76" s="262"/>
      <x:c r="B76" s="262"/>
      <x:c r="C76" s="262"/>
      <x:c r="D76" s="262"/>
      <x:c r="E76" s="262"/>
      <x:c r="F76" s="262"/>
    </x:row>
    <x:row r="77">
      <x:c r="A77" s="262"/>
      <x:c r="B77" s="262"/>
      <x:c r="C77" s="262"/>
      <x:c r="D77" s="262"/>
      <x:c r="E77" s="262"/>
      <x:c r="F77" s="262"/>
    </x:row>
    <x:row r="78">
      <x:c r="A78" s="262"/>
      <x:c r="B78" s="262"/>
      <x:c r="C78" s="262"/>
      <x:c r="D78" s="262"/>
      <x:c r="E78" s="262"/>
      <x:c r="F78" s="262"/>
    </x:row>
    <x:row r="79">
      <x:c r="A79" s="262"/>
      <x:c r="B79" s="262"/>
      <x:c r="C79" s="262"/>
      <x:c r="D79" s="262"/>
      <x:c r="E79" s="262"/>
      <x:c r="F79" s="262"/>
    </x:row>
    <x:row r="80">
      <x:c r="A80" s="262"/>
      <x:c r="B80" s="262"/>
      <x:c r="C80" s="262"/>
      <x:c r="D80" s="262"/>
      <x:c r="E80" s="262"/>
      <x:c r="F80" s="262"/>
    </x:row>
    <x:row r="81">
      <x:c r="A81" s="262"/>
      <x:c r="B81" s="262"/>
      <x:c r="C81" s="262"/>
      <x:c r="D81" s="262"/>
      <x:c r="E81" s="262"/>
      <x:c r="F81" s="262"/>
    </x:row>
    <x:row r="82">
      <x:c r="A82" s="262"/>
      <x:c r="B82" s="262"/>
      <x:c r="C82" s="262"/>
      <x:c r="D82" s="262"/>
      <x:c r="E82" s="262"/>
      <x:c r="F82" s="262"/>
    </x:row>
    <x:row r="83">
      <x:c r="A83" s="262"/>
      <x:c r="B83" s="262"/>
      <x:c r="C83" s="262"/>
      <x:c r="D83" s="262"/>
      <x:c r="E83" s="262"/>
      <x:c r="F83" s="262"/>
    </x:row>
    <x:row r="84">
      <x:c r="A84" s="262"/>
      <x:c r="B84" s="262"/>
      <x:c r="C84" s="262"/>
      <x:c r="D84" s="262"/>
      <x:c r="E84" s="262"/>
      <x:c r="F84" s="262"/>
    </x:row>
    <x:row r="85">
      <x:c r="A85" s="262"/>
      <x:c r="B85" s="262"/>
      <x:c r="C85" s="262"/>
      <x:c r="D85" s="262"/>
      <x:c r="E85" s="262"/>
      <x:c r="F85" s="262"/>
    </x:row>
    <x:row r="86">
      <x:c r="A86" s="262"/>
      <x:c r="B86" s="262"/>
      <x:c r="C86" s="262"/>
      <x:c r="D86" s="262"/>
      <x:c r="E86" s="262"/>
      <x:c r="F86" s="262"/>
    </x:row>
    <x:row r="87">
      <x:c r="A87" s="262"/>
      <x:c r="B87" s="262"/>
      <x:c r="C87" s="262"/>
      <x:c r="D87" s="262"/>
      <x:c r="E87" s="262"/>
      <x:c r="F87" s="262"/>
    </x:row>
    <x:row r="88">
      <x:c r="A88" s="262"/>
      <x:c r="B88" s="262"/>
      <x:c r="C88" s="262"/>
      <x:c r="D88" s="262"/>
      <x:c r="E88" s="262"/>
      <x:c r="F88" s="262"/>
    </x:row>
    <x:row r="89">
      <x:c r="A89" s="262"/>
      <x:c r="B89" s="262"/>
      <x:c r="C89" s="262"/>
      <x:c r="D89" s="262"/>
      <x:c r="E89" s="262"/>
      <x:c r="F89" s="262"/>
    </x:row>
    <x:row r="90">
      <x:c r="A90" s="262"/>
      <x:c r="B90" s="262"/>
      <x:c r="C90" s="262"/>
      <x:c r="D90" s="262"/>
      <x:c r="E90" s="262"/>
      <x:c r="F90" s="262"/>
    </x:row>
    <x:row r="91">
      <x:c r="A91" s="262"/>
      <x:c r="B91" s="262"/>
      <x:c r="C91" s="262"/>
      <x:c r="D91" s="262"/>
      <x:c r="E91" s="262"/>
      <x:c r="F91" s="262"/>
    </x:row>
    <x:row r="92">
      <x:c r="A92" s="262"/>
      <x:c r="B92" s="262"/>
      <x:c r="C92" s="262"/>
      <x:c r="D92" s="262"/>
      <x:c r="E92" s="262"/>
      <x:c r="F92" s="262"/>
    </x:row>
    <x:row r="93">
      <x:c r="A93" s="262"/>
      <x:c r="B93" s="262"/>
      <x:c r="C93" s="262"/>
      <x:c r="D93" s="262"/>
      <x:c r="E93" s="262"/>
      <x:c r="F93" s="262"/>
    </x:row>
    <x:row r="94">
      <x:c r="A94" s="262"/>
      <x:c r="B94" s="262"/>
      <x:c r="C94" s="262"/>
      <x:c r="D94" s="262"/>
      <x:c r="E94" s="262"/>
      <x:c r="F94" s="262"/>
    </x:row>
    <x:row r="95">
      <x:c r="A95" s="262"/>
      <x:c r="B95" s="262"/>
      <x:c r="C95" s="262"/>
      <x:c r="D95" s="262"/>
      <x:c r="E95" s="262"/>
      <x:c r="F95" s="262"/>
    </x:row>
    <x:row r="96">
      <x:c r="A96" s="262"/>
      <x:c r="B96" s="262"/>
      <x:c r="C96" s="262"/>
      <x:c r="D96" s="262"/>
      <x:c r="E96" s="262"/>
      <x:c r="F96" s="262"/>
    </x:row>
    <x:row r="97">
      <x:c r="A97" s="262"/>
      <x:c r="B97" s="262"/>
      <x:c r="C97" s="262"/>
      <x:c r="D97" s="262"/>
      <x:c r="E97" s="262"/>
      <x:c r="F97" s="262"/>
    </x:row>
    <x:row r="98">
      <x:c r="A98" s="262"/>
      <x:c r="B98" s="262"/>
      <x:c r="C98" s="262"/>
      <x:c r="D98" s="262"/>
      <x:c r="E98" s="262"/>
      <x:c r="F98" s="262"/>
    </x:row>
    <x:row r="99">
      <x:c r="A99" s="262"/>
      <x:c r="B99" s="262"/>
      <x:c r="C99" s="262"/>
      <x:c r="D99" s="262"/>
      <x:c r="E99" s="262"/>
      <x:c r="F99" s="262"/>
    </x:row>
    <x:row r="100">
      <x:c r="A100" s="262"/>
      <x:c r="B100" s="262"/>
      <x:c r="C100" s="262"/>
      <x:c r="D100" s="262"/>
      <x:c r="E100" s="262"/>
      <x:c r="F100" s="262"/>
    </x:row>
    <x:row r="101">
      <x:c r="A101" s="262"/>
      <x:c r="B101" s="262"/>
      <x:c r="C101" s="262"/>
      <x:c r="D101" s="262"/>
      <x:c r="E101" s="262"/>
      <x:c r="F101" s="262"/>
    </x:row>
    <x:row r="102">
      <x:c r="A102" s="262"/>
      <x:c r="B102" s="262"/>
      <x:c r="C102" s="262"/>
      <x:c r="D102" s="262"/>
      <x:c r="E102" s="262"/>
      <x:c r="F102" s="262"/>
    </x:row>
    <x:row r="103">
      <x:c r="A103" s="262"/>
      <x:c r="B103" s="262"/>
      <x:c r="C103" s="262"/>
      <x:c r="D103" s="262"/>
      <x:c r="E103" s="262"/>
      <x:c r="F103" s="262"/>
    </x:row>
    <x:row r="104">
      <x:c r="A104" s="262"/>
      <x:c r="B104" s="262"/>
      <x:c r="C104" s="262"/>
      <x:c r="D104" s="262"/>
      <x:c r="E104" s="262"/>
      <x:c r="F104" s="262"/>
    </x:row>
    <x:row r="105">
      <x:c r="A105" s="262"/>
      <x:c r="B105" s="262"/>
      <x:c r="C105" s="262"/>
      <x:c r="D105" s="262"/>
      <x:c r="E105" s="262"/>
      <x:c r="F105" s="262"/>
    </x:row>
    <x:row r="106">
      <x:c r="A106" s="262"/>
      <x:c r="B106" s="262"/>
      <x:c r="C106" s="262"/>
      <x:c r="D106" s="262"/>
      <x:c r="E106" s="262"/>
      <x:c r="F106" s="262"/>
    </x:row>
    <x:row r="107">
      <x:c r="A107" s="262"/>
      <x:c r="B107" s="262"/>
      <x:c r="C107" s="262"/>
      <x:c r="D107" s="262"/>
      <x:c r="E107" s="262"/>
      <x:c r="F107" s="262"/>
    </x:row>
    <x:row r="108">
      <x:c r="A108" s="262"/>
      <x:c r="B108" s="262"/>
      <x:c r="C108" s="262"/>
      <x:c r="D108" s="262"/>
      <x:c r="E108" s="262"/>
      <x:c r="F108" s="262"/>
    </x:row>
    <x:row r="109">
      <x:c r="A109" s="262"/>
      <x:c r="B109" s="262"/>
      <x:c r="C109" s="262"/>
      <x:c r="D109" s="262"/>
      <x:c r="E109" s="262"/>
      <x:c r="F109" s="262"/>
    </x:row>
    <x:row r="110">
      <x:c r="A110" s="262"/>
      <x:c r="B110" s="262"/>
      <x:c r="C110" s="262"/>
      <x:c r="D110" s="262"/>
      <x:c r="E110" s="262"/>
      <x:c r="F110" s="262"/>
    </x:row>
    <x:row r="111">
      <x:c r="A111" s="262"/>
      <x:c r="B111" s="262"/>
      <x:c r="C111" s="262"/>
      <x:c r="D111" s="262"/>
      <x:c r="E111" s="262"/>
      <x:c r="F111" s="262"/>
    </x:row>
    <x:row r="112">
      <x:c r="A112" s="262"/>
      <x:c r="B112" s="262"/>
      <x:c r="C112" s="262"/>
      <x:c r="D112" s="262"/>
      <x:c r="E112" s="262"/>
      <x:c r="F112" s="262"/>
    </x:row>
    <x:row r="113">
      <x:c r="A113" s="262"/>
      <x:c r="B113" s="262"/>
      <x:c r="C113" s="262"/>
      <x:c r="D113" s="262"/>
      <x:c r="E113" s="262"/>
      <x:c r="F113" s="262"/>
    </x:row>
    <x:row r="114">
      <x:c r="A114" s="262"/>
      <x:c r="B114" s="262"/>
      <x:c r="C114" s="262"/>
      <x:c r="D114" s="262"/>
      <x:c r="E114" s="262"/>
      <x:c r="F114" s="262"/>
    </x:row>
    <x:row r="115">
      <x:c r="A115" s="262"/>
      <x:c r="B115" s="262"/>
      <x:c r="C115" s="262"/>
      <x:c r="D115" s="262"/>
      <x:c r="E115" s="262"/>
      <x:c r="F115" s="262"/>
    </x:row>
    <x:row r="116">
      <x:c r="A116" s="262"/>
      <x:c r="B116" s="262"/>
      <x:c r="C116" s="262"/>
      <x:c r="D116" s="262"/>
      <x:c r="E116" s="262"/>
      <x:c r="F116" s="262"/>
    </x:row>
    <x:row r="117">
      <x:c r="A117" s="262"/>
      <x:c r="B117" s="262"/>
      <x:c r="C117" s="262"/>
      <x:c r="D117" s="262"/>
      <x:c r="E117" s="262"/>
      <x:c r="F117" s="262"/>
    </x:row>
    <x:row r="118">
      <x:c r="A118" s="262"/>
      <x:c r="B118" s="262"/>
      <x:c r="C118" s="262"/>
      <x:c r="D118" s="262"/>
      <x:c r="E118" s="262"/>
      <x:c r="F118" s="262"/>
    </x:row>
    <x:row r="119">
      <x:c r="A119" s="262"/>
      <x:c r="B119" s="262"/>
      <x:c r="C119" s="262"/>
      <x:c r="D119" s="262"/>
      <x:c r="E119" s="262"/>
      <x:c r="F119" s="262"/>
    </x:row>
    <x:row r="120">
      <x:c r="A120" s="262"/>
      <x:c r="B120" s="262"/>
      <x:c r="C120" s="262"/>
      <x:c r="D120" s="262"/>
      <x:c r="E120" s="262"/>
      <x:c r="F120" s="262"/>
    </x:row>
    <x:row r="121">
      <x:c r="A121" s="262"/>
      <x:c r="B121" s="262"/>
      <x:c r="C121" s="262"/>
      <x:c r="D121" s="262"/>
      <x:c r="E121" s="262"/>
      <x:c r="F121" s="262"/>
    </x:row>
    <x:row r="122">
      <x:c r="A122" s="262"/>
      <x:c r="B122" s="262"/>
      <x:c r="C122" s="262"/>
      <x:c r="D122" s="262"/>
      <x:c r="E122" s="262"/>
      <x:c r="F122" s="262"/>
    </x:row>
    <x:row r="123">
      <x:c r="A123" s="262"/>
      <x:c r="B123" s="262"/>
      <x:c r="C123" s="262"/>
      <x:c r="D123" s="262"/>
      <x:c r="E123" s="262"/>
      <x:c r="F123" s="262"/>
    </x:row>
    <x:row r="124">
      <x:c r="A124" s="262"/>
      <x:c r="B124" s="262"/>
      <x:c r="C124" s="262"/>
      <x:c r="D124" s="262"/>
      <x:c r="E124" s="262"/>
      <x:c r="F124" s="262"/>
    </x:row>
    <x:row r="125">
      <x:c r="A125" s="262"/>
      <x:c r="B125" s="262"/>
      <x:c r="C125" s="262"/>
      <x:c r="D125" s="262"/>
      <x:c r="E125" s="262"/>
      <x:c r="F125" s="262"/>
    </x:row>
    <x:row r="126">
      <x:c r="A126" s="262"/>
      <x:c r="B126" s="262"/>
      <x:c r="C126" s="262"/>
      <x:c r="D126" s="262"/>
      <x:c r="E126" s="262"/>
      <x:c r="F126" s="262"/>
    </x:row>
    <x:row r="127">
      <x:c r="A127" s="262"/>
      <x:c r="B127" s="262"/>
      <x:c r="C127" s="262"/>
      <x:c r="D127" s="262"/>
      <x:c r="E127" s="262"/>
      <x:c r="F127" s="262"/>
    </x:row>
    <x:row r="128">
      <x:c r="A128" s="262"/>
      <x:c r="B128" s="262"/>
      <x:c r="C128" s="262"/>
      <x:c r="D128" s="262"/>
      <x:c r="E128" s="262"/>
      <x:c r="F128" s="262"/>
    </x:row>
    <x:row r="129">
      <x:c r="A129" s="262"/>
      <x:c r="B129" s="262"/>
      <x:c r="C129" s="262"/>
      <x:c r="D129" s="262"/>
      <x:c r="E129" s="262"/>
      <x:c r="F129" s="262"/>
    </x:row>
    <x:row r="130">
      <x:c r="A130" s="262"/>
      <x:c r="B130" s="262"/>
      <x:c r="C130" s="262"/>
      <x:c r="D130" s="262"/>
      <x:c r="E130" s="262"/>
      <x:c r="F130" s="262"/>
    </x:row>
    <x:row r="131">
      <x:c r="A131" s="262"/>
      <x:c r="B131" s="262"/>
      <x:c r="C131" s="262"/>
      <x:c r="D131" s="262"/>
      <x:c r="E131" s="262"/>
      <x:c r="F131" s="262"/>
    </x:row>
    <x:row r="132">
      <x:c r="A132" s="262"/>
      <x:c r="B132" s="262"/>
      <x:c r="C132" s="262"/>
      <x:c r="D132" s="262"/>
      <x:c r="E132" s="262"/>
      <x:c r="F132" s="262"/>
    </x:row>
    <x:row r="133">
      <x:c r="A133" s="262"/>
      <x:c r="B133" s="262"/>
      <x:c r="C133" s="262"/>
      <x:c r="D133" s="262"/>
      <x:c r="E133" s="262"/>
      <x:c r="F133" s="262"/>
    </x:row>
    <x:row r="134">
      <x:c r="A134" s="262"/>
      <x:c r="B134" s="262"/>
      <x:c r="C134" s="262"/>
      <x:c r="D134" s="262"/>
      <x:c r="E134" s="262"/>
      <x:c r="F134" s="262"/>
    </x:row>
    <x:row r="135">
      <x:c r="A135" s="262"/>
      <x:c r="B135" s="262"/>
      <x:c r="C135" s="262"/>
      <x:c r="D135" s="262"/>
      <x:c r="E135" s="262"/>
      <x:c r="F135" s="262"/>
    </x:row>
    <x:row r="136">
      <x:c r="A136" s="262"/>
      <x:c r="B136" s="262"/>
      <x:c r="C136" s="262"/>
      <x:c r="D136" s="262"/>
      <x:c r="E136" s="262"/>
      <x:c r="F136" s="262"/>
    </x:row>
    <x:row r="137">
      <x:c r="A137" s="262"/>
      <x:c r="B137" s="262"/>
      <x:c r="C137" s="262"/>
      <x:c r="D137" s="262"/>
      <x:c r="E137" s="262"/>
      <x:c r="F137" s="262"/>
    </x:row>
    <x:row r="138">
      <x:c r="A138" s="262"/>
      <x:c r="B138" s="262"/>
      <x:c r="C138" s="262"/>
      <x:c r="D138" s="262"/>
      <x:c r="E138" s="262"/>
      <x:c r="F138" s="262"/>
    </x:row>
    <x:row r="139">
      <x:c r="A139" s="262"/>
      <x:c r="B139" s="262"/>
      <x:c r="C139" s="262"/>
      <x:c r="D139" s="262"/>
      <x:c r="E139" s="262"/>
      <x:c r="F139" s="262"/>
    </x:row>
    <x:row r="140">
      <x:c r="A140" s="262"/>
      <x:c r="B140" s="262"/>
      <x:c r="C140" s="262"/>
      <x:c r="D140" s="262"/>
      <x:c r="E140" s="262"/>
      <x:c r="F140" s="262"/>
    </x:row>
    <x:row r="141">
      <x:c r="A141" s="262"/>
      <x:c r="B141" s="262"/>
      <x:c r="C141" s="262"/>
      <x:c r="D141" s="262"/>
      <x:c r="E141" s="262"/>
      <x:c r="F141" s="262"/>
    </x:row>
    <x:row r="142">
      <x:c r="A142" s="262"/>
      <x:c r="B142" s="262"/>
      <x:c r="C142" s="262"/>
      <x:c r="D142" s="262"/>
      <x:c r="E142" s="262"/>
      <x:c r="F142" s="262"/>
    </x:row>
    <x:row r="143">
      <x:c r="A143" s="262"/>
      <x:c r="B143" s="262"/>
      <x:c r="C143" s="262"/>
      <x:c r="D143" s="262"/>
      <x:c r="E143" s="262"/>
      <x:c r="F143" s="262"/>
    </x:row>
    <x:row r="144">
      <x:c r="A144" s="262"/>
      <x:c r="B144" s="262"/>
      <x:c r="C144" s="262"/>
      <x:c r="D144" s="262"/>
      <x:c r="E144" s="262"/>
      <x:c r="F144" s="262"/>
    </x:row>
    <x:row r="145">
      <x:c r="A145" s="262"/>
      <x:c r="B145" s="262"/>
      <x:c r="C145" s="262"/>
      <x:c r="D145" s="262"/>
      <x:c r="E145" s="262"/>
      <x:c r="F145" s="262"/>
    </x:row>
    <x:row r="146">
      <x:c r="A146" s="262"/>
      <x:c r="B146" s="262"/>
      <x:c r="C146" s="262"/>
      <x:c r="D146" s="262"/>
      <x:c r="E146" s="262"/>
      <x:c r="F146" s="262"/>
    </x:row>
    <x:row r="147">
      <x:c r="A147" s="262"/>
      <x:c r="B147" s="262"/>
      <x:c r="C147" s="262"/>
      <x:c r="D147" s="262"/>
      <x:c r="E147" s="262"/>
      <x:c r="F147" s="262"/>
    </x:row>
    <x:row r="148">
      <x:c r="A148" s="262"/>
      <x:c r="B148" s="262"/>
      <x:c r="C148" s="262"/>
      <x:c r="D148" s="262"/>
      <x:c r="E148" s="262"/>
      <x:c r="F148" s="262"/>
    </x:row>
    <x:row r="149">
      <x:c r="A149" s="262"/>
      <x:c r="B149" s="262"/>
      <x:c r="C149" s="262"/>
      <x:c r="D149" s="262"/>
      <x:c r="E149" s="262"/>
      <x:c r="F149" s="262"/>
    </x:row>
    <x:row r="150">
      <x:c r="A150" s="262"/>
      <x:c r="B150" s="262"/>
      <x:c r="C150" s="262"/>
      <x:c r="D150" s="262"/>
      <x:c r="E150" s="262"/>
      <x:c r="F150" s="262"/>
    </x:row>
    <x:row r="151">
      <x:c r="A151" s="262"/>
      <x:c r="B151" s="262"/>
      <x:c r="C151" s="262"/>
      <x:c r="D151" s="262"/>
      <x:c r="E151" s="262"/>
      <x:c r="F151" s="262"/>
    </x:row>
    <x:row r="152">
      <x:c r="A152" s="262"/>
      <x:c r="B152" s="262"/>
      <x:c r="C152" s="262"/>
      <x:c r="D152" s="262"/>
      <x:c r="E152" s="262"/>
      <x:c r="F152" s="262"/>
    </x:row>
    <x:row r="153">
      <x:c r="A153" s="262"/>
      <x:c r="B153" s="262"/>
      <x:c r="C153" s="262"/>
      <x:c r="D153" s="262"/>
      <x:c r="E153" s="262"/>
      <x:c r="F153" s="262"/>
    </x:row>
    <x:row r="154">
      <x:c r="A154" s="262"/>
      <x:c r="B154" s="262"/>
      <x:c r="C154" s="262"/>
      <x:c r="D154" s="262"/>
      <x:c r="E154" s="262"/>
      <x:c r="F154" s="262"/>
    </x:row>
    <x:row r="155">
      <x:c r="A155" s="262"/>
      <x:c r="B155" s="262"/>
      <x:c r="C155" s="262"/>
      <x:c r="D155" s="262"/>
      <x:c r="E155" s="262"/>
      <x:c r="F155" s="262"/>
    </x:row>
    <x:row r="156">
      <x:c r="A156" s="262"/>
      <x:c r="B156" s="262"/>
      <x:c r="C156" s="262"/>
      <x:c r="D156" s="262"/>
      <x:c r="E156" s="262"/>
      <x:c r="F156" s="262"/>
    </x:row>
    <x:row r="157">
      <x:c r="A157" s="262"/>
      <x:c r="B157" s="262"/>
      <x:c r="C157" s="262"/>
      <x:c r="D157" s="262"/>
      <x:c r="E157" s="262"/>
      <x:c r="F157" s="262"/>
    </x:row>
    <x:row r="158">
      <x:c r="A158" s="262"/>
      <x:c r="B158" s="262"/>
      <x:c r="C158" s="262"/>
      <x:c r="D158" s="262"/>
      <x:c r="E158" s="262"/>
      <x:c r="F158" s="262"/>
    </x:row>
    <x:row r="159">
      <x:c r="A159" s="262"/>
      <x:c r="B159" s="262"/>
      <x:c r="C159" s="262"/>
      <x:c r="D159" s="262"/>
      <x:c r="E159" s="262"/>
      <x:c r="F159" s="262"/>
    </x:row>
    <x:row r="160">
      <x:c r="A160" s="262"/>
      <x:c r="B160" s="262"/>
      <x:c r="C160" s="262"/>
      <x:c r="D160" s="262"/>
      <x:c r="E160" s="262"/>
      <x:c r="F160" s="262"/>
    </x:row>
    <x:row r="161">
      <x:c r="A161" s="262"/>
      <x:c r="B161" s="262"/>
      <x:c r="C161" s="262"/>
      <x:c r="D161" s="262"/>
      <x:c r="E161" s="262"/>
      <x:c r="F161" s="262"/>
    </x:row>
    <x:row r="162">
      <x:c r="A162" s="262"/>
      <x:c r="B162" s="262"/>
      <x:c r="C162" s="262"/>
      <x:c r="D162" s="262"/>
      <x:c r="E162" s="262"/>
      <x:c r="F162" s="262"/>
    </x:row>
    <x:row r="163">
      <x:c r="A163" s="262"/>
      <x:c r="B163" s="262"/>
      <x:c r="C163" s="262"/>
      <x:c r="D163" s="262"/>
      <x:c r="E163" s="262"/>
      <x:c r="F163" s="262"/>
    </x:row>
    <x:row r="164">
      <x:c r="A164" s="262"/>
      <x:c r="B164" s="262"/>
      <x:c r="C164" s="262"/>
      <x:c r="D164" s="262"/>
      <x:c r="E164" s="262"/>
      <x:c r="F164" s="262"/>
    </x:row>
    <x:row r="165">
      <x:c r="A165" s="262"/>
      <x:c r="B165" s="262"/>
      <x:c r="C165" s="262"/>
      <x:c r="D165" s="262"/>
      <x:c r="E165" s="262"/>
      <x:c r="F165" s="262"/>
    </x:row>
    <x:row r="166">
      <x:c r="A166" s="262"/>
      <x:c r="B166" s="262"/>
      <x:c r="C166" s="262"/>
      <x:c r="D166" s="262"/>
      <x:c r="E166" s="262"/>
      <x:c r="F166" s="262"/>
    </x:row>
    <x:row r="167">
      <x:c r="A167" s="262"/>
      <x:c r="B167" s="262"/>
      <x:c r="C167" s="262"/>
      <x:c r="D167" s="262"/>
      <x:c r="E167" s="262"/>
      <x:c r="F167" s="262"/>
    </x:row>
    <x:row r="168">
      <x:c r="A168" s="262"/>
      <x:c r="B168" s="262"/>
      <x:c r="C168" s="262"/>
      <x:c r="D168" s="262"/>
      <x:c r="E168" s="262"/>
      <x:c r="F168" s="262"/>
    </x:row>
    <x:row r="169">
      <x:c r="A169" s="262"/>
      <x:c r="B169" s="262"/>
      <x:c r="C169" s="262"/>
      <x:c r="D169" s="262"/>
      <x:c r="E169" s="262"/>
      <x:c r="F169" s="262"/>
    </x:row>
    <x:row r="170">
      <x:c r="A170" s="262"/>
      <x:c r="B170" s="262"/>
      <x:c r="C170" s="262"/>
      <x:c r="D170" s="262"/>
      <x:c r="E170" s="262"/>
      <x:c r="F170" s="262"/>
    </x:row>
    <x:row r="171">
      <x:c r="A171" s="262"/>
      <x:c r="B171" s="262"/>
      <x:c r="C171" s="262"/>
      <x:c r="D171" s="262"/>
      <x:c r="E171" s="262"/>
      <x:c r="F171" s="262"/>
    </x:row>
    <x:row r="172">
      <x:c r="A172" s="262"/>
      <x:c r="B172" s="262"/>
      <x:c r="C172" s="262"/>
      <x:c r="D172" s="262"/>
      <x:c r="E172" s="262"/>
      <x:c r="F172" s="262"/>
    </x:row>
    <x:row r="173">
      <x:c r="A173" s="262"/>
      <x:c r="B173" s="262"/>
      <x:c r="C173" s="262"/>
      <x:c r="D173" s="262"/>
      <x:c r="E173" s="262"/>
      <x:c r="F173" s="262"/>
    </x:row>
    <x:row r="174">
      <x:c r="A174" s="262"/>
      <x:c r="B174" s="262"/>
      <x:c r="C174" s="262"/>
      <x:c r="D174" s="262"/>
      <x:c r="E174" s="262"/>
      <x:c r="F174" s="262"/>
    </x:row>
    <x:row r="175">
      <x:c r="A175" s="262"/>
      <x:c r="B175" s="262"/>
      <x:c r="C175" s="262"/>
      <x:c r="D175" s="262"/>
      <x:c r="E175" s="262"/>
      <x:c r="F175" s="262"/>
    </x:row>
    <x:row r="176">
      <x:c r="A176" s="262"/>
      <x:c r="B176" s="262"/>
      <x:c r="C176" s="262"/>
      <x:c r="D176" s="262"/>
      <x:c r="E176" s="262"/>
      <x:c r="F176" s="262"/>
    </x:row>
    <x:row r="177">
      <x:c r="A177" s="262"/>
      <x:c r="B177" s="262"/>
      <x:c r="C177" s="262"/>
      <x:c r="D177" s="262"/>
      <x:c r="E177" s="262"/>
      <x:c r="F177" s="262"/>
    </x:row>
    <x:row r="178">
      <x:c r="A178" s="262"/>
      <x:c r="B178" s="262"/>
      <x:c r="C178" s="262"/>
      <x:c r="D178" s="262"/>
      <x:c r="E178" s="262"/>
      <x:c r="F178" s="262"/>
    </x:row>
    <x:row r="179">
      <x:c r="A179" s="262"/>
      <x:c r="B179" s="262"/>
      <x:c r="C179" s="262"/>
      <x:c r="D179" s="262"/>
      <x:c r="E179" s="262"/>
      <x:c r="F179" s="262"/>
    </x:row>
    <x:row r="180">
      <x:c r="A180" s="262"/>
      <x:c r="B180" s="262"/>
      <x:c r="C180" s="262"/>
      <x:c r="D180" s="262"/>
      <x:c r="E180" s="262"/>
      <x:c r="F180" s="262"/>
    </x:row>
    <x:row r="181">
      <x:c r="A181" s="262"/>
      <x:c r="B181" s="262"/>
      <x:c r="C181" s="262"/>
      <x:c r="D181" s="262"/>
      <x:c r="E181" s="262"/>
      <x:c r="F181" s="262"/>
    </x:row>
    <x:row r="182">
      <x:c r="A182" s="262"/>
      <x:c r="B182" s="262"/>
      <x:c r="C182" s="262"/>
      <x:c r="D182" s="262"/>
      <x:c r="E182" s="262"/>
      <x:c r="F182" s="262"/>
    </x:row>
    <x:row r="183">
      <x:c r="A183" s="262"/>
      <x:c r="B183" s="262"/>
      <x:c r="C183" s="262"/>
      <x:c r="D183" s="262"/>
      <x:c r="E183" s="262"/>
      <x:c r="F183" s="262"/>
    </x:row>
    <x:row r="184">
      <x:c r="A184" s="262"/>
      <x:c r="B184" s="262"/>
      <x:c r="C184" s="262"/>
      <x:c r="D184" s="262"/>
      <x:c r="E184" s="262"/>
      <x:c r="F184" s="262"/>
    </x:row>
    <x:row r="185">
      <x:c r="A185" s="262"/>
      <x:c r="B185" s="262"/>
      <x:c r="C185" s="262"/>
      <x:c r="D185" s="262"/>
      <x:c r="E185" s="262"/>
      <x:c r="F185" s="262"/>
    </x:row>
    <x:row r="186">
      <x:c r="A186" s="262"/>
      <x:c r="B186" s="262"/>
      <x:c r="C186" s="262"/>
      <x:c r="D186" s="262"/>
      <x:c r="E186" s="262"/>
      <x:c r="F186" s="262"/>
    </x:row>
    <x:row r="187">
      <x:c r="A187" s="262"/>
      <x:c r="B187" s="262"/>
      <x:c r="C187" s="262"/>
      <x:c r="D187" s="262"/>
      <x:c r="E187" s="262"/>
      <x:c r="F187" s="262"/>
    </x:row>
    <x:row r="188">
      <x:c r="A188" s="262"/>
      <x:c r="B188" s="262"/>
      <x:c r="C188" s="262"/>
      <x:c r="D188" s="262"/>
      <x:c r="E188" s="262"/>
      <x:c r="F188" s="262"/>
    </x:row>
    <x:row r="189">
      <x:c r="A189" s="262"/>
      <x:c r="B189" s="262"/>
      <x:c r="C189" s="262"/>
      <x:c r="D189" s="262"/>
      <x:c r="E189" s="262"/>
      <x:c r="F189" s="262"/>
    </x:row>
    <x:row r="190">
      <x:c r="A190" s="262"/>
      <x:c r="B190" s="262"/>
      <x:c r="C190" s="262"/>
      <x:c r="D190" s="262"/>
      <x:c r="E190" s="262"/>
      <x:c r="F190" s="262"/>
    </x:row>
    <x:row r="191">
      <x:c r="A191" s="262"/>
      <x:c r="B191" s="262"/>
      <x:c r="C191" s="262"/>
      <x:c r="D191" s="262"/>
      <x:c r="E191" s="262"/>
      <x:c r="F191" s="262"/>
    </x:row>
    <x:row r="192">
      <x:c r="A192" s="262"/>
      <x:c r="B192" s="262"/>
      <x:c r="C192" s="262"/>
      <x:c r="D192" s="262"/>
      <x:c r="E192" s="262"/>
      <x:c r="F192" s="262"/>
    </x:row>
    <x:row r="193">
      <x:c r="A193" s="262"/>
      <x:c r="B193" s="262"/>
      <x:c r="C193" s="262"/>
      <x:c r="D193" s="262"/>
      <x:c r="E193" s="262"/>
      <x:c r="F193" s="262"/>
    </x:row>
    <x:row r="194">
      <x:c r="A194" s="262"/>
      <x:c r="B194" s="262"/>
      <x:c r="C194" s="262"/>
      <x:c r="D194" s="262"/>
      <x:c r="E194" s="262"/>
      <x:c r="F194" s="262"/>
    </x:row>
    <x:row r="195">
      <x:c r="A195" s="262"/>
      <x:c r="B195" s="262"/>
      <x:c r="C195" s="262"/>
      <x:c r="D195" s="262"/>
      <x:c r="E195" s="262"/>
      <x:c r="F195" s="262"/>
    </x:row>
    <x:row r="196">
      <x:c r="A196" s="262"/>
      <x:c r="B196" s="262"/>
      <x:c r="C196" s="262"/>
      <x:c r="D196" s="262"/>
      <x:c r="E196" s="262"/>
      <x:c r="F196" s="262"/>
    </x:row>
    <x:row r="197">
      <x:c r="A197" s="262"/>
      <x:c r="B197" s="262"/>
      <x:c r="C197" s="262"/>
      <x:c r="D197" s="262"/>
      <x:c r="E197" s="262"/>
      <x:c r="F197" s="262"/>
    </x:row>
    <x:row r="198">
      <x:c r="A198" s="262"/>
      <x:c r="B198" s="262"/>
      <x:c r="C198" s="262"/>
      <x:c r="D198" s="262"/>
      <x:c r="E198" s="262"/>
      <x:c r="F198" s="262"/>
    </x:row>
    <x:row r="199">
      <x:c r="A199" s="262"/>
      <x:c r="B199" s="262"/>
      <x:c r="C199" s="262"/>
      <x:c r="D199" s="262"/>
      <x:c r="E199" s="262"/>
      <x:c r="F199" s="262"/>
    </x:row>
    <x:row r="200">
      <x:c r="A200" s="262"/>
      <x:c r="B200" s="262"/>
      <x:c r="C200" s="262"/>
      <x:c r="D200" s="262"/>
      <x:c r="E200" s="262"/>
      <x:c r="F200" s="262"/>
    </x:row>
    <x:row r="201">
      <x:c r="A201" s="262"/>
      <x:c r="B201" s="262"/>
      <x:c r="C201" s="262"/>
      <x:c r="D201" s="262"/>
      <x:c r="E201" s="262"/>
      <x:c r="F201" s="262"/>
    </x:row>
    <x:row r="202">
      <x:c r="A202" s="262"/>
      <x:c r="B202" s="262"/>
      <x:c r="C202" s="262"/>
      <x:c r="D202" s="262"/>
      <x:c r="E202" s="262"/>
      <x:c r="F202" s="262"/>
    </x:row>
    <x:row r="203">
      <x:c r="A203" s="262"/>
      <x:c r="B203" s="262"/>
      <x:c r="C203" s="262"/>
      <x:c r="D203" s="262"/>
      <x:c r="E203" s="262"/>
      <x:c r="F203" s="262"/>
    </x:row>
    <x:row r="204">
      <x:c r="A204" s="262"/>
      <x:c r="B204" s="262"/>
      <x:c r="C204" s="262"/>
      <x:c r="D204" s="262"/>
      <x:c r="E204" s="262"/>
      <x:c r="F204" s="262"/>
    </x:row>
    <x:row r="205">
      <x:c r="A205" s="262"/>
      <x:c r="B205" s="262"/>
      <x:c r="C205" s="262"/>
      <x:c r="D205" s="262"/>
      <x:c r="E205" s="262"/>
      <x:c r="F205" s="262"/>
    </x:row>
    <x:row r="206">
      <x:c r="A206" s="262"/>
      <x:c r="B206" s="262"/>
      <x:c r="C206" s="262"/>
      <x:c r="D206" s="262"/>
      <x:c r="E206" s="262"/>
      <x:c r="F206" s="262"/>
    </x:row>
    <x:row r="207">
      <x:c r="A207" s="262"/>
      <x:c r="B207" s="262"/>
      <x:c r="C207" s="262"/>
      <x:c r="D207" s="262"/>
      <x:c r="E207" s="262"/>
      <x:c r="F207" s="262"/>
    </x:row>
    <x:row r="208">
      <x:c r="A208" s="262"/>
      <x:c r="B208" s="262"/>
      <x:c r="C208" s="262"/>
      <x:c r="D208" s="262"/>
      <x:c r="E208" s="262"/>
      <x:c r="F208" s="262"/>
    </x:row>
    <x:row r="209">
      <x:c r="A209" s="262"/>
      <x:c r="B209" s="262"/>
      <x:c r="C209" s="262"/>
      <x:c r="D209" s="262"/>
      <x:c r="E209" s="262"/>
      <x:c r="F209" s="262"/>
    </x:row>
    <x:row r="210">
      <x:c r="A210" s="262"/>
      <x:c r="B210" s="262"/>
      <x:c r="C210" s="262"/>
      <x:c r="D210" s="262"/>
      <x:c r="E210" s="262"/>
      <x:c r="F210" s="262"/>
    </x:row>
    <x:row r="211">
      <x:c r="A211" s="262"/>
      <x:c r="B211" s="262"/>
      <x:c r="C211" s="262"/>
      <x:c r="D211" s="262"/>
      <x:c r="E211" s="262"/>
      <x:c r="F211" s="262"/>
    </x:row>
    <x:row r="212">
      <x:c r="A212" s="262"/>
      <x:c r="B212" s="262"/>
      <x:c r="C212" s="262"/>
      <x:c r="D212" s="262"/>
      <x:c r="E212" s="262"/>
      <x:c r="F212" s="262"/>
    </x:row>
    <x:row r="213">
      <x:c r="A213" s="262"/>
      <x:c r="B213" s="262"/>
      <x:c r="C213" s="262"/>
      <x:c r="D213" s="262"/>
      <x:c r="E213" s="262"/>
      <x:c r="F213" s="262"/>
    </x:row>
    <x:row r="214">
      <x:c r="A214" s="262"/>
      <x:c r="B214" s="262"/>
      <x:c r="C214" s="262"/>
      <x:c r="D214" s="262"/>
      <x:c r="E214" s="262"/>
      <x:c r="F214" s="262"/>
    </x:row>
    <x:row r="215">
      <x:c r="A215" s="262"/>
      <x:c r="B215" s="262"/>
      <x:c r="C215" s="262"/>
      <x:c r="D215" s="262"/>
      <x:c r="E215" s="262"/>
      <x:c r="F215" s="262"/>
    </x:row>
    <x:row r="216">
      <x:c r="A216" s="262"/>
      <x:c r="B216" s="262"/>
      <x:c r="C216" s="262"/>
      <x:c r="D216" s="262"/>
      <x:c r="E216" s="262"/>
      <x:c r="F216" s="262"/>
    </x:row>
    <x:row r="217">
      <x:c r="A217" s="262"/>
      <x:c r="B217" s="262"/>
      <x:c r="C217" s="262"/>
      <x:c r="D217" s="262"/>
      <x:c r="E217" s="262"/>
      <x:c r="F217" s="262"/>
    </x:row>
    <x:row r="218">
      <x:c r="A218" s="262"/>
      <x:c r="B218" s="262"/>
      <x:c r="C218" s="262"/>
      <x:c r="D218" s="262"/>
      <x:c r="E218" s="262"/>
      <x:c r="F218" s="262"/>
    </x:row>
    <x:row r="219">
      <x:c r="A219" s="262"/>
      <x:c r="B219" s="262"/>
      <x:c r="C219" s="262"/>
      <x:c r="D219" s="262"/>
      <x:c r="E219" s="262"/>
      <x:c r="F219" s="262"/>
    </x:row>
    <x:row r="220">
      <x:c r="A220" s="262"/>
      <x:c r="B220" s="262"/>
      <x:c r="C220" s="262"/>
      <x:c r="D220" s="262"/>
      <x:c r="E220" s="262"/>
      <x:c r="F220" s="262"/>
    </x:row>
  </x:sheetData>
  <x:mergeCells>
    <x:mergeCell ref="A1:F1"/>
  </x:mergeCells>
  <x:pageMargins left="0.7" right="0.7" top="0.75" bottom="0.75" header="0.3" footer="0.3"/>
</x:worksheet>
</file>